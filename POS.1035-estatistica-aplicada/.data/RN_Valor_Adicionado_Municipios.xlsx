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E636F6CA-56CE-42F6-9651-2AA0DF78F9AF}" xr6:coauthVersionLast="47" xr6:coauthVersionMax="47" xr10:uidLastSave="{00000000-0000-0000-0000-000000000000}"/>
  <bookViews>
    <workbookView xWindow="0" yWindow="0" windowWidth="16384" windowHeight="8192" tabRatio="500" firstSheet="1" activeTab="3" xr2:uid="{00000000-000D-0000-FFFF-FFFF00000000}"/>
  </bookViews>
  <sheets>
    <sheet name="Leia-me" sheetId="1" r:id="rId1"/>
    <sheet name="Municipios_RN" sheetId="2" r:id="rId2"/>
    <sheet name="Ranking_Setores" sheetId="3" r:id="rId3"/>
    <sheet name="Correlacoes" sheetId="4" r:id="rId4"/>
    <sheet name="Serie_Historica" sheetId="5" r:id="rId5"/>
    <sheet name="Serie_Participacao" sheetId="6" r:id="rId6"/>
    <sheet name="CNAE_PO_10municipios" sheetId="7" r:id="rId7"/>
  </sheets>
  <definedNames>
    <definedName name="_xlnm._FilterDatabase" localSheetId="1" hidden="1">Municipios_RN!$A$2:$BN$168</definedName>
    <definedName name="_xlnm._FilterDatabase" localSheetId="4" hidden="1">Serie_Historica!$A$1:$AD$1676</definedName>
    <definedName name="_xlnm._FilterDatabase" localSheetId="5" hidden="1">Serie_Participacao!$A$1:$X$505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505" i="6" l="1"/>
  <c r="V505" i="6"/>
  <c r="U505" i="6"/>
  <c r="T505" i="6"/>
  <c r="S505" i="6"/>
  <c r="R505" i="6"/>
  <c r="Q505" i="6"/>
  <c r="P505" i="6"/>
  <c r="O505" i="6"/>
  <c r="N505" i="6"/>
  <c r="M505" i="6"/>
  <c r="L505" i="6"/>
  <c r="K505" i="6"/>
  <c r="J505" i="6"/>
  <c r="I505" i="6"/>
  <c r="H505" i="6"/>
  <c r="G505" i="6"/>
  <c r="F505" i="6"/>
  <c r="E505" i="6"/>
  <c r="D505" i="6"/>
  <c r="W504" i="6"/>
  <c r="V504" i="6"/>
  <c r="U504" i="6"/>
  <c r="T504" i="6"/>
  <c r="S504" i="6"/>
  <c r="R504" i="6"/>
  <c r="Q504" i="6"/>
  <c r="P504" i="6"/>
  <c r="O504" i="6"/>
  <c r="N504" i="6"/>
  <c r="M504" i="6"/>
  <c r="L504" i="6"/>
  <c r="K504" i="6"/>
  <c r="J504" i="6"/>
  <c r="I504" i="6"/>
  <c r="H504" i="6"/>
  <c r="G504" i="6"/>
  <c r="F504" i="6"/>
  <c r="E504" i="6"/>
  <c r="D504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F503" i="6"/>
  <c r="E503" i="6"/>
  <c r="D503" i="6"/>
  <c r="W502" i="6"/>
  <c r="V502" i="6"/>
  <c r="U502" i="6"/>
  <c r="T502" i="6"/>
  <c r="S502" i="6"/>
  <c r="R502" i="6"/>
  <c r="Q502" i="6"/>
  <c r="P502" i="6"/>
  <c r="O502" i="6"/>
  <c r="N502" i="6"/>
  <c r="M502" i="6"/>
  <c r="L502" i="6"/>
  <c r="K502" i="6"/>
  <c r="J502" i="6"/>
  <c r="I502" i="6"/>
  <c r="H502" i="6"/>
  <c r="G502" i="6"/>
  <c r="F502" i="6"/>
  <c r="E502" i="6"/>
  <c r="D502" i="6"/>
  <c r="W501" i="6"/>
  <c r="V501" i="6"/>
  <c r="U501" i="6"/>
  <c r="T501" i="6"/>
  <c r="S501" i="6"/>
  <c r="R501" i="6"/>
  <c r="Q501" i="6"/>
  <c r="P501" i="6"/>
  <c r="O501" i="6"/>
  <c r="N501" i="6"/>
  <c r="M501" i="6"/>
  <c r="L501" i="6"/>
  <c r="K501" i="6"/>
  <c r="J501" i="6"/>
  <c r="I501" i="6"/>
  <c r="H501" i="6"/>
  <c r="G501" i="6"/>
  <c r="F501" i="6"/>
  <c r="E501" i="6"/>
  <c r="D501" i="6"/>
  <c r="W500" i="6"/>
  <c r="V500" i="6"/>
  <c r="U500" i="6"/>
  <c r="T500" i="6"/>
  <c r="S500" i="6"/>
  <c r="R500" i="6"/>
  <c r="Q500" i="6"/>
  <c r="P500" i="6"/>
  <c r="O500" i="6"/>
  <c r="N500" i="6"/>
  <c r="M500" i="6"/>
  <c r="L500" i="6"/>
  <c r="K500" i="6"/>
  <c r="J500" i="6"/>
  <c r="I500" i="6"/>
  <c r="H500" i="6"/>
  <c r="G500" i="6"/>
  <c r="F500" i="6"/>
  <c r="E500" i="6"/>
  <c r="D500" i="6"/>
  <c r="W499" i="6"/>
  <c r="V499" i="6"/>
  <c r="U499" i="6"/>
  <c r="T499" i="6"/>
  <c r="S499" i="6"/>
  <c r="R499" i="6"/>
  <c r="Q499" i="6"/>
  <c r="P499" i="6"/>
  <c r="O499" i="6"/>
  <c r="N499" i="6"/>
  <c r="M499" i="6"/>
  <c r="L499" i="6"/>
  <c r="K499" i="6"/>
  <c r="J499" i="6"/>
  <c r="I499" i="6"/>
  <c r="H499" i="6"/>
  <c r="G499" i="6"/>
  <c r="F499" i="6"/>
  <c r="E499" i="6"/>
  <c r="D499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I498" i="6"/>
  <c r="H498" i="6"/>
  <c r="G498" i="6"/>
  <c r="F498" i="6"/>
  <c r="E498" i="6"/>
  <c r="D498" i="6"/>
  <c r="W497" i="6"/>
  <c r="V497" i="6"/>
  <c r="U497" i="6"/>
  <c r="T497" i="6"/>
  <c r="S497" i="6"/>
  <c r="R497" i="6"/>
  <c r="Q497" i="6"/>
  <c r="P497" i="6"/>
  <c r="O497" i="6"/>
  <c r="N497" i="6"/>
  <c r="M497" i="6"/>
  <c r="L497" i="6"/>
  <c r="K497" i="6"/>
  <c r="J497" i="6"/>
  <c r="I497" i="6"/>
  <c r="H497" i="6"/>
  <c r="G497" i="6"/>
  <c r="F497" i="6"/>
  <c r="E497" i="6"/>
  <c r="D497" i="6"/>
  <c r="W496" i="6"/>
  <c r="V496" i="6"/>
  <c r="U496" i="6"/>
  <c r="T496" i="6"/>
  <c r="S496" i="6"/>
  <c r="R496" i="6"/>
  <c r="Q496" i="6"/>
  <c r="P496" i="6"/>
  <c r="O496" i="6"/>
  <c r="N496" i="6"/>
  <c r="M496" i="6"/>
  <c r="L496" i="6"/>
  <c r="K496" i="6"/>
  <c r="J496" i="6"/>
  <c r="I496" i="6"/>
  <c r="H496" i="6"/>
  <c r="G496" i="6"/>
  <c r="F496" i="6"/>
  <c r="E496" i="6"/>
  <c r="D496" i="6"/>
  <c r="W495" i="6"/>
  <c r="V495" i="6"/>
  <c r="U495" i="6"/>
  <c r="T495" i="6"/>
  <c r="S495" i="6"/>
  <c r="R495" i="6"/>
  <c r="Q495" i="6"/>
  <c r="P495" i="6"/>
  <c r="O495" i="6"/>
  <c r="N495" i="6"/>
  <c r="M495" i="6"/>
  <c r="L495" i="6"/>
  <c r="K495" i="6"/>
  <c r="J495" i="6"/>
  <c r="I495" i="6"/>
  <c r="H495" i="6"/>
  <c r="G495" i="6"/>
  <c r="F495" i="6"/>
  <c r="E495" i="6"/>
  <c r="D495" i="6"/>
  <c r="W494" i="6"/>
  <c r="V494" i="6"/>
  <c r="U494" i="6"/>
  <c r="T494" i="6"/>
  <c r="S494" i="6"/>
  <c r="R494" i="6"/>
  <c r="Q494" i="6"/>
  <c r="P494" i="6"/>
  <c r="O494" i="6"/>
  <c r="N494" i="6"/>
  <c r="M494" i="6"/>
  <c r="L494" i="6"/>
  <c r="K494" i="6"/>
  <c r="J494" i="6"/>
  <c r="I494" i="6"/>
  <c r="H494" i="6"/>
  <c r="G494" i="6"/>
  <c r="F494" i="6"/>
  <c r="E494" i="6"/>
  <c r="D494" i="6"/>
  <c r="W493" i="6"/>
  <c r="V493" i="6"/>
  <c r="U493" i="6"/>
  <c r="T493" i="6"/>
  <c r="S493" i="6"/>
  <c r="R493" i="6"/>
  <c r="Q493" i="6"/>
  <c r="P493" i="6"/>
  <c r="O493" i="6"/>
  <c r="N493" i="6"/>
  <c r="M493" i="6"/>
  <c r="L493" i="6"/>
  <c r="K493" i="6"/>
  <c r="J493" i="6"/>
  <c r="I493" i="6"/>
  <c r="H493" i="6"/>
  <c r="G493" i="6"/>
  <c r="F493" i="6"/>
  <c r="E493" i="6"/>
  <c r="D493" i="6"/>
  <c r="W492" i="6"/>
  <c r="V492" i="6"/>
  <c r="U492" i="6"/>
  <c r="T492" i="6"/>
  <c r="S492" i="6"/>
  <c r="R492" i="6"/>
  <c r="Q492" i="6"/>
  <c r="P492" i="6"/>
  <c r="O492" i="6"/>
  <c r="N492" i="6"/>
  <c r="M492" i="6"/>
  <c r="L492" i="6"/>
  <c r="K492" i="6"/>
  <c r="J492" i="6"/>
  <c r="I492" i="6"/>
  <c r="H492" i="6"/>
  <c r="G492" i="6"/>
  <c r="F492" i="6"/>
  <c r="E492" i="6"/>
  <c r="D492" i="6"/>
  <c r="W491" i="6"/>
  <c r="V491" i="6"/>
  <c r="U491" i="6"/>
  <c r="T491" i="6"/>
  <c r="S491" i="6"/>
  <c r="R491" i="6"/>
  <c r="Q491" i="6"/>
  <c r="P491" i="6"/>
  <c r="O491" i="6"/>
  <c r="N491" i="6"/>
  <c r="M491" i="6"/>
  <c r="L491" i="6"/>
  <c r="K491" i="6"/>
  <c r="J491" i="6"/>
  <c r="I491" i="6"/>
  <c r="H491" i="6"/>
  <c r="G491" i="6"/>
  <c r="F491" i="6"/>
  <c r="E491" i="6"/>
  <c r="D491" i="6"/>
  <c r="W490" i="6"/>
  <c r="V490" i="6"/>
  <c r="U490" i="6"/>
  <c r="T490" i="6"/>
  <c r="S490" i="6"/>
  <c r="R490" i="6"/>
  <c r="Q490" i="6"/>
  <c r="P490" i="6"/>
  <c r="O490" i="6"/>
  <c r="N490" i="6"/>
  <c r="M490" i="6"/>
  <c r="L490" i="6"/>
  <c r="K490" i="6"/>
  <c r="J490" i="6"/>
  <c r="I490" i="6"/>
  <c r="H490" i="6"/>
  <c r="G490" i="6"/>
  <c r="F490" i="6"/>
  <c r="E490" i="6"/>
  <c r="D490" i="6"/>
  <c r="W489" i="6"/>
  <c r="V489" i="6"/>
  <c r="U489" i="6"/>
  <c r="T489" i="6"/>
  <c r="S489" i="6"/>
  <c r="R489" i="6"/>
  <c r="Q489" i="6"/>
  <c r="P489" i="6"/>
  <c r="O489" i="6"/>
  <c r="N489" i="6"/>
  <c r="M489" i="6"/>
  <c r="L489" i="6"/>
  <c r="K489" i="6"/>
  <c r="J489" i="6"/>
  <c r="I489" i="6"/>
  <c r="H489" i="6"/>
  <c r="G489" i="6"/>
  <c r="F489" i="6"/>
  <c r="E489" i="6"/>
  <c r="D489" i="6"/>
  <c r="W488" i="6"/>
  <c r="V488" i="6"/>
  <c r="U488" i="6"/>
  <c r="T488" i="6"/>
  <c r="S488" i="6"/>
  <c r="R488" i="6"/>
  <c r="Q488" i="6"/>
  <c r="P488" i="6"/>
  <c r="O488" i="6"/>
  <c r="N488" i="6"/>
  <c r="M488" i="6"/>
  <c r="L488" i="6"/>
  <c r="K488" i="6"/>
  <c r="J488" i="6"/>
  <c r="I488" i="6"/>
  <c r="H488" i="6"/>
  <c r="G488" i="6"/>
  <c r="F488" i="6"/>
  <c r="E488" i="6"/>
  <c r="D488" i="6"/>
  <c r="W487" i="6"/>
  <c r="V487" i="6"/>
  <c r="U487" i="6"/>
  <c r="T487" i="6"/>
  <c r="S487" i="6"/>
  <c r="R487" i="6"/>
  <c r="Q487" i="6"/>
  <c r="P487" i="6"/>
  <c r="O487" i="6"/>
  <c r="N487" i="6"/>
  <c r="M487" i="6"/>
  <c r="L487" i="6"/>
  <c r="K487" i="6"/>
  <c r="J487" i="6"/>
  <c r="I487" i="6"/>
  <c r="H487" i="6"/>
  <c r="G487" i="6"/>
  <c r="F487" i="6"/>
  <c r="E487" i="6"/>
  <c r="D487" i="6"/>
  <c r="W486" i="6"/>
  <c r="V486" i="6"/>
  <c r="U486" i="6"/>
  <c r="T486" i="6"/>
  <c r="S486" i="6"/>
  <c r="R486" i="6"/>
  <c r="Q486" i="6"/>
  <c r="P486" i="6"/>
  <c r="O486" i="6"/>
  <c r="N486" i="6"/>
  <c r="M486" i="6"/>
  <c r="L486" i="6"/>
  <c r="K486" i="6"/>
  <c r="J486" i="6"/>
  <c r="I486" i="6"/>
  <c r="H486" i="6"/>
  <c r="G486" i="6"/>
  <c r="F486" i="6"/>
  <c r="E486" i="6"/>
  <c r="D486" i="6"/>
  <c r="W485" i="6"/>
  <c r="V485" i="6"/>
  <c r="U485" i="6"/>
  <c r="T485" i="6"/>
  <c r="S485" i="6"/>
  <c r="R485" i="6"/>
  <c r="Q485" i="6"/>
  <c r="P485" i="6"/>
  <c r="O485" i="6"/>
  <c r="N485" i="6"/>
  <c r="M485" i="6"/>
  <c r="L485" i="6"/>
  <c r="K485" i="6"/>
  <c r="J485" i="6"/>
  <c r="I485" i="6"/>
  <c r="H485" i="6"/>
  <c r="G485" i="6"/>
  <c r="F485" i="6"/>
  <c r="E485" i="6"/>
  <c r="D485" i="6"/>
  <c r="W484" i="6"/>
  <c r="V484" i="6"/>
  <c r="U484" i="6"/>
  <c r="T484" i="6"/>
  <c r="S484" i="6"/>
  <c r="R484" i="6"/>
  <c r="Q484" i="6"/>
  <c r="P484" i="6"/>
  <c r="O484" i="6"/>
  <c r="N484" i="6"/>
  <c r="M484" i="6"/>
  <c r="L484" i="6"/>
  <c r="K484" i="6"/>
  <c r="J484" i="6"/>
  <c r="I484" i="6"/>
  <c r="H484" i="6"/>
  <c r="G484" i="6"/>
  <c r="F484" i="6"/>
  <c r="E484" i="6"/>
  <c r="D484" i="6"/>
  <c r="W483" i="6"/>
  <c r="V483" i="6"/>
  <c r="U483" i="6"/>
  <c r="T483" i="6"/>
  <c r="S483" i="6"/>
  <c r="R483" i="6"/>
  <c r="Q483" i="6"/>
  <c r="P483" i="6"/>
  <c r="O483" i="6"/>
  <c r="N483" i="6"/>
  <c r="M483" i="6"/>
  <c r="L483" i="6"/>
  <c r="K483" i="6"/>
  <c r="J483" i="6"/>
  <c r="I483" i="6"/>
  <c r="H483" i="6"/>
  <c r="G483" i="6"/>
  <c r="F483" i="6"/>
  <c r="E483" i="6"/>
  <c r="D483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D482" i="6"/>
  <c r="W481" i="6"/>
  <c r="V481" i="6"/>
  <c r="U481" i="6"/>
  <c r="T481" i="6"/>
  <c r="S481" i="6"/>
  <c r="R481" i="6"/>
  <c r="Q481" i="6"/>
  <c r="P481" i="6"/>
  <c r="O481" i="6"/>
  <c r="N481" i="6"/>
  <c r="M481" i="6"/>
  <c r="L481" i="6"/>
  <c r="K481" i="6"/>
  <c r="J481" i="6"/>
  <c r="I481" i="6"/>
  <c r="H481" i="6"/>
  <c r="G481" i="6"/>
  <c r="F481" i="6"/>
  <c r="E481" i="6"/>
  <c r="D481" i="6"/>
  <c r="W480" i="6"/>
  <c r="V480" i="6"/>
  <c r="U480" i="6"/>
  <c r="T480" i="6"/>
  <c r="S480" i="6"/>
  <c r="R480" i="6"/>
  <c r="Q480" i="6"/>
  <c r="P480" i="6"/>
  <c r="O480" i="6"/>
  <c r="N480" i="6"/>
  <c r="M480" i="6"/>
  <c r="L480" i="6"/>
  <c r="K480" i="6"/>
  <c r="J480" i="6"/>
  <c r="I480" i="6"/>
  <c r="H480" i="6"/>
  <c r="G480" i="6"/>
  <c r="F480" i="6"/>
  <c r="E480" i="6"/>
  <c r="D480" i="6"/>
  <c r="W479" i="6"/>
  <c r="V479" i="6"/>
  <c r="U479" i="6"/>
  <c r="T479" i="6"/>
  <c r="S479" i="6"/>
  <c r="R479" i="6"/>
  <c r="Q479" i="6"/>
  <c r="P479" i="6"/>
  <c r="O479" i="6"/>
  <c r="N479" i="6"/>
  <c r="M479" i="6"/>
  <c r="L479" i="6"/>
  <c r="K479" i="6"/>
  <c r="J479" i="6"/>
  <c r="I479" i="6"/>
  <c r="H479" i="6"/>
  <c r="G479" i="6"/>
  <c r="F479" i="6"/>
  <c r="E479" i="6"/>
  <c r="D479" i="6"/>
  <c r="W478" i="6"/>
  <c r="V478" i="6"/>
  <c r="U478" i="6"/>
  <c r="T478" i="6"/>
  <c r="S478" i="6"/>
  <c r="R478" i="6"/>
  <c r="Q478" i="6"/>
  <c r="P478" i="6"/>
  <c r="O478" i="6"/>
  <c r="N478" i="6"/>
  <c r="M478" i="6"/>
  <c r="L478" i="6"/>
  <c r="K478" i="6"/>
  <c r="J478" i="6"/>
  <c r="I478" i="6"/>
  <c r="H478" i="6"/>
  <c r="G478" i="6"/>
  <c r="F478" i="6"/>
  <c r="E478" i="6"/>
  <c r="D478" i="6"/>
  <c r="W477" i="6"/>
  <c r="V477" i="6"/>
  <c r="U477" i="6"/>
  <c r="T477" i="6"/>
  <c r="S477" i="6"/>
  <c r="R477" i="6"/>
  <c r="Q477" i="6"/>
  <c r="P477" i="6"/>
  <c r="O477" i="6"/>
  <c r="N477" i="6"/>
  <c r="M477" i="6"/>
  <c r="L477" i="6"/>
  <c r="K477" i="6"/>
  <c r="J477" i="6"/>
  <c r="I477" i="6"/>
  <c r="H477" i="6"/>
  <c r="G477" i="6"/>
  <c r="F477" i="6"/>
  <c r="E477" i="6"/>
  <c r="D477" i="6"/>
  <c r="W476" i="6"/>
  <c r="V476" i="6"/>
  <c r="U476" i="6"/>
  <c r="T476" i="6"/>
  <c r="S476" i="6"/>
  <c r="R476" i="6"/>
  <c r="Q476" i="6"/>
  <c r="P476" i="6"/>
  <c r="O476" i="6"/>
  <c r="N476" i="6"/>
  <c r="M476" i="6"/>
  <c r="L476" i="6"/>
  <c r="K476" i="6"/>
  <c r="J476" i="6"/>
  <c r="I476" i="6"/>
  <c r="H476" i="6"/>
  <c r="G476" i="6"/>
  <c r="F476" i="6"/>
  <c r="E476" i="6"/>
  <c r="D476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K475" i="6"/>
  <c r="J475" i="6"/>
  <c r="I475" i="6"/>
  <c r="H475" i="6"/>
  <c r="G475" i="6"/>
  <c r="F475" i="6"/>
  <c r="E475" i="6"/>
  <c r="D475" i="6"/>
  <c r="W474" i="6"/>
  <c r="V474" i="6"/>
  <c r="U474" i="6"/>
  <c r="T474" i="6"/>
  <c r="S474" i="6"/>
  <c r="R474" i="6"/>
  <c r="Q474" i="6"/>
  <c r="P474" i="6"/>
  <c r="O474" i="6"/>
  <c r="N474" i="6"/>
  <c r="M474" i="6"/>
  <c r="L474" i="6"/>
  <c r="K474" i="6"/>
  <c r="J474" i="6"/>
  <c r="I474" i="6"/>
  <c r="H474" i="6"/>
  <c r="G474" i="6"/>
  <c r="F474" i="6"/>
  <c r="E474" i="6"/>
  <c r="D474" i="6"/>
  <c r="W473" i="6"/>
  <c r="V473" i="6"/>
  <c r="U473" i="6"/>
  <c r="T473" i="6"/>
  <c r="S473" i="6"/>
  <c r="R473" i="6"/>
  <c r="Q473" i="6"/>
  <c r="P473" i="6"/>
  <c r="O473" i="6"/>
  <c r="N473" i="6"/>
  <c r="M473" i="6"/>
  <c r="L473" i="6"/>
  <c r="K473" i="6"/>
  <c r="J473" i="6"/>
  <c r="I473" i="6"/>
  <c r="H473" i="6"/>
  <c r="G473" i="6"/>
  <c r="F473" i="6"/>
  <c r="E473" i="6"/>
  <c r="D473" i="6"/>
  <c r="W472" i="6"/>
  <c r="V472" i="6"/>
  <c r="U472" i="6"/>
  <c r="T472" i="6"/>
  <c r="S472" i="6"/>
  <c r="R472" i="6"/>
  <c r="Q472" i="6"/>
  <c r="P472" i="6"/>
  <c r="O472" i="6"/>
  <c r="N472" i="6"/>
  <c r="M472" i="6"/>
  <c r="L472" i="6"/>
  <c r="K472" i="6"/>
  <c r="J472" i="6"/>
  <c r="I472" i="6"/>
  <c r="H472" i="6"/>
  <c r="G472" i="6"/>
  <c r="F472" i="6"/>
  <c r="E472" i="6"/>
  <c r="D472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J471" i="6"/>
  <c r="I471" i="6"/>
  <c r="H471" i="6"/>
  <c r="G471" i="6"/>
  <c r="F471" i="6"/>
  <c r="E471" i="6"/>
  <c r="D471" i="6"/>
  <c r="W470" i="6"/>
  <c r="V470" i="6"/>
  <c r="U470" i="6"/>
  <c r="T470" i="6"/>
  <c r="S470" i="6"/>
  <c r="R470" i="6"/>
  <c r="Q470" i="6"/>
  <c r="P470" i="6"/>
  <c r="O470" i="6"/>
  <c r="N470" i="6"/>
  <c r="M470" i="6"/>
  <c r="L470" i="6"/>
  <c r="K470" i="6"/>
  <c r="J470" i="6"/>
  <c r="I470" i="6"/>
  <c r="H470" i="6"/>
  <c r="G470" i="6"/>
  <c r="F470" i="6"/>
  <c r="E470" i="6"/>
  <c r="D470" i="6"/>
  <c r="W469" i="6"/>
  <c r="V469" i="6"/>
  <c r="U469" i="6"/>
  <c r="T469" i="6"/>
  <c r="S469" i="6"/>
  <c r="R469" i="6"/>
  <c r="Q469" i="6"/>
  <c r="P469" i="6"/>
  <c r="O469" i="6"/>
  <c r="N469" i="6"/>
  <c r="M469" i="6"/>
  <c r="L469" i="6"/>
  <c r="K469" i="6"/>
  <c r="J469" i="6"/>
  <c r="I469" i="6"/>
  <c r="H469" i="6"/>
  <c r="G469" i="6"/>
  <c r="F469" i="6"/>
  <c r="E469" i="6"/>
  <c r="D469" i="6"/>
  <c r="W468" i="6"/>
  <c r="V468" i="6"/>
  <c r="U468" i="6"/>
  <c r="T468" i="6"/>
  <c r="S468" i="6"/>
  <c r="R468" i="6"/>
  <c r="Q468" i="6"/>
  <c r="P468" i="6"/>
  <c r="O468" i="6"/>
  <c r="N468" i="6"/>
  <c r="M468" i="6"/>
  <c r="L468" i="6"/>
  <c r="K468" i="6"/>
  <c r="J468" i="6"/>
  <c r="I468" i="6"/>
  <c r="H468" i="6"/>
  <c r="G468" i="6"/>
  <c r="F468" i="6"/>
  <c r="E468" i="6"/>
  <c r="D468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K467" i="6"/>
  <c r="J467" i="6"/>
  <c r="I467" i="6"/>
  <c r="H467" i="6"/>
  <c r="G467" i="6"/>
  <c r="F467" i="6"/>
  <c r="E467" i="6"/>
  <c r="D467" i="6"/>
  <c r="W466" i="6"/>
  <c r="V466" i="6"/>
  <c r="U466" i="6"/>
  <c r="T466" i="6"/>
  <c r="S466" i="6"/>
  <c r="R466" i="6"/>
  <c r="Q466" i="6"/>
  <c r="P466" i="6"/>
  <c r="O466" i="6"/>
  <c r="N466" i="6"/>
  <c r="M466" i="6"/>
  <c r="L466" i="6"/>
  <c r="K466" i="6"/>
  <c r="J466" i="6"/>
  <c r="I466" i="6"/>
  <c r="H466" i="6"/>
  <c r="G466" i="6"/>
  <c r="F466" i="6"/>
  <c r="E466" i="6"/>
  <c r="D466" i="6"/>
  <c r="W465" i="6"/>
  <c r="V465" i="6"/>
  <c r="U465" i="6"/>
  <c r="T465" i="6"/>
  <c r="S465" i="6"/>
  <c r="R465" i="6"/>
  <c r="Q465" i="6"/>
  <c r="P465" i="6"/>
  <c r="O465" i="6"/>
  <c r="N465" i="6"/>
  <c r="M465" i="6"/>
  <c r="L465" i="6"/>
  <c r="K465" i="6"/>
  <c r="J465" i="6"/>
  <c r="I465" i="6"/>
  <c r="H465" i="6"/>
  <c r="G465" i="6"/>
  <c r="F465" i="6"/>
  <c r="E465" i="6"/>
  <c r="D465" i="6"/>
  <c r="W464" i="6"/>
  <c r="V464" i="6"/>
  <c r="U464" i="6"/>
  <c r="T464" i="6"/>
  <c r="S464" i="6"/>
  <c r="R464" i="6"/>
  <c r="Q464" i="6"/>
  <c r="P464" i="6"/>
  <c r="O464" i="6"/>
  <c r="N464" i="6"/>
  <c r="M464" i="6"/>
  <c r="L464" i="6"/>
  <c r="K464" i="6"/>
  <c r="J464" i="6"/>
  <c r="I464" i="6"/>
  <c r="H464" i="6"/>
  <c r="G464" i="6"/>
  <c r="F464" i="6"/>
  <c r="E464" i="6"/>
  <c r="D464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K463" i="6"/>
  <c r="J463" i="6"/>
  <c r="I463" i="6"/>
  <c r="H463" i="6"/>
  <c r="G463" i="6"/>
  <c r="F463" i="6"/>
  <c r="E463" i="6"/>
  <c r="D463" i="6"/>
  <c r="W462" i="6"/>
  <c r="V462" i="6"/>
  <c r="U462" i="6"/>
  <c r="T462" i="6"/>
  <c r="S462" i="6"/>
  <c r="R462" i="6"/>
  <c r="Q462" i="6"/>
  <c r="P462" i="6"/>
  <c r="O462" i="6"/>
  <c r="N462" i="6"/>
  <c r="M462" i="6"/>
  <c r="L462" i="6"/>
  <c r="K462" i="6"/>
  <c r="J462" i="6"/>
  <c r="I462" i="6"/>
  <c r="H462" i="6"/>
  <c r="G462" i="6"/>
  <c r="F462" i="6"/>
  <c r="E462" i="6"/>
  <c r="D462" i="6"/>
  <c r="W461" i="6"/>
  <c r="V461" i="6"/>
  <c r="U461" i="6"/>
  <c r="T461" i="6"/>
  <c r="S461" i="6"/>
  <c r="R461" i="6"/>
  <c r="Q461" i="6"/>
  <c r="P461" i="6"/>
  <c r="O461" i="6"/>
  <c r="N461" i="6"/>
  <c r="M461" i="6"/>
  <c r="L461" i="6"/>
  <c r="K461" i="6"/>
  <c r="J461" i="6"/>
  <c r="I461" i="6"/>
  <c r="H461" i="6"/>
  <c r="G461" i="6"/>
  <c r="F461" i="6"/>
  <c r="E461" i="6"/>
  <c r="D461" i="6"/>
  <c r="W460" i="6"/>
  <c r="V460" i="6"/>
  <c r="U460" i="6"/>
  <c r="T460" i="6"/>
  <c r="S460" i="6"/>
  <c r="R460" i="6"/>
  <c r="Q460" i="6"/>
  <c r="P460" i="6"/>
  <c r="O460" i="6"/>
  <c r="N460" i="6"/>
  <c r="M460" i="6"/>
  <c r="L460" i="6"/>
  <c r="K460" i="6"/>
  <c r="J460" i="6"/>
  <c r="I460" i="6"/>
  <c r="H460" i="6"/>
  <c r="G460" i="6"/>
  <c r="F460" i="6"/>
  <c r="E460" i="6"/>
  <c r="D460" i="6"/>
  <c r="W459" i="6"/>
  <c r="V459" i="6"/>
  <c r="U459" i="6"/>
  <c r="T459" i="6"/>
  <c r="S459" i="6"/>
  <c r="R459" i="6"/>
  <c r="Q459" i="6"/>
  <c r="P459" i="6"/>
  <c r="O459" i="6"/>
  <c r="N459" i="6"/>
  <c r="M459" i="6"/>
  <c r="L459" i="6"/>
  <c r="K459" i="6"/>
  <c r="J459" i="6"/>
  <c r="I459" i="6"/>
  <c r="H459" i="6"/>
  <c r="G459" i="6"/>
  <c r="F459" i="6"/>
  <c r="E459" i="6"/>
  <c r="D459" i="6"/>
  <c r="W458" i="6"/>
  <c r="V458" i="6"/>
  <c r="U458" i="6"/>
  <c r="T458" i="6"/>
  <c r="S458" i="6"/>
  <c r="R458" i="6"/>
  <c r="Q458" i="6"/>
  <c r="P458" i="6"/>
  <c r="O458" i="6"/>
  <c r="N458" i="6"/>
  <c r="M458" i="6"/>
  <c r="L458" i="6"/>
  <c r="K458" i="6"/>
  <c r="J458" i="6"/>
  <c r="I458" i="6"/>
  <c r="H458" i="6"/>
  <c r="G458" i="6"/>
  <c r="F458" i="6"/>
  <c r="E458" i="6"/>
  <c r="D458" i="6"/>
  <c r="W457" i="6"/>
  <c r="V457" i="6"/>
  <c r="U457" i="6"/>
  <c r="T457" i="6"/>
  <c r="S457" i="6"/>
  <c r="R457" i="6"/>
  <c r="Q457" i="6"/>
  <c r="P457" i="6"/>
  <c r="O457" i="6"/>
  <c r="N457" i="6"/>
  <c r="M457" i="6"/>
  <c r="L457" i="6"/>
  <c r="K457" i="6"/>
  <c r="J457" i="6"/>
  <c r="I457" i="6"/>
  <c r="H457" i="6"/>
  <c r="G457" i="6"/>
  <c r="F457" i="6"/>
  <c r="E457" i="6"/>
  <c r="D457" i="6"/>
  <c r="W456" i="6"/>
  <c r="V456" i="6"/>
  <c r="U456" i="6"/>
  <c r="T456" i="6"/>
  <c r="S456" i="6"/>
  <c r="R456" i="6"/>
  <c r="Q456" i="6"/>
  <c r="P456" i="6"/>
  <c r="O456" i="6"/>
  <c r="N456" i="6"/>
  <c r="M456" i="6"/>
  <c r="L456" i="6"/>
  <c r="K456" i="6"/>
  <c r="J456" i="6"/>
  <c r="I456" i="6"/>
  <c r="H456" i="6"/>
  <c r="G456" i="6"/>
  <c r="F456" i="6"/>
  <c r="E456" i="6"/>
  <c r="D456" i="6"/>
  <c r="W455" i="6"/>
  <c r="V455" i="6"/>
  <c r="U455" i="6"/>
  <c r="T455" i="6"/>
  <c r="S455" i="6"/>
  <c r="R455" i="6"/>
  <c r="Q455" i="6"/>
  <c r="P455" i="6"/>
  <c r="O455" i="6"/>
  <c r="N455" i="6"/>
  <c r="M455" i="6"/>
  <c r="L455" i="6"/>
  <c r="K455" i="6"/>
  <c r="J455" i="6"/>
  <c r="I455" i="6"/>
  <c r="H455" i="6"/>
  <c r="G455" i="6"/>
  <c r="F455" i="6"/>
  <c r="E455" i="6"/>
  <c r="D455" i="6"/>
  <c r="W454" i="6"/>
  <c r="V454" i="6"/>
  <c r="U454" i="6"/>
  <c r="T454" i="6"/>
  <c r="S454" i="6"/>
  <c r="R454" i="6"/>
  <c r="Q454" i="6"/>
  <c r="P454" i="6"/>
  <c r="O454" i="6"/>
  <c r="N454" i="6"/>
  <c r="M454" i="6"/>
  <c r="L454" i="6"/>
  <c r="K454" i="6"/>
  <c r="J454" i="6"/>
  <c r="I454" i="6"/>
  <c r="H454" i="6"/>
  <c r="G454" i="6"/>
  <c r="F454" i="6"/>
  <c r="E454" i="6"/>
  <c r="D454" i="6"/>
  <c r="W453" i="6"/>
  <c r="V453" i="6"/>
  <c r="U453" i="6"/>
  <c r="T453" i="6"/>
  <c r="S453" i="6"/>
  <c r="R453" i="6"/>
  <c r="Q453" i="6"/>
  <c r="P453" i="6"/>
  <c r="O453" i="6"/>
  <c r="N453" i="6"/>
  <c r="M453" i="6"/>
  <c r="L453" i="6"/>
  <c r="K453" i="6"/>
  <c r="J453" i="6"/>
  <c r="I453" i="6"/>
  <c r="H453" i="6"/>
  <c r="G453" i="6"/>
  <c r="F453" i="6"/>
  <c r="E453" i="6"/>
  <c r="D453" i="6"/>
  <c r="W452" i="6"/>
  <c r="V452" i="6"/>
  <c r="U452" i="6"/>
  <c r="T452" i="6"/>
  <c r="S452" i="6"/>
  <c r="R452" i="6"/>
  <c r="Q452" i="6"/>
  <c r="P452" i="6"/>
  <c r="O452" i="6"/>
  <c r="N452" i="6"/>
  <c r="M452" i="6"/>
  <c r="L452" i="6"/>
  <c r="K452" i="6"/>
  <c r="J452" i="6"/>
  <c r="I452" i="6"/>
  <c r="H452" i="6"/>
  <c r="G452" i="6"/>
  <c r="F452" i="6"/>
  <c r="E452" i="6"/>
  <c r="D452" i="6"/>
  <c r="W451" i="6"/>
  <c r="V451" i="6"/>
  <c r="U451" i="6"/>
  <c r="T451" i="6"/>
  <c r="S451" i="6"/>
  <c r="R451" i="6"/>
  <c r="Q451" i="6"/>
  <c r="P451" i="6"/>
  <c r="O451" i="6"/>
  <c r="N451" i="6"/>
  <c r="M451" i="6"/>
  <c r="L451" i="6"/>
  <c r="K451" i="6"/>
  <c r="J451" i="6"/>
  <c r="I451" i="6"/>
  <c r="H451" i="6"/>
  <c r="G451" i="6"/>
  <c r="F451" i="6"/>
  <c r="E451" i="6"/>
  <c r="D451" i="6"/>
  <c r="W450" i="6"/>
  <c r="V450" i="6"/>
  <c r="U450" i="6"/>
  <c r="T450" i="6"/>
  <c r="S450" i="6"/>
  <c r="R450" i="6"/>
  <c r="Q450" i="6"/>
  <c r="P450" i="6"/>
  <c r="O450" i="6"/>
  <c r="N450" i="6"/>
  <c r="M450" i="6"/>
  <c r="L450" i="6"/>
  <c r="K450" i="6"/>
  <c r="J450" i="6"/>
  <c r="I450" i="6"/>
  <c r="H450" i="6"/>
  <c r="G450" i="6"/>
  <c r="F450" i="6"/>
  <c r="E450" i="6"/>
  <c r="D450" i="6"/>
  <c r="W449" i="6"/>
  <c r="V449" i="6"/>
  <c r="U449" i="6"/>
  <c r="T449" i="6"/>
  <c r="S449" i="6"/>
  <c r="R449" i="6"/>
  <c r="Q449" i="6"/>
  <c r="P449" i="6"/>
  <c r="O449" i="6"/>
  <c r="N449" i="6"/>
  <c r="M449" i="6"/>
  <c r="L449" i="6"/>
  <c r="K449" i="6"/>
  <c r="J449" i="6"/>
  <c r="I449" i="6"/>
  <c r="H449" i="6"/>
  <c r="G449" i="6"/>
  <c r="F449" i="6"/>
  <c r="E449" i="6"/>
  <c r="D449" i="6"/>
  <c r="W448" i="6"/>
  <c r="V448" i="6"/>
  <c r="U448" i="6"/>
  <c r="T448" i="6"/>
  <c r="S448" i="6"/>
  <c r="R448" i="6"/>
  <c r="Q448" i="6"/>
  <c r="P448" i="6"/>
  <c r="O448" i="6"/>
  <c r="N448" i="6"/>
  <c r="M448" i="6"/>
  <c r="L448" i="6"/>
  <c r="K448" i="6"/>
  <c r="J448" i="6"/>
  <c r="I448" i="6"/>
  <c r="H448" i="6"/>
  <c r="G448" i="6"/>
  <c r="F448" i="6"/>
  <c r="E448" i="6"/>
  <c r="D448" i="6"/>
  <c r="W447" i="6"/>
  <c r="V447" i="6"/>
  <c r="U447" i="6"/>
  <c r="T447" i="6"/>
  <c r="S447" i="6"/>
  <c r="R447" i="6"/>
  <c r="Q447" i="6"/>
  <c r="P447" i="6"/>
  <c r="O447" i="6"/>
  <c r="N447" i="6"/>
  <c r="M447" i="6"/>
  <c r="L447" i="6"/>
  <c r="K447" i="6"/>
  <c r="J447" i="6"/>
  <c r="I447" i="6"/>
  <c r="H447" i="6"/>
  <c r="G447" i="6"/>
  <c r="F447" i="6"/>
  <c r="E447" i="6"/>
  <c r="D447" i="6"/>
  <c r="W446" i="6"/>
  <c r="V446" i="6"/>
  <c r="U446" i="6"/>
  <c r="T446" i="6"/>
  <c r="S446" i="6"/>
  <c r="R446" i="6"/>
  <c r="Q446" i="6"/>
  <c r="P446" i="6"/>
  <c r="O446" i="6"/>
  <c r="N446" i="6"/>
  <c r="M446" i="6"/>
  <c r="L446" i="6"/>
  <c r="K446" i="6"/>
  <c r="J446" i="6"/>
  <c r="I446" i="6"/>
  <c r="H446" i="6"/>
  <c r="G446" i="6"/>
  <c r="F446" i="6"/>
  <c r="E446" i="6"/>
  <c r="D446" i="6"/>
  <c r="W445" i="6"/>
  <c r="V445" i="6"/>
  <c r="U445" i="6"/>
  <c r="T445" i="6"/>
  <c r="S445" i="6"/>
  <c r="R445" i="6"/>
  <c r="Q445" i="6"/>
  <c r="P445" i="6"/>
  <c r="O445" i="6"/>
  <c r="N445" i="6"/>
  <c r="M445" i="6"/>
  <c r="L445" i="6"/>
  <c r="K445" i="6"/>
  <c r="J445" i="6"/>
  <c r="I445" i="6"/>
  <c r="H445" i="6"/>
  <c r="G445" i="6"/>
  <c r="F445" i="6"/>
  <c r="E445" i="6"/>
  <c r="D445" i="6"/>
  <c r="W444" i="6"/>
  <c r="V444" i="6"/>
  <c r="U444" i="6"/>
  <c r="T444" i="6"/>
  <c r="S444" i="6"/>
  <c r="R444" i="6"/>
  <c r="Q444" i="6"/>
  <c r="P444" i="6"/>
  <c r="O444" i="6"/>
  <c r="N444" i="6"/>
  <c r="M444" i="6"/>
  <c r="L444" i="6"/>
  <c r="K444" i="6"/>
  <c r="J444" i="6"/>
  <c r="I444" i="6"/>
  <c r="H444" i="6"/>
  <c r="G444" i="6"/>
  <c r="F444" i="6"/>
  <c r="E444" i="6"/>
  <c r="D444" i="6"/>
  <c r="W443" i="6"/>
  <c r="V443" i="6"/>
  <c r="U443" i="6"/>
  <c r="T443" i="6"/>
  <c r="S443" i="6"/>
  <c r="R443" i="6"/>
  <c r="Q443" i="6"/>
  <c r="P443" i="6"/>
  <c r="O443" i="6"/>
  <c r="N443" i="6"/>
  <c r="M443" i="6"/>
  <c r="L443" i="6"/>
  <c r="K443" i="6"/>
  <c r="J443" i="6"/>
  <c r="I443" i="6"/>
  <c r="H443" i="6"/>
  <c r="G443" i="6"/>
  <c r="F443" i="6"/>
  <c r="E443" i="6"/>
  <c r="D443" i="6"/>
  <c r="W442" i="6"/>
  <c r="V442" i="6"/>
  <c r="U442" i="6"/>
  <c r="T442" i="6"/>
  <c r="S442" i="6"/>
  <c r="R442" i="6"/>
  <c r="Q442" i="6"/>
  <c r="P442" i="6"/>
  <c r="O442" i="6"/>
  <c r="N442" i="6"/>
  <c r="M442" i="6"/>
  <c r="L442" i="6"/>
  <c r="K442" i="6"/>
  <c r="J442" i="6"/>
  <c r="I442" i="6"/>
  <c r="H442" i="6"/>
  <c r="G442" i="6"/>
  <c r="F442" i="6"/>
  <c r="E442" i="6"/>
  <c r="D442" i="6"/>
  <c r="W441" i="6"/>
  <c r="V441" i="6"/>
  <c r="U441" i="6"/>
  <c r="T441" i="6"/>
  <c r="S441" i="6"/>
  <c r="R441" i="6"/>
  <c r="Q441" i="6"/>
  <c r="P441" i="6"/>
  <c r="O441" i="6"/>
  <c r="N441" i="6"/>
  <c r="M441" i="6"/>
  <c r="L441" i="6"/>
  <c r="K441" i="6"/>
  <c r="J441" i="6"/>
  <c r="I441" i="6"/>
  <c r="H441" i="6"/>
  <c r="G441" i="6"/>
  <c r="F441" i="6"/>
  <c r="E441" i="6"/>
  <c r="D441" i="6"/>
  <c r="W440" i="6"/>
  <c r="V440" i="6"/>
  <c r="U440" i="6"/>
  <c r="T440" i="6"/>
  <c r="S440" i="6"/>
  <c r="R440" i="6"/>
  <c r="Q440" i="6"/>
  <c r="P440" i="6"/>
  <c r="O440" i="6"/>
  <c r="N440" i="6"/>
  <c r="M440" i="6"/>
  <c r="L440" i="6"/>
  <c r="K440" i="6"/>
  <c r="J440" i="6"/>
  <c r="I440" i="6"/>
  <c r="H440" i="6"/>
  <c r="G440" i="6"/>
  <c r="F440" i="6"/>
  <c r="E440" i="6"/>
  <c r="D440" i="6"/>
  <c r="W439" i="6"/>
  <c r="V439" i="6"/>
  <c r="U439" i="6"/>
  <c r="T439" i="6"/>
  <c r="S439" i="6"/>
  <c r="R439" i="6"/>
  <c r="Q439" i="6"/>
  <c r="P439" i="6"/>
  <c r="O439" i="6"/>
  <c r="N439" i="6"/>
  <c r="M439" i="6"/>
  <c r="L439" i="6"/>
  <c r="K439" i="6"/>
  <c r="J439" i="6"/>
  <c r="I439" i="6"/>
  <c r="H439" i="6"/>
  <c r="G439" i="6"/>
  <c r="F439" i="6"/>
  <c r="E439" i="6"/>
  <c r="D439" i="6"/>
  <c r="W438" i="6"/>
  <c r="V438" i="6"/>
  <c r="U438" i="6"/>
  <c r="T438" i="6"/>
  <c r="S438" i="6"/>
  <c r="R438" i="6"/>
  <c r="Q438" i="6"/>
  <c r="P438" i="6"/>
  <c r="O438" i="6"/>
  <c r="N438" i="6"/>
  <c r="M438" i="6"/>
  <c r="L438" i="6"/>
  <c r="K438" i="6"/>
  <c r="J438" i="6"/>
  <c r="I438" i="6"/>
  <c r="H438" i="6"/>
  <c r="G438" i="6"/>
  <c r="F438" i="6"/>
  <c r="E438" i="6"/>
  <c r="D438" i="6"/>
  <c r="W437" i="6"/>
  <c r="V437" i="6"/>
  <c r="U437" i="6"/>
  <c r="T437" i="6"/>
  <c r="S437" i="6"/>
  <c r="R437" i="6"/>
  <c r="Q437" i="6"/>
  <c r="P437" i="6"/>
  <c r="O437" i="6"/>
  <c r="N437" i="6"/>
  <c r="M437" i="6"/>
  <c r="L437" i="6"/>
  <c r="K437" i="6"/>
  <c r="J437" i="6"/>
  <c r="I437" i="6"/>
  <c r="H437" i="6"/>
  <c r="G437" i="6"/>
  <c r="F437" i="6"/>
  <c r="E437" i="6"/>
  <c r="D437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F436" i="6"/>
  <c r="E436" i="6"/>
  <c r="D436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K435" i="6"/>
  <c r="J435" i="6"/>
  <c r="I435" i="6"/>
  <c r="H435" i="6"/>
  <c r="G435" i="6"/>
  <c r="F435" i="6"/>
  <c r="E435" i="6"/>
  <c r="D435" i="6"/>
  <c r="W434" i="6"/>
  <c r="V434" i="6"/>
  <c r="U434" i="6"/>
  <c r="T434" i="6"/>
  <c r="S434" i="6"/>
  <c r="R434" i="6"/>
  <c r="Q434" i="6"/>
  <c r="P434" i="6"/>
  <c r="O434" i="6"/>
  <c r="N434" i="6"/>
  <c r="M434" i="6"/>
  <c r="L434" i="6"/>
  <c r="K434" i="6"/>
  <c r="J434" i="6"/>
  <c r="I434" i="6"/>
  <c r="H434" i="6"/>
  <c r="G434" i="6"/>
  <c r="F434" i="6"/>
  <c r="E434" i="6"/>
  <c r="D434" i="6"/>
  <c r="W433" i="6"/>
  <c r="V433" i="6"/>
  <c r="U433" i="6"/>
  <c r="T433" i="6"/>
  <c r="S433" i="6"/>
  <c r="R433" i="6"/>
  <c r="Q433" i="6"/>
  <c r="P433" i="6"/>
  <c r="O433" i="6"/>
  <c r="N433" i="6"/>
  <c r="M433" i="6"/>
  <c r="L433" i="6"/>
  <c r="K433" i="6"/>
  <c r="J433" i="6"/>
  <c r="I433" i="6"/>
  <c r="H433" i="6"/>
  <c r="G433" i="6"/>
  <c r="F433" i="6"/>
  <c r="E433" i="6"/>
  <c r="D433" i="6"/>
  <c r="W432" i="6"/>
  <c r="V432" i="6"/>
  <c r="U432" i="6"/>
  <c r="T432" i="6"/>
  <c r="S432" i="6"/>
  <c r="R432" i="6"/>
  <c r="Q432" i="6"/>
  <c r="P432" i="6"/>
  <c r="O432" i="6"/>
  <c r="N432" i="6"/>
  <c r="M432" i="6"/>
  <c r="L432" i="6"/>
  <c r="K432" i="6"/>
  <c r="J432" i="6"/>
  <c r="I432" i="6"/>
  <c r="H432" i="6"/>
  <c r="G432" i="6"/>
  <c r="F432" i="6"/>
  <c r="E432" i="6"/>
  <c r="D432" i="6"/>
  <c r="W431" i="6"/>
  <c r="V431" i="6"/>
  <c r="U431" i="6"/>
  <c r="T431" i="6"/>
  <c r="S431" i="6"/>
  <c r="R431" i="6"/>
  <c r="Q431" i="6"/>
  <c r="P431" i="6"/>
  <c r="O431" i="6"/>
  <c r="N431" i="6"/>
  <c r="M431" i="6"/>
  <c r="L431" i="6"/>
  <c r="K431" i="6"/>
  <c r="J431" i="6"/>
  <c r="I431" i="6"/>
  <c r="H431" i="6"/>
  <c r="G431" i="6"/>
  <c r="F431" i="6"/>
  <c r="E431" i="6"/>
  <c r="D431" i="6"/>
  <c r="W430" i="6"/>
  <c r="V430" i="6"/>
  <c r="U430" i="6"/>
  <c r="T430" i="6"/>
  <c r="S430" i="6"/>
  <c r="R430" i="6"/>
  <c r="Q430" i="6"/>
  <c r="P430" i="6"/>
  <c r="O430" i="6"/>
  <c r="N430" i="6"/>
  <c r="M430" i="6"/>
  <c r="L430" i="6"/>
  <c r="K430" i="6"/>
  <c r="J430" i="6"/>
  <c r="I430" i="6"/>
  <c r="H430" i="6"/>
  <c r="G430" i="6"/>
  <c r="F430" i="6"/>
  <c r="E430" i="6"/>
  <c r="D430" i="6"/>
  <c r="W429" i="6"/>
  <c r="V429" i="6"/>
  <c r="U429" i="6"/>
  <c r="T429" i="6"/>
  <c r="S429" i="6"/>
  <c r="R429" i="6"/>
  <c r="Q429" i="6"/>
  <c r="P429" i="6"/>
  <c r="O429" i="6"/>
  <c r="N429" i="6"/>
  <c r="M429" i="6"/>
  <c r="L429" i="6"/>
  <c r="K429" i="6"/>
  <c r="J429" i="6"/>
  <c r="I429" i="6"/>
  <c r="H429" i="6"/>
  <c r="G429" i="6"/>
  <c r="F429" i="6"/>
  <c r="E429" i="6"/>
  <c r="D429" i="6"/>
  <c r="W428" i="6"/>
  <c r="V428" i="6"/>
  <c r="U428" i="6"/>
  <c r="T428" i="6"/>
  <c r="S428" i="6"/>
  <c r="R428" i="6"/>
  <c r="Q428" i="6"/>
  <c r="P428" i="6"/>
  <c r="O428" i="6"/>
  <c r="N428" i="6"/>
  <c r="M428" i="6"/>
  <c r="L428" i="6"/>
  <c r="K428" i="6"/>
  <c r="J428" i="6"/>
  <c r="I428" i="6"/>
  <c r="H428" i="6"/>
  <c r="G428" i="6"/>
  <c r="F428" i="6"/>
  <c r="E428" i="6"/>
  <c r="D428" i="6"/>
  <c r="W427" i="6"/>
  <c r="V427" i="6"/>
  <c r="U427" i="6"/>
  <c r="T427" i="6"/>
  <c r="S427" i="6"/>
  <c r="R427" i="6"/>
  <c r="Q427" i="6"/>
  <c r="P427" i="6"/>
  <c r="O427" i="6"/>
  <c r="N427" i="6"/>
  <c r="M427" i="6"/>
  <c r="L427" i="6"/>
  <c r="K427" i="6"/>
  <c r="J427" i="6"/>
  <c r="I427" i="6"/>
  <c r="H427" i="6"/>
  <c r="G427" i="6"/>
  <c r="F427" i="6"/>
  <c r="E427" i="6"/>
  <c r="D427" i="6"/>
  <c r="W426" i="6"/>
  <c r="V426" i="6"/>
  <c r="U426" i="6"/>
  <c r="T426" i="6"/>
  <c r="S426" i="6"/>
  <c r="R426" i="6"/>
  <c r="Q426" i="6"/>
  <c r="P426" i="6"/>
  <c r="O426" i="6"/>
  <c r="N426" i="6"/>
  <c r="M426" i="6"/>
  <c r="L426" i="6"/>
  <c r="K426" i="6"/>
  <c r="J426" i="6"/>
  <c r="I426" i="6"/>
  <c r="H426" i="6"/>
  <c r="G426" i="6"/>
  <c r="F426" i="6"/>
  <c r="E426" i="6"/>
  <c r="D426" i="6"/>
  <c r="W425" i="6"/>
  <c r="V425" i="6"/>
  <c r="U425" i="6"/>
  <c r="T425" i="6"/>
  <c r="S425" i="6"/>
  <c r="R425" i="6"/>
  <c r="Q425" i="6"/>
  <c r="P425" i="6"/>
  <c r="O425" i="6"/>
  <c r="N425" i="6"/>
  <c r="M425" i="6"/>
  <c r="L425" i="6"/>
  <c r="K425" i="6"/>
  <c r="J425" i="6"/>
  <c r="I425" i="6"/>
  <c r="H425" i="6"/>
  <c r="G425" i="6"/>
  <c r="F425" i="6"/>
  <c r="E425" i="6"/>
  <c r="D425" i="6"/>
  <c r="W424" i="6"/>
  <c r="V424" i="6"/>
  <c r="U424" i="6"/>
  <c r="T424" i="6"/>
  <c r="S424" i="6"/>
  <c r="R424" i="6"/>
  <c r="Q424" i="6"/>
  <c r="P424" i="6"/>
  <c r="O424" i="6"/>
  <c r="N424" i="6"/>
  <c r="M424" i="6"/>
  <c r="L424" i="6"/>
  <c r="K424" i="6"/>
  <c r="J424" i="6"/>
  <c r="I424" i="6"/>
  <c r="H424" i="6"/>
  <c r="G424" i="6"/>
  <c r="F424" i="6"/>
  <c r="E424" i="6"/>
  <c r="D424" i="6"/>
  <c r="W423" i="6"/>
  <c r="V423" i="6"/>
  <c r="U423" i="6"/>
  <c r="T423" i="6"/>
  <c r="S423" i="6"/>
  <c r="R423" i="6"/>
  <c r="Q423" i="6"/>
  <c r="P423" i="6"/>
  <c r="O423" i="6"/>
  <c r="N423" i="6"/>
  <c r="M423" i="6"/>
  <c r="L423" i="6"/>
  <c r="K423" i="6"/>
  <c r="J423" i="6"/>
  <c r="I423" i="6"/>
  <c r="H423" i="6"/>
  <c r="G423" i="6"/>
  <c r="F423" i="6"/>
  <c r="E423" i="6"/>
  <c r="D423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D422" i="6"/>
  <c r="W421" i="6"/>
  <c r="V421" i="6"/>
  <c r="U421" i="6"/>
  <c r="T421" i="6"/>
  <c r="S421" i="6"/>
  <c r="R421" i="6"/>
  <c r="Q421" i="6"/>
  <c r="P421" i="6"/>
  <c r="O421" i="6"/>
  <c r="N421" i="6"/>
  <c r="M421" i="6"/>
  <c r="L421" i="6"/>
  <c r="K421" i="6"/>
  <c r="J421" i="6"/>
  <c r="I421" i="6"/>
  <c r="H421" i="6"/>
  <c r="G421" i="6"/>
  <c r="F421" i="6"/>
  <c r="E421" i="6"/>
  <c r="D421" i="6"/>
  <c r="W420" i="6"/>
  <c r="V420" i="6"/>
  <c r="U420" i="6"/>
  <c r="T420" i="6"/>
  <c r="S420" i="6"/>
  <c r="R420" i="6"/>
  <c r="Q420" i="6"/>
  <c r="P420" i="6"/>
  <c r="O420" i="6"/>
  <c r="N420" i="6"/>
  <c r="M420" i="6"/>
  <c r="L420" i="6"/>
  <c r="K420" i="6"/>
  <c r="J420" i="6"/>
  <c r="I420" i="6"/>
  <c r="H420" i="6"/>
  <c r="G420" i="6"/>
  <c r="F420" i="6"/>
  <c r="E420" i="6"/>
  <c r="D420" i="6"/>
  <c r="W419" i="6"/>
  <c r="V419" i="6"/>
  <c r="U419" i="6"/>
  <c r="T419" i="6"/>
  <c r="S419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F419" i="6"/>
  <c r="E419" i="6"/>
  <c r="D419" i="6"/>
  <c r="W418" i="6"/>
  <c r="V418" i="6"/>
  <c r="U418" i="6"/>
  <c r="T418" i="6"/>
  <c r="S418" i="6"/>
  <c r="R418" i="6"/>
  <c r="Q418" i="6"/>
  <c r="P418" i="6"/>
  <c r="O418" i="6"/>
  <c r="N418" i="6"/>
  <c r="M418" i="6"/>
  <c r="L418" i="6"/>
  <c r="K418" i="6"/>
  <c r="J418" i="6"/>
  <c r="I418" i="6"/>
  <c r="H418" i="6"/>
  <c r="G418" i="6"/>
  <c r="F418" i="6"/>
  <c r="E418" i="6"/>
  <c r="D418" i="6"/>
  <c r="W417" i="6"/>
  <c r="V417" i="6"/>
  <c r="U417" i="6"/>
  <c r="T417" i="6"/>
  <c r="S417" i="6"/>
  <c r="R417" i="6"/>
  <c r="Q417" i="6"/>
  <c r="P417" i="6"/>
  <c r="O417" i="6"/>
  <c r="N417" i="6"/>
  <c r="M417" i="6"/>
  <c r="L417" i="6"/>
  <c r="K417" i="6"/>
  <c r="J417" i="6"/>
  <c r="I417" i="6"/>
  <c r="H417" i="6"/>
  <c r="G417" i="6"/>
  <c r="F417" i="6"/>
  <c r="E417" i="6"/>
  <c r="D417" i="6"/>
  <c r="W416" i="6"/>
  <c r="V416" i="6"/>
  <c r="U416" i="6"/>
  <c r="T416" i="6"/>
  <c r="S416" i="6"/>
  <c r="R416" i="6"/>
  <c r="Q416" i="6"/>
  <c r="P416" i="6"/>
  <c r="O416" i="6"/>
  <c r="N416" i="6"/>
  <c r="M416" i="6"/>
  <c r="L416" i="6"/>
  <c r="K416" i="6"/>
  <c r="J416" i="6"/>
  <c r="I416" i="6"/>
  <c r="H416" i="6"/>
  <c r="G416" i="6"/>
  <c r="F416" i="6"/>
  <c r="E416" i="6"/>
  <c r="D416" i="6"/>
  <c r="W415" i="6"/>
  <c r="V415" i="6"/>
  <c r="U415" i="6"/>
  <c r="T415" i="6"/>
  <c r="S415" i="6"/>
  <c r="R415" i="6"/>
  <c r="Q415" i="6"/>
  <c r="P415" i="6"/>
  <c r="O415" i="6"/>
  <c r="N415" i="6"/>
  <c r="M415" i="6"/>
  <c r="L415" i="6"/>
  <c r="K415" i="6"/>
  <c r="J415" i="6"/>
  <c r="I415" i="6"/>
  <c r="H415" i="6"/>
  <c r="G415" i="6"/>
  <c r="F415" i="6"/>
  <c r="E415" i="6"/>
  <c r="D415" i="6"/>
  <c r="W414" i="6"/>
  <c r="V414" i="6"/>
  <c r="U414" i="6"/>
  <c r="T414" i="6"/>
  <c r="S414" i="6"/>
  <c r="R414" i="6"/>
  <c r="Q414" i="6"/>
  <c r="P414" i="6"/>
  <c r="O414" i="6"/>
  <c r="N414" i="6"/>
  <c r="M414" i="6"/>
  <c r="L414" i="6"/>
  <c r="K414" i="6"/>
  <c r="J414" i="6"/>
  <c r="I414" i="6"/>
  <c r="H414" i="6"/>
  <c r="G414" i="6"/>
  <c r="F414" i="6"/>
  <c r="E414" i="6"/>
  <c r="D414" i="6"/>
  <c r="W413" i="6"/>
  <c r="V413" i="6"/>
  <c r="U413" i="6"/>
  <c r="T413" i="6"/>
  <c r="S413" i="6"/>
  <c r="R413" i="6"/>
  <c r="Q413" i="6"/>
  <c r="P413" i="6"/>
  <c r="O413" i="6"/>
  <c r="N413" i="6"/>
  <c r="M413" i="6"/>
  <c r="L413" i="6"/>
  <c r="K413" i="6"/>
  <c r="J413" i="6"/>
  <c r="I413" i="6"/>
  <c r="H413" i="6"/>
  <c r="G413" i="6"/>
  <c r="F413" i="6"/>
  <c r="E413" i="6"/>
  <c r="D413" i="6"/>
  <c r="W412" i="6"/>
  <c r="V412" i="6"/>
  <c r="U412" i="6"/>
  <c r="T412" i="6"/>
  <c r="S412" i="6"/>
  <c r="R412" i="6"/>
  <c r="Q412" i="6"/>
  <c r="P412" i="6"/>
  <c r="O412" i="6"/>
  <c r="N412" i="6"/>
  <c r="M412" i="6"/>
  <c r="L412" i="6"/>
  <c r="K412" i="6"/>
  <c r="J412" i="6"/>
  <c r="I412" i="6"/>
  <c r="H412" i="6"/>
  <c r="G412" i="6"/>
  <c r="F412" i="6"/>
  <c r="E412" i="6"/>
  <c r="D412" i="6"/>
  <c r="W411" i="6"/>
  <c r="V411" i="6"/>
  <c r="U411" i="6"/>
  <c r="T411" i="6"/>
  <c r="S411" i="6"/>
  <c r="R411" i="6"/>
  <c r="Q411" i="6"/>
  <c r="P411" i="6"/>
  <c r="O411" i="6"/>
  <c r="N411" i="6"/>
  <c r="M411" i="6"/>
  <c r="L411" i="6"/>
  <c r="K411" i="6"/>
  <c r="J411" i="6"/>
  <c r="I411" i="6"/>
  <c r="H411" i="6"/>
  <c r="G411" i="6"/>
  <c r="F411" i="6"/>
  <c r="E411" i="6"/>
  <c r="D411" i="6"/>
  <c r="W410" i="6"/>
  <c r="V410" i="6"/>
  <c r="U410" i="6"/>
  <c r="T410" i="6"/>
  <c r="S410" i="6"/>
  <c r="R410" i="6"/>
  <c r="Q410" i="6"/>
  <c r="P410" i="6"/>
  <c r="O410" i="6"/>
  <c r="N410" i="6"/>
  <c r="M410" i="6"/>
  <c r="L410" i="6"/>
  <c r="K410" i="6"/>
  <c r="J410" i="6"/>
  <c r="I410" i="6"/>
  <c r="H410" i="6"/>
  <c r="G410" i="6"/>
  <c r="F410" i="6"/>
  <c r="E410" i="6"/>
  <c r="D410" i="6"/>
  <c r="W409" i="6"/>
  <c r="V409" i="6"/>
  <c r="U409" i="6"/>
  <c r="T409" i="6"/>
  <c r="S409" i="6"/>
  <c r="R409" i="6"/>
  <c r="Q409" i="6"/>
  <c r="P409" i="6"/>
  <c r="O409" i="6"/>
  <c r="N409" i="6"/>
  <c r="M409" i="6"/>
  <c r="L409" i="6"/>
  <c r="K409" i="6"/>
  <c r="J409" i="6"/>
  <c r="I409" i="6"/>
  <c r="H409" i="6"/>
  <c r="G409" i="6"/>
  <c r="F409" i="6"/>
  <c r="E409" i="6"/>
  <c r="D409" i="6"/>
  <c r="W408" i="6"/>
  <c r="V408" i="6"/>
  <c r="U408" i="6"/>
  <c r="T408" i="6"/>
  <c r="S408" i="6"/>
  <c r="R408" i="6"/>
  <c r="Q408" i="6"/>
  <c r="P408" i="6"/>
  <c r="O408" i="6"/>
  <c r="N408" i="6"/>
  <c r="M408" i="6"/>
  <c r="L408" i="6"/>
  <c r="K408" i="6"/>
  <c r="J408" i="6"/>
  <c r="I408" i="6"/>
  <c r="H408" i="6"/>
  <c r="G408" i="6"/>
  <c r="F408" i="6"/>
  <c r="E408" i="6"/>
  <c r="D408" i="6"/>
  <c r="W407" i="6"/>
  <c r="V407" i="6"/>
  <c r="U407" i="6"/>
  <c r="T407" i="6"/>
  <c r="S407" i="6"/>
  <c r="R407" i="6"/>
  <c r="Q407" i="6"/>
  <c r="P407" i="6"/>
  <c r="O407" i="6"/>
  <c r="N407" i="6"/>
  <c r="M407" i="6"/>
  <c r="L407" i="6"/>
  <c r="K407" i="6"/>
  <c r="J407" i="6"/>
  <c r="I407" i="6"/>
  <c r="H407" i="6"/>
  <c r="G407" i="6"/>
  <c r="F407" i="6"/>
  <c r="E407" i="6"/>
  <c r="D407" i="6"/>
  <c r="W406" i="6"/>
  <c r="V406" i="6"/>
  <c r="U406" i="6"/>
  <c r="T406" i="6"/>
  <c r="S406" i="6"/>
  <c r="R406" i="6"/>
  <c r="Q406" i="6"/>
  <c r="P406" i="6"/>
  <c r="O406" i="6"/>
  <c r="N406" i="6"/>
  <c r="M406" i="6"/>
  <c r="L406" i="6"/>
  <c r="K406" i="6"/>
  <c r="J406" i="6"/>
  <c r="I406" i="6"/>
  <c r="H406" i="6"/>
  <c r="G406" i="6"/>
  <c r="F406" i="6"/>
  <c r="E406" i="6"/>
  <c r="D406" i="6"/>
  <c r="W405" i="6"/>
  <c r="V405" i="6"/>
  <c r="U405" i="6"/>
  <c r="T405" i="6"/>
  <c r="S405" i="6"/>
  <c r="R405" i="6"/>
  <c r="Q405" i="6"/>
  <c r="P405" i="6"/>
  <c r="O405" i="6"/>
  <c r="N405" i="6"/>
  <c r="M405" i="6"/>
  <c r="L405" i="6"/>
  <c r="K405" i="6"/>
  <c r="J405" i="6"/>
  <c r="I405" i="6"/>
  <c r="H405" i="6"/>
  <c r="G405" i="6"/>
  <c r="F405" i="6"/>
  <c r="E405" i="6"/>
  <c r="D405" i="6"/>
  <c r="W404" i="6"/>
  <c r="V404" i="6"/>
  <c r="U404" i="6"/>
  <c r="T404" i="6"/>
  <c r="S404" i="6"/>
  <c r="R404" i="6"/>
  <c r="Q404" i="6"/>
  <c r="P404" i="6"/>
  <c r="O404" i="6"/>
  <c r="N404" i="6"/>
  <c r="M404" i="6"/>
  <c r="L404" i="6"/>
  <c r="K404" i="6"/>
  <c r="J404" i="6"/>
  <c r="I404" i="6"/>
  <c r="H404" i="6"/>
  <c r="G404" i="6"/>
  <c r="F404" i="6"/>
  <c r="E404" i="6"/>
  <c r="D404" i="6"/>
  <c r="W403" i="6"/>
  <c r="V403" i="6"/>
  <c r="U403" i="6"/>
  <c r="T403" i="6"/>
  <c r="S403" i="6"/>
  <c r="R403" i="6"/>
  <c r="Q403" i="6"/>
  <c r="P403" i="6"/>
  <c r="O403" i="6"/>
  <c r="N403" i="6"/>
  <c r="M403" i="6"/>
  <c r="L403" i="6"/>
  <c r="K403" i="6"/>
  <c r="J403" i="6"/>
  <c r="I403" i="6"/>
  <c r="H403" i="6"/>
  <c r="G403" i="6"/>
  <c r="F403" i="6"/>
  <c r="E403" i="6"/>
  <c r="D403" i="6"/>
  <c r="W402" i="6"/>
  <c r="V402" i="6"/>
  <c r="U402" i="6"/>
  <c r="T402" i="6"/>
  <c r="S402" i="6"/>
  <c r="R402" i="6"/>
  <c r="Q402" i="6"/>
  <c r="P402" i="6"/>
  <c r="O402" i="6"/>
  <c r="N402" i="6"/>
  <c r="M402" i="6"/>
  <c r="L402" i="6"/>
  <c r="K402" i="6"/>
  <c r="J402" i="6"/>
  <c r="I402" i="6"/>
  <c r="H402" i="6"/>
  <c r="G402" i="6"/>
  <c r="F402" i="6"/>
  <c r="E402" i="6"/>
  <c r="D402" i="6"/>
  <c r="W401" i="6"/>
  <c r="V401" i="6"/>
  <c r="U401" i="6"/>
  <c r="T401" i="6"/>
  <c r="S401" i="6"/>
  <c r="R401" i="6"/>
  <c r="Q401" i="6"/>
  <c r="P401" i="6"/>
  <c r="O401" i="6"/>
  <c r="N401" i="6"/>
  <c r="M401" i="6"/>
  <c r="L401" i="6"/>
  <c r="K401" i="6"/>
  <c r="J401" i="6"/>
  <c r="I401" i="6"/>
  <c r="H401" i="6"/>
  <c r="G401" i="6"/>
  <c r="F401" i="6"/>
  <c r="E401" i="6"/>
  <c r="D401" i="6"/>
  <c r="W400" i="6"/>
  <c r="V400" i="6"/>
  <c r="U400" i="6"/>
  <c r="T400" i="6"/>
  <c r="S400" i="6"/>
  <c r="R400" i="6"/>
  <c r="Q400" i="6"/>
  <c r="P400" i="6"/>
  <c r="O400" i="6"/>
  <c r="N400" i="6"/>
  <c r="M400" i="6"/>
  <c r="L400" i="6"/>
  <c r="K400" i="6"/>
  <c r="J400" i="6"/>
  <c r="I400" i="6"/>
  <c r="H400" i="6"/>
  <c r="G400" i="6"/>
  <c r="F400" i="6"/>
  <c r="E400" i="6"/>
  <c r="D400" i="6"/>
  <c r="W399" i="6"/>
  <c r="V399" i="6"/>
  <c r="U399" i="6"/>
  <c r="T399" i="6"/>
  <c r="S399" i="6"/>
  <c r="R399" i="6"/>
  <c r="Q399" i="6"/>
  <c r="P399" i="6"/>
  <c r="O399" i="6"/>
  <c r="N399" i="6"/>
  <c r="M399" i="6"/>
  <c r="L399" i="6"/>
  <c r="K399" i="6"/>
  <c r="J399" i="6"/>
  <c r="I399" i="6"/>
  <c r="H399" i="6"/>
  <c r="G399" i="6"/>
  <c r="F399" i="6"/>
  <c r="E399" i="6"/>
  <c r="D399" i="6"/>
  <c r="W398" i="6"/>
  <c r="V398" i="6"/>
  <c r="U398" i="6"/>
  <c r="T398" i="6"/>
  <c r="S398" i="6"/>
  <c r="R398" i="6"/>
  <c r="Q398" i="6"/>
  <c r="P398" i="6"/>
  <c r="O398" i="6"/>
  <c r="N398" i="6"/>
  <c r="M398" i="6"/>
  <c r="L398" i="6"/>
  <c r="K398" i="6"/>
  <c r="J398" i="6"/>
  <c r="I398" i="6"/>
  <c r="H398" i="6"/>
  <c r="G398" i="6"/>
  <c r="F398" i="6"/>
  <c r="E398" i="6"/>
  <c r="D398" i="6"/>
  <c r="W397" i="6"/>
  <c r="V397" i="6"/>
  <c r="U397" i="6"/>
  <c r="T397" i="6"/>
  <c r="S397" i="6"/>
  <c r="R397" i="6"/>
  <c r="Q397" i="6"/>
  <c r="P397" i="6"/>
  <c r="O397" i="6"/>
  <c r="N397" i="6"/>
  <c r="M397" i="6"/>
  <c r="L397" i="6"/>
  <c r="K397" i="6"/>
  <c r="J397" i="6"/>
  <c r="I397" i="6"/>
  <c r="H397" i="6"/>
  <c r="G397" i="6"/>
  <c r="F397" i="6"/>
  <c r="E397" i="6"/>
  <c r="D397" i="6"/>
  <c r="W396" i="6"/>
  <c r="V396" i="6"/>
  <c r="U396" i="6"/>
  <c r="T396" i="6"/>
  <c r="S396" i="6"/>
  <c r="R396" i="6"/>
  <c r="Q396" i="6"/>
  <c r="P396" i="6"/>
  <c r="O396" i="6"/>
  <c r="N396" i="6"/>
  <c r="M396" i="6"/>
  <c r="L396" i="6"/>
  <c r="K396" i="6"/>
  <c r="J396" i="6"/>
  <c r="I396" i="6"/>
  <c r="H396" i="6"/>
  <c r="G396" i="6"/>
  <c r="F396" i="6"/>
  <c r="E396" i="6"/>
  <c r="D396" i="6"/>
  <c r="W395" i="6"/>
  <c r="V395" i="6"/>
  <c r="U395" i="6"/>
  <c r="T395" i="6"/>
  <c r="S395" i="6"/>
  <c r="R395" i="6"/>
  <c r="Q395" i="6"/>
  <c r="P395" i="6"/>
  <c r="O395" i="6"/>
  <c r="N395" i="6"/>
  <c r="M395" i="6"/>
  <c r="L395" i="6"/>
  <c r="K395" i="6"/>
  <c r="J395" i="6"/>
  <c r="I395" i="6"/>
  <c r="H395" i="6"/>
  <c r="G395" i="6"/>
  <c r="F395" i="6"/>
  <c r="E395" i="6"/>
  <c r="D395" i="6"/>
  <c r="W394" i="6"/>
  <c r="V394" i="6"/>
  <c r="U394" i="6"/>
  <c r="T394" i="6"/>
  <c r="S394" i="6"/>
  <c r="R394" i="6"/>
  <c r="Q394" i="6"/>
  <c r="P394" i="6"/>
  <c r="O394" i="6"/>
  <c r="N394" i="6"/>
  <c r="M394" i="6"/>
  <c r="L394" i="6"/>
  <c r="K394" i="6"/>
  <c r="J394" i="6"/>
  <c r="I394" i="6"/>
  <c r="H394" i="6"/>
  <c r="G394" i="6"/>
  <c r="F394" i="6"/>
  <c r="E394" i="6"/>
  <c r="D394" i="6"/>
  <c r="W393" i="6"/>
  <c r="V393" i="6"/>
  <c r="U393" i="6"/>
  <c r="T393" i="6"/>
  <c r="S393" i="6"/>
  <c r="R393" i="6"/>
  <c r="Q393" i="6"/>
  <c r="P393" i="6"/>
  <c r="O393" i="6"/>
  <c r="N393" i="6"/>
  <c r="M393" i="6"/>
  <c r="L393" i="6"/>
  <c r="K393" i="6"/>
  <c r="J393" i="6"/>
  <c r="I393" i="6"/>
  <c r="H393" i="6"/>
  <c r="G393" i="6"/>
  <c r="F393" i="6"/>
  <c r="E393" i="6"/>
  <c r="D393" i="6"/>
  <c r="W392" i="6"/>
  <c r="V392" i="6"/>
  <c r="U392" i="6"/>
  <c r="T392" i="6"/>
  <c r="S392" i="6"/>
  <c r="R392" i="6"/>
  <c r="Q392" i="6"/>
  <c r="P392" i="6"/>
  <c r="O392" i="6"/>
  <c r="N392" i="6"/>
  <c r="M392" i="6"/>
  <c r="L392" i="6"/>
  <c r="K392" i="6"/>
  <c r="J392" i="6"/>
  <c r="I392" i="6"/>
  <c r="H392" i="6"/>
  <c r="G392" i="6"/>
  <c r="F392" i="6"/>
  <c r="E392" i="6"/>
  <c r="D392" i="6"/>
  <c r="W391" i="6"/>
  <c r="V391" i="6"/>
  <c r="U391" i="6"/>
  <c r="T391" i="6"/>
  <c r="S391" i="6"/>
  <c r="R391" i="6"/>
  <c r="Q391" i="6"/>
  <c r="P391" i="6"/>
  <c r="O391" i="6"/>
  <c r="N391" i="6"/>
  <c r="M391" i="6"/>
  <c r="L391" i="6"/>
  <c r="K391" i="6"/>
  <c r="J391" i="6"/>
  <c r="I391" i="6"/>
  <c r="H391" i="6"/>
  <c r="G391" i="6"/>
  <c r="F391" i="6"/>
  <c r="E391" i="6"/>
  <c r="D391" i="6"/>
  <c r="W390" i="6"/>
  <c r="V390" i="6"/>
  <c r="U390" i="6"/>
  <c r="T390" i="6"/>
  <c r="S390" i="6"/>
  <c r="R390" i="6"/>
  <c r="Q390" i="6"/>
  <c r="P390" i="6"/>
  <c r="O390" i="6"/>
  <c r="N390" i="6"/>
  <c r="M390" i="6"/>
  <c r="L390" i="6"/>
  <c r="K390" i="6"/>
  <c r="J390" i="6"/>
  <c r="I390" i="6"/>
  <c r="H390" i="6"/>
  <c r="G390" i="6"/>
  <c r="F390" i="6"/>
  <c r="E390" i="6"/>
  <c r="D390" i="6"/>
  <c r="W389" i="6"/>
  <c r="V389" i="6"/>
  <c r="U389" i="6"/>
  <c r="T389" i="6"/>
  <c r="S389" i="6"/>
  <c r="R389" i="6"/>
  <c r="Q389" i="6"/>
  <c r="P389" i="6"/>
  <c r="O389" i="6"/>
  <c r="N389" i="6"/>
  <c r="M389" i="6"/>
  <c r="L389" i="6"/>
  <c r="K389" i="6"/>
  <c r="J389" i="6"/>
  <c r="I389" i="6"/>
  <c r="H389" i="6"/>
  <c r="G389" i="6"/>
  <c r="F389" i="6"/>
  <c r="E389" i="6"/>
  <c r="D389" i="6"/>
  <c r="W388" i="6"/>
  <c r="V388" i="6"/>
  <c r="U388" i="6"/>
  <c r="T388" i="6"/>
  <c r="S388" i="6"/>
  <c r="R388" i="6"/>
  <c r="Q388" i="6"/>
  <c r="P388" i="6"/>
  <c r="O388" i="6"/>
  <c r="N388" i="6"/>
  <c r="M388" i="6"/>
  <c r="L388" i="6"/>
  <c r="K388" i="6"/>
  <c r="J388" i="6"/>
  <c r="I388" i="6"/>
  <c r="H388" i="6"/>
  <c r="G388" i="6"/>
  <c r="F388" i="6"/>
  <c r="E388" i="6"/>
  <c r="D388" i="6"/>
  <c r="W387" i="6"/>
  <c r="V387" i="6"/>
  <c r="U387" i="6"/>
  <c r="T387" i="6"/>
  <c r="S387" i="6"/>
  <c r="R387" i="6"/>
  <c r="Q387" i="6"/>
  <c r="P387" i="6"/>
  <c r="O387" i="6"/>
  <c r="N387" i="6"/>
  <c r="M387" i="6"/>
  <c r="L387" i="6"/>
  <c r="K387" i="6"/>
  <c r="J387" i="6"/>
  <c r="I387" i="6"/>
  <c r="H387" i="6"/>
  <c r="G387" i="6"/>
  <c r="F387" i="6"/>
  <c r="E387" i="6"/>
  <c r="D387" i="6"/>
  <c r="W386" i="6"/>
  <c r="V386" i="6"/>
  <c r="U386" i="6"/>
  <c r="T386" i="6"/>
  <c r="S386" i="6"/>
  <c r="R386" i="6"/>
  <c r="Q386" i="6"/>
  <c r="P386" i="6"/>
  <c r="O386" i="6"/>
  <c r="N386" i="6"/>
  <c r="M386" i="6"/>
  <c r="L386" i="6"/>
  <c r="K386" i="6"/>
  <c r="J386" i="6"/>
  <c r="I386" i="6"/>
  <c r="H386" i="6"/>
  <c r="G386" i="6"/>
  <c r="F386" i="6"/>
  <c r="E386" i="6"/>
  <c r="D386" i="6"/>
  <c r="W385" i="6"/>
  <c r="V385" i="6"/>
  <c r="U385" i="6"/>
  <c r="T385" i="6"/>
  <c r="S385" i="6"/>
  <c r="R385" i="6"/>
  <c r="Q385" i="6"/>
  <c r="P385" i="6"/>
  <c r="O385" i="6"/>
  <c r="N385" i="6"/>
  <c r="M385" i="6"/>
  <c r="L385" i="6"/>
  <c r="K385" i="6"/>
  <c r="J385" i="6"/>
  <c r="I385" i="6"/>
  <c r="H385" i="6"/>
  <c r="G385" i="6"/>
  <c r="F385" i="6"/>
  <c r="E385" i="6"/>
  <c r="D385" i="6"/>
  <c r="W384" i="6"/>
  <c r="V384" i="6"/>
  <c r="U384" i="6"/>
  <c r="T384" i="6"/>
  <c r="S384" i="6"/>
  <c r="R384" i="6"/>
  <c r="Q384" i="6"/>
  <c r="P384" i="6"/>
  <c r="O384" i="6"/>
  <c r="N384" i="6"/>
  <c r="M384" i="6"/>
  <c r="L384" i="6"/>
  <c r="K384" i="6"/>
  <c r="J384" i="6"/>
  <c r="I384" i="6"/>
  <c r="H384" i="6"/>
  <c r="G384" i="6"/>
  <c r="F384" i="6"/>
  <c r="E384" i="6"/>
  <c r="D384" i="6"/>
  <c r="W383" i="6"/>
  <c r="V383" i="6"/>
  <c r="U383" i="6"/>
  <c r="T383" i="6"/>
  <c r="S383" i="6"/>
  <c r="R383" i="6"/>
  <c r="Q383" i="6"/>
  <c r="P383" i="6"/>
  <c r="O383" i="6"/>
  <c r="N383" i="6"/>
  <c r="M383" i="6"/>
  <c r="L383" i="6"/>
  <c r="K383" i="6"/>
  <c r="J383" i="6"/>
  <c r="I383" i="6"/>
  <c r="H383" i="6"/>
  <c r="G383" i="6"/>
  <c r="F383" i="6"/>
  <c r="E383" i="6"/>
  <c r="D383" i="6"/>
  <c r="W382" i="6"/>
  <c r="V382" i="6"/>
  <c r="U382" i="6"/>
  <c r="T382" i="6"/>
  <c r="S382" i="6"/>
  <c r="R382" i="6"/>
  <c r="Q382" i="6"/>
  <c r="P382" i="6"/>
  <c r="O382" i="6"/>
  <c r="N382" i="6"/>
  <c r="M382" i="6"/>
  <c r="L382" i="6"/>
  <c r="K382" i="6"/>
  <c r="J382" i="6"/>
  <c r="I382" i="6"/>
  <c r="H382" i="6"/>
  <c r="G382" i="6"/>
  <c r="F382" i="6"/>
  <c r="E382" i="6"/>
  <c r="D382" i="6"/>
  <c r="W381" i="6"/>
  <c r="V381" i="6"/>
  <c r="U381" i="6"/>
  <c r="T381" i="6"/>
  <c r="S381" i="6"/>
  <c r="R381" i="6"/>
  <c r="Q381" i="6"/>
  <c r="P381" i="6"/>
  <c r="O381" i="6"/>
  <c r="N381" i="6"/>
  <c r="M381" i="6"/>
  <c r="L381" i="6"/>
  <c r="K381" i="6"/>
  <c r="J381" i="6"/>
  <c r="I381" i="6"/>
  <c r="H381" i="6"/>
  <c r="G381" i="6"/>
  <c r="F381" i="6"/>
  <c r="E381" i="6"/>
  <c r="D381" i="6"/>
  <c r="W380" i="6"/>
  <c r="V380" i="6"/>
  <c r="U380" i="6"/>
  <c r="T380" i="6"/>
  <c r="S380" i="6"/>
  <c r="R380" i="6"/>
  <c r="Q380" i="6"/>
  <c r="P380" i="6"/>
  <c r="O380" i="6"/>
  <c r="N380" i="6"/>
  <c r="M380" i="6"/>
  <c r="L380" i="6"/>
  <c r="K380" i="6"/>
  <c r="J380" i="6"/>
  <c r="I380" i="6"/>
  <c r="H380" i="6"/>
  <c r="G380" i="6"/>
  <c r="F380" i="6"/>
  <c r="E380" i="6"/>
  <c r="D380" i="6"/>
  <c r="W379" i="6"/>
  <c r="V379" i="6"/>
  <c r="U379" i="6"/>
  <c r="T379" i="6"/>
  <c r="S379" i="6"/>
  <c r="R379" i="6"/>
  <c r="Q379" i="6"/>
  <c r="P379" i="6"/>
  <c r="O379" i="6"/>
  <c r="N379" i="6"/>
  <c r="M379" i="6"/>
  <c r="L379" i="6"/>
  <c r="K379" i="6"/>
  <c r="J379" i="6"/>
  <c r="I379" i="6"/>
  <c r="H379" i="6"/>
  <c r="G379" i="6"/>
  <c r="F379" i="6"/>
  <c r="E379" i="6"/>
  <c r="D379" i="6"/>
  <c r="W378" i="6"/>
  <c r="V378" i="6"/>
  <c r="U378" i="6"/>
  <c r="T378" i="6"/>
  <c r="S378" i="6"/>
  <c r="R378" i="6"/>
  <c r="Q378" i="6"/>
  <c r="P378" i="6"/>
  <c r="O378" i="6"/>
  <c r="N378" i="6"/>
  <c r="M378" i="6"/>
  <c r="L378" i="6"/>
  <c r="K378" i="6"/>
  <c r="J378" i="6"/>
  <c r="I378" i="6"/>
  <c r="H378" i="6"/>
  <c r="G378" i="6"/>
  <c r="F378" i="6"/>
  <c r="E378" i="6"/>
  <c r="D378" i="6"/>
  <c r="W377" i="6"/>
  <c r="V377" i="6"/>
  <c r="U377" i="6"/>
  <c r="T377" i="6"/>
  <c r="S377" i="6"/>
  <c r="R377" i="6"/>
  <c r="Q377" i="6"/>
  <c r="P377" i="6"/>
  <c r="O377" i="6"/>
  <c r="N377" i="6"/>
  <c r="M377" i="6"/>
  <c r="L377" i="6"/>
  <c r="K377" i="6"/>
  <c r="J377" i="6"/>
  <c r="I377" i="6"/>
  <c r="H377" i="6"/>
  <c r="G377" i="6"/>
  <c r="F377" i="6"/>
  <c r="E377" i="6"/>
  <c r="D377" i="6"/>
  <c r="W376" i="6"/>
  <c r="V376" i="6"/>
  <c r="U376" i="6"/>
  <c r="T376" i="6"/>
  <c r="S376" i="6"/>
  <c r="R376" i="6"/>
  <c r="Q376" i="6"/>
  <c r="P376" i="6"/>
  <c r="O376" i="6"/>
  <c r="N376" i="6"/>
  <c r="M376" i="6"/>
  <c r="L376" i="6"/>
  <c r="K376" i="6"/>
  <c r="J376" i="6"/>
  <c r="I376" i="6"/>
  <c r="H376" i="6"/>
  <c r="G376" i="6"/>
  <c r="F376" i="6"/>
  <c r="E376" i="6"/>
  <c r="D376" i="6"/>
  <c r="W375" i="6"/>
  <c r="V375" i="6"/>
  <c r="U375" i="6"/>
  <c r="T375" i="6"/>
  <c r="S375" i="6"/>
  <c r="R375" i="6"/>
  <c r="Q375" i="6"/>
  <c r="P375" i="6"/>
  <c r="O375" i="6"/>
  <c r="N375" i="6"/>
  <c r="M375" i="6"/>
  <c r="L375" i="6"/>
  <c r="K375" i="6"/>
  <c r="J375" i="6"/>
  <c r="I375" i="6"/>
  <c r="H375" i="6"/>
  <c r="G375" i="6"/>
  <c r="F375" i="6"/>
  <c r="E375" i="6"/>
  <c r="D375" i="6"/>
  <c r="W374" i="6"/>
  <c r="V374" i="6"/>
  <c r="U374" i="6"/>
  <c r="T374" i="6"/>
  <c r="S374" i="6"/>
  <c r="R374" i="6"/>
  <c r="Q374" i="6"/>
  <c r="P374" i="6"/>
  <c r="O374" i="6"/>
  <c r="N374" i="6"/>
  <c r="M374" i="6"/>
  <c r="L374" i="6"/>
  <c r="K374" i="6"/>
  <c r="J374" i="6"/>
  <c r="I374" i="6"/>
  <c r="H374" i="6"/>
  <c r="G374" i="6"/>
  <c r="F374" i="6"/>
  <c r="E374" i="6"/>
  <c r="D374" i="6"/>
  <c r="W373" i="6"/>
  <c r="V373" i="6"/>
  <c r="U373" i="6"/>
  <c r="T373" i="6"/>
  <c r="S373" i="6"/>
  <c r="R373" i="6"/>
  <c r="Q373" i="6"/>
  <c r="P373" i="6"/>
  <c r="O373" i="6"/>
  <c r="N373" i="6"/>
  <c r="M373" i="6"/>
  <c r="L373" i="6"/>
  <c r="K373" i="6"/>
  <c r="J373" i="6"/>
  <c r="I373" i="6"/>
  <c r="H373" i="6"/>
  <c r="G373" i="6"/>
  <c r="F373" i="6"/>
  <c r="E373" i="6"/>
  <c r="D373" i="6"/>
  <c r="W372" i="6"/>
  <c r="V372" i="6"/>
  <c r="U372" i="6"/>
  <c r="T372" i="6"/>
  <c r="S372" i="6"/>
  <c r="R372" i="6"/>
  <c r="Q372" i="6"/>
  <c r="P372" i="6"/>
  <c r="O372" i="6"/>
  <c r="N372" i="6"/>
  <c r="M372" i="6"/>
  <c r="L372" i="6"/>
  <c r="K372" i="6"/>
  <c r="J372" i="6"/>
  <c r="I372" i="6"/>
  <c r="H372" i="6"/>
  <c r="G372" i="6"/>
  <c r="F372" i="6"/>
  <c r="E372" i="6"/>
  <c r="D372" i="6"/>
  <c r="W371" i="6"/>
  <c r="V371" i="6"/>
  <c r="U371" i="6"/>
  <c r="T371" i="6"/>
  <c r="S371" i="6"/>
  <c r="R371" i="6"/>
  <c r="Q371" i="6"/>
  <c r="P371" i="6"/>
  <c r="O371" i="6"/>
  <c r="N371" i="6"/>
  <c r="M371" i="6"/>
  <c r="L371" i="6"/>
  <c r="K371" i="6"/>
  <c r="J371" i="6"/>
  <c r="I371" i="6"/>
  <c r="H371" i="6"/>
  <c r="G371" i="6"/>
  <c r="F371" i="6"/>
  <c r="E371" i="6"/>
  <c r="D371" i="6"/>
  <c r="W370" i="6"/>
  <c r="V370" i="6"/>
  <c r="U370" i="6"/>
  <c r="T370" i="6"/>
  <c r="S370" i="6"/>
  <c r="R370" i="6"/>
  <c r="Q370" i="6"/>
  <c r="P370" i="6"/>
  <c r="O370" i="6"/>
  <c r="N370" i="6"/>
  <c r="M370" i="6"/>
  <c r="L370" i="6"/>
  <c r="K370" i="6"/>
  <c r="J370" i="6"/>
  <c r="I370" i="6"/>
  <c r="H370" i="6"/>
  <c r="G370" i="6"/>
  <c r="F370" i="6"/>
  <c r="E370" i="6"/>
  <c r="D370" i="6"/>
  <c r="W369" i="6"/>
  <c r="V369" i="6"/>
  <c r="U369" i="6"/>
  <c r="T369" i="6"/>
  <c r="S369" i="6"/>
  <c r="R369" i="6"/>
  <c r="Q369" i="6"/>
  <c r="P369" i="6"/>
  <c r="O369" i="6"/>
  <c r="N369" i="6"/>
  <c r="M369" i="6"/>
  <c r="L369" i="6"/>
  <c r="K369" i="6"/>
  <c r="J369" i="6"/>
  <c r="I369" i="6"/>
  <c r="H369" i="6"/>
  <c r="G369" i="6"/>
  <c r="F369" i="6"/>
  <c r="E369" i="6"/>
  <c r="D369" i="6"/>
  <c r="W368" i="6"/>
  <c r="V368" i="6"/>
  <c r="U368" i="6"/>
  <c r="T368" i="6"/>
  <c r="S368" i="6"/>
  <c r="R368" i="6"/>
  <c r="Q368" i="6"/>
  <c r="P368" i="6"/>
  <c r="O368" i="6"/>
  <c r="N368" i="6"/>
  <c r="M368" i="6"/>
  <c r="L368" i="6"/>
  <c r="K368" i="6"/>
  <c r="J368" i="6"/>
  <c r="I368" i="6"/>
  <c r="H368" i="6"/>
  <c r="G368" i="6"/>
  <c r="F368" i="6"/>
  <c r="E368" i="6"/>
  <c r="D368" i="6"/>
  <c r="W367" i="6"/>
  <c r="V367" i="6"/>
  <c r="U367" i="6"/>
  <c r="T367" i="6"/>
  <c r="S367" i="6"/>
  <c r="R367" i="6"/>
  <c r="Q367" i="6"/>
  <c r="P367" i="6"/>
  <c r="O367" i="6"/>
  <c r="N367" i="6"/>
  <c r="M367" i="6"/>
  <c r="L367" i="6"/>
  <c r="K367" i="6"/>
  <c r="J367" i="6"/>
  <c r="I367" i="6"/>
  <c r="H367" i="6"/>
  <c r="G367" i="6"/>
  <c r="F367" i="6"/>
  <c r="E367" i="6"/>
  <c r="D367" i="6"/>
  <c r="W366" i="6"/>
  <c r="V366" i="6"/>
  <c r="U366" i="6"/>
  <c r="T366" i="6"/>
  <c r="S366" i="6"/>
  <c r="R366" i="6"/>
  <c r="Q366" i="6"/>
  <c r="P366" i="6"/>
  <c r="O366" i="6"/>
  <c r="N366" i="6"/>
  <c r="M366" i="6"/>
  <c r="L366" i="6"/>
  <c r="K366" i="6"/>
  <c r="J366" i="6"/>
  <c r="I366" i="6"/>
  <c r="H366" i="6"/>
  <c r="G366" i="6"/>
  <c r="F366" i="6"/>
  <c r="E366" i="6"/>
  <c r="D366" i="6"/>
  <c r="W365" i="6"/>
  <c r="V365" i="6"/>
  <c r="U365" i="6"/>
  <c r="T365" i="6"/>
  <c r="S365" i="6"/>
  <c r="R365" i="6"/>
  <c r="Q365" i="6"/>
  <c r="P365" i="6"/>
  <c r="O365" i="6"/>
  <c r="N365" i="6"/>
  <c r="M365" i="6"/>
  <c r="L365" i="6"/>
  <c r="K365" i="6"/>
  <c r="J365" i="6"/>
  <c r="I365" i="6"/>
  <c r="H365" i="6"/>
  <c r="G365" i="6"/>
  <c r="F365" i="6"/>
  <c r="E365" i="6"/>
  <c r="D365" i="6"/>
  <c r="W364" i="6"/>
  <c r="V364" i="6"/>
  <c r="U364" i="6"/>
  <c r="T364" i="6"/>
  <c r="S364" i="6"/>
  <c r="R364" i="6"/>
  <c r="Q364" i="6"/>
  <c r="P364" i="6"/>
  <c r="O364" i="6"/>
  <c r="N364" i="6"/>
  <c r="M364" i="6"/>
  <c r="L364" i="6"/>
  <c r="K364" i="6"/>
  <c r="J364" i="6"/>
  <c r="I364" i="6"/>
  <c r="H364" i="6"/>
  <c r="G364" i="6"/>
  <c r="F364" i="6"/>
  <c r="E364" i="6"/>
  <c r="D364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K363" i="6"/>
  <c r="J363" i="6"/>
  <c r="I363" i="6"/>
  <c r="H363" i="6"/>
  <c r="G363" i="6"/>
  <c r="F363" i="6"/>
  <c r="E363" i="6"/>
  <c r="D363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D362" i="6"/>
  <c r="W361" i="6"/>
  <c r="V361" i="6"/>
  <c r="U361" i="6"/>
  <c r="T361" i="6"/>
  <c r="S361" i="6"/>
  <c r="R361" i="6"/>
  <c r="Q361" i="6"/>
  <c r="P361" i="6"/>
  <c r="O361" i="6"/>
  <c r="N361" i="6"/>
  <c r="M361" i="6"/>
  <c r="L361" i="6"/>
  <c r="K361" i="6"/>
  <c r="J361" i="6"/>
  <c r="I361" i="6"/>
  <c r="H361" i="6"/>
  <c r="G361" i="6"/>
  <c r="F361" i="6"/>
  <c r="E361" i="6"/>
  <c r="D361" i="6"/>
  <c r="W360" i="6"/>
  <c r="V360" i="6"/>
  <c r="U360" i="6"/>
  <c r="T360" i="6"/>
  <c r="S360" i="6"/>
  <c r="R360" i="6"/>
  <c r="Q360" i="6"/>
  <c r="P360" i="6"/>
  <c r="O360" i="6"/>
  <c r="N360" i="6"/>
  <c r="M360" i="6"/>
  <c r="L360" i="6"/>
  <c r="K360" i="6"/>
  <c r="J360" i="6"/>
  <c r="I360" i="6"/>
  <c r="H360" i="6"/>
  <c r="G360" i="6"/>
  <c r="F360" i="6"/>
  <c r="E360" i="6"/>
  <c r="D360" i="6"/>
  <c r="W359" i="6"/>
  <c r="V359" i="6"/>
  <c r="U359" i="6"/>
  <c r="T359" i="6"/>
  <c r="S359" i="6"/>
  <c r="R359" i="6"/>
  <c r="Q359" i="6"/>
  <c r="P359" i="6"/>
  <c r="O359" i="6"/>
  <c r="N359" i="6"/>
  <c r="M359" i="6"/>
  <c r="L359" i="6"/>
  <c r="K359" i="6"/>
  <c r="J359" i="6"/>
  <c r="I359" i="6"/>
  <c r="H359" i="6"/>
  <c r="G359" i="6"/>
  <c r="F359" i="6"/>
  <c r="E359" i="6"/>
  <c r="D359" i="6"/>
  <c r="W358" i="6"/>
  <c r="V358" i="6"/>
  <c r="U358" i="6"/>
  <c r="T358" i="6"/>
  <c r="S358" i="6"/>
  <c r="R358" i="6"/>
  <c r="Q358" i="6"/>
  <c r="P358" i="6"/>
  <c r="O358" i="6"/>
  <c r="N358" i="6"/>
  <c r="M358" i="6"/>
  <c r="L358" i="6"/>
  <c r="K358" i="6"/>
  <c r="J358" i="6"/>
  <c r="I358" i="6"/>
  <c r="H358" i="6"/>
  <c r="G358" i="6"/>
  <c r="F358" i="6"/>
  <c r="E358" i="6"/>
  <c r="D358" i="6"/>
  <c r="W357" i="6"/>
  <c r="V357" i="6"/>
  <c r="U357" i="6"/>
  <c r="T357" i="6"/>
  <c r="S357" i="6"/>
  <c r="R357" i="6"/>
  <c r="Q357" i="6"/>
  <c r="P357" i="6"/>
  <c r="O357" i="6"/>
  <c r="N357" i="6"/>
  <c r="M357" i="6"/>
  <c r="L357" i="6"/>
  <c r="K357" i="6"/>
  <c r="J357" i="6"/>
  <c r="I357" i="6"/>
  <c r="H357" i="6"/>
  <c r="G357" i="6"/>
  <c r="F357" i="6"/>
  <c r="E357" i="6"/>
  <c r="D357" i="6"/>
  <c r="W356" i="6"/>
  <c r="V356" i="6"/>
  <c r="U356" i="6"/>
  <c r="T356" i="6"/>
  <c r="S356" i="6"/>
  <c r="R356" i="6"/>
  <c r="Q356" i="6"/>
  <c r="P356" i="6"/>
  <c r="O356" i="6"/>
  <c r="N356" i="6"/>
  <c r="M356" i="6"/>
  <c r="L356" i="6"/>
  <c r="K356" i="6"/>
  <c r="J356" i="6"/>
  <c r="I356" i="6"/>
  <c r="H356" i="6"/>
  <c r="G356" i="6"/>
  <c r="F356" i="6"/>
  <c r="E356" i="6"/>
  <c r="D356" i="6"/>
  <c r="W355" i="6"/>
  <c r="V355" i="6"/>
  <c r="U355" i="6"/>
  <c r="T355" i="6"/>
  <c r="S355" i="6"/>
  <c r="R355" i="6"/>
  <c r="Q355" i="6"/>
  <c r="P355" i="6"/>
  <c r="O355" i="6"/>
  <c r="N355" i="6"/>
  <c r="M355" i="6"/>
  <c r="L355" i="6"/>
  <c r="K355" i="6"/>
  <c r="J355" i="6"/>
  <c r="I355" i="6"/>
  <c r="H355" i="6"/>
  <c r="G355" i="6"/>
  <c r="F355" i="6"/>
  <c r="E355" i="6"/>
  <c r="D355" i="6"/>
  <c r="W354" i="6"/>
  <c r="V354" i="6"/>
  <c r="U354" i="6"/>
  <c r="T354" i="6"/>
  <c r="S354" i="6"/>
  <c r="R354" i="6"/>
  <c r="Q354" i="6"/>
  <c r="P354" i="6"/>
  <c r="O354" i="6"/>
  <c r="N354" i="6"/>
  <c r="M354" i="6"/>
  <c r="L354" i="6"/>
  <c r="K354" i="6"/>
  <c r="J354" i="6"/>
  <c r="I354" i="6"/>
  <c r="H354" i="6"/>
  <c r="G354" i="6"/>
  <c r="F354" i="6"/>
  <c r="E354" i="6"/>
  <c r="D354" i="6"/>
  <c r="W353" i="6"/>
  <c r="V353" i="6"/>
  <c r="U353" i="6"/>
  <c r="T353" i="6"/>
  <c r="S353" i="6"/>
  <c r="R353" i="6"/>
  <c r="Q353" i="6"/>
  <c r="P353" i="6"/>
  <c r="O353" i="6"/>
  <c r="N353" i="6"/>
  <c r="M353" i="6"/>
  <c r="L353" i="6"/>
  <c r="K353" i="6"/>
  <c r="J353" i="6"/>
  <c r="I353" i="6"/>
  <c r="H353" i="6"/>
  <c r="G353" i="6"/>
  <c r="F353" i="6"/>
  <c r="E353" i="6"/>
  <c r="D353" i="6"/>
  <c r="W352" i="6"/>
  <c r="V352" i="6"/>
  <c r="U352" i="6"/>
  <c r="T352" i="6"/>
  <c r="S352" i="6"/>
  <c r="R352" i="6"/>
  <c r="Q352" i="6"/>
  <c r="P352" i="6"/>
  <c r="O352" i="6"/>
  <c r="N352" i="6"/>
  <c r="M352" i="6"/>
  <c r="L352" i="6"/>
  <c r="K352" i="6"/>
  <c r="J352" i="6"/>
  <c r="I352" i="6"/>
  <c r="H352" i="6"/>
  <c r="G352" i="6"/>
  <c r="F352" i="6"/>
  <c r="E352" i="6"/>
  <c r="D352" i="6"/>
  <c r="W351" i="6"/>
  <c r="V351" i="6"/>
  <c r="U351" i="6"/>
  <c r="T351" i="6"/>
  <c r="S351" i="6"/>
  <c r="R351" i="6"/>
  <c r="Q351" i="6"/>
  <c r="P351" i="6"/>
  <c r="O351" i="6"/>
  <c r="N351" i="6"/>
  <c r="M351" i="6"/>
  <c r="L351" i="6"/>
  <c r="K351" i="6"/>
  <c r="J351" i="6"/>
  <c r="I351" i="6"/>
  <c r="H351" i="6"/>
  <c r="G351" i="6"/>
  <c r="F351" i="6"/>
  <c r="E351" i="6"/>
  <c r="D351" i="6"/>
  <c r="W350" i="6"/>
  <c r="V350" i="6"/>
  <c r="U350" i="6"/>
  <c r="T350" i="6"/>
  <c r="S350" i="6"/>
  <c r="R350" i="6"/>
  <c r="Q350" i="6"/>
  <c r="P350" i="6"/>
  <c r="O350" i="6"/>
  <c r="N350" i="6"/>
  <c r="M350" i="6"/>
  <c r="L350" i="6"/>
  <c r="K350" i="6"/>
  <c r="J350" i="6"/>
  <c r="I350" i="6"/>
  <c r="H350" i="6"/>
  <c r="G350" i="6"/>
  <c r="F350" i="6"/>
  <c r="E350" i="6"/>
  <c r="D350" i="6"/>
  <c r="W349" i="6"/>
  <c r="V349" i="6"/>
  <c r="U349" i="6"/>
  <c r="T349" i="6"/>
  <c r="S349" i="6"/>
  <c r="R349" i="6"/>
  <c r="Q349" i="6"/>
  <c r="P349" i="6"/>
  <c r="O349" i="6"/>
  <c r="N349" i="6"/>
  <c r="M349" i="6"/>
  <c r="L349" i="6"/>
  <c r="K349" i="6"/>
  <c r="J349" i="6"/>
  <c r="I349" i="6"/>
  <c r="H349" i="6"/>
  <c r="G349" i="6"/>
  <c r="F349" i="6"/>
  <c r="E349" i="6"/>
  <c r="D349" i="6"/>
  <c r="W348" i="6"/>
  <c r="V348" i="6"/>
  <c r="U348" i="6"/>
  <c r="T348" i="6"/>
  <c r="S348" i="6"/>
  <c r="R348" i="6"/>
  <c r="Q348" i="6"/>
  <c r="P348" i="6"/>
  <c r="O348" i="6"/>
  <c r="N348" i="6"/>
  <c r="M348" i="6"/>
  <c r="L348" i="6"/>
  <c r="K348" i="6"/>
  <c r="J348" i="6"/>
  <c r="I348" i="6"/>
  <c r="H348" i="6"/>
  <c r="G348" i="6"/>
  <c r="F348" i="6"/>
  <c r="E348" i="6"/>
  <c r="D348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F347" i="6"/>
  <c r="E347" i="6"/>
  <c r="D347" i="6"/>
  <c r="W346" i="6"/>
  <c r="V346" i="6"/>
  <c r="U346" i="6"/>
  <c r="T346" i="6"/>
  <c r="S346" i="6"/>
  <c r="R346" i="6"/>
  <c r="Q346" i="6"/>
  <c r="P346" i="6"/>
  <c r="O346" i="6"/>
  <c r="N346" i="6"/>
  <c r="M346" i="6"/>
  <c r="L346" i="6"/>
  <c r="K346" i="6"/>
  <c r="J346" i="6"/>
  <c r="I346" i="6"/>
  <c r="H346" i="6"/>
  <c r="G346" i="6"/>
  <c r="F346" i="6"/>
  <c r="E346" i="6"/>
  <c r="D346" i="6"/>
  <c r="W345" i="6"/>
  <c r="V345" i="6"/>
  <c r="U345" i="6"/>
  <c r="T345" i="6"/>
  <c r="S345" i="6"/>
  <c r="R345" i="6"/>
  <c r="Q345" i="6"/>
  <c r="P345" i="6"/>
  <c r="O345" i="6"/>
  <c r="N345" i="6"/>
  <c r="M345" i="6"/>
  <c r="L345" i="6"/>
  <c r="K345" i="6"/>
  <c r="J345" i="6"/>
  <c r="I345" i="6"/>
  <c r="H345" i="6"/>
  <c r="G345" i="6"/>
  <c r="F345" i="6"/>
  <c r="E345" i="6"/>
  <c r="D345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K344" i="6"/>
  <c r="J344" i="6"/>
  <c r="I344" i="6"/>
  <c r="H344" i="6"/>
  <c r="G344" i="6"/>
  <c r="F344" i="6"/>
  <c r="E344" i="6"/>
  <c r="D344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I343" i="6"/>
  <c r="H343" i="6"/>
  <c r="G343" i="6"/>
  <c r="F343" i="6"/>
  <c r="E343" i="6"/>
  <c r="D343" i="6"/>
  <c r="W342" i="6"/>
  <c r="V342" i="6"/>
  <c r="U342" i="6"/>
  <c r="T342" i="6"/>
  <c r="S342" i="6"/>
  <c r="R342" i="6"/>
  <c r="Q342" i="6"/>
  <c r="P342" i="6"/>
  <c r="O342" i="6"/>
  <c r="N342" i="6"/>
  <c r="M342" i="6"/>
  <c r="L342" i="6"/>
  <c r="K342" i="6"/>
  <c r="J342" i="6"/>
  <c r="I342" i="6"/>
  <c r="H342" i="6"/>
  <c r="G342" i="6"/>
  <c r="F342" i="6"/>
  <c r="E342" i="6"/>
  <c r="D342" i="6"/>
  <c r="W341" i="6"/>
  <c r="V341" i="6"/>
  <c r="U341" i="6"/>
  <c r="T341" i="6"/>
  <c r="S341" i="6"/>
  <c r="R341" i="6"/>
  <c r="Q341" i="6"/>
  <c r="P341" i="6"/>
  <c r="O341" i="6"/>
  <c r="N341" i="6"/>
  <c r="M341" i="6"/>
  <c r="L341" i="6"/>
  <c r="K341" i="6"/>
  <c r="J341" i="6"/>
  <c r="I341" i="6"/>
  <c r="H341" i="6"/>
  <c r="G341" i="6"/>
  <c r="F341" i="6"/>
  <c r="E341" i="6"/>
  <c r="D341" i="6"/>
  <c r="W340" i="6"/>
  <c r="V340" i="6"/>
  <c r="U340" i="6"/>
  <c r="T340" i="6"/>
  <c r="S340" i="6"/>
  <c r="R340" i="6"/>
  <c r="Q340" i="6"/>
  <c r="P340" i="6"/>
  <c r="O340" i="6"/>
  <c r="N340" i="6"/>
  <c r="M340" i="6"/>
  <c r="L340" i="6"/>
  <c r="K340" i="6"/>
  <c r="J340" i="6"/>
  <c r="I340" i="6"/>
  <c r="H340" i="6"/>
  <c r="G340" i="6"/>
  <c r="F340" i="6"/>
  <c r="E340" i="6"/>
  <c r="D340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K339" i="6"/>
  <c r="J339" i="6"/>
  <c r="I339" i="6"/>
  <c r="H339" i="6"/>
  <c r="G339" i="6"/>
  <c r="F339" i="6"/>
  <c r="E339" i="6"/>
  <c r="D339" i="6"/>
  <c r="W338" i="6"/>
  <c r="V338" i="6"/>
  <c r="U338" i="6"/>
  <c r="T338" i="6"/>
  <c r="S338" i="6"/>
  <c r="R338" i="6"/>
  <c r="Q338" i="6"/>
  <c r="P338" i="6"/>
  <c r="O338" i="6"/>
  <c r="N338" i="6"/>
  <c r="M338" i="6"/>
  <c r="L338" i="6"/>
  <c r="K338" i="6"/>
  <c r="J338" i="6"/>
  <c r="I338" i="6"/>
  <c r="H338" i="6"/>
  <c r="G338" i="6"/>
  <c r="F338" i="6"/>
  <c r="E338" i="6"/>
  <c r="D338" i="6"/>
  <c r="W337" i="6"/>
  <c r="V337" i="6"/>
  <c r="U337" i="6"/>
  <c r="T337" i="6"/>
  <c r="S337" i="6"/>
  <c r="R337" i="6"/>
  <c r="Q337" i="6"/>
  <c r="P337" i="6"/>
  <c r="O337" i="6"/>
  <c r="N337" i="6"/>
  <c r="M337" i="6"/>
  <c r="L337" i="6"/>
  <c r="K337" i="6"/>
  <c r="J337" i="6"/>
  <c r="I337" i="6"/>
  <c r="H337" i="6"/>
  <c r="G337" i="6"/>
  <c r="F337" i="6"/>
  <c r="E337" i="6"/>
  <c r="D337" i="6"/>
  <c r="W336" i="6"/>
  <c r="V336" i="6"/>
  <c r="U336" i="6"/>
  <c r="T336" i="6"/>
  <c r="S336" i="6"/>
  <c r="R336" i="6"/>
  <c r="Q336" i="6"/>
  <c r="P336" i="6"/>
  <c r="O336" i="6"/>
  <c r="N336" i="6"/>
  <c r="M336" i="6"/>
  <c r="L336" i="6"/>
  <c r="K336" i="6"/>
  <c r="J336" i="6"/>
  <c r="I336" i="6"/>
  <c r="H336" i="6"/>
  <c r="G336" i="6"/>
  <c r="F336" i="6"/>
  <c r="E336" i="6"/>
  <c r="D336" i="6"/>
  <c r="W335" i="6"/>
  <c r="V335" i="6"/>
  <c r="U335" i="6"/>
  <c r="T335" i="6"/>
  <c r="S335" i="6"/>
  <c r="R335" i="6"/>
  <c r="Q335" i="6"/>
  <c r="P335" i="6"/>
  <c r="O335" i="6"/>
  <c r="N335" i="6"/>
  <c r="M335" i="6"/>
  <c r="L335" i="6"/>
  <c r="K335" i="6"/>
  <c r="J335" i="6"/>
  <c r="I335" i="6"/>
  <c r="H335" i="6"/>
  <c r="G335" i="6"/>
  <c r="F335" i="6"/>
  <c r="E335" i="6"/>
  <c r="D335" i="6"/>
  <c r="W334" i="6"/>
  <c r="V334" i="6"/>
  <c r="U334" i="6"/>
  <c r="T334" i="6"/>
  <c r="S334" i="6"/>
  <c r="R334" i="6"/>
  <c r="Q334" i="6"/>
  <c r="P334" i="6"/>
  <c r="O334" i="6"/>
  <c r="N334" i="6"/>
  <c r="M334" i="6"/>
  <c r="L334" i="6"/>
  <c r="K334" i="6"/>
  <c r="J334" i="6"/>
  <c r="I334" i="6"/>
  <c r="H334" i="6"/>
  <c r="G334" i="6"/>
  <c r="F334" i="6"/>
  <c r="E334" i="6"/>
  <c r="D334" i="6"/>
  <c r="W333" i="6"/>
  <c r="V333" i="6"/>
  <c r="U333" i="6"/>
  <c r="T333" i="6"/>
  <c r="S333" i="6"/>
  <c r="R333" i="6"/>
  <c r="Q333" i="6"/>
  <c r="P333" i="6"/>
  <c r="O333" i="6"/>
  <c r="N333" i="6"/>
  <c r="M333" i="6"/>
  <c r="L333" i="6"/>
  <c r="K333" i="6"/>
  <c r="J333" i="6"/>
  <c r="I333" i="6"/>
  <c r="H333" i="6"/>
  <c r="G333" i="6"/>
  <c r="F333" i="6"/>
  <c r="E333" i="6"/>
  <c r="D333" i="6"/>
  <c r="W332" i="6"/>
  <c r="V332" i="6"/>
  <c r="U332" i="6"/>
  <c r="T332" i="6"/>
  <c r="S332" i="6"/>
  <c r="R332" i="6"/>
  <c r="Q332" i="6"/>
  <c r="P332" i="6"/>
  <c r="O332" i="6"/>
  <c r="N332" i="6"/>
  <c r="M332" i="6"/>
  <c r="L332" i="6"/>
  <c r="K332" i="6"/>
  <c r="J332" i="6"/>
  <c r="I332" i="6"/>
  <c r="H332" i="6"/>
  <c r="G332" i="6"/>
  <c r="F332" i="6"/>
  <c r="E332" i="6"/>
  <c r="D332" i="6"/>
  <c r="W331" i="6"/>
  <c r="V331" i="6"/>
  <c r="U331" i="6"/>
  <c r="T331" i="6"/>
  <c r="S331" i="6"/>
  <c r="R331" i="6"/>
  <c r="Q331" i="6"/>
  <c r="P331" i="6"/>
  <c r="O331" i="6"/>
  <c r="N331" i="6"/>
  <c r="M331" i="6"/>
  <c r="L331" i="6"/>
  <c r="K331" i="6"/>
  <c r="J331" i="6"/>
  <c r="I331" i="6"/>
  <c r="H331" i="6"/>
  <c r="G331" i="6"/>
  <c r="F331" i="6"/>
  <c r="E331" i="6"/>
  <c r="D331" i="6"/>
  <c r="W330" i="6"/>
  <c r="V330" i="6"/>
  <c r="U330" i="6"/>
  <c r="T330" i="6"/>
  <c r="S330" i="6"/>
  <c r="R330" i="6"/>
  <c r="Q330" i="6"/>
  <c r="P330" i="6"/>
  <c r="O330" i="6"/>
  <c r="N330" i="6"/>
  <c r="M330" i="6"/>
  <c r="L330" i="6"/>
  <c r="K330" i="6"/>
  <c r="J330" i="6"/>
  <c r="I330" i="6"/>
  <c r="H330" i="6"/>
  <c r="G330" i="6"/>
  <c r="F330" i="6"/>
  <c r="E330" i="6"/>
  <c r="D330" i="6"/>
  <c r="W329" i="6"/>
  <c r="V329" i="6"/>
  <c r="U329" i="6"/>
  <c r="T329" i="6"/>
  <c r="S329" i="6"/>
  <c r="R329" i="6"/>
  <c r="Q329" i="6"/>
  <c r="P329" i="6"/>
  <c r="O329" i="6"/>
  <c r="N329" i="6"/>
  <c r="M329" i="6"/>
  <c r="L329" i="6"/>
  <c r="K329" i="6"/>
  <c r="J329" i="6"/>
  <c r="I329" i="6"/>
  <c r="H329" i="6"/>
  <c r="G329" i="6"/>
  <c r="F329" i="6"/>
  <c r="E329" i="6"/>
  <c r="D329" i="6"/>
  <c r="W328" i="6"/>
  <c r="V328" i="6"/>
  <c r="U328" i="6"/>
  <c r="T328" i="6"/>
  <c r="S328" i="6"/>
  <c r="R328" i="6"/>
  <c r="Q328" i="6"/>
  <c r="P328" i="6"/>
  <c r="O328" i="6"/>
  <c r="N328" i="6"/>
  <c r="M328" i="6"/>
  <c r="L328" i="6"/>
  <c r="K328" i="6"/>
  <c r="J328" i="6"/>
  <c r="I328" i="6"/>
  <c r="H328" i="6"/>
  <c r="G328" i="6"/>
  <c r="F328" i="6"/>
  <c r="E328" i="6"/>
  <c r="D328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J327" i="6"/>
  <c r="I327" i="6"/>
  <c r="H327" i="6"/>
  <c r="G327" i="6"/>
  <c r="F327" i="6"/>
  <c r="E327" i="6"/>
  <c r="D327" i="6"/>
  <c r="W326" i="6"/>
  <c r="V326" i="6"/>
  <c r="U326" i="6"/>
  <c r="T326" i="6"/>
  <c r="S326" i="6"/>
  <c r="R326" i="6"/>
  <c r="Q326" i="6"/>
  <c r="P326" i="6"/>
  <c r="O326" i="6"/>
  <c r="N326" i="6"/>
  <c r="M326" i="6"/>
  <c r="L326" i="6"/>
  <c r="K326" i="6"/>
  <c r="J326" i="6"/>
  <c r="I326" i="6"/>
  <c r="H326" i="6"/>
  <c r="G326" i="6"/>
  <c r="F326" i="6"/>
  <c r="E326" i="6"/>
  <c r="D326" i="6"/>
  <c r="W325" i="6"/>
  <c r="V325" i="6"/>
  <c r="U325" i="6"/>
  <c r="T325" i="6"/>
  <c r="S325" i="6"/>
  <c r="R325" i="6"/>
  <c r="Q325" i="6"/>
  <c r="P325" i="6"/>
  <c r="O325" i="6"/>
  <c r="N325" i="6"/>
  <c r="M325" i="6"/>
  <c r="L325" i="6"/>
  <c r="K325" i="6"/>
  <c r="J325" i="6"/>
  <c r="I325" i="6"/>
  <c r="H325" i="6"/>
  <c r="G325" i="6"/>
  <c r="F325" i="6"/>
  <c r="E325" i="6"/>
  <c r="D325" i="6"/>
  <c r="W324" i="6"/>
  <c r="V324" i="6"/>
  <c r="U324" i="6"/>
  <c r="T324" i="6"/>
  <c r="S324" i="6"/>
  <c r="R324" i="6"/>
  <c r="Q324" i="6"/>
  <c r="P324" i="6"/>
  <c r="O324" i="6"/>
  <c r="N324" i="6"/>
  <c r="M324" i="6"/>
  <c r="L324" i="6"/>
  <c r="K324" i="6"/>
  <c r="J324" i="6"/>
  <c r="I324" i="6"/>
  <c r="H324" i="6"/>
  <c r="G324" i="6"/>
  <c r="F324" i="6"/>
  <c r="E324" i="6"/>
  <c r="D324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K323" i="6"/>
  <c r="J323" i="6"/>
  <c r="I323" i="6"/>
  <c r="H323" i="6"/>
  <c r="G323" i="6"/>
  <c r="F323" i="6"/>
  <c r="E323" i="6"/>
  <c r="D323" i="6"/>
  <c r="W322" i="6"/>
  <c r="V322" i="6"/>
  <c r="U322" i="6"/>
  <c r="T322" i="6"/>
  <c r="S322" i="6"/>
  <c r="R322" i="6"/>
  <c r="Q322" i="6"/>
  <c r="P322" i="6"/>
  <c r="O322" i="6"/>
  <c r="N322" i="6"/>
  <c r="M322" i="6"/>
  <c r="L322" i="6"/>
  <c r="K322" i="6"/>
  <c r="J322" i="6"/>
  <c r="I322" i="6"/>
  <c r="H322" i="6"/>
  <c r="G322" i="6"/>
  <c r="F322" i="6"/>
  <c r="E322" i="6"/>
  <c r="D322" i="6"/>
  <c r="W321" i="6"/>
  <c r="V321" i="6"/>
  <c r="U321" i="6"/>
  <c r="T321" i="6"/>
  <c r="S321" i="6"/>
  <c r="R321" i="6"/>
  <c r="Q321" i="6"/>
  <c r="P321" i="6"/>
  <c r="O321" i="6"/>
  <c r="N321" i="6"/>
  <c r="M321" i="6"/>
  <c r="L321" i="6"/>
  <c r="K321" i="6"/>
  <c r="J321" i="6"/>
  <c r="I321" i="6"/>
  <c r="H321" i="6"/>
  <c r="G321" i="6"/>
  <c r="F321" i="6"/>
  <c r="E321" i="6"/>
  <c r="D321" i="6"/>
  <c r="W320" i="6"/>
  <c r="V320" i="6"/>
  <c r="U320" i="6"/>
  <c r="T320" i="6"/>
  <c r="S320" i="6"/>
  <c r="R320" i="6"/>
  <c r="Q320" i="6"/>
  <c r="P320" i="6"/>
  <c r="O320" i="6"/>
  <c r="N320" i="6"/>
  <c r="M320" i="6"/>
  <c r="L320" i="6"/>
  <c r="K320" i="6"/>
  <c r="J320" i="6"/>
  <c r="I320" i="6"/>
  <c r="H320" i="6"/>
  <c r="G320" i="6"/>
  <c r="F320" i="6"/>
  <c r="E320" i="6"/>
  <c r="D320" i="6"/>
  <c r="W319" i="6"/>
  <c r="V319" i="6"/>
  <c r="U319" i="6"/>
  <c r="T319" i="6"/>
  <c r="S319" i="6"/>
  <c r="R319" i="6"/>
  <c r="Q319" i="6"/>
  <c r="P319" i="6"/>
  <c r="O319" i="6"/>
  <c r="N319" i="6"/>
  <c r="M319" i="6"/>
  <c r="L319" i="6"/>
  <c r="K319" i="6"/>
  <c r="J319" i="6"/>
  <c r="I319" i="6"/>
  <c r="H319" i="6"/>
  <c r="G319" i="6"/>
  <c r="F319" i="6"/>
  <c r="E319" i="6"/>
  <c r="D319" i="6"/>
  <c r="W318" i="6"/>
  <c r="V318" i="6"/>
  <c r="U318" i="6"/>
  <c r="T318" i="6"/>
  <c r="S318" i="6"/>
  <c r="R318" i="6"/>
  <c r="Q318" i="6"/>
  <c r="P318" i="6"/>
  <c r="O318" i="6"/>
  <c r="N318" i="6"/>
  <c r="M318" i="6"/>
  <c r="L318" i="6"/>
  <c r="K318" i="6"/>
  <c r="J318" i="6"/>
  <c r="I318" i="6"/>
  <c r="H318" i="6"/>
  <c r="G318" i="6"/>
  <c r="F318" i="6"/>
  <c r="E318" i="6"/>
  <c r="D318" i="6"/>
  <c r="W317" i="6"/>
  <c r="V317" i="6"/>
  <c r="U317" i="6"/>
  <c r="T317" i="6"/>
  <c r="S317" i="6"/>
  <c r="R317" i="6"/>
  <c r="Q317" i="6"/>
  <c r="P317" i="6"/>
  <c r="O317" i="6"/>
  <c r="N317" i="6"/>
  <c r="M317" i="6"/>
  <c r="L317" i="6"/>
  <c r="K317" i="6"/>
  <c r="J317" i="6"/>
  <c r="I317" i="6"/>
  <c r="H317" i="6"/>
  <c r="G317" i="6"/>
  <c r="F317" i="6"/>
  <c r="E317" i="6"/>
  <c r="D317" i="6"/>
  <c r="W316" i="6"/>
  <c r="V316" i="6"/>
  <c r="U316" i="6"/>
  <c r="T316" i="6"/>
  <c r="S316" i="6"/>
  <c r="R316" i="6"/>
  <c r="Q316" i="6"/>
  <c r="P316" i="6"/>
  <c r="O316" i="6"/>
  <c r="N316" i="6"/>
  <c r="M316" i="6"/>
  <c r="L316" i="6"/>
  <c r="K316" i="6"/>
  <c r="J316" i="6"/>
  <c r="I316" i="6"/>
  <c r="H316" i="6"/>
  <c r="G316" i="6"/>
  <c r="F316" i="6"/>
  <c r="E316" i="6"/>
  <c r="D316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F315" i="6"/>
  <c r="E315" i="6"/>
  <c r="D315" i="6"/>
  <c r="W314" i="6"/>
  <c r="V314" i="6"/>
  <c r="U314" i="6"/>
  <c r="T314" i="6"/>
  <c r="S314" i="6"/>
  <c r="R314" i="6"/>
  <c r="Q314" i="6"/>
  <c r="P314" i="6"/>
  <c r="O314" i="6"/>
  <c r="N314" i="6"/>
  <c r="M314" i="6"/>
  <c r="L314" i="6"/>
  <c r="K314" i="6"/>
  <c r="J314" i="6"/>
  <c r="I314" i="6"/>
  <c r="H314" i="6"/>
  <c r="G314" i="6"/>
  <c r="F314" i="6"/>
  <c r="E314" i="6"/>
  <c r="D314" i="6"/>
  <c r="W313" i="6"/>
  <c r="V313" i="6"/>
  <c r="U313" i="6"/>
  <c r="T313" i="6"/>
  <c r="S313" i="6"/>
  <c r="R313" i="6"/>
  <c r="Q313" i="6"/>
  <c r="P313" i="6"/>
  <c r="O313" i="6"/>
  <c r="N313" i="6"/>
  <c r="M313" i="6"/>
  <c r="L313" i="6"/>
  <c r="K313" i="6"/>
  <c r="J313" i="6"/>
  <c r="I313" i="6"/>
  <c r="H313" i="6"/>
  <c r="G313" i="6"/>
  <c r="F313" i="6"/>
  <c r="E313" i="6"/>
  <c r="D313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F312" i="6"/>
  <c r="E312" i="6"/>
  <c r="D312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I311" i="6"/>
  <c r="H311" i="6"/>
  <c r="G311" i="6"/>
  <c r="F311" i="6"/>
  <c r="E311" i="6"/>
  <c r="D311" i="6"/>
  <c r="W310" i="6"/>
  <c r="V310" i="6"/>
  <c r="U310" i="6"/>
  <c r="T310" i="6"/>
  <c r="S310" i="6"/>
  <c r="R310" i="6"/>
  <c r="Q310" i="6"/>
  <c r="P310" i="6"/>
  <c r="O310" i="6"/>
  <c r="N310" i="6"/>
  <c r="M310" i="6"/>
  <c r="L310" i="6"/>
  <c r="K310" i="6"/>
  <c r="J310" i="6"/>
  <c r="I310" i="6"/>
  <c r="H310" i="6"/>
  <c r="G310" i="6"/>
  <c r="F310" i="6"/>
  <c r="E310" i="6"/>
  <c r="D310" i="6"/>
  <c r="W309" i="6"/>
  <c r="V309" i="6"/>
  <c r="U309" i="6"/>
  <c r="T309" i="6"/>
  <c r="S309" i="6"/>
  <c r="R309" i="6"/>
  <c r="Q309" i="6"/>
  <c r="P309" i="6"/>
  <c r="O309" i="6"/>
  <c r="N309" i="6"/>
  <c r="M309" i="6"/>
  <c r="L309" i="6"/>
  <c r="K309" i="6"/>
  <c r="J309" i="6"/>
  <c r="I309" i="6"/>
  <c r="H309" i="6"/>
  <c r="G309" i="6"/>
  <c r="F309" i="6"/>
  <c r="E309" i="6"/>
  <c r="D309" i="6"/>
  <c r="W308" i="6"/>
  <c r="V308" i="6"/>
  <c r="U308" i="6"/>
  <c r="T308" i="6"/>
  <c r="S308" i="6"/>
  <c r="R308" i="6"/>
  <c r="Q308" i="6"/>
  <c r="P308" i="6"/>
  <c r="O308" i="6"/>
  <c r="N308" i="6"/>
  <c r="M308" i="6"/>
  <c r="L308" i="6"/>
  <c r="K308" i="6"/>
  <c r="J308" i="6"/>
  <c r="I308" i="6"/>
  <c r="H308" i="6"/>
  <c r="G308" i="6"/>
  <c r="F308" i="6"/>
  <c r="E308" i="6"/>
  <c r="D308" i="6"/>
  <c r="W307" i="6"/>
  <c r="V307" i="6"/>
  <c r="U307" i="6"/>
  <c r="T307" i="6"/>
  <c r="S307" i="6"/>
  <c r="R307" i="6"/>
  <c r="Q307" i="6"/>
  <c r="P307" i="6"/>
  <c r="O307" i="6"/>
  <c r="N307" i="6"/>
  <c r="M307" i="6"/>
  <c r="L307" i="6"/>
  <c r="K307" i="6"/>
  <c r="J307" i="6"/>
  <c r="I307" i="6"/>
  <c r="H307" i="6"/>
  <c r="G307" i="6"/>
  <c r="F307" i="6"/>
  <c r="E307" i="6"/>
  <c r="D307" i="6"/>
  <c r="W306" i="6"/>
  <c r="V306" i="6"/>
  <c r="U306" i="6"/>
  <c r="T306" i="6"/>
  <c r="S306" i="6"/>
  <c r="R306" i="6"/>
  <c r="Q306" i="6"/>
  <c r="P306" i="6"/>
  <c r="O306" i="6"/>
  <c r="N306" i="6"/>
  <c r="M306" i="6"/>
  <c r="L306" i="6"/>
  <c r="K306" i="6"/>
  <c r="J306" i="6"/>
  <c r="I306" i="6"/>
  <c r="H306" i="6"/>
  <c r="G306" i="6"/>
  <c r="F306" i="6"/>
  <c r="E306" i="6"/>
  <c r="D306" i="6"/>
  <c r="W305" i="6"/>
  <c r="V305" i="6"/>
  <c r="U305" i="6"/>
  <c r="T305" i="6"/>
  <c r="S305" i="6"/>
  <c r="R305" i="6"/>
  <c r="Q305" i="6"/>
  <c r="P305" i="6"/>
  <c r="O305" i="6"/>
  <c r="N305" i="6"/>
  <c r="M305" i="6"/>
  <c r="L305" i="6"/>
  <c r="K305" i="6"/>
  <c r="J305" i="6"/>
  <c r="I305" i="6"/>
  <c r="H305" i="6"/>
  <c r="G305" i="6"/>
  <c r="F305" i="6"/>
  <c r="E305" i="6"/>
  <c r="D305" i="6"/>
  <c r="W304" i="6"/>
  <c r="V304" i="6"/>
  <c r="U304" i="6"/>
  <c r="T304" i="6"/>
  <c r="S304" i="6"/>
  <c r="R304" i="6"/>
  <c r="Q304" i="6"/>
  <c r="P304" i="6"/>
  <c r="O304" i="6"/>
  <c r="N304" i="6"/>
  <c r="M304" i="6"/>
  <c r="L304" i="6"/>
  <c r="K304" i="6"/>
  <c r="J304" i="6"/>
  <c r="I304" i="6"/>
  <c r="H304" i="6"/>
  <c r="G304" i="6"/>
  <c r="F304" i="6"/>
  <c r="E304" i="6"/>
  <c r="D304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I303" i="6"/>
  <c r="H303" i="6"/>
  <c r="G303" i="6"/>
  <c r="F303" i="6"/>
  <c r="E303" i="6"/>
  <c r="D303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D302" i="6"/>
  <c r="W301" i="6"/>
  <c r="V301" i="6"/>
  <c r="U301" i="6"/>
  <c r="T301" i="6"/>
  <c r="S301" i="6"/>
  <c r="R301" i="6"/>
  <c r="Q301" i="6"/>
  <c r="P301" i="6"/>
  <c r="O301" i="6"/>
  <c r="N301" i="6"/>
  <c r="M301" i="6"/>
  <c r="L301" i="6"/>
  <c r="K301" i="6"/>
  <c r="J301" i="6"/>
  <c r="I301" i="6"/>
  <c r="H301" i="6"/>
  <c r="G301" i="6"/>
  <c r="F301" i="6"/>
  <c r="E301" i="6"/>
  <c r="D301" i="6"/>
  <c r="W300" i="6"/>
  <c r="V300" i="6"/>
  <c r="U300" i="6"/>
  <c r="T300" i="6"/>
  <c r="S300" i="6"/>
  <c r="R300" i="6"/>
  <c r="Q300" i="6"/>
  <c r="P300" i="6"/>
  <c r="O300" i="6"/>
  <c r="N300" i="6"/>
  <c r="M300" i="6"/>
  <c r="L300" i="6"/>
  <c r="K300" i="6"/>
  <c r="J300" i="6"/>
  <c r="I300" i="6"/>
  <c r="H300" i="6"/>
  <c r="G300" i="6"/>
  <c r="F300" i="6"/>
  <c r="E300" i="6"/>
  <c r="D300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K299" i="6"/>
  <c r="J299" i="6"/>
  <c r="I299" i="6"/>
  <c r="H299" i="6"/>
  <c r="G299" i="6"/>
  <c r="F299" i="6"/>
  <c r="E299" i="6"/>
  <c r="D299" i="6"/>
  <c r="W298" i="6"/>
  <c r="V298" i="6"/>
  <c r="U298" i="6"/>
  <c r="T298" i="6"/>
  <c r="S298" i="6"/>
  <c r="R298" i="6"/>
  <c r="Q298" i="6"/>
  <c r="P298" i="6"/>
  <c r="O298" i="6"/>
  <c r="N298" i="6"/>
  <c r="M298" i="6"/>
  <c r="L298" i="6"/>
  <c r="K298" i="6"/>
  <c r="J298" i="6"/>
  <c r="I298" i="6"/>
  <c r="H298" i="6"/>
  <c r="G298" i="6"/>
  <c r="F298" i="6"/>
  <c r="E298" i="6"/>
  <c r="D298" i="6"/>
  <c r="W297" i="6"/>
  <c r="V297" i="6"/>
  <c r="U297" i="6"/>
  <c r="T297" i="6"/>
  <c r="S297" i="6"/>
  <c r="R297" i="6"/>
  <c r="Q297" i="6"/>
  <c r="P297" i="6"/>
  <c r="O297" i="6"/>
  <c r="N297" i="6"/>
  <c r="M297" i="6"/>
  <c r="L297" i="6"/>
  <c r="K297" i="6"/>
  <c r="J297" i="6"/>
  <c r="I297" i="6"/>
  <c r="H297" i="6"/>
  <c r="G297" i="6"/>
  <c r="F297" i="6"/>
  <c r="E297" i="6"/>
  <c r="D297" i="6"/>
  <c r="W296" i="6"/>
  <c r="V296" i="6"/>
  <c r="U296" i="6"/>
  <c r="T296" i="6"/>
  <c r="S296" i="6"/>
  <c r="R296" i="6"/>
  <c r="Q296" i="6"/>
  <c r="P296" i="6"/>
  <c r="O296" i="6"/>
  <c r="N296" i="6"/>
  <c r="M296" i="6"/>
  <c r="L296" i="6"/>
  <c r="K296" i="6"/>
  <c r="J296" i="6"/>
  <c r="I296" i="6"/>
  <c r="H296" i="6"/>
  <c r="G296" i="6"/>
  <c r="F296" i="6"/>
  <c r="E296" i="6"/>
  <c r="D296" i="6"/>
  <c r="W295" i="6"/>
  <c r="V295" i="6"/>
  <c r="U295" i="6"/>
  <c r="T295" i="6"/>
  <c r="S295" i="6"/>
  <c r="R295" i="6"/>
  <c r="Q295" i="6"/>
  <c r="P295" i="6"/>
  <c r="O295" i="6"/>
  <c r="N295" i="6"/>
  <c r="M295" i="6"/>
  <c r="L295" i="6"/>
  <c r="K295" i="6"/>
  <c r="J295" i="6"/>
  <c r="I295" i="6"/>
  <c r="H295" i="6"/>
  <c r="G295" i="6"/>
  <c r="F295" i="6"/>
  <c r="E295" i="6"/>
  <c r="D295" i="6"/>
  <c r="W294" i="6"/>
  <c r="V294" i="6"/>
  <c r="U294" i="6"/>
  <c r="T294" i="6"/>
  <c r="S294" i="6"/>
  <c r="R294" i="6"/>
  <c r="Q294" i="6"/>
  <c r="P294" i="6"/>
  <c r="O294" i="6"/>
  <c r="N294" i="6"/>
  <c r="M294" i="6"/>
  <c r="L294" i="6"/>
  <c r="K294" i="6"/>
  <c r="J294" i="6"/>
  <c r="I294" i="6"/>
  <c r="H294" i="6"/>
  <c r="G294" i="6"/>
  <c r="F294" i="6"/>
  <c r="E294" i="6"/>
  <c r="D294" i="6"/>
  <c r="W293" i="6"/>
  <c r="V293" i="6"/>
  <c r="U293" i="6"/>
  <c r="T293" i="6"/>
  <c r="S293" i="6"/>
  <c r="R293" i="6"/>
  <c r="Q293" i="6"/>
  <c r="P293" i="6"/>
  <c r="O293" i="6"/>
  <c r="N293" i="6"/>
  <c r="M293" i="6"/>
  <c r="L293" i="6"/>
  <c r="K293" i="6"/>
  <c r="J293" i="6"/>
  <c r="I293" i="6"/>
  <c r="H293" i="6"/>
  <c r="G293" i="6"/>
  <c r="F293" i="6"/>
  <c r="E293" i="6"/>
  <c r="D293" i="6"/>
  <c r="W292" i="6"/>
  <c r="V292" i="6"/>
  <c r="U292" i="6"/>
  <c r="T292" i="6"/>
  <c r="S292" i="6"/>
  <c r="R292" i="6"/>
  <c r="Q292" i="6"/>
  <c r="P292" i="6"/>
  <c r="O292" i="6"/>
  <c r="N292" i="6"/>
  <c r="M292" i="6"/>
  <c r="L292" i="6"/>
  <c r="K292" i="6"/>
  <c r="J292" i="6"/>
  <c r="I292" i="6"/>
  <c r="H292" i="6"/>
  <c r="G292" i="6"/>
  <c r="F292" i="6"/>
  <c r="E292" i="6"/>
  <c r="D292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K291" i="6"/>
  <c r="J291" i="6"/>
  <c r="I291" i="6"/>
  <c r="H291" i="6"/>
  <c r="G291" i="6"/>
  <c r="F291" i="6"/>
  <c r="E291" i="6"/>
  <c r="D291" i="6"/>
  <c r="W290" i="6"/>
  <c r="V290" i="6"/>
  <c r="U290" i="6"/>
  <c r="T290" i="6"/>
  <c r="S290" i="6"/>
  <c r="R290" i="6"/>
  <c r="Q290" i="6"/>
  <c r="P290" i="6"/>
  <c r="O290" i="6"/>
  <c r="N290" i="6"/>
  <c r="M290" i="6"/>
  <c r="L290" i="6"/>
  <c r="K290" i="6"/>
  <c r="J290" i="6"/>
  <c r="I290" i="6"/>
  <c r="H290" i="6"/>
  <c r="G290" i="6"/>
  <c r="F290" i="6"/>
  <c r="E290" i="6"/>
  <c r="D290" i="6"/>
  <c r="W289" i="6"/>
  <c r="V289" i="6"/>
  <c r="U289" i="6"/>
  <c r="T289" i="6"/>
  <c r="S289" i="6"/>
  <c r="R289" i="6"/>
  <c r="Q289" i="6"/>
  <c r="P289" i="6"/>
  <c r="O289" i="6"/>
  <c r="N289" i="6"/>
  <c r="M289" i="6"/>
  <c r="L289" i="6"/>
  <c r="K289" i="6"/>
  <c r="J289" i="6"/>
  <c r="I289" i="6"/>
  <c r="H289" i="6"/>
  <c r="G289" i="6"/>
  <c r="F289" i="6"/>
  <c r="E289" i="6"/>
  <c r="D289" i="6"/>
  <c r="W288" i="6"/>
  <c r="V288" i="6"/>
  <c r="U288" i="6"/>
  <c r="T288" i="6"/>
  <c r="S288" i="6"/>
  <c r="R288" i="6"/>
  <c r="Q288" i="6"/>
  <c r="P288" i="6"/>
  <c r="O288" i="6"/>
  <c r="N288" i="6"/>
  <c r="M288" i="6"/>
  <c r="L288" i="6"/>
  <c r="K288" i="6"/>
  <c r="J288" i="6"/>
  <c r="I288" i="6"/>
  <c r="H288" i="6"/>
  <c r="G288" i="6"/>
  <c r="F288" i="6"/>
  <c r="E288" i="6"/>
  <c r="D288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F287" i="6"/>
  <c r="E287" i="6"/>
  <c r="D287" i="6"/>
  <c r="W286" i="6"/>
  <c r="V286" i="6"/>
  <c r="U286" i="6"/>
  <c r="T286" i="6"/>
  <c r="S286" i="6"/>
  <c r="R286" i="6"/>
  <c r="Q286" i="6"/>
  <c r="P286" i="6"/>
  <c r="O286" i="6"/>
  <c r="N286" i="6"/>
  <c r="M286" i="6"/>
  <c r="L286" i="6"/>
  <c r="K286" i="6"/>
  <c r="J286" i="6"/>
  <c r="I286" i="6"/>
  <c r="H286" i="6"/>
  <c r="G286" i="6"/>
  <c r="F286" i="6"/>
  <c r="E286" i="6"/>
  <c r="D286" i="6"/>
  <c r="W285" i="6"/>
  <c r="V285" i="6"/>
  <c r="U285" i="6"/>
  <c r="T285" i="6"/>
  <c r="S285" i="6"/>
  <c r="R285" i="6"/>
  <c r="Q285" i="6"/>
  <c r="P285" i="6"/>
  <c r="O285" i="6"/>
  <c r="N285" i="6"/>
  <c r="M285" i="6"/>
  <c r="L285" i="6"/>
  <c r="K285" i="6"/>
  <c r="J285" i="6"/>
  <c r="I285" i="6"/>
  <c r="H285" i="6"/>
  <c r="G285" i="6"/>
  <c r="F285" i="6"/>
  <c r="E285" i="6"/>
  <c r="D285" i="6"/>
  <c r="W284" i="6"/>
  <c r="V284" i="6"/>
  <c r="U284" i="6"/>
  <c r="T284" i="6"/>
  <c r="S284" i="6"/>
  <c r="R284" i="6"/>
  <c r="Q284" i="6"/>
  <c r="P284" i="6"/>
  <c r="O284" i="6"/>
  <c r="N284" i="6"/>
  <c r="M284" i="6"/>
  <c r="L284" i="6"/>
  <c r="K284" i="6"/>
  <c r="J284" i="6"/>
  <c r="I284" i="6"/>
  <c r="H284" i="6"/>
  <c r="G284" i="6"/>
  <c r="F284" i="6"/>
  <c r="E284" i="6"/>
  <c r="D284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F283" i="6"/>
  <c r="E283" i="6"/>
  <c r="D283" i="6"/>
  <c r="W282" i="6"/>
  <c r="V282" i="6"/>
  <c r="U282" i="6"/>
  <c r="T282" i="6"/>
  <c r="S282" i="6"/>
  <c r="R282" i="6"/>
  <c r="Q282" i="6"/>
  <c r="P282" i="6"/>
  <c r="O282" i="6"/>
  <c r="N282" i="6"/>
  <c r="M282" i="6"/>
  <c r="L282" i="6"/>
  <c r="K282" i="6"/>
  <c r="J282" i="6"/>
  <c r="I282" i="6"/>
  <c r="H282" i="6"/>
  <c r="G282" i="6"/>
  <c r="F282" i="6"/>
  <c r="E282" i="6"/>
  <c r="D282" i="6"/>
  <c r="W281" i="6"/>
  <c r="V281" i="6"/>
  <c r="U281" i="6"/>
  <c r="T281" i="6"/>
  <c r="S281" i="6"/>
  <c r="R281" i="6"/>
  <c r="Q281" i="6"/>
  <c r="P281" i="6"/>
  <c r="O281" i="6"/>
  <c r="N281" i="6"/>
  <c r="M281" i="6"/>
  <c r="L281" i="6"/>
  <c r="K281" i="6"/>
  <c r="J281" i="6"/>
  <c r="I281" i="6"/>
  <c r="H281" i="6"/>
  <c r="G281" i="6"/>
  <c r="F281" i="6"/>
  <c r="E281" i="6"/>
  <c r="D281" i="6"/>
  <c r="W280" i="6"/>
  <c r="V280" i="6"/>
  <c r="U280" i="6"/>
  <c r="T280" i="6"/>
  <c r="S280" i="6"/>
  <c r="R280" i="6"/>
  <c r="Q280" i="6"/>
  <c r="P280" i="6"/>
  <c r="O280" i="6"/>
  <c r="N280" i="6"/>
  <c r="M280" i="6"/>
  <c r="L280" i="6"/>
  <c r="K280" i="6"/>
  <c r="J280" i="6"/>
  <c r="I280" i="6"/>
  <c r="H280" i="6"/>
  <c r="G280" i="6"/>
  <c r="F280" i="6"/>
  <c r="E280" i="6"/>
  <c r="D280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F279" i="6"/>
  <c r="E279" i="6"/>
  <c r="D279" i="6"/>
  <c r="W278" i="6"/>
  <c r="V278" i="6"/>
  <c r="U278" i="6"/>
  <c r="T278" i="6"/>
  <c r="S278" i="6"/>
  <c r="R278" i="6"/>
  <c r="Q278" i="6"/>
  <c r="P278" i="6"/>
  <c r="O278" i="6"/>
  <c r="N278" i="6"/>
  <c r="M278" i="6"/>
  <c r="L278" i="6"/>
  <c r="K278" i="6"/>
  <c r="J278" i="6"/>
  <c r="I278" i="6"/>
  <c r="H278" i="6"/>
  <c r="G278" i="6"/>
  <c r="F278" i="6"/>
  <c r="E278" i="6"/>
  <c r="D278" i="6"/>
  <c r="W277" i="6"/>
  <c r="V277" i="6"/>
  <c r="U277" i="6"/>
  <c r="T277" i="6"/>
  <c r="S277" i="6"/>
  <c r="R277" i="6"/>
  <c r="Q277" i="6"/>
  <c r="P277" i="6"/>
  <c r="O277" i="6"/>
  <c r="N277" i="6"/>
  <c r="M277" i="6"/>
  <c r="L277" i="6"/>
  <c r="K277" i="6"/>
  <c r="J277" i="6"/>
  <c r="I277" i="6"/>
  <c r="H277" i="6"/>
  <c r="G277" i="6"/>
  <c r="F277" i="6"/>
  <c r="E277" i="6"/>
  <c r="D277" i="6"/>
  <c r="W276" i="6"/>
  <c r="V276" i="6"/>
  <c r="U276" i="6"/>
  <c r="T276" i="6"/>
  <c r="S276" i="6"/>
  <c r="R276" i="6"/>
  <c r="Q276" i="6"/>
  <c r="P276" i="6"/>
  <c r="O276" i="6"/>
  <c r="N276" i="6"/>
  <c r="M276" i="6"/>
  <c r="L276" i="6"/>
  <c r="K276" i="6"/>
  <c r="J276" i="6"/>
  <c r="I276" i="6"/>
  <c r="H276" i="6"/>
  <c r="G276" i="6"/>
  <c r="F276" i="6"/>
  <c r="E276" i="6"/>
  <c r="D276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F275" i="6"/>
  <c r="E275" i="6"/>
  <c r="D275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K274" i="6"/>
  <c r="J274" i="6"/>
  <c r="I274" i="6"/>
  <c r="H274" i="6"/>
  <c r="G274" i="6"/>
  <c r="F274" i="6"/>
  <c r="E274" i="6"/>
  <c r="D274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F273" i="6"/>
  <c r="E273" i="6"/>
  <c r="D273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F272" i="6"/>
  <c r="E272" i="6"/>
  <c r="D272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F271" i="6"/>
  <c r="E271" i="6"/>
  <c r="D271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K270" i="6"/>
  <c r="J270" i="6"/>
  <c r="I270" i="6"/>
  <c r="H270" i="6"/>
  <c r="G270" i="6"/>
  <c r="F270" i="6"/>
  <c r="E270" i="6"/>
  <c r="D270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H269" i="6"/>
  <c r="G269" i="6"/>
  <c r="F269" i="6"/>
  <c r="E269" i="6"/>
  <c r="D269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G268" i="6"/>
  <c r="F268" i="6"/>
  <c r="E268" i="6"/>
  <c r="D268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F267" i="6"/>
  <c r="E267" i="6"/>
  <c r="D267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K266" i="6"/>
  <c r="J266" i="6"/>
  <c r="I266" i="6"/>
  <c r="H266" i="6"/>
  <c r="G266" i="6"/>
  <c r="F266" i="6"/>
  <c r="E266" i="6"/>
  <c r="D266" i="6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D265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G264" i="6"/>
  <c r="F264" i="6"/>
  <c r="E264" i="6"/>
  <c r="D264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D263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G262" i="6"/>
  <c r="F262" i="6"/>
  <c r="E262" i="6"/>
  <c r="D262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F261" i="6"/>
  <c r="E261" i="6"/>
  <c r="D261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D260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F259" i="6"/>
  <c r="E259" i="6"/>
  <c r="D259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H258" i="6"/>
  <c r="G258" i="6"/>
  <c r="F258" i="6"/>
  <c r="E258" i="6"/>
  <c r="D258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I257" i="6"/>
  <c r="H257" i="6"/>
  <c r="G257" i="6"/>
  <c r="F257" i="6"/>
  <c r="E257" i="6"/>
  <c r="D257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H256" i="6"/>
  <c r="G256" i="6"/>
  <c r="F256" i="6"/>
  <c r="E256" i="6"/>
  <c r="D256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F255" i="6"/>
  <c r="E255" i="6"/>
  <c r="D255" i="6"/>
  <c r="W254" i="6"/>
  <c r="V254" i="6"/>
  <c r="U254" i="6"/>
  <c r="T254" i="6"/>
  <c r="S254" i="6"/>
  <c r="R254" i="6"/>
  <c r="Q254" i="6"/>
  <c r="P254" i="6"/>
  <c r="O254" i="6"/>
  <c r="N254" i="6"/>
  <c r="M254" i="6"/>
  <c r="L254" i="6"/>
  <c r="K254" i="6"/>
  <c r="J254" i="6"/>
  <c r="I254" i="6"/>
  <c r="H254" i="6"/>
  <c r="G254" i="6"/>
  <c r="F254" i="6"/>
  <c r="E254" i="6"/>
  <c r="D254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F253" i="6"/>
  <c r="E253" i="6"/>
  <c r="D253" i="6"/>
  <c r="W252" i="6"/>
  <c r="V252" i="6"/>
  <c r="U252" i="6"/>
  <c r="T252" i="6"/>
  <c r="S252" i="6"/>
  <c r="R252" i="6"/>
  <c r="Q252" i="6"/>
  <c r="P252" i="6"/>
  <c r="O252" i="6"/>
  <c r="N252" i="6"/>
  <c r="M252" i="6"/>
  <c r="L252" i="6"/>
  <c r="K252" i="6"/>
  <c r="J252" i="6"/>
  <c r="I252" i="6"/>
  <c r="H252" i="6"/>
  <c r="G252" i="6"/>
  <c r="F252" i="6"/>
  <c r="E252" i="6"/>
  <c r="D252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F251" i="6"/>
  <c r="E251" i="6"/>
  <c r="D251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D250" i="6"/>
  <c r="W249" i="6"/>
  <c r="V249" i="6"/>
  <c r="U249" i="6"/>
  <c r="T249" i="6"/>
  <c r="S249" i="6"/>
  <c r="R249" i="6"/>
  <c r="Q249" i="6"/>
  <c r="P249" i="6"/>
  <c r="O249" i="6"/>
  <c r="N249" i="6"/>
  <c r="M249" i="6"/>
  <c r="L249" i="6"/>
  <c r="K249" i="6"/>
  <c r="J249" i="6"/>
  <c r="I249" i="6"/>
  <c r="H249" i="6"/>
  <c r="G249" i="6"/>
  <c r="F249" i="6"/>
  <c r="E249" i="6"/>
  <c r="D249" i="6"/>
  <c r="W248" i="6"/>
  <c r="V248" i="6"/>
  <c r="U248" i="6"/>
  <c r="T248" i="6"/>
  <c r="S248" i="6"/>
  <c r="R248" i="6"/>
  <c r="Q248" i="6"/>
  <c r="P248" i="6"/>
  <c r="O248" i="6"/>
  <c r="N248" i="6"/>
  <c r="M248" i="6"/>
  <c r="L248" i="6"/>
  <c r="K248" i="6"/>
  <c r="J248" i="6"/>
  <c r="I248" i="6"/>
  <c r="H248" i="6"/>
  <c r="G248" i="6"/>
  <c r="F248" i="6"/>
  <c r="E248" i="6"/>
  <c r="D248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W246" i="6"/>
  <c r="V246" i="6"/>
  <c r="U246" i="6"/>
  <c r="T246" i="6"/>
  <c r="S246" i="6"/>
  <c r="R246" i="6"/>
  <c r="Q246" i="6"/>
  <c r="P246" i="6"/>
  <c r="O246" i="6"/>
  <c r="N246" i="6"/>
  <c r="M246" i="6"/>
  <c r="L246" i="6"/>
  <c r="K246" i="6"/>
  <c r="J246" i="6"/>
  <c r="I246" i="6"/>
  <c r="H246" i="6"/>
  <c r="G246" i="6"/>
  <c r="F246" i="6"/>
  <c r="E246" i="6"/>
  <c r="D246" i="6"/>
  <c r="W245" i="6"/>
  <c r="V245" i="6"/>
  <c r="U245" i="6"/>
  <c r="T245" i="6"/>
  <c r="S245" i="6"/>
  <c r="R245" i="6"/>
  <c r="Q245" i="6"/>
  <c r="P245" i="6"/>
  <c r="O245" i="6"/>
  <c r="N245" i="6"/>
  <c r="M245" i="6"/>
  <c r="L245" i="6"/>
  <c r="K245" i="6"/>
  <c r="J245" i="6"/>
  <c r="I245" i="6"/>
  <c r="H245" i="6"/>
  <c r="G245" i="6"/>
  <c r="F245" i="6"/>
  <c r="E245" i="6"/>
  <c r="D245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F244" i="6"/>
  <c r="E244" i="6"/>
  <c r="D244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F243" i="6"/>
  <c r="E243" i="6"/>
  <c r="D243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W241" i="6"/>
  <c r="V241" i="6"/>
  <c r="U241" i="6"/>
  <c r="T241" i="6"/>
  <c r="S241" i="6"/>
  <c r="R241" i="6"/>
  <c r="Q241" i="6"/>
  <c r="P241" i="6"/>
  <c r="O241" i="6"/>
  <c r="N241" i="6"/>
  <c r="M241" i="6"/>
  <c r="L241" i="6"/>
  <c r="K241" i="6"/>
  <c r="J241" i="6"/>
  <c r="I241" i="6"/>
  <c r="H241" i="6"/>
  <c r="G241" i="6"/>
  <c r="F241" i="6"/>
  <c r="E241" i="6"/>
  <c r="D241" i="6"/>
  <c r="W240" i="6"/>
  <c r="V240" i="6"/>
  <c r="U240" i="6"/>
  <c r="T240" i="6"/>
  <c r="S240" i="6"/>
  <c r="R240" i="6"/>
  <c r="Q240" i="6"/>
  <c r="P240" i="6"/>
  <c r="O240" i="6"/>
  <c r="N240" i="6"/>
  <c r="M240" i="6"/>
  <c r="L240" i="6"/>
  <c r="K240" i="6"/>
  <c r="J240" i="6"/>
  <c r="I240" i="6"/>
  <c r="H240" i="6"/>
  <c r="G240" i="6"/>
  <c r="F240" i="6"/>
  <c r="E240" i="6"/>
  <c r="D240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F239" i="6"/>
  <c r="E239" i="6"/>
  <c r="D239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K234" i="6"/>
  <c r="J234" i="6"/>
  <c r="I234" i="6"/>
  <c r="H234" i="6"/>
  <c r="G234" i="6"/>
  <c r="F234" i="6"/>
  <c r="E234" i="6"/>
  <c r="D234" i="6"/>
  <c r="W233" i="6"/>
  <c r="V233" i="6"/>
  <c r="U233" i="6"/>
  <c r="T233" i="6"/>
  <c r="S233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F233" i="6"/>
  <c r="E233" i="6"/>
  <c r="D233" i="6"/>
  <c r="W232" i="6"/>
  <c r="V232" i="6"/>
  <c r="U232" i="6"/>
  <c r="T232" i="6"/>
  <c r="S232" i="6"/>
  <c r="R232" i="6"/>
  <c r="Q232" i="6"/>
  <c r="P232" i="6"/>
  <c r="O232" i="6"/>
  <c r="N232" i="6"/>
  <c r="M232" i="6"/>
  <c r="L232" i="6"/>
  <c r="K232" i="6"/>
  <c r="J232" i="6"/>
  <c r="I232" i="6"/>
  <c r="H232" i="6"/>
  <c r="G232" i="6"/>
  <c r="F232" i="6"/>
  <c r="E232" i="6"/>
  <c r="D232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F231" i="6"/>
  <c r="E231" i="6"/>
  <c r="D231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G230" i="6"/>
  <c r="F230" i="6"/>
  <c r="E230" i="6"/>
  <c r="D230" i="6"/>
  <c r="W229" i="6"/>
  <c r="V229" i="6"/>
  <c r="U229" i="6"/>
  <c r="T229" i="6"/>
  <c r="S229" i="6"/>
  <c r="R229" i="6"/>
  <c r="Q229" i="6"/>
  <c r="P229" i="6"/>
  <c r="O229" i="6"/>
  <c r="N229" i="6"/>
  <c r="M229" i="6"/>
  <c r="L229" i="6"/>
  <c r="K229" i="6"/>
  <c r="J229" i="6"/>
  <c r="I229" i="6"/>
  <c r="H229" i="6"/>
  <c r="G229" i="6"/>
  <c r="F229" i="6"/>
  <c r="E229" i="6"/>
  <c r="D229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G228" i="6"/>
  <c r="F228" i="6"/>
  <c r="E228" i="6"/>
  <c r="D228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W226" i="6"/>
  <c r="V226" i="6"/>
  <c r="U226" i="6"/>
  <c r="T226" i="6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W225" i="6"/>
  <c r="V225" i="6"/>
  <c r="U225" i="6"/>
  <c r="T225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W213" i="6"/>
  <c r="V213" i="6"/>
  <c r="U213" i="6"/>
  <c r="T213" i="6"/>
  <c r="S213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W206" i="6"/>
  <c r="V206" i="6"/>
  <c r="U206" i="6"/>
  <c r="T206" i="6"/>
  <c r="S206" i="6"/>
  <c r="R206" i="6"/>
  <c r="Q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W205" i="6"/>
  <c r="V205" i="6"/>
  <c r="U205" i="6"/>
  <c r="T205" i="6"/>
  <c r="S205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W202" i="6"/>
  <c r="V202" i="6"/>
  <c r="U202" i="6"/>
  <c r="T202" i="6"/>
  <c r="S202" i="6"/>
  <c r="R202" i="6"/>
  <c r="Q202" i="6"/>
  <c r="P202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W198" i="6"/>
  <c r="V198" i="6"/>
  <c r="U198" i="6"/>
  <c r="T198" i="6"/>
  <c r="S198" i="6"/>
  <c r="R198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W190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W189" i="6"/>
  <c r="V189" i="6"/>
  <c r="U189" i="6"/>
  <c r="T189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W170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W169" i="6"/>
  <c r="V169" i="6"/>
  <c r="U169" i="6"/>
  <c r="T169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W166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AD1676" i="5"/>
  <c r="AC1676" i="5"/>
  <c r="AD1675" i="5"/>
  <c r="AC1675" i="5"/>
  <c r="AD1674" i="5"/>
  <c r="AC1674" i="5"/>
  <c r="AD1673" i="5"/>
  <c r="AC1673" i="5"/>
  <c r="AD1672" i="5"/>
  <c r="AC1672" i="5"/>
  <c r="AD1666" i="5"/>
  <c r="AC1666" i="5"/>
  <c r="AD1665" i="5"/>
  <c r="AC1665" i="5"/>
  <c r="AD1664" i="5"/>
  <c r="AC1664" i="5"/>
  <c r="AD1663" i="5"/>
  <c r="AC1663" i="5"/>
  <c r="AD1662" i="5"/>
  <c r="AC1662" i="5"/>
  <c r="AD1656" i="5"/>
  <c r="AC1656" i="5"/>
  <c r="AD1655" i="5"/>
  <c r="AC1655" i="5"/>
  <c r="AD1654" i="5"/>
  <c r="AC1654" i="5"/>
  <c r="AD1653" i="5"/>
  <c r="AC1653" i="5"/>
  <c r="AD1652" i="5"/>
  <c r="AC1652" i="5"/>
  <c r="AD1646" i="5"/>
  <c r="AC1646" i="5"/>
  <c r="AD1645" i="5"/>
  <c r="AC1645" i="5"/>
  <c r="AD1644" i="5"/>
  <c r="AC1644" i="5"/>
  <c r="AD1643" i="5"/>
  <c r="AC1643" i="5"/>
  <c r="AD1642" i="5"/>
  <c r="AC1642" i="5"/>
  <c r="AD1636" i="5"/>
  <c r="AC1636" i="5"/>
  <c r="AD1635" i="5"/>
  <c r="AC1635" i="5"/>
  <c r="AD1634" i="5"/>
  <c r="AC1634" i="5"/>
  <c r="AD1633" i="5"/>
  <c r="AC1633" i="5"/>
  <c r="AD1632" i="5"/>
  <c r="AC1632" i="5"/>
  <c r="AD1626" i="5"/>
  <c r="AC1626" i="5"/>
  <c r="AD1625" i="5"/>
  <c r="AC1625" i="5"/>
  <c r="AD1624" i="5"/>
  <c r="AC1624" i="5"/>
  <c r="AD1623" i="5"/>
  <c r="AC1623" i="5"/>
  <c r="AD1622" i="5"/>
  <c r="AC1622" i="5"/>
  <c r="AD1616" i="5"/>
  <c r="AC1616" i="5"/>
  <c r="AD1615" i="5"/>
  <c r="AC1615" i="5"/>
  <c r="AD1614" i="5"/>
  <c r="AC1614" i="5"/>
  <c r="AD1613" i="5"/>
  <c r="AC1613" i="5"/>
  <c r="AD1612" i="5"/>
  <c r="AC1612" i="5"/>
  <c r="AD1606" i="5"/>
  <c r="AC1606" i="5"/>
  <c r="AD1605" i="5"/>
  <c r="AC1605" i="5"/>
  <c r="AD1604" i="5"/>
  <c r="AC1604" i="5"/>
  <c r="AD1603" i="5"/>
  <c r="AC1603" i="5"/>
  <c r="AD1602" i="5"/>
  <c r="AC1602" i="5"/>
  <c r="AD1596" i="5"/>
  <c r="AC1596" i="5"/>
  <c r="AD1595" i="5"/>
  <c r="AC1595" i="5"/>
  <c r="AD1594" i="5"/>
  <c r="AC1594" i="5"/>
  <c r="AD1593" i="5"/>
  <c r="AC1593" i="5"/>
  <c r="AD1592" i="5"/>
  <c r="AC1592" i="5"/>
  <c r="AD1586" i="5"/>
  <c r="AC1586" i="5"/>
  <c r="AD1585" i="5"/>
  <c r="AC1585" i="5"/>
  <c r="AD1584" i="5"/>
  <c r="AC1584" i="5"/>
  <c r="AD1583" i="5"/>
  <c r="AC1583" i="5"/>
  <c r="AD1582" i="5"/>
  <c r="AC1582" i="5"/>
  <c r="AD1576" i="5"/>
  <c r="AC1576" i="5"/>
  <c r="AD1575" i="5"/>
  <c r="AC1575" i="5"/>
  <c r="AD1574" i="5"/>
  <c r="AC1574" i="5"/>
  <c r="AD1573" i="5"/>
  <c r="AC1573" i="5"/>
  <c r="AD1572" i="5"/>
  <c r="AC1572" i="5"/>
  <c r="AD1566" i="5"/>
  <c r="AC1566" i="5"/>
  <c r="AD1565" i="5"/>
  <c r="AC1565" i="5"/>
  <c r="AD1564" i="5"/>
  <c r="AC1564" i="5"/>
  <c r="AD1563" i="5"/>
  <c r="AC1563" i="5"/>
  <c r="AD1562" i="5"/>
  <c r="AC1562" i="5"/>
  <c r="AD1556" i="5"/>
  <c r="AC1556" i="5"/>
  <c r="AD1555" i="5"/>
  <c r="AC1555" i="5"/>
  <c r="AD1554" i="5"/>
  <c r="AC1554" i="5"/>
  <c r="AD1553" i="5"/>
  <c r="AC1553" i="5"/>
  <c r="AD1552" i="5"/>
  <c r="AC1552" i="5"/>
  <c r="AD1546" i="5"/>
  <c r="AC1546" i="5"/>
  <c r="AD1545" i="5"/>
  <c r="AC1545" i="5"/>
  <c r="AD1544" i="5"/>
  <c r="AC1544" i="5"/>
  <c r="AD1543" i="5"/>
  <c r="AC1543" i="5"/>
  <c r="AD1542" i="5"/>
  <c r="AC1542" i="5"/>
  <c r="AD1536" i="5"/>
  <c r="AC1536" i="5"/>
  <c r="AD1535" i="5"/>
  <c r="AC1535" i="5"/>
  <c r="AD1534" i="5"/>
  <c r="AC1534" i="5"/>
  <c r="AD1533" i="5"/>
  <c r="AC1533" i="5"/>
  <c r="AD1532" i="5"/>
  <c r="AC1532" i="5"/>
  <c r="AD1526" i="5"/>
  <c r="AC1526" i="5"/>
  <c r="AD1525" i="5"/>
  <c r="AC1525" i="5"/>
  <c r="AD1524" i="5"/>
  <c r="AC1524" i="5"/>
  <c r="AD1523" i="5"/>
  <c r="AC1523" i="5"/>
  <c r="AD1522" i="5"/>
  <c r="AC1522" i="5"/>
  <c r="AD1516" i="5"/>
  <c r="AC1516" i="5"/>
  <c r="AD1515" i="5"/>
  <c r="AC1515" i="5"/>
  <c r="AD1514" i="5"/>
  <c r="AC1514" i="5"/>
  <c r="AD1513" i="5"/>
  <c r="AC1513" i="5"/>
  <c r="AD1512" i="5"/>
  <c r="AC1512" i="5"/>
  <c r="AD1506" i="5"/>
  <c r="AC1506" i="5"/>
  <c r="AD1505" i="5"/>
  <c r="AC1505" i="5"/>
  <c r="AD1504" i="5"/>
  <c r="AC1504" i="5"/>
  <c r="AD1503" i="5"/>
  <c r="AC1503" i="5"/>
  <c r="AD1502" i="5"/>
  <c r="AC1502" i="5"/>
  <c r="AD1496" i="5"/>
  <c r="AC1496" i="5"/>
  <c r="AD1495" i="5"/>
  <c r="AC1495" i="5"/>
  <c r="AD1494" i="5"/>
  <c r="AC1494" i="5"/>
  <c r="AD1493" i="5"/>
  <c r="AC1493" i="5"/>
  <c r="AD1492" i="5"/>
  <c r="AC1492" i="5"/>
  <c r="AD1486" i="5"/>
  <c r="AC1486" i="5"/>
  <c r="AD1485" i="5"/>
  <c r="AC1485" i="5"/>
  <c r="AD1484" i="5"/>
  <c r="AC1484" i="5"/>
  <c r="AD1483" i="5"/>
  <c r="AC1483" i="5"/>
  <c r="AD1482" i="5"/>
  <c r="AC1482" i="5"/>
  <c r="AD1476" i="5"/>
  <c r="AC1476" i="5"/>
  <c r="AD1475" i="5"/>
  <c r="AC1475" i="5"/>
  <c r="AD1474" i="5"/>
  <c r="AC1474" i="5"/>
  <c r="AD1473" i="5"/>
  <c r="AC1473" i="5"/>
  <c r="AD1472" i="5"/>
  <c r="AC1472" i="5"/>
  <c r="AD1466" i="5"/>
  <c r="AC1466" i="5"/>
  <c r="AD1465" i="5"/>
  <c r="AC1465" i="5"/>
  <c r="AD1464" i="5"/>
  <c r="AC1464" i="5"/>
  <c r="AD1463" i="5"/>
  <c r="AC1463" i="5"/>
  <c r="AD1462" i="5"/>
  <c r="AC1462" i="5"/>
  <c r="AD1456" i="5"/>
  <c r="AC1456" i="5"/>
  <c r="AD1455" i="5"/>
  <c r="AC1455" i="5"/>
  <c r="AD1454" i="5"/>
  <c r="AC1454" i="5"/>
  <c r="AD1453" i="5"/>
  <c r="AC1453" i="5"/>
  <c r="AD1452" i="5"/>
  <c r="AC1452" i="5"/>
  <c r="AD1446" i="5"/>
  <c r="AC1446" i="5"/>
  <c r="AD1445" i="5"/>
  <c r="AC1445" i="5"/>
  <c r="AD1444" i="5"/>
  <c r="AC1444" i="5"/>
  <c r="AD1443" i="5"/>
  <c r="AC1443" i="5"/>
  <c r="AD1442" i="5"/>
  <c r="AC1442" i="5"/>
  <c r="AD1436" i="5"/>
  <c r="AC1436" i="5"/>
  <c r="AD1435" i="5"/>
  <c r="AC1435" i="5"/>
  <c r="AD1434" i="5"/>
  <c r="AC1434" i="5"/>
  <c r="AD1433" i="5"/>
  <c r="AC1433" i="5"/>
  <c r="AD1432" i="5"/>
  <c r="AC1432" i="5"/>
  <c r="AD1426" i="5"/>
  <c r="AC1426" i="5"/>
  <c r="AD1425" i="5"/>
  <c r="AC1425" i="5"/>
  <c r="AD1424" i="5"/>
  <c r="AC1424" i="5"/>
  <c r="AD1423" i="5"/>
  <c r="AC1423" i="5"/>
  <c r="AD1422" i="5"/>
  <c r="AC1422" i="5"/>
  <c r="AD1416" i="5"/>
  <c r="AC1416" i="5"/>
  <c r="AD1415" i="5"/>
  <c r="AC1415" i="5"/>
  <c r="AD1414" i="5"/>
  <c r="AC1414" i="5"/>
  <c r="AD1413" i="5"/>
  <c r="AC1413" i="5"/>
  <c r="AD1412" i="5"/>
  <c r="AC1412" i="5"/>
  <c r="AD1406" i="5"/>
  <c r="AC1406" i="5"/>
  <c r="AD1405" i="5"/>
  <c r="AC1405" i="5"/>
  <c r="AD1404" i="5"/>
  <c r="AC1404" i="5"/>
  <c r="AD1403" i="5"/>
  <c r="AC1403" i="5"/>
  <c r="AD1402" i="5"/>
  <c r="AC1402" i="5"/>
  <c r="AD1396" i="5"/>
  <c r="AC1396" i="5"/>
  <c r="AD1395" i="5"/>
  <c r="AC1395" i="5"/>
  <c r="AD1394" i="5"/>
  <c r="AC1394" i="5"/>
  <c r="AD1393" i="5"/>
  <c r="AC1393" i="5"/>
  <c r="AD1392" i="5"/>
  <c r="AC1392" i="5"/>
  <c r="AD1386" i="5"/>
  <c r="AC1386" i="5"/>
  <c r="AD1385" i="5"/>
  <c r="AC1385" i="5"/>
  <c r="AD1384" i="5"/>
  <c r="AC1384" i="5"/>
  <c r="AD1383" i="5"/>
  <c r="AC1383" i="5"/>
  <c r="AD1382" i="5"/>
  <c r="AC1382" i="5"/>
  <c r="AD1376" i="5"/>
  <c r="AC1376" i="5"/>
  <c r="AD1375" i="5"/>
  <c r="AC1375" i="5"/>
  <c r="AD1374" i="5"/>
  <c r="AC1374" i="5"/>
  <c r="AD1373" i="5"/>
  <c r="AC1373" i="5"/>
  <c r="AD1372" i="5"/>
  <c r="AC1372" i="5"/>
  <c r="AD1366" i="5"/>
  <c r="AC1366" i="5"/>
  <c r="AD1365" i="5"/>
  <c r="AC1365" i="5"/>
  <c r="AD1364" i="5"/>
  <c r="AC1364" i="5"/>
  <c r="AD1363" i="5"/>
  <c r="AC1363" i="5"/>
  <c r="AD1362" i="5"/>
  <c r="AC1362" i="5"/>
  <c r="AD1356" i="5"/>
  <c r="AC1356" i="5"/>
  <c r="AD1355" i="5"/>
  <c r="AC1355" i="5"/>
  <c r="AD1354" i="5"/>
  <c r="AC1354" i="5"/>
  <c r="AD1353" i="5"/>
  <c r="AC1353" i="5"/>
  <c r="AD1352" i="5"/>
  <c r="AC1352" i="5"/>
  <c r="AD1346" i="5"/>
  <c r="AC1346" i="5"/>
  <c r="AD1345" i="5"/>
  <c r="AC1345" i="5"/>
  <c r="AD1344" i="5"/>
  <c r="AC1344" i="5"/>
  <c r="AD1343" i="5"/>
  <c r="AC1343" i="5"/>
  <c r="AD1342" i="5"/>
  <c r="AC1342" i="5"/>
  <c r="AD1336" i="5"/>
  <c r="AC1336" i="5"/>
  <c r="AD1335" i="5"/>
  <c r="AC1335" i="5"/>
  <c r="AD1334" i="5"/>
  <c r="AC1334" i="5"/>
  <c r="AD1333" i="5"/>
  <c r="AC1333" i="5"/>
  <c r="AD1332" i="5"/>
  <c r="AC1332" i="5"/>
  <c r="AD1326" i="5"/>
  <c r="AC1326" i="5"/>
  <c r="AD1325" i="5"/>
  <c r="AC1325" i="5"/>
  <c r="AD1324" i="5"/>
  <c r="AC1324" i="5"/>
  <c r="AD1323" i="5"/>
  <c r="AC1323" i="5"/>
  <c r="AD1322" i="5"/>
  <c r="AC1322" i="5"/>
  <c r="AD1316" i="5"/>
  <c r="AC1316" i="5"/>
  <c r="AD1315" i="5"/>
  <c r="AC1315" i="5"/>
  <c r="AD1314" i="5"/>
  <c r="AC1314" i="5"/>
  <c r="AD1313" i="5"/>
  <c r="AC1313" i="5"/>
  <c r="AD1312" i="5"/>
  <c r="AC1312" i="5"/>
  <c r="AD1306" i="5"/>
  <c r="AC1306" i="5"/>
  <c r="AD1305" i="5"/>
  <c r="AC1305" i="5"/>
  <c r="AD1304" i="5"/>
  <c r="AC1304" i="5"/>
  <c r="AD1303" i="5"/>
  <c r="AC1303" i="5"/>
  <c r="AD1302" i="5"/>
  <c r="AC1302" i="5"/>
  <c r="AD1296" i="5"/>
  <c r="AC1296" i="5"/>
  <c r="AD1295" i="5"/>
  <c r="AC1295" i="5"/>
  <c r="AD1294" i="5"/>
  <c r="AC1294" i="5"/>
  <c r="AD1293" i="5"/>
  <c r="AC1293" i="5"/>
  <c r="AD1292" i="5"/>
  <c r="AC1292" i="5"/>
  <c r="AD1286" i="5"/>
  <c r="AC1286" i="5"/>
  <c r="AD1285" i="5"/>
  <c r="AC1285" i="5"/>
  <c r="AD1284" i="5"/>
  <c r="AC1284" i="5"/>
  <c r="AD1283" i="5"/>
  <c r="AC1283" i="5"/>
  <c r="AD1282" i="5"/>
  <c r="AC1282" i="5"/>
  <c r="AD1276" i="5"/>
  <c r="AC1276" i="5"/>
  <c r="AD1275" i="5"/>
  <c r="AC1275" i="5"/>
  <c r="AD1274" i="5"/>
  <c r="AC1274" i="5"/>
  <c r="AD1273" i="5"/>
  <c r="AC1273" i="5"/>
  <c r="AD1272" i="5"/>
  <c r="AC1272" i="5"/>
  <c r="AD1266" i="5"/>
  <c r="AC1266" i="5"/>
  <c r="AD1265" i="5"/>
  <c r="AC1265" i="5"/>
  <c r="AD1264" i="5"/>
  <c r="AC1264" i="5"/>
  <c r="AD1263" i="5"/>
  <c r="AC1263" i="5"/>
  <c r="AD1262" i="5"/>
  <c r="AC1262" i="5"/>
  <c r="AD1256" i="5"/>
  <c r="AC1256" i="5"/>
  <c r="AD1255" i="5"/>
  <c r="AC1255" i="5"/>
  <c r="AD1254" i="5"/>
  <c r="AC1254" i="5"/>
  <c r="AD1253" i="5"/>
  <c r="AC1253" i="5"/>
  <c r="AD1252" i="5"/>
  <c r="AC1252" i="5"/>
  <c r="AD1246" i="5"/>
  <c r="AC1246" i="5"/>
  <c r="AD1245" i="5"/>
  <c r="AC1245" i="5"/>
  <c r="AD1244" i="5"/>
  <c r="AC1244" i="5"/>
  <c r="AD1243" i="5"/>
  <c r="AC1243" i="5"/>
  <c r="AD1242" i="5"/>
  <c r="AC1242" i="5"/>
  <c r="AD1236" i="5"/>
  <c r="AC1236" i="5"/>
  <c r="AD1235" i="5"/>
  <c r="AC1235" i="5"/>
  <c r="AD1234" i="5"/>
  <c r="AC1234" i="5"/>
  <c r="AD1233" i="5"/>
  <c r="AC1233" i="5"/>
  <c r="AD1232" i="5"/>
  <c r="AC1232" i="5"/>
  <c r="AD1226" i="5"/>
  <c r="AC1226" i="5"/>
  <c r="AD1225" i="5"/>
  <c r="AC1225" i="5"/>
  <c r="AD1224" i="5"/>
  <c r="AC1224" i="5"/>
  <c r="AD1223" i="5"/>
  <c r="AC1223" i="5"/>
  <c r="AD1222" i="5"/>
  <c r="AC1222" i="5"/>
  <c r="AD1216" i="5"/>
  <c r="AC1216" i="5"/>
  <c r="AD1215" i="5"/>
  <c r="AC1215" i="5"/>
  <c r="AD1214" i="5"/>
  <c r="AC1214" i="5"/>
  <c r="AD1213" i="5"/>
  <c r="AC1213" i="5"/>
  <c r="AD1212" i="5"/>
  <c r="AC1212" i="5"/>
  <c r="AD1206" i="5"/>
  <c r="AC1206" i="5"/>
  <c r="AD1205" i="5"/>
  <c r="AC1205" i="5"/>
  <c r="AD1204" i="5"/>
  <c r="AC1204" i="5"/>
  <c r="AD1203" i="5"/>
  <c r="AC1203" i="5"/>
  <c r="AD1202" i="5"/>
  <c r="AC1202" i="5"/>
  <c r="AD1196" i="5"/>
  <c r="AC1196" i="5"/>
  <c r="AD1195" i="5"/>
  <c r="AC1195" i="5"/>
  <c r="AD1194" i="5"/>
  <c r="AC1194" i="5"/>
  <c r="AD1193" i="5"/>
  <c r="AC1193" i="5"/>
  <c r="AD1192" i="5"/>
  <c r="AC1192" i="5"/>
  <c r="AD1186" i="5"/>
  <c r="AC1186" i="5"/>
  <c r="AD1185" i="5"/>
  <c r="AC1185" i="5"/>
  <c r="AD1184" i="5"/>
  <c r="AC1184" i="5"/>
  <c r="AD1183" i="5"/>
  <c r="AC1183" i="5"/>
  <c r="AD1182" i="5"/>
  <c r="AC1182" i="5"/>
  <c r="AD1176" i="5"/>
  <c r="AC1176" i="5"/>
  <c r="AD1175" i="5"/>
  <c r="AC1175" i="5"/>
  <c r="AD1174" i="5"/>
  <c r="AC1174" i="5"/>
  <c r="AD1173" i="5"/>
  <c r="AC1173" i="5"/>
  <c r="AD1172" i="5"/>
  <c r="AC1172" i="5"/>
  <c r="AD1166" i="5"/>
  <c r="AC1166" i="5"/>
  <c r="AD1165" i="5"/>
  <c r="AC1165" i="5"/>
  <c r="AD1164" i="5"/>
  <c r="AC1164" i="5"/>
  <c r="AD1163" i="5"/>
  <c r="AC1163" i="5"/>
  <c r="AD1162" i="5"/>
  <c r="AC1162" i="5"/>
  <c r="AD1156" i="5"/>
  <c r="AC1156" i="5"/>
  <c r="AD1155" i="5"/>
  <c r="AC1155" i="5"/>
  <c r="AD1154" i="5"/>
  <c r="AC1154" i="5"/>
  <c r="AD1153" i="5"/>
  <c r="AC1153" i="5"/>
  <c r="AD1152" i="5"/>
  <c r="AC1152" i="5"/>
  <c r="AD1146" i="5"/>
  <c r="AC1146" i="5"/>
  <c r="AD1145" i="5"/>
  <c r="AC1145" i="5"/>
  <c r="AD1144" i="5"/>
  <c r="AC1144" i="5"/>
  <c r="AD1143" i="5"/>
  <c r="AC1143" i="5"/>
  <c r="AD1142" i="5"/>
  <c r="AC1142" i="5"/>
  <c r="AD1136" i="5"/>
  <c r="AC1136" i="5"/>
  <c r="AD1135" i="5"/>
  <c r="AC1135" i="5"/>
  <c r="AD1134" i="5"/>
  <c r="AC1134" i="5"/>
  <c r="AD1133" i="5"/>
  <c r="AC1133" i="5"/>
  <c r="AD1132" i="5"/>
  <c r="AC1132" i="5"/>
  <c r="AD1126" i="5"/>
  <c r="AC1126" i="5"/>
  <c r="AD1125" i="5"/>
  <c r="AC1125" i="5"/>
  <c r="AD1124" i="5"/>
  <c r="AC1124" i="5"/>
  <c r="AD1123" i="5"/>
  <c r="AC1123" i="5"/>
  <c r="AD1122" i="5"/>
  <c r="AC1122" i="5"/>
  <c r="AD1116" i="5"/>
  <c r="AC1116" i="5"/>
  <c r="AD1115" i="5"/>
  <c r="AC1115" i="5"/>
  <c r="AD1114" i="5"/>
  <c r="AC1114" i="5"/>
  <c r="AD1113" i="5"/>
  <c r="AC1113" i="5"/>
  <c r="AD1112" i="5"/>
  <c r="AC1112" i="5"/>
  <c r="AD1106" i="5"/>
  <c r="AC1106" i="5"/>
  <c r="AD1105" i="5"/>
  <c r="AC1105" i="5"/>
  <c r="AD1104" i="5"/>
  <c r="AC1104" i="5"/>
  <c r="AD1103" i="5"/>
  <c r="AC1103" i="5"/>
  <c r="AD1102" i="5"/>
  <c r="AC1102" i="5"/>
  <c r="AD1096" i="5"/>
  <c r="AC1096" i="5"/>
  <c r="AD1095" i="5"/>
  <c r="AC1095" i="5"/>
  <c r="AD1094" i="5"/>
  <c r="AC1094" i="5"/>
  <c r="AD1093" i="5"/>
  <c r="AC1093" i="5"/>
  <c r="AD1092" i="5"/>
  <c r="AC1092" i="5"/>
  <c r="AD1086" i="5"/>
  <c r="AC1086" i="5"/>
  <c r="AD1085" i="5"/>
  <c r="AC1085" i="5"/>
  <c r="AD1084" i="5"/>
  <c r="AC1084" i="5"/>
  <c r="AD1083" i="5"/>
  <c r="AC1083" i="5"/>
  <c r="AD1082" i="5"/>
  <c r="AC1082" i="5"/>
  <c r="AD1076" i="5"/>
  <c r="AC1076" i="5"/>
  <c r="AD1075" i="5"/>
  <c r="AC1075" i="5"/>
  <c r="AD1074" i="5"/>
  <c r="AC1074" i="5"/>
  <c r="AD1073" i="5"/>
  <c r="AC1073" i="5"/>
  <c r="AD1072" i="5"/>
  <c r="AC1072" i="5"/>
  <c r="AD1066" i="5"/>
  <c r="AC1066" i="5"/>
  <c r="AD1065" i="5"/>
  <c r="AC1065" i="5"/>
  <c r="AD1064" i="5"/>
  <c r="AC1064" i="5"/>
  <c r="AD1063" i="5"/>
  <c r="AC1063" i="5"/>
  <c r="AD1062" i="5"/>
  <c r="AC1062" i="5"/>
  <c r="AD1056" i="5"/>
  <c r="AC1056" i="5"/>
  <c r="AD1055" i="5"/>
  <c r="AC1055" i="5"/>
  <c r="AD1054" i="5"/>
  <c r="AC1054" i="5"/>
  <c r="AD1053" i="5"/>
  <c r="AC1053" i="5"/>
  <c r="AD1052" i="5"/>
  <c r="AC1052" i="5"/>
  <c r="AD1046" i="5"/>
  <c r="AC1046" i="5"/>
  <c r="AD1045" i="5"/>
  <c r="AC1045" i="5"/>
  <c r="AD1044" i="5"/>
  <c r="AC1044" i="5"/>
  <c r="AD1043" i="5"/>
  <c r="AC1043" i="5"/>
  <c r="AD1042" i="5"/>
  <c r="AC1042" i="5"/>
  <c r="AD1036" i="5"/>
  <c r="AC1036" i="5"/>
  <c r="AD1035" i="5"/>
  <c r="AC1035" i="5"/>
  <c r="AD1034" i="5"/>
  <c r="AC1034" i="5"/>
  <c r="AD1033" i="5"/>
  <c r="AC1033" i="5"/>
  <c r="AD1032" i="5"/>
  <c r="AC1032" i="5"/>
  <c r="AD1026" i="5"/>
  <c r="AC1026" i="5"/>
  <c r="AD1025" i="5"/>
  <c r="AC1025" i="5"/>
  <c r="AD1024" i="5"/>
  <c r="AC1024" i="5"/>
  <c r="AD1023" i="5"/>
  <c r="AC1023" i="5"/>
  <c r="AD1022" i="5"/>
  <c r="AC1022" i="5"/>
  <c r="AD1016" i="5"/>
  <c r="AC1016" i="5"/>
  <c r="AD1015" i="5"/>
  <c r="AC1015" i="5"/>
  <c r="AD1014" i="5"/>
  <c r="AC1014" i="5"/>
  <c r="AD1013" i="5"/>
  <c r="AC1013" i="5"/>
  <c r="AD1012" i="5"/>
  <c r="AC1012" i="5"/>
  <c r="AD1006" i="5"/>
  <c r="AC1006" i="5"/>
  <c r="AD1005" i="5"/>
  <c r="AC1005" i="5"/>
  <c r="AD1004" i="5"/>
  <c r="AC1004" i="5"/>
  <c r="AD1003" i="5"/>
  <c r="AC1003" i="5"/>
  <c r="AD1002" i="5"/>
  <c r="AC1002" i="5"/>
  <c r="AD996" i="5"/>
  <c r="AC996" i="5"/>
  <c r="AD995" i="5"/>
  <c r="AC995" i="5"/>
  <c r="AD994" i="5"/>
  <c r="AC994" i="5"/>
  <c r="AD993" i="5"/>
  <c r="AC993" i="5"/>
  <c r="AD992" i="5"/>
  <c r="AC992" i="5"/>
  <c r="AD986" i="5"/>
  <c r="AC986" i="5"/>
  <c r="AD985" i="5"/>
  <c r="AC985" i="5"/>
  <c r="AD984" i="5"/>
  <c r="AC984" i="5"/>
  <c r="AD983" i="5"/>
  <c r="AC983" i="5"/>
  <c r="AD982" i="5"/>
  <c r="AC982" i="5"/>
  <c r="AD976" i="5"/>
  <c r="AC976" i="5"/>
  <c r="AD975" i="5"/>
  <c r="AC975" i="5"/>
  <c r="AD974" i="5"/>
  <c r="AC974" i="5"/>
  <c r="AD973" i="5"/>
  <c r="AC973" i="5"/>
  <c r="AD972" i="5"/>
  <c r="AC972" i="5"/>
  <c r="AD966" i="5"/>
  <c r="AC966" i="5"/>
  <c r="AD965" i="5"/>
  <c r="AC965" i="5"/>
  <c r="AD964" i="5"/>
  <c r="AC964" i="5"/>
  <c r="AD963" i="5"/>
  <c r="AC963" i="5"/>
  <c r="AD962" i="5"/>
  <c r="AC962" i="5"/>
  <c r="AD956" i="5"/>
  <c r="AC956" i="5"/>
  <c r="AD955" i="5"/>
  <c r="AC955" i="5"/>
  <c r="AD954" i="5"/>
  <c r="AC954" i="5"/>
  <c r="AD953" i="5"/>
  <c r="AC953" i="5"/>
  <c r="AD952" i="5"/>
  <c r="AC952" i="5"/>
  <c r="AD946" i="5"/>
  <c r="AC946" i="5"/>
  <c r="AD945" i="5"/>
  <c r="AC945" i="5"/>
  <c r="AD944" i="5"/>
  <c r="AC944" i="5"/>
  <c r="AD943" i="5"/>
  <c r="AC943" i="5"/>
  <c r="AD942" i="5"/>
  <c r="AC942" i="5"/>
  <c r="AD936" i="5"/>
  <c r="AC936" i="5"/>
  <c r="AD935" i="5"/>
  <c r="AC935" i="5"/>
  <c r="AD934" i="5"/>
  <c r="AC934" i="5"/>
  <c r="AD933" i="5"/>
  <c r="AC933" i="5"/>
  <c r="AD932" i="5"/>
  <c r="AC932" i="5"/>
  <c r="AD926" i="5"/>
  <c r="AC926" i="5"/>
  <c r="AD925" i="5"/>
  <c r="AC925" i="5"/>
  <c r="AD924" i="5"/>
  <c r="AC924" i="5"/>
  <c r="AD923" i="5"/>
  <c r="AC923" i="5"/>
  <c r="AD922" i="5"/>
  <c r="AC922" i="5"/>
  <c r="AD916" i="5"/>
  <c r="AC916" i="5"/>
  <c r="AD915" i="5"/>
  <c r="AC915" i="5"/>
  <c r="AD914" i="5"/>
  <c r="AC914" i="5"/>
  <c r="AD913" i="5"/>
  <c r="AC913" i="5"/>
  <c r="AD912" i="5"/>
  <c r="AC912" i="5"/>
  <c r="AD906" i="5"/>
  <c r="AC906" i="5"/>
  <c r="AD905" i="5"/>
  <c r="AC905" i="5"/>
  <c r="AD904" i="5"/>
  <c r="AC904" i="5"/>
  <c r="AD903" i="5"/>
  <c r="AC903" i="5"/>
  <c r="AD902" i="5"/>
  <c r="AC902" i="5"/>
  <c r="AD896" i="5"/>
  <c r="AC896" i="5"/>
  <c r="AD895" i="5"/>
  <c r="AC895" i="5"/>
  <c r="AD894" i="5"/>
  <c r="AC894" i="5"/>
  <c r="AD893" i="5"/>
  <c r="AC893" i="5"/>
  <c r="AD892" i="5"/>
  <c r="AC892" i="5"/>
  <c r="AD886" i="5"/>
  <c r="AC886" i="5"/>
  <c r="AD885" i="5"/>
  <c r="AC885" i="5"/>
  <c r="AD884" i="5"/>
  <c r="AC884" i="5"/>
  <c r="AD883" i="5"/>
  <c r="AC883" i="5"/>
  <c r="AD882" i="5"/>
  <c r="AC882" i="5"/>
  <c r="AD876" i="5"/>
  <c r="AC876" i="5"/>
  <c r="AD875" i="5"/>
  <c r="AC875" i="5"/>
  <c r="AD874" i="5"/>
  <c r="AC874" i="5"/>
  <c r="AD873" i="5"/>
  <c r="AC873" i="5"/>
  <c r="AD872" i="5"/>
  <c r="AC872" i="5"/>
  <c r="AD866" i="5"/>
  <c r="AC866" i="5"/>
  <c r="AD865" i="5"/>
  <c r="AC865" i="5"/>
  <c r="AD864" i="5"/>
  <c r="AC864" i="5"/>
  <c r="AD863" i="5"/>
  <c r="AC863" i="5"/>
  <c r="AD862" i="5"/>
  <c r="AC862" i="5"/>
  <c r="AD856" i="5"/>
  <c r="AC856" i="5"/>
  <c r="AD855" i="5"/>
  <c r="AC855" i="5"/>
  <c r="AD854" i="5"/>
  <c r="AC854" i="5"/>
  <c r="AD853" i="5"/>
  <c r="AC853" i="5"/>
  <c r="AD852" i="5"/>
  <c r="AC852" i="5"/>
  <c r="AD846" i="5"/>
  <c r="AC846" i="5"/>
  <c r="AD845" i="5"/>
  <c r="AC845" i="5"/>
  <c r="AD844" i="5"/>
  <c r="AC844" i="5"/>
  <c r="AD843" i="5"/>
  <c r="AC843" i="5"/>
  <c r="AD842" i="5"/>
  <c r="AC842" i="5"/>
  <c r="AD836" i="5"/>
  <c r="AC836" i="5"/>
  <c r="AD835" i="5"/>
  <c r="AC835" i="5"/>
  <c r="AD834" i="5"/>
  <c r="AC834" i="5"/>
  <c r="AD833" i="5"/>
  <c r="AC833" i="5"/>
  <c r="AD832" i="5"/>
  <c r="AC832" i="5"/>
  <c r="AD826" i="5"/>
  <c r="AC826" i="5"/>
  <c r="AD825" i="5"/>
  <c r="AC825" i="5"/>
  <c r="AD824" i="5"/>
  <c r="AC824" i="5"/>
  <c r="AD823" i="5"/>
  <c r="AC823" i="5"/>
  <c r="AD822" i="5"/>
  <c r="AC822" i="5"/>
  <c r="AD816" i="5"/>
  <c r="AC816" i="5"/>
  <c r="AD815" i="5"/>
  <c r="AC815" i="5"/>
  <c r="AD814" i="5"/>
  <c r="AC814" i="5"/>
  <c r="AD813" i="5"/>
  <c r="AC813" i="5"/>
  <c r="AD812" i="5"/>
  <c r="AC812" i="5"/>
  <c r="AD806" i="5"/>
  <c r="AC806" i="5"/>
  <c r="AD805" i="5"/>
  <c r="AC805" i="5"/>
  <c r="AD804" i="5"/>
  <c r="AC804" i="5"/>
  <c r="AD803" i="5"/>
  <c r="AC803" i="5"/>
  <c r="AD802" i="5"/>
  <c r="AC802" i="5"/>
  <c r="AD796" i="5"/>
  <c r="AC796" i="5"/>
  <c r="AD795" i="5"/>
  <c r="AC795" i="5"/>
  <c r="AD794" i="5"/>
  <c r="AC794" i="5"/>
  <c r="AD793" i="5"/>
  <c r="AC793" i="5"/>
  <c r="AD792" i="5"/>
  <c r="AC792" i="5"/>
  <c r="AD786" i="5"/>
  <c r="AC786" i="5"/>
  <c r="AD785" i="5"/>
  <c r="AC785" i="5"/>
  <c r="AD784" i="5"/>
  <c r="AC784" i="5"/>
  <c r="AD783" i="5"/>
  <c r="AC783" i="5"/>
  <c r="AD782" i="5"/>
  <c r="AC782" i="5"/>
  <c r="AD776" i="5"/>
  <c r="AC776" i="5"/>
  <c r="AD775" i="5"/>
  <c r="AC775" i="5"/>
  <c r="AD774" i="5"/>
  <c r="AC774" i="5"/>
  <c r="AD773" i="5"/>
  <c r="AC773" i="5"/>
  <c r="AD772" i="5"/>
  <c r="AC772" i="5"/>
  <c r="AD766" i="5"/>
  <c r="AC766" i="5"/>
  <c r="AD765" i="5"/>
  <c r="AC765" i="5"/>
  <c r="AD764" i="5"/>
  <c r="AC764" i="5"/>
  <c r="AD763" i="5"/>
  <c r="AC763" i="5"/>
  <c r="AD762" i="5"/>
  <c r="AC762" i="5"/>
  <c r="AD756" i="5"/>
  <c r="AC756" i="5"/>
  <c r="AD755" i="5"/>
  <c r="AC755" i="5"/>
  <c r="AD754" i="5"/>
  <c r="AC754" i="5"/>
  <c r="AD753" i="5"/>
  <c r="AC753" i="5"/>
  <c r="AD752" i="5"/>
  <c r="AC752" i="5"/>
  <c r="AD746" i="5"/>
  <c r="AC746" i="5"/>
  <c r="AD745" i="5"/>
  <c r="AC745" i="5"/>
  <c r="AD744" i="5"/>
  <c r="AC744" i="5"/>
  <c r="AD743" i="5"/>
  <c r="AC743" i="5"/>
  <c r="AD742" i="5"/>
  <c r="AC742" i="5"/>
  <c r="AD736" i="5"/>
  <c r="AC736" i="5"/>
  <c r="AD735" i="5"/>
  <c r="AC735" i="5"/>
  <c r="AD734" i="5"/>
  <c r="AC734" i="5"/>
  <c r="AD733" i="5"/>
  <c r="AC733" i="5"/>
  <c r="AD732" i="5"/>
  <c r="AC732" i="5"/>
  <c r="AD726" i="5"/>
  <c r="AC726" i="5"/>
  <c r="AD725" i="5"/>
  <c r="AC725" i="5"/>
  <c r="AD724" i="5"/>
  <c r="AC724" i="5"/>
  <c r="AD723" i="5"/>
  <c r="AC723" i="5"/>
  <c r="AD722" i="5"/>
  <c r="AC722" i="5"/>
  <c r="AD716" i="5"/>
  <c r="AC716" i="5"/>
  <c r="AD715" i="5"/>
  <c r="AC715" i="5"/>
  <c r="AD714" i="5"/>
  <c r="AC714" i="5"/>
  <c r="AD713" i="5"/>
  <c r="AC713" i="5"/>
  <c r="AD712" i="5"/>
  <c r="AC712" i="5"/>
  <c r="AD706" i="5"/>
  <c r="AC706" i="5"/>
  <c r="AD705" i="5"/>
  <c r="AC705" i="5"/>
  <c r="AD704" i="5"/>
  <c r="AC704" i="5"/>
  <c r="AD703" i="5"/>
  <c r="AC703" i="5"/>
  <c r="AD702" i="5"/>
  <c r="AC702" i="5"/>
  <c r="AD696" i="5"/>
  <c r="AC696" i="5"/>
  <c r="AD695" i="5"/>
  <c r="AC695" i="5"/>
  <c r="AD694" i="5"/>
  <c r="AC694" i="5"/>
  <c r="AD693" i="5"/>
  <c r="AC693" i="5"/>
  <c r="AD692" i="5"/>
  <c r="AC692" i="5"/>
  <c r="AD686" i="5"/>
  <c r="AC686" i="5"/>
  <c r="AD685" i="5"/>
  <c r="AC685" i="5"/>
  <c r="AD684" i="5"/>
  <c r="AC684" i="5"/>
  <c r="AD683" i="5"/>
  <c r="AC683" i="5"/>
  <c r="AD682" i="5"/>
  <c r="AC682" i="5"/>
  <c r="AD676" i="5"/>
  <c r="AC676" i="5"/>
  <c r="AD675" i="5"/>
  <c r="AC675" i="5"/>
  <c r="AD674" i="5"/>
  <c r="AC674" i="5"/>
  <c r="AD673" i="5"/>
  <c r="AC673" i="5"/>
  <c r="AD672" i="5"/>
  <c r="AC672" i="5"/>
  <c r="AD666" i="5"/>
  <c r="AC666" i="5"/>
  <c r="AD665" i="5"/>
  <c r="AC665" i="5"/>
  <c r="AD664" i="5"/>
  <c r="AC664" i="5"/>
  <c r="AD663" i="5"/>
  <c r="AC663" i="5"/>
  <c r="AD662" i="5"/>
  <c r="AC662" i="5"/>
  <c r="AD656" i="5"/>
  <c r="AC656" i="5"/>
  <c r="AD655" i="5"/>
  <c r="AC655" i="5"/>
  <c r="AD654" i="5"/>
  <c r="AC654" i="5"/>
  <c r="AD653" i="5"/>
  <c r="AC653" i="5"/>
  <c r="AD652" i="5"/>
  <c r="AC652" i="5"/>
  <c r="AD646" i="5"/>
  <c r="AC646" i="5"/>
  <c r="AD645" i="5"/>
  <c r="AC645" i="5"/>
  <c r="AD644" i="5"/>
  <c r="AC644" i="5"/>
  <c r="AD643" i="5"/>
  <c r="AC643" i="5"/>
  <c r="AD642" i="5"/>
  <c r="AC642" i="5"/>
  <c r="AD636" i="5"/>
  <c r="AC636" i="5"/>
  <c r="AD635" i="5"/>
  <c r="AC635" i="5"/>
  <c r="AD634" i="5"/>
  <c r="AC634" i="5"/>
  <c r="AD633" i="5"/>
  <c r="AC633" i="5"/>
  <c r="AD632" i="5"/>
  <c r="AC632" i="5"/>
  <c r="AD626" i="5"/>
  <c r="AC626" i="5"/>
  <c r="AD625" i="5"/>
  <c r="AC625" i="5"/>
  <c r="AD624" i="5"/>
  <c r="AC624" i="5"/>
  <c r="AD623" i="5"/>
  <c r="AC623" i="5"/>
  <c r="AD622" i="5"/>
  <c r="AC622" i="5"/>
  <c r="AD616" i="5"/>
  <c r="AC616" i="5"/>
  <c r="AD615" i="5"/>
  <c r="AC615" i="5"/>
  <c r="AD614" i="5"/>
  <c r="AC614" i="5"/>
  <c r="AD613" i="5"/>
  <c r="AC613" i="5"/>
  <c r="AD612" i="5"/>
  <c r="AC612" i="5"/>
  <c r="AD606" i="5"/>
  <c r="AC606" i="5"/>
  <c r="AD605" i="5"/>
  <c r="AC605" i="5"/>
  <c r="AD604" i="5"/>
  <c r="AC604" i="5"/>
  <c r="AD603" i="5"/>
  <c r="AC603" i="5"/>
  <c r="AD602" i="5"/>
  <c r="AC602" i="5"/>
  <c r="AD596" i="5"/>
  <c r="AC596" i="5"/>
  <c r="AD595" i="5"/>
  <c r="AC595" i="5"/>
  <c r="AD594" i="5"/>
  <c r="AC594" i="5"/>
  <c r="AD593" i="5"/>
  <c r="AC593" i="5"/>
  <c r="AD592" i="5"/>
  <c r="AC592" i="5"/>
  <c r="AD586" i="5"/>
  <c r="AC586" i="5"/>
  <c r="AD585" i="5"/>
  <c r="AC585" i="5"/>
  <c r="AD584" i="5"/>
  <c r="AC584" i="5"/>
  <c r="AD583" i="5"/>
  <c r="AC583" i="5"/>
  <c r="AD582" i="5"/>
  <c r="AC582" i="5"/>
  <c r="AD576" i="5"/>
  <c r="AC576" i="5"/>
  <c r="AD575" i="5"/>
  <c r="AC575" i="5"/>
  <c r="AD574" i="5"/>
  <c r="AC574" i="5"/>
  <c r="AD573" i="5"/>
  <c r="AC573" i="5"/>
  <c r="AD572" i="5"/>
  <c r="AC572" i="5"/>
  <c r="AD566" i="5"/>
  <c r="AC566" i="5"/>
  <c r="AD565" i="5"/>
  <c r="AC565" i="5"/>
  <c r="AD564" i="5"/>
  <c r="AC564" i="5"/>
  <c r="AD563" i="5"/>
  <c r="AC563" i="5"/>
  <c r="AD562" i="5"/>
  <c r="AC562" i="5"/>
  <c r="AD556" i="5"/>
  <c r="AC556" i="5"/>
  <c r="AD555" i="5"/>
  <c r="AC555" i="5"/>
  <c r="AD554" i="5"/>
  <c r="AC554" i="5"/>
  <c r="AD553" i="5"/>
  <c r="AC553" i="5"/>
  <c r="AD552" i="5"/>
  <c r="AC552" i="5"/>
  <c r="AD546" i="5"/>
  <c r="AC546" i="5"/>
  <c r="AD545" i="5"/>
  <c r="AC545" i="5"/>
  <c r="AD544" i="5"/>
  <c r="AC544" i="5"/>
  <c r="AD543" i="5"/>
  <c r="AC543" i="5"/>
  <c r="AD542" i="5"/>
  <c r="AC542" i="5"/>
  <c r="AD536" i="5"/>
  <c r="AC536" i="5"/>
  <c r="AD535" i="5"/>
  <c r="AC535" i="5"/>
  <c r="AD534" i="5"/>
  <c r="AC534" i="5"/>
  <c r="AD533" i="5"/>
  <c r="AC533" i="5"/>
  <c r="AD532" i="5"/>
  <c r="AC532" i="5"/>
  <c r="AD526" i="5"/>
  <c r="AC526" i="5"/>
  <c r="AD525" i="5"/>
  <c r="AC525" i="5"/>
  <c r="AD524" i="5"/>
  <c r="AC524" i="5"/>
  <c r="AD523" i="5"/>
  <c r="AC523" i="5"/>
  <c r="AD522" i="5"/>
  <c r="AC522" i="5"/>
  <c r="AD516" i="5"/>
  <c r="AC516" i="5"/>
  <c r="AD515" i="5"/>
  <c r="AC515" i="5"/>
  <c r="AD514" i="5"/>
  <c r="AC514" i="5"/>
  <c r="AD513" i="5"/>
  <c r="AC513" i="5"/>
  <c r="AD512" i="5"/>
  <c r="AC512" i="5"/>
  <c r="AD506" i="5"/>
  <c r="AC506" i="5"/>
  <c r="AD505" i="5"/>
  <c r="AC505" i="5"/>
  <c r="AD504" i="5"/>
  <c r="AC504" i="5"/>
  <c r="AD503" i="5"/>
  <c r="AC503" i="5"/>
  <c r="AD502" i="5"/>
  <c r="AC502" i="5"/>
  <c r="AD496" i="5"/>
  <c r="AC496" i="5"/>
  <c r="AD495" i="5"/>
  <c r="AC495" i="5"/>
  <c r="AD494" i="5"/>
  <c r="AC494" i="5"/>
  <c r="AD493" i="5"/>
  <c r="AC493" i="5"/>
  <c r="AD492" i="5"/>
  <c r="AC492" i="5"/>
  <c r="AD486" i="5"/>
  <c r="AC486" i="5"/>
  <c r="AD485" i="5"/>
  <c r="AC485" i="5"/>
  <c r="AD484" i="5"/>
  <c r="AC484" i="5"/>
  <c r="AD483" i="5"/>
  <c r="AC483" i="5"/>
  <c r="AD482" i="5"/>
  <c r="AC482" i="5"/>
  <c r="AD476" i="5"/>
  <c r="AC476" i="5"/>
  <c r="AD475" i="5"/>
  <c r="AC475" i="5"/>
  <c r="AD474" i="5"/>
  <c r="AC474" i="5"/>
  <c r="AD473" i="5"/>
  <c r="AC473" i="5"/>
  <c r="AD472" i="5"/>
  <c r="AC472" i="5"/>
  <c r="AD466" i="5"/>
  <c r="AC466" i="5"/>
  <c r="AD465" i="5"/>
  <c r="AC465" i="5"/>
  <c r="AD464" i="5"/>
  <c r="AC464" i="5"/>
  <c r="AD463" i="5"/>
  <c r="AC463" i="5"/>
  <c r="AD462" i="5"/>
  <c r="AC462" i="5"/>
  <c r="AD456" i="5"/>
  <c r="AC456" i="5"/>
  <c r="AD455" i="5"/>
  <c r="AC455" i="5"/>
  <c r="AD454" i="5"/>
  <c r="AC454" i="5"/>
  <c r="AD453" i="5"/>
  <c r="AC453" i="5"/>
  <c r="AD452" i="5"/>
  <c r="AC452" i="5"/>
  <c r="AD446" i="5"/>
  <c r="AC446" i="5"/>
  <c r="AD445" i="5"/>
  <c r="AC445" i="5"/>
  <c r="AD444" i="5"/>
  <c r="AC444" i="5"/>
  <c r="AD443" i="5"/>
  <c r="AC443" i="5"/>
  <c r="AD442" i="5"/>
  <c r="AC442" i="5"/>
  <c r="AD436" i="5"/>
  <c r="AC436" i="5"/>
  <c r="AD435" i="5"/>
  <c r="AC435" i="5"/>
  <c r="AD434" i="5"/>
  <c r="AC434" i="5"/>
  <c r="AD433" i="5"/>
  <c r="AC433" i="5"/>
  <c r="AD432" i="5"/>
  <c r="AC432" i="5"/>
  <c r="AD426" i="5"/>
  <c r="AC426" i="5"/>
  <c r="AD425" i="5"/>
  <c r="AC425" i="5"/>
  <c r="AD424" i="5"/>
  <c r="AC424" i="5"/>
  <c r="AD423" i="5"/>
  <c r="AC423" i="5"/>
  <c r="AD422" i="5"/>
  <c r="AC422" i="5"/>
  <c r="AD416" i="5"/>
  <c r="AC416" i="5"/>
  <c r="AD415" i="5"/>
  <c r="AC415" i="5"/>
  <c r="AD414" i="5"/>
  <c r="AC414" i="5"/>
  <c r="AD413" i="5"/>
  <c r="AC413" i="5"/>
  <c r="AD412" i="5"/>
  <c r="AC412" i="5"/>
  <c r="AD406" i="5"/>
  <c r="AC406" i="5"/>
  <c r="AD405" i="5"/>
  <c r="AC405" i="5"/>
  <c r="AD404" i="5"/>
  <c r="AC404" i="5"/>
  <c r="AD403" i="5"/>
  <c r="AC403" i="5"/>
  <c r="AD402" i="5"/>
  <c r="AC402" i="5"/>
  <c r="AD396" i="5"/>
  <c r="AC396" i="5"/>
  <c r="AD395" i="5"/>
  <c r="AC395" i="5"/>
  <c r="AD394" i="5"/>
  <c r="AC394" i="5"/>
  <c r="AD393" i="5"/>
  <c r="AC393" i="5"/>
  <c r="AD392" i="5"/>
  <c r="AC392" i="5"/>
  <c r="AD386" i="5"/>
  <c r="AC386" i="5"/>
  <c r="AD385" i="5"/>
  <c r="AC385" i="5"/>
  <c r="AD384" i="5"/>
  <c r="AC384" i="5"/>
  <c r="AD383" i="5"/>
  <c r="AC383" i="5"/>
  <c r="AD382" i="5"/>
  <c r="AC382" i="5"/>
  <c r="AD376" i="5"/>
  <c r="AC376" i="5"/>
  <c r="AD375" i="5"/>
  <c r="AC375" i="5"/>
  <c r="AD374" i="5"/>
  <c r="AC374" i="5"/>
  <c r="AD373" i="5"/>
  <c r="AC373" i="5"/>
  <c r="AD372" i="5"/>
  <c r="AC372" i="5"/>
  <c r="AD366" i="5"/>
  <c r="AC366" i="5"/>
  <c r="AD365" i="5"/>
  <c r="AC365" i="5"/>
  <c r="AD364" i="5"/>
  <c r="AC364" i="5"/>
  <c r="AD363" i="5"/>
  <c r="AC363" i="5"/>
  <c r="AD362" i="5"/>
  <c r="AC362" i="5"/>
  <c r="AD356" i="5"/>
  <c r="AC356" i="5"/>
  <c r="AD355" i="5"/>
  <c r="AC355" i="5"/>
  <c r="AD354" i="5"/>
  <c r="AC354" i="5"/>
  <c r="AD353" i="5"/>
  <c r="AC353" i="5"/>
  <c r="AD352" i="5"/>
  <c r="AC352" i="5"/>
  <c r="AD346" i="5"/>
  <c r="AC346" i="5"/>
  <c r="AD345" i="5"/>
  <c r="AC345" i="5"/>
  <c r="AD344" i="5"/>
  <c r="AC344" i="5"/>
  <c r="AD343" i="5"/>
  <c r="AC343" i="5"/>
  <c r="AD342" i="5"/>
  <c r="AC342" i="5"/>
  <c r="AD336" i="5"/>
  <c r="AC336" i="5"/>
  <c r="AD335" i="5"/>
  <c r="AC335" i="5"/>
  <c r="AD334" i="5"/>
  <c r="AC334" i="5"/>
  <c r="AD333" i="5"/>
  <c r="AC333" i="5"/>
  <c r="AD332" i="5"/>
  <c r="AC332" i="5"/>
  <c r="AD326" i="5"/>
  <c r="AC326" i="5"/>
  <c r="AD325" i="5"/>
  <c r="AC325" i="5"/>
  <c r="AD324" i="5"/>
  <c r="AC324" i="5"/>
  <c r="AD323" i="5"/>
  <c r="AC323" i="5"/>
  <c r="AD322" i="5"/>
  <c r="AC322" i="5"/>
  <c r="AD316" i="5"/>
  <c r="AC316" i="5"/>
  <c r="AD315" i="5"/>
  <c r="AC315" i="5"/>
  <c r="AD314" i="5"/>
  <c r="AC314" i="5"/>
  <c r="AD313" i="5"/>
  <c r="AC313" i="5"/>
  <c r="AD312" i="5"/>
  <c r="AC312" i="5"/>
  <c r="AD306" i="5"/>
  <c r="AC306" i="5"/>
  <c r="AD305" i="5"/>
  <c r="AC305" i="5"/>
  <c r="AD304" i="5"/>
  <c r="AC304" i="5"/>
  <c r="AD303" i="5"/>
  <c r="AC303" i="5"/>
  <c r="AD302" i="5"/>
  <c r="AC302" i="5"/>
  <c r="AD296" i="5"/>
  <c r="AC296" i="5"/>
  <c r="AD295" i="5"/>
  <c r="AC295" i="5"/>
  <c r="AD294" i="5"/>
  <c r="AC294" i="5"/>
  <c r="AD293" i="5"/>
  <c r="AC293" i="5"/>
  <c r="AD292" i="5"/>
  <c r="AC292" i="5"/>
  <c r="AD286" i="5"/>
  <c r="AC286" i="5"/>
  <c r="AD285" i="5"/>
  <c r="AC285" i="5"/>
  <c r="AD284" i="5"/>
  <c r="AC284" i="5"/>
  <c r="AD283" i="5"/>
  <c r="AC283" i="5"/>
  <c r="AD282" i="5"/>
  <c r="AC282" i="5"/>
  <c r="AD276" i="5"/>
  <c r="AC276" i="5"/>
  <c r="AD275" i="5"/>
  <c r="AC275" i="5"/>
  <c r="AD274" i="5"/>
  <c r="AC274" i="5"/>
  <c r="AD273" i="5"/>
  <c r="AC273" i="5"/>
  <c r="AD272" i="5"/>
  <c r="AC272" i="5"/>
  <c r="AD266" i="5"/>
  <c r="AC266" i="5"/>
  <c r="AD265" i="5"/>
  <c r="AC265" i="5"/>
  <c r="AD264" i="5"/>
  <c r="AC264" i="5"/>
  <c r="AD263" i="5"/>
  <c r="AC263" i="5"/>
  <c r="AD262" i="5"/>
  <c r="AC262" i="5"/>
  <c r="AD256" i="5"/>
  <c r="AC256" i="5"/>
  <c r="AD255" i="5"/>
  <c r="AC255" i="5"/>
  <c r="AD254" i="5"/>
  <c r="AC254" i="5"/>
  <c r="AD253" i="5"/>
  <c r="AC253" i="5"/>
  <c r="AD252" i="5"/>
  <c r="AC252" i="5"/>
  <c r="AD246" i="5"/>
  <c r="AC246" i="5"/>
  <c r="AD245" i="5"/>
  <c r="AC245" i="5"/>
  <c r="AD244" i="5"/>
  <c r="AC244" i="5"/>
  <c r="AD243" i="5"/>
  <c r="AC243" i="5"/>
  <c r="AD242" i="5"/>
  <c r="AC242" i="5"/>
  <c r="AD236" i="5"/>
  <c r="AC236" i="5"/>
  <c r="AD235" i="5"/>
  <c r="AC235" i="5"/>
  <c r="AD234" i="5"/>
  <c r="AC234" i="5"/>
  <c r="AD233" i="5"/>
  <c r="AC233" i="5"/>
  <c r="AD232" i="5"/>
  <c r="AC232" i="5"/>
  <c r="AD226" i="5"/>
  <c r="AC226" i="5"/>
  <c r="AD225" i="5"/>
  <c r="AC225" i="5"/>
  <c r="AD224" i="5"/>
  <c r="AC224" i="5"/>
  <c r="AD223" i="5"/>
  <c r="AC223" i="5"/>
  <c r="AD222" i="5"/>
  <c r="AC222" i="5"/>
  <c r="AD216" i="5"/>
  <c r="AC216" i="5"/>
  <c r="AD215" i="5"/>
  <c r="AC215" i="5"/>
  <c r="AD214" i="5"/>
  <c r="AC214" i="5"/>
  <c r="AD213" i="5"/>
  <c r="AC213" i="5"/>
  <c r="AD212" i="5"/>
  <c r="AC212" i="5"/>
  <c r="AD206" i="5"/>
  <c r="AC206" i="5"/>
  <c r="AD205" i="5"/>
  <c r="AC205" i="5"/>
  <c r="AD204" i="5"/>
  <c r="AC204" i="5"/>
  <c r="AD203" i="5"/>
  <c r="AC203" i="5"/>
  <c r="AD202" i="5"/>
  <c r="AC202" i="5"/>
  <c r="AD196" i="5"/>
  <c r="AC196" i="5"/>
  <c r="AD195" i="5"/>
  <c r="AC195" i="5"/>
  <c r="AD194" i="5"/>
  <c r="AC194" i="5"/>
  <c r="AD193" i="5"/>
  <c r="AC193" i="5"/>
  <c r="AD192" i="5"/>
  <c r="AC192" i="5"/>
  <c r="AD186" i="5"/>
  <c r="AC186" i="5"/>
  <c r="AD185" i="5"/>
  <c r="AC185" i="5"/>
  <c r="AD184" i="5"/>
  <c r="AC184" i="5"/>
  <c r="AD183" i="5"/>
  <c r="AC183" i="5"/>
  <c r="AD182" i="5"/>
  <c r="AC182" i="5"/>
  <c r="AD176" i="5"/>
  <c r="AC176" i="5"/>
  <c r="AD175" i="5"/>
  <c r="AC175" i="5"/>
  <c r="AD174" i="5"/>
  <c r="AC174" i="5"/>
  <c r="AD173" i="5"/>
  <c r="AC173" i="5"/>
  <c r="AD172" i="5"/>
  <c r="AC172" i="5"/>
  <c r="AD166" i="5"/>
  <c r="AC166" i="5"/>
  <c r="AD165" i="5"/>
  <c r="AC165" i="5"/>
  <c r="AD164" i="5"/>
  <c r="AC164" i="5"/>
  <c r="AD163" i="5"/>
  <c r="AC163" i="5"/>
  <c r="AD162" i="5"/>
  <c r="AC162" i="5"/>
  <c r="AD156" i="5"/>
  <c r="AC156" i="5"/>
  <c r="AD155" i="5"/>
  <c r="AC155" i="5"/>
  <c r="AD154" i="5"/>
  <c r="AC154" i="5"/>
  <c r="AD153" i="5"/>
  <c r="AC153" i="5"/>
  <c r="AD152" i="5"/>
  <c r="AC152" i="5"/>
  <c r="AD146" i="5"/>
  <c r="AC146" i="5"/>
  <c r="AD145" i="5"/>
  <c r="AC145" i="5"/>
  <c r="AD144" i="5"/>
  <c r="AC144" i="5"/>
  <c r="AD143" i="5"/>
  <c r="AC143" i="5"/>
  <c r="AD142" i="5"/>
  <c r="AC142" i="5"/>
  <c r="AD136" i="5"/>
  <c r="AC136" i="5"/>
  <c r="AD135" i="5"/>
  <c r="AC135" i="5"/>
  <c r="AD134" i="5"/>
  <c r="AC134" i="5"/>
  <c r="AD133" i="5"/>
  <c r="AC133" i="5"/>
  <c r="AD132" i="5"/>
  <c r="AC132" i="5"/>
  <c r="AD126" i="5"/>
  <c r="AC126" i="5"/>
  <c r="AD125" i="5"/>
  <c r="AC125" i="5"/>
  <c r="AD124" i="5"/>
  <c r="AC124" i="5"/>
  <c r="AD123" i="5"/>
  <c r="AC123" i="5"/>
  <c r="AD122" i="5"/>
  <c r="AC122" i="5"/>
  <c r="AD116" i="5"/>
  <c r="AC116" i="5"/>
  <c r="AD115" i="5"/>
  <c r="AC115" i="5"/>
  <c r="AD114" i="5"/>
  <c r="AC114" i="5"/>
  <c r="AD113" i="5"/>
  <c r="AC113" i="5"/>
  <c r="AD112" i="5"/>
  <c r="AC112" i="5"/>
  <c r="AD106" i="5"/>
  <c r="AC106" i="5"/>
  <c r="AD105" i="5"/>
  <c r="AC105" i="5"/>
  <c r="AD104" i="5"/>
  <c r="AC104" i="5"/>
  <c r="AD103" i="5"/>
  <c r="AC103" i="5"/>
  <c r="AD102" i="5"/>
  <c r="AC102" i="5"/>
  <c r="AD96" i="5"/>
  <c r="AC96" i="5"/>
  <c r="AD95" i="5"/>
  <c r="AC95" i="5"/>
  <c r="AD94" i="5"/>
  <c r="AC94" i="5"/>
  <c r="AD93" i="5"/>
  <c r="AC93" i="5"/>
  <c r="AD92" i="5"/>
  <c r="AC92" i="5"/>
  <c r="AD86" i="5"/>
  <c r="AC86" i="5"/>
  <c r="AD85" i="5"/>
  <c r="AC85" i="5"/>
  <c r="AD84" i="5"/>
  <c r="AC84" i="5"/>
  <c r="AD83" i="5"/>
  <c r="AC83" i="5"/>
  <c r="AD82" i="5"/>
  <c r="AC82" i="5"/>
  <c r="AD76" i="5"/>
  <c r="AC76" i="5"/>
  <c r="AD75" i="5"/>
  <c r="AC75" i="5"/>
  <c r="AD74" i="5"/>
  <c r="AC74" i="5"/>
  <c r="AD73" i="5"/>
  <c r="AC73" i="5"/>
  <c r="AD72" i="5"/>
  <c r="AC72" i="5"/>
  <c r="AD66" i="5"/>
  <c r="AC66" i="5"/>
  <c r="AD65" i="5"/>
  <c r="AC65" i="5"/>
  <c r="AD64" i="5"/>
  <c r="AC64" i="5"/>
  <c r="AD63" i="5"/>
  <c r="AC63" i="5"/>
  <c r="AD62" i="5"/>
  <c r="AC62" i="5"/>
  <c r="AD56" i="5"/>
  <c r="AC56" i="5"/>
  <c r="AD55" i="5"/>
  <c r="AC55" i="5"/>
  <c r="AD54" i="5"/>
  <c r="AC54" i="5"/>
  <c r="AD53" i="5"/>
  <c r="AC53" i="5"/>
  <c r="AD52" i="5"/>
  <c r="AC52" i="5"/>
  <c r="AD46" i="5"/>
  <c r="AC46" i="5"/>
  <c r="AD45" i="5"/>
  <c r="AC45" i="5"/>
  <c r="AD44" i="5"/>
  <c r="AC44" i="5"/>
  <c r="AD43" i="5"/>
  <c r="AC43" i="5"/>
  <c r="AD42" i="5"/>
  <c r="AC42" i="5"/>
  <c r="AD36" i="5"/>
  <c r="AC36" i="5"/>
  <c r="AD35" i="5"/>
  <c r="AC35" i="5"/>
  <c r="AD34" i="5"/>
  <c r="AC34" i="5"/>
  <c r="AD33" i="5"/>
  <c r="AC33" i="5"/>
  <c r="AD32" i="5"/>
  <c r="AC32" i="5"/>
  <c r="AD26" i="5"/>
  <c r="AC26" i="5"/>
  <c r="AD25" i="5"/>
  <c r="AC25" i="5"/>
  <c r="AD24" i="5"/>
  <c r="AC24" i="5"/>
  <c r="AD23" i="5"/>
  <c r="AC23" i="5"/>
  <c r="AD22" i="5"/>
  <c r="AC22" i="5"/>
  <c r="AD16" i="5"/>
  <c r="AC16" i="5"/>
  <c r="AD15" i="5"/>
  <c r="AC15" i="5"/>
  <c r="AD14" i="5"/>
  <c r="AC14" i="5"/>
  <c r="AD13" i="5"/>
  <c r="AC13" i="5"/>
  <c r="AD12" i="5"/>
  <c r="AC12" i="5"/>
  <c r="L8" i="4"/>
  <c r="I8" i="4"/>
  <c r="H8" i="4"/>
  <c r="G8" i="4"/>
  <c r="F8" i="4"/>
  <c r="D8" i="4"/>
  <c r="C8" i="4"/>
  <c r="B8" i="4"/>
  <c r="BN150" i="2"/>
  <c r="BM150" i="2"/>
  <c r="BL150" i="2"/>
  <c r="BK150" i="2"/>
  <c r="AW150" i="2"/>
  <c r="AQ150" i="2"/>
  <c r="AJ150" i="2"/>
  <c r="AH150" i="2"/>
  <c r="AE150" i="2"/>
  <c r="AC150" i="2"/>
  <c r="AB150" i="2"/>
  <c r="Z150" i="2"/>
  <c r="W150" i="2"/>
  <c r="U150" i="2"/>
  <c r="T150" i="2"/>
  <c r="Q150" i="2"/>
  <c r="O150" i="2"/>
  <c r="M150" i="2"/>
  <c r="L150" i="2"/>
  <c r="BN169" i="2"/>
  <c r="BM169" i="2"/>
  <c r="BL169" i="2"/>
  <c r="BK169" i="2"/>
  <c r="AW169" i="2"/>
  <c r="AQ169" i="2"/>
  <c r="AJ169" i="2"/>
  <c r="AH169" i="2"/>
  <c r="AE169" i="2"/>
  <c r="AC169" i="2"/>
  <c r="AB169" i="2"/>
  <c r="Z169" i="2"/>
  <c r="W169" i="2"/>
  <c r="U169" i="2"/>
  <c r="T169" i="2"/>
  <c r="Q169" i="2"/>
  <c r="O169" i="2"/>
  <c r="M169" i="2"/>
  <c r="L169" i="2"/>
  <c r="BN75" i="2"/>
  <c r="BM75" i="2"/>
  <c r="BL75" i="2"/>
  <c r="BK75" i="2"/>
  <c r="AW75" i="2"/>
  <c r="AQ75" i="2"/>
  <c r="AJ75" i="2"/>
  <c r="AH75" i="2"/>
  <c r="AE75" i="2"/>
  <c r="AC75" i="2"/>
  <c r="AB75" i="2"/>
  <c r="Z75" i="2"/>
  <c r="W75" i="2"/>
  <c r="U75" i="2"/>
  <c r="T75" i="2"/>
  <c r="Q75" i="2"/>
  <c r="O75" i="2"/>
  <c r="M75" i="2"/>
  <c r="L75" i="2"/>
  <c r="BN155" i="2"/>
  <c r="BM155" i="2"/>
  <c r="BL155" i="2"/>
  <c r="BK155" i="2"/>
  <c r="AW155" i="2"/>
  <c r="AQ155" i="2"/>
  <c r="AJ155" i="2"/>
  <c r="AH155" i="2"/>
  <c r="AE155" i="2"/>
  <c r="AC155" i="2"/>
  <c r="AB155" i="2"/>
  <c r="Z155" i="2"/>
  <c r="W155" i="2"/>
  <c r="U155" i="2"/>
  <c r="T155" i="2"/>
  <c r="Q155" i="2"/>
  <c r="O155" i="2"/>
  <c r="M155" i="2"/>
  <c r="L155" i="2"/>
  <c r="BN129" i="2"/>
  <c r="BM129" i="2"/>
  <c r="BL129" i="2"/>
  <c r="BK129" i="2"/>
  <c r="AW129" i="2"/>
  <c r="AQ129" i="2"/>
  <c r="AJ129" i="2"/>
  <c r="AH129" i="2"/>
  <c r="AE129" i="2"/>
  <c r="AC129" i="2"/>
  <c r="AB129" i="2"/>
  <c r="Z129" i="2"/>
  <c r="W129" i="2"/>
  <c r="U129" i="2"/>
  <c r="T129" i="2"/>
  <c r="Q129" i="2"/>
  <c r="O129" i="2"/>
  <c r="M129" i="2"/>
  <c r="L129" i="2"/>
  <c r="BN47" i="2"/>
  <c r="BM47" i="2"/>
  <c r="BL47" i="2"/>
  <c r="BK47" i="2"/>
  <c r="AW47" i="2"/>
  <c r="AQ47" i="2"/>
  <c r="AJ47" i="2"/>
  <c r="AH47" i="2"/>
  <c r="AE47" i="2"/>
  <c r="AC47" i="2"/>
  <c r="AB47" i="2"/>
  <c r="Z47" i="2"/>
  <c r="W47" i="2"/>
  <c r="U47" i="2"/>
  <c r="T47" i="2"/>
  <c r="Q47" i="2"/>
  <c r="O47" i="2"/>
  <c r="M47" i="2"/>
  <c r="L47" i="2"/>
  <c r="BN65" i="2"/>
  <c r="BM65" i="2"/>
  <c r="BL65" i="2"/>
  <c r="BK65" i="2"/>
  <c r="AW65" i="2"/>
  <c r="AQ65" i="2"/>
  <c r="AJ65" i="2"/>
  <c r="AH65" i="2"/>
  <c r="AE65" i="2"/>
  <c r="AC65" i="2"/>
  <c r="AB65" i="2"/>
  <c r="Z65" i="2"/>
  <c r="W65" i="2"/>
  <c r="U65" i="2"/>
  <c r="T65" i="2"/>
  <c r="Q65" i="2"/>
  <c r="O65" i="2"/>
  <c r="M65" i="2"/>
  <c r="L65" i="2"/>
  <c r="BN147" i="2"/>
  <c r="BM147" i="2"/>
  <c r="BL147" i="2"/>
  <c r="BK147" i="2"/>
  <c r="AW147" i="2"/>
  <c r="AQ147" i="2"/>
  <c r="AJ147" i="2"/>
  <c r="AH147" i="2"/>
  <c r="AE147" i="2"/>
  <c r="AC147" i="2"/>
  <c r="AB147" i="2"/>
  <c r="Z147" i="2"/>
  <c r="W147" i="2"/>
  <c r="U147" i="2"/>
  <c r="T147" i="2"/>
  <c r="Q147" i="2"/>
  <c r="O147" i="2"/>
  <c r="M147" i="2"/>
  <c r="L147" i="2"/>
  <c r="BN17" i="2"/>
  <c r="BM17" i="2"/>
  <c r="BL17" i="2"/>
  <c r="BK17" i="2"/>
  <c r="AW17" i="2"/>
  <c r="AQ17" i="2"/>
  <c r="AJ17" i="2"/>
  <c r="AH17" i="2"/>
  <c r="AE17" i="2"/>
  <c r="AC17" i="2"/>
  <c r="AB17" i="2"/>
  <c r="Z17" i="2"/>
  <c r="W17" i="2"/>
  <c r="U17" i="2"/>
  <c r="T17" i="2"/>
  <c r="Q17" i="2"/>
  <c r="O17" i="2"/>
  <c r="M17" i="2"/>
  <c r="L17" i="2"/>
  <c r="BN152" i="2"/>
  <c r="BM152" i="2"/>
  <c r="BL152" i="2"/>
  <c r="BK152" i="2"/>
  <c r="AW152" i="2"/>
  <c r="AQ152" i="2"/>
  <c r="AJ152" i="2"/>
  <c r="AH152" i="2"/>
  <c r="AE152" i="2"/>
  <c r="AC152" i="2"/>
  <c r="AB152" i="2"/>
  <c r="Z152" i="2"/>
  <c r="W152" i="2"/>
  <c r="U152" i="2"/>
  <c r="T152" i="2"/>
  <c r="Q152" i="2"/>
  <c r="O152" i="2"/>
  <c r="M152" i="2"/>
  <c r="L152" i="2"/>
  <c r="BN33" i="2"/>
  <c r="BM33" i="2"/>
  <c r="BL33" i="2"/>
  <c r="BK33" i="2"/>
  <c r="AW33" i="2"/>
  <c r="AQ33" i="2"/>
  <c r="AJ33" i="2"/>
  <c r="AH33" i="2"/>
  <c r="AE33" i="2"/>
  <c r="AC33" i="2"/>
  <c r="AB33" i="2"/>
  <c r="Z33" i="2"/>
  <c r="W33" i="2"/>
  <c r="U33" i="2"/>
  <c r="T33" i="2"/>
  <c r="Q33" i="2"/>
  <c r="O33" i="2"/>
  <c r="M33" i="2"/>
  <c r="L33" i="2"/>
  <c r="BN92" i="2"/>
  <c r="BM92" i="2"/>
  <c r="BL92" i="2"/>
  <c r="BK92" i="2"/>
  <c r="AW92" i="2"/>
  <c r="AQ92" i="2"/>
  <c r="AJ92" i="2"/>
  <c r="AH92" i="2"/>
  <c r="AE92" i="2"/>
  <c r="AC92" i="2"/>
  <c r="AB92" i="2"/>
  <c r="Z92" i="2"/>
  <c r="W92" i="2"/>
  <c r="U92" i="2"/>
  <c r="T92" i="2"/>
  <c r="Q92" i="2"/>
  <c r="O92" i="2"/>
  <c r="M92" i="2"/>
  <c r="L92" i="2"/>
  <c r="BN86" i="2"/>
  <c r="BM86" i="2"/>
  <c r="BL86" i="2"/>
  <c r="BK86" i="2"/>
  <c r="AW86" i="2"/>
  <c r="AQ86" i="2"/>
  <c r="AJ86" i="2"/>
  <c r="AH86" i="2"/>
  <c r="AE86" i="2"/>
  <c r="AC86" i="2"/>
  <c r="AB86" i="2"/>
  <c r="Z86" i="2"/>
  <c r="W86" i="2"/>
  <c r="U86" i="2"/>
  <c r="T86" i="2"/>
  <c r="Q86" i="2"/>
  <c r="O86" i="2"/>
  <c r="M86" i="2"/>
  <c r="L86" i="2"/>
  <c r="BN51" i="2"/>
  <c r="BM51" i="2"/>
  <c r="BL51" i="2"/>
  <c r="BK51" i="2"/>
  <c r="AW51" i="2"/>
  <c r="AQ51" i="2"/>
  <c r="AJ51" i="2"/>
  <c r="AH51" i="2"/>
  <c r="AE51" i="2"/>
  <c r="AC51" i="2"/>
  <c r="AB51" i="2"/>
  <c r="Z51" i="2"/>
  <c r="W51" i="2"/>
  <c r="U51" i="2"/>
  <c r="T51" i="2"/>
  <c r="Q51" i="2"/>
  <c r="O51" i="2"/>
  <c r="M51" i="2"/>
  <c r="L51" i="2"/>
  <c r="BN63" i="2"/>
  <c r="BM63" i="2"/>
  <c r="BL63" i="2"/>
  <c r="BK63" i="2"/>
  <c r="AW63" i="2"/>
  <c r="AQ63" i="2"/>
  <c r="AJ63" i="2"/>
  <c r="AH63" i="2"/>
  <c r="AE63" i="2"/>
  <c r="AC63" i="2"/>
  <c r="AB63" i="2"/>
  <c r="Z63" i="2"/>
  <c r="W63" i="2"/>
  <c r="U63" i="2"/>
  <c r="T63" i="2"/>
  <c r="Q63" i="2"/>
  <c r="O63" i="2"/>
  <c r="M63" i="2"/>
  <c r="L63" i="2"/>
  <c r="BN166" i="2"/>
  <c r="BM166" i="2"/>
  <c r="BL166" i="2"/>
  <c r="BK166" i="2"/>
  <c r="AW166" i="2"/>
  <c r="AQ166" i="2"/>
  <c r="AJ166" i="2"/>
  <c r="AH166" i="2"/>
  <c r="AE166" i="2"/>
  <c r="AC166" i="2"/>
  <c r="AB166" i="2"/>
  <c r="Z166" i="2"/>
  <c r="W166" i="2"/>
  <c r="U166" i="2"/>
  <c r="T166" i="2"/>
  <c r="Q166" i="2"/>
  <c r="O166" i="2"/>
  <c r="M166" i="2"/>
  <c r="L166" i="2"/>
  <c r="BN134" i="2"/>
  <c r="BM134" i="2"/>
  <c r="BL134" i="2"/>
  <c r="BK134" i="2"/>
  <c r="AW134" i="2"/>
  <c r="AQ134" i="2"/>
  <c r="AJ134" i="2"/>
  <c r="AH134" i="2"/>
  <c r="AE134" i="2"/>
  <c r="AC134" i="2"/>
  <c r="AB134" i="2"/>
  <c r="Z134" i="2"/>
  <c r="W134" i="2"/>
  <c r="U134" i="2"/>
  <c r="T134" i="2"/>
  <c r="Q134" i="2"/>
  <c r="O134" i="2"/>
  <c r="M134" i="2"/>
  <c r="L134" i="2"/>
  <c r="BN122" i="2"/>
  <c r="BM122" i="2"/>
  <c r="BL122" i="2"/>
  <c r="BK122" i="2"/>
  <c r="AW122" i="2"/>
  <c r="AQ122" i="2"/>
  <c r="AJ122" i="2"/>
  <c r="AH122" i="2"/>
  <c r="AE122" i="2"/>
  <c r="AC122" i="2"/>
  <c r="AB122" i="2"/>
  <c r="Z122" i="2"/>
  <c r="W122" i="2"/>
  <c r="U122" i="2"/>
  <c r="T122" i="2"/>
  <c r="Q122" i="2"/>
  <c r="O122" i="2"/>
  <c r="M122" i="2"/>
  <c r="L122" i="2"/>
  <c r="BN141" i="2"/>
  <c r="BM141" i="2"/>
  <c r="BL141" i="2"/>
  <c r="BK141" i="2"/>
  <c r="AW141" i="2"/>
  <c r="AQ141" i="2"/>
  <c r="AJ141" i="2"/>
  <c r="AH141" i="2"/>
  <c r="AE141" i="2"/>
  <c r="AC141" i="2"/>
  <c r="AB141" i="2"/>
  <c r="Z141" i="2"/>
  <c r="W141" i="2"/>
  <c r="U141" i="2"/>
  <c r="T141" i="2"/>
  <c r="Q141" i="2"/>
  <c r="O141" i="2"/>
  <c r="M141" i="2"/>
  <c r="L141" i="2"/>
  <c r="BN116" i="2"/>
  <c r="BM116" i="2"/>
  <c r="BL116" i="2"/>
  <c r="BK116" i="2"/>
  <c r="AW116" i="2"/>
  <c r="AQ116" i="2"/>
  <c r="AJ116" i="2"/>
  <c r="AH116" i="2"/>
  <c r="AE116" i="2"/>
  <c r="AC116" i="2"/>
  <c r="AB116" i="2"/>
  <c r="Z116" i="2"/>
  <c r="W116" i="2"/>
  <c r="U116" i="2"/>
  <c r="T116" i="2"/>
  <c r="Q116" i="2"/>
  <c r="O116" i="2"/>
  <c r="M116" i="2"/>
  <c r="L116" i="2"/>
  <c r="BN82" i="2"/>
  <c r="BM82" i="2"/>
  <c r="BL82" i="2"/>
  <c r="BK82" i="2"/>
  <c r="AW82" i="2"/>
  <c r="AQ82" i="2"/>
  <c r="AJ82" i="2"/>
  <c r="AH82" i="2"/>
  <c r="AE82" i="2"/>
  <c r="AC82" i="2"/>
  <c r="AB82" i="2"/>
  <c r="Z82" i="2"/>
  <c r="W82" i="2"/>
  <c r="U82" i="2"/>
  <c r="T82" i="2"/>
  <c r="Q82" i="2"/>
  <c r="O82" i="2"/>
  <c r="M82" i="2"/>
  <c r="L82" i="2"/>
  <c r="BN16" i="2"/>
  <c r="BM16" i="2"/>
  <c r="BL16" i="2"/>
  <c r="BK16" i="2"/>
  <c r="AW16" i="2"/>
  <c r="AQ16" i="2"/>
  <c r="AJ16" i="2"/>
  <c r="AH16" i="2"/>
  <c r="AE16" i="2"/>
  <c r="AC16" i="2"/>
  <c r="AB16" i="2"/>
  <c r="Z16" i="2"/>
  <c r="W16" i="2"/>
  <c r="U16" i="2"/>
  <c r="T16" i="2"/>
  <c r="Q16" i="2"/>
  <c r="O16" i="2"/>
  <c r="M16" i="2"/>
  <c r="L16" i="2"/>
  <c r="BN128" i="2"/>
  <c r="BM128" i="2"/>
  <c r="BL128" i="2"/>
  <c r="BK128" i="2"/>
  <c r="AW128" i="2"/>
  <c r="AQ128" i="2"/>
  <c r="AJ128" i="2"/>
  <c r="AH128" i="2"/>
  <c r="AE128" i="2"/>
  <c r="AC128" i="2"/>
  <c r="AB128" i="2"/>
  <c r="Z128" i="2"/>
  <c r="W128" i="2"/>
  <c r="U128" i="2"/>
  <c r="T128" i="2"/>
  <c r="Q128" i="2"/>
  <c r="O128" i="2"/>
  <c r="M128" i="2"/>
  <c r="L128" i="2"/>
  <c r="BN84" i="2"/>
  <c r="BM84" i="2"/>
  <c r="BL84" i="2"/>
  <c r="BK84" i="2"/>
  <c r="AW84" i="2"/>
  <c r="AQ84" i="2"/>
  <c r="AJ84" i="2"/>
  <c r="AH84" i="2"/>
  <c r="AE84" i="2"/>
  <c r="AC84" i="2"/>
  <c r="AB84" i="2"/>
  <c r="Z84" i="2"/>
  <c r="W84" i="2"/>
  <c r="U84" i="2"/>
  <c r="T84" i="2"/>
  <c r="Q84" i="2"/>
  <c r="O84" i="2"/>
  <c r="M84" i="2"/>
  <c r="L84" i="2"/>
  <c r="BN125" i="2"/>
  <c r="BM125" i="2"/>
  <c r="BL125" i="2"/>
  <c r="BK125" i="2"/>
  <c r="AW125" i="2"/>
  <c r="AQ125" i="2"/>
  <c r="AJ125" i="2"/>
  <c r="AH125" i="2"/>
  <c r="AE125" i="2"/>
  <c r="AC125" i="2"/>
  <c r="AB125" i="2"/>
  <c r="Z125" i="2"/>
  <c r="W125" i="2"/>
  <c r="U125" i="2"/>
  <c r="T125" i="2"/>
  <c r="Q125" i="2"/>
  <c r="O125" i="2"/>
  <c r="M125" i="2"/>
  <c r="L125" i="2"/>
  <c r="BN114" i="2"/>
  <c r="BM114" i="2"/>
  <c r="BL114" i="2"/>
  <c r="BK114" i="2"/>
  <c r="AW114" i="2"/>
  <c r="AQ114" i="2"/>
  <c r="AJ114" i="2"/>
  <c r="AH114" i="2"/>
  <c r="AE114" i="2"/>
  <c r="AC114" i="2"/>
  <c r="AB114" i="2"/>
  <c r="Z114" i="2"/>
  <c r="W114" i="2"/>
  <c r="U114" i="2"/>
  <c r="T114" i="2"/>
  <c r="Q114" i="2"/>
  <c r="O114" i="2"/>
  <c r="M114" i="2"/>
  <c r="L114" i="2"/>
  <c r="BN88" i="2"/>
  <c r="BM88" i="2"/>
  <c r="BL88" i="2"/>
  <c r="BK88" i="2"/>
  <c r="AW88" i="2"/>
  <c r="AQ88" i="2"/>
  <c r="AJ88" i="2"/>
  <c r="AH88" i="2"/>
  <c r="AE88" i="2"/>
  <c r="AC88" i="2"/>
  <c r="AB88" i="2"/>
  <c r="Z88" i="2"/>
  <c r="W88" i="2"/>
  <c r="U88" i="2"/>
  <c r="T88" i="2"/>
  <c r="Q88" i="2"/>
  <c r="O88" i="2"/>
  <c r="M88" i="2"/>
  <c r="L88" i="2"/>
  <c r="BN99" i="2"/>
  <c r="BM99" i="2"/>
  <c r="BL99" i="2"/>
  <c r="BK99" i="2"/>
  <c r="AW99" i="2"/>
  <c r="AQ99" i="2"/>
  <c r="AJ99" i="2"/>
  <c r="AH99" i="2"/>
  <c r="AE99" i="2"/>
  <c r="AC99" i="2"/>
  <c r="AB99" i="2"/>
  <c r="Z99" i="2"/>
  <c r="W99" i="2"/>
  <c r="U99" i="2"/>
  <c r="T99" i="2"/>
  <c r="Q99" i="2"/>
  <c r="O99" i="2"/>
  <c r="M99" i="2"/>
  <c r="L99" i="2"/>
  <c r="BN130" i="2"/>
  <c r="BM130" i="2"/>
  <c r="BL130" i="2"/>
  <c r="BK130" i="2"/>
  <c r="AW130" i="2"/>
  <c r="AQ130" i="2"/>
  <c r="AJ130" i="2"/>
  <c r="AH130" i="2"/>
  <c r="AE130" i="2"/>
  <c r="AC130" i="2"/>
  <c r="AB130" i="2"/>
  <c r="Z130" i="2"/>
  <c r="W130" i="2"/>
  <c r="U130" i="2"/>
  <c r="T130" i="2"/>
  <c r="Q130" i="2"/>
  <c r="O130" i="2"/>
  <c r="M130" i="2"/>
  <c r="L130" i="2"/>
  <c r="BN46" i="2"/>
  <c r="BM46" i="2"/>
  <c r="BL46" i="2"/>
  <c r="BK46" i="2"/>
  <c r="AW46" i="2"/>
  <c r="AQ46" i="2"/>
  <c r="AJ46" i="2"/>
  <c r="AH46" i="2"/>
  <c r="AE46" i="2"/>
  <c r="AC46" i="2"/>
  <c r="AB46" i="2"/>
  <c r="Z46" i="2"/>
  <c r="W46" i="2"/>
  <c r="U46" i="2"/>
  <c r="T46" i="2"/>
  <c r="Q46" i="2"/>
  <c r="O46" i="2"/>
  <c r="M46" i="2"/>
  <c r="L46" i="2"/>
  <c r="BN31" i="2"/>
  <c r="BM31" i="2"/>
  <c r="BL31" i="2"/>
  <c r="BK31" i="2"/>
  <c r="AW31" i="2"/>
  <c r="AQ31" i="2"/>
  <c r="AJ31" i="2"/>
  <c r="AH31" i="2"/>
  <c r="AE31" i="2"/>
  <c r="AC31" i="2"/>
  <c r="AB31" i="2"/>
  <c r="Z31" i="2"/>
  <c r="W31" i="2"/>
  <c r="U31" i="2"/>
  <c r="T31" i="2"/>
  <c r="Q31" i="2"/>
  <c r="O31" i="2"/>
  <c r="M31" i="2"/>
  <c r="L31" i="2"/>
  <c r="BN39" i="2"/>
  <c r="BM39" i="2"/>
  <c r="BL39" i="2"/>
  <c r="BK39" i="2"/>
  <c r="AW39" i="2"/>
  <c r="AQ39" i="2"/>
  <c r="AJ39" i="2"/>
  <c r="AH39" i="2"/>
  <c r="AE39" i="2"/>
  <c r="AC39" i="2"/>
  <c r="AB39" i="2"/>
  <c r="Z39" i="2"/>
  <c r="W39" i="2"/>
  <c r="U39" i="2"/>
  <c r="T39" i="2"/>
  <c r="Q39" i="2"/>
  <c r="O39" i="2"/>
  <c r="M39" i="2"/>
  <c r="L39" i="2"/>
  <c r="BN106" i="2"/>
  <c r="BM106" i="2"/>
  <c r="BL106" i="2"/>
  <c r="BK106" i="2"/>
  <c r="AW106" i="2"/>
  <c r="AQ106" i="2"/>
  <c r="AJ106" i="2"/>
  <c r="AH106" i="2"/>
  <c r="AE106" i="2"/>
  <c r="AC106" i="2"/>
  <c r="AB106" i="2"/>
  <c r="Z106" i="2"/>
  <c r="W106" i="2"/>
  <c r="U106" i="2"/>
  <c r="T106" i="2"/>
  <c r="Q106" i="2"/>
  <c r="O106" i="2"/>
  <c r="M106" i="2"/>
  <c r="L106" i="2"/>
  <c r="BN79" i="2"/>
  <c r="BM79" i="2"/>
  <c r="BL79" i="2"/>
  <c r="BK79" i="2"/>
  <c r="AW79" i="2"/>
  <c r="AQ79" i="2"/>
  <c r="AJ79" i="2"/>
  <c r="AH79" i="2"/>
  <c r="AE79" i="2"/>
  <c r="AC79" i="2"/>
  <c r="AB79" i="2"/>
  <c r="Z79" i="2"/>
  <c r="W79" i="2"/>
  <c r="U79" i="2"/>
  <c r="T79" i="2"/>
  <c r="Q79" i="2"/>
  <c r="O79" i="2"/>
  <c r="M79" i="2"/>
  <c r="L79" i="2"/>
  <c r="BN13" i="2"/>
  <c r="BM13" i="2"/>
  <c r="BL13" i="2"/>
  <c r="BK13" i="2"/>
  <c r="AW13" i="2"/>
  <c r="AQ13" i="2"/>
  <c r="AJ13" i="2"/>
  <c r="AH13" i="2"/>
  <c r="AE13" i="2"/>
  <c r="AC13" i="2"/>
  <c r="AB13" i="2"/>
  <c r="Z13" i="2"/>
  <c r="W13" i="2"/>
  <c r="U13" i="2"/>
  <c r="T13" i="2"/>
  <c r="Q13" i="2"/>
  <c r="O13" i="2"/>
  <c r="M13" i="2"/>
  <c r="L13" i="2"/>
  <c r="BN104" i="2"/>
  <c r="BM104" i="2"/>
  <c r="BL104" i="2"/>
  <c r="BK104" i="2"/>
  <c r="AW104" i="2"/>
  <c r="AQ104" i="2"/>
  <c r="AJ104" i="2"/>
  <c r="AH104" i="2"/>
  <c r="AE104" i="2"/>
  <c r="AC104" i="2"/>
  <c r="AB104" i="2"/>
  <c r="Z104" i="2"/>
  <c r="W104" i="2"/>
  <c r="U104" i="2"/>
  <c r="T104" i="2"/>
  <c r="Q104" i="2"/>
  <c r="O104" i="2"/>
  <c r="M104" i="2"/>
  <c r="L104" i="2"/>
  <c r="BN7" i="2"/>
  <c r="BM7" i="2"/>
  <c r="BL7" i="2"/>
  <c r="BK7" i="2"/>
  <c r="AW7" i="2"/>
  <c r="AQ7" i="2"/>
  <c r="AJ7" i="2"/>
  <c r="AH7" i="2"/>
  <c r="AE7" i="2"/>
  <c r="AC7" i="2"/>
  <c r="AB7" i="2"/>
  <c r="Z7" i="2"/>
  <c r="W7" i="2"/>
  <c r="U7" i="2"/>
  <c r="T7" i="2"/>
  <c r="Q7" i="2"/>
  <c r="O7" i="2"/>
  <c r="M7" i="2"/>
  <c r="L7" i="2"/>
  <c r="BN133" i="2"/>
  <c r="BM133" i="2"/>
  <c r="BL133" i="2"/>
  <c r="BK133" i="2"/>
  <c r="AW133" i="2"/>
  <c r="AQ133" i="2"/>
  <c r="AJ133" i="2"/>
  <c r="AH133" i="2"/>
  <c r="AE133" i="2"/>
  <c r="AC133" i="2"/>
  <c r="AB133" i="2"/>
  <c r="Z133" i="2"/>
  <c r="W133" i="2"/>
  <c r="U133" i="2"/>
  <c r="T133" i="2"/>
  <c r="Q133" i="2"/>
  <c r="O133" i="2"/>
  <c r="M133" i="2"/>
  <c r="L133" i="2"/>
  <c r="BN121" i="2"/>
  <c r="BM121" i="2"/>
  <c r="BL121" i="2"/>
  <c r="BK121" i="2"/>
  <c r="AW121" i="2"/>
  <c r="AQ121" i="2"/>
  <c r="AJ121" i="2"/>
  <c r="AH121" i="2"/>
  <c r="AE121" i="2"/>
  <c r="AC121" i="2"/>
  <c r="AB121" i="2"/>
  <c r="Z121" i="2"/>
  <c r="W121" i="2"/>
  <c r="U121" i="2"/>
  <c r="T121" i="2"/>
  <c r="Q121" i="2"/>
  <c r="O121" i="2"/>
  <c r="M121" i="2"/>
  <c r="L121" i="2"/>
  <c r="BN148" i="2"/>
  <c r="BM148" i="2"/>
  <c r="BL148" i="2"/>
  <c r="BK148" i="2"/>
  <c r="AW148" i="2"/>
  <c r="AQ148" i="2"/>
  <c r="AJ148" i="2"/>
  <c r="AH148" i="2"/>
  <c r="AE148" i="2"/>
  <c r="AC148" i="2"/>
  <c r="AB148" i="2"/>
  <c r="Z148" i="2"/>
  <c r="W148" i="2"/>
  <c r="U148" i="2"/>
  <c r="T148" i="2"/>
  <c r="Q148" i="2"/>
  <c r="O148" i="2"/>
  <c r="M148" i="2"/>
  <c r="L148" i="2"/>
  <c r="BN29" i="2"/>
  <c r="BM29" i="2"/>
  <c r="BL29" i="2"/>
  <c r="BK29" i="2"/>
  <c r="AW29" i="2"/>
  <c r="AQ29" i="2"/>
  <c r="AJ29" i="2"/>
  <c r="AH29" i="2"/>
  <c r="AE29" i="2"/>
  <c r="AC29" i="2"/>
  <c r="AB29" i="2"/>
  <c r="Z29" i="2"/>
  <c r="W29" i="2"/>
  <c r="U29" i="2"/>
  <c r="T29" i="2"/>
  <c r="Q29" i="2"/>
  <c r="O29" i="2"/>
  <c r="M29" i="2"/>
  <c r="L29" i="2"/>
  <c r="BN41" i="2"/>
  <c r="BM41" i="2"/>
  <c r="BL41" i="2"/>
  <c r="BK41" i="2"/>
  <c r="AW41" i="2"/>
  <c r="AQ41" i="2"/>
  <c r="AJ41" i="2"/>
  <c r="AH41" i="2"/>
  <c r="AE41" i="2"/>
  <c r="AC41" i="2"/>
  <c r="AB41" i="2"/>
  <c r="Z41" i="2"/>
  <c r="W41" i="2"/>
  <c r="U41" i="2"/>
  <c r="T41" i="2"/>
  <c r="Q41" i="2"/>
  <c r="O41" i="2"/>
  <c r="M41" i="2"/>
  <c r="L41" i="2"/>
  <c r="BN161" i="2"/>
  <c r="BM161" i="2"/>
  <c r="BL161" i="2"/>
  <c r="BK161" i="2"/>
  <c r="AW161" i="2"/>
  <c r="AQ161" i="2"/>
  <c r="AJ161" i="2"/>
  <c r="AH161" i="2"/>
  <c r="AE161" i="2"/>
  <c r="AC161" i="2"/>
  <c r="AB161" i="2"/>
  <c r="Z161" i="2"/>
  <c r="W161" i="2"/>
  <c r="U161" i="2"/>
  <c r="T161" i="2"/>
  <c r="Q161" i="2"/>
  <c r="O161" i="2"/>
  <c r="M161" i="2"/>
  <c r="L161" i="2"/>
  <c r="BN68" i="2"/>
  <c r="BM68" i="2"/>
  <c r="BL68" i="2"/>
  <c r="BK68" i="2"/>
  <c r="AW68" i="2"/>
  <c r="AQ68" i="2"/>
  <c r="AJ68" i="2"/>
  <c r="AH68" i="2"/>
  <c r="AE68" i="2"/>
  <c r="AC68" i="2"/>
  <c r="AB68" i="2"/>
  <c r="Z68" i="2"/>
  <c r="W68" i="2"/>
  <c r="U68" i="2"/>
  <c r="T68" i="2"/>
  <c r="Q68" i="2"/>
  <c r="O68" i="2"/>
  <c r="M68" i="2"/>
  <c r="L68" i="2"/>
  <c r="BN23" i="2"/>
  <c r="BM23" i="2"/>
  <c r="BL23" i="2"/>
  <c r="BK23" i="2"/>
  <c r="AW23" i="2"/>
  <c r="AQ23" i="2"/>
  <c r="AJ23" i="2"/>
  <c r="AH23" i="2"/>
  <c r="AE23" i="2"/>
  <c r="AC23" i="2"/>
  <c r="AB23" i="2"/>
  <c r="Z23" i="2"/>
  <c r="W23" i="2"/>
  <c r="U23" i="2"/>
  <c r="T23" i="2"/>
  <c r="Q23" i="2"/>
  <c r="O23" i="2"/>
  <c r="M23" i="2"/>
  <c r="L23" i="2"/>
  <c r="BN78" i="2"/>
  <c r="BM78" i="2"/>
  <c r="BL78" i="2"/>
  <c r="BK78" i="2"/>
  <c r="AW78" i="2"/>
  <c r="AQ78" i="2"/>
  <c r="AJ78" i="2"/>
  <c r="AH78" i="2"/>
  <c r="AE78" i="2"/>
  <c r="AC78" i="2"/>
  <c r="AB78" i="2"/>
  <c r="Z78" i="2"/>
  <c r="W78" i="2"/>
  <c r="U78" i="2"/>
  <c r="T78" i="2"/>
  <c r="Q78" i="2"/>
  <c r="O78" i="2"/>
  <c r="M78" i="2"/>
  <c r="L78" i="2"/>
  <c r="BN85" i="2"/>
  <c r="BM85" i="2"/>
  <c r="BL85" i="2"/>
  <c r="BK85" i="2"/>
  <c r="AW85" i="2"/>
  <c r="AQ85" i="2"/>
  <c r="AJ85" i="2"/>
  <c r="AH85" i="2"/>
  <c r="AE85" i="2"/>
  <c r="AC85" i="2"/>
  <c r="AB85" i="2"/>
  <c r="Z85" i="2"/>
  <c r="W85" i="2"/>
  <c r="U85" i="2"/>
  <c r="T85" i="2"/>
  <c r="Q85" i="2"/>
  <c r="O85" i="2"/>
  <c r="M85" i="2"/>
  <c r="L85" i="2"/>
  <c r="BN127" i="2"/>
  <c r="BM127" i="2"/>
  <c r="BL127" i="2"/>
  <c r="BK127" i="2"/>
  <c r="AW127" i="2"/>
  <c r="AQ127" i="2"/>
  <c r="AJ127" i="2"/>
  <c r="AH127" i="2"/>
  <c r="AE127" i="2"/>
  <c r="AC127" i="2"/>
  <c r="AB127" i="2"/>
  <c r="Z127" i="2"/>
  <c r="W127" i="2"/>
  <c r="U127" i="2"/>
  <c r="T127" i="2"/>
  <c r="Q127" i="2"/>
  <c r="O127" i="2"/>
  <c r="M127" i="2"/>
  <c r="L127" i="2"/>
  <c r="BN53" i="2"/>
  <c r="BM53" i="2"/>
  <c r="BL53" i="2"/>
  <c r="BK53" i="2"/>
  <c r="AW53" i="2"/>
  <c r="AQ53" i="2"/>
  <c r="AJ53" i="2"/>
  <c r="AH53" i="2"/>
  <c r="AE53" i="2"/>
  <c r="AC53" i="2"/>
  <c r="AB53" i="2"/>
  <c r="Z53" i="2"/>
  <c r="W53" i="2"/>
  <c r="U53" i="2"/>
  <c r="T53" i="2"/>
  <c r="Q53" i="2"/>
  <c r="O53" i="2"/>
  <c r="M53" i="2"/>
  <c r="L53" i="2"/>
  <c r="BN153" i="2"/>
  <c r="BM153" i="2"/>
  <c r="BL153" i="2"/>
  <c r="BK153" i="2"/>
  <c r="AW153" i="2"/>
  <c r="AQ153" i="2"/>
  <c r="AJ153" i="2"/>
  <c r="AH153" i="2"/>
  <c r="AE153" i="2"/>
  <c r="AC153" i="2"/>
  <c r="AB153" i="2"/>
  <c r="Z153" i="2"/>
  <c r="W153" i="2"/>
  <c r="U153" i="2"/>
  <c r="T153" i="2"/>
  <c r="Q153" i="2"/>
  <c r="O153" i="2"/>
  <c r="M153" i="2"/>
  <c r="L153" i="2"/>
  <c r="BN160" i="2"/>
  <c r="BM160" i="2"/>
  <c r="BL160" i="2"/>
  <c r="BK160" i="2"/>
  <c r="AW160" i="2"/>
  <c r="AQ160" i="2"/>
  <c r="AJ160" i="2"/>
  <c r="AH160" i="2"/>
  <c r="AE160" i="2"/>
  <c r="AC160" i="2"/>
  <c r="AB160" i="2"/>
  <c r="Z160" i="2"/>
  <c r="W160" i="2"/>
  <c r="U160" i="2"/>
  <c r="T160" i="2"/>
  <c r="Q160" i="2"/>
  <c r="O160" i="2"/>
  <c r="M160" i="2"/>
  <c r="L160" i="2"/>
  <c r="BN154" i="2"/>
  <c r="BM154" i="2"/>
  <c r="BL154" i="2"/>
  <c r="BK154" i="2"/>
  <c r="AW154" i="2"/>
  <c r="AQ154" i="2"/>
  <c r="AJ154" i="2"/>
  <c r="AH154" i="2"/>
  <c r="AE154" i="2"/>
  <c r="AC154" i="2"/>
  <c r="AB154" i="2"/>
  <c r="Z154" i="2"/>
  <c r="W154" i="2"/>
  <c r="U154" i="2"/>
  <c r="T154" i="2"/>
  <c r="Q154" i="2"/>
  <c r="O154" i="2"/>
  <c r="M154" i="2"/>
  <c r="L154" i="2"/>
  <c r="BN135" i="2"/>
  <c r="BM135" i="2"/>
  <c r="BL135" i="2"/>
  <c r="BK135" i="2"/>
  <c r="AW135" i="2"/>
  <c r="AQ135" i="2"/>
  <c r="AJ135" i="2"/>
  <c r="AH135" i="2"/>
  <c r="AE135" i="2"/>
  <c r="AC135" i="2"/>
  <c r="AB135" i="2"/>
  <c r="Z135" i="2"/>
  <c r="W135" i="2"/>
  <c r="U135" i="2"/>
  <c r="T135" i="2"/>
  <c r="Q135" i="2"/>
  <c r="O135" i="2"/>
  <c r="M135" i="2"/>
  <c r="L135" i="2"/>
  <c r="BN58" i="2"/>
  <c r="BM58" i="2"/>
  <c r="BL58" i="2"/>
  <c r="BK58" i="2"/>
  <c r="AW58" i="2"/>
  <c r="AQ58" i="2"/>
  <c r="AJ58" i="2"/>
  <c r="AH58" i="2"/>
  <c r="AE58" i="2"/>
  <c r="AC58" i="2"/>
  <c r="AB58" i="2"/>
  <c r="Z58" i="2"/>
  <c r="W58" i="2"/>
  <c r="U58" i="2"/>
  <c r="T58" i="2"/>
  <c r="Q58" i="2"/>
  <c r="O58" i="2"/>
  <c r="M58" i="2"/>
  <c r="L58" i="2"/>
  <c r="BN90" i="2"/>
  <c r="BM90" i="2"/>
  <c r="BL90" i="2"/>
  <c r="BK90" i="2"/>
  <c r="AW90" i="2"/>
  <c r="AQ90" i="2"/>
  <c r="AJ90" i="2"/>
  <c r="AH90" i="2"/>
  <c r="AE90" i="2"/>
  <c r="AC90" i="2"/>
  <c r="AB90" i="2"/>
  <c r="Z90" i="2"/>
  <c r="W90" i="2"/>
  <c r="U90" i="2"/>
  <c r="T90" i="2"/>
  <c r="Q90" i="2"/>
  <c r="O90" i="2"/>
  <c r="M90" i="2"/>
  <c r="L90" i="2"/>
  <c r="BN67" i="2"/>
  <c r="BM67" i="2"/>
  <c r="BL67" i="2"/>
  <c r="BK67" i="2"/>
  <c r="AW67" i="2"/>
  <c r="AQ67" i="2"/>
  <c r="AJ67" i="2"/>
  <c r="AH67" i="2"/>
  <c r="AE67" i="2"/>
  <c r="AC67" i="2"/>
  <c r="AB67" i="2"/>
  <c r="Z67" i="2"/>
  <c r="W67" i="2"/>
  <c r="U67" i="2"/>
  <c r="T67" i="2"/>
  <c r="Q67" i="2"/>
  <c r="O67" i="2"/>
  <c r="M67" i="2"/>
  <c r="L67" i="2"/>
  <c r="BN111" i="2"/>
  <c r="BM111" i="2"/>
  <c r="BL111" i="2"/>
  <c r="BK111" i="2"/>
  <c r="AW111" i="2"/>
  <c r="AQ111" i="2"/>
  <c r="AJ111" i="2"/>
  <c r="AH111" i="2"/>
  <c r="AE111" i="2"/>
  <c r="AC111" i="2"/>
  <c r="AB111" i="2"/>
  <c r="Z111" i="2"/>
  <c r="W111" i="2"/>
  <c r="U111" i="2"/>
  <c r="T111" i="2"/>
  <c r="Q111" i="2"/>
  <c r="O111" i="2"/>
  <c r="M111" i="2"/>
  <c r="L111" i="2"/>
  <c r="BN76" i="2"/>
  <c r="BM76" i="2"/>
  <c r="BL76" i="2"/>
  <c r="BK76" i="2"/>
  <c r="AW76" i="2"/>
  <c r="AQ76" i="2"/>
  <c r="AJ76" i="2"/>
  <c r="AH76" i="2"/>
  <c r="AE76" i="2"/>
  <c r="AC76" i="2"/>
  <c r="AB76" i="2"/>
  <c r="Z76" i="2"/>
  <c r="W76" i="2"/>
  <c r="U76" i="2"/>
  <c r="T76" i="2"/>
  <c r="Q76" i="2"/>
  <c r="O76" i="2"/>
  <c r="M76" i="2"/>
  <c r="L76" i="2"/>
  <c r="BN157" i="2"/>
  <c r="BM157" i="2"/>
  <c r="BL157" i="2"/>
  <c r="BK157" i="2"/>
  <c r="AW157" i="2"/>
  <c r="AQ157" i="2"/>
  <c r="AJ157" i="2"/>
  <c r="AH157" i="2"/>
  <c r="AE157" i="2"/>
  <c r="AC157" i="2"/>
  <c r="AB157" i="2"/>
  <c r="Z157" i="2"/>
  <c r="W157" i="2"/>
  <c r="U157" i="2"/>
  <c r="T157" i="2"/>
  <c r="Q157" i="2"/>
  <c r="O157" i="2"/>
  <c r="M157" i="2"/>
  <c r="L157" i="2"/>
  <c r="BN19" i="2"/>
  <c r="BM19" i="2"/>
  <c r="BL19" i="2"/>
  <c r="BK19" i="2"/>
  <c r="AW19" i="2"/>
  <c r="AQ19" i="2"/>
  <c r="AJ19" i="2"/>
  <c r="AH19" i="2"/>
  <c r="AE19" i="2"/>
  <c r="AC19" i="2"/>
  <c r="AB19" i="2"/>
  <c r="Z19" i="2"/>
  <c r="W19" i="2"/>
  <c r="U19" i="2"/>
  <c r="T19" i="2"/>
  <c r="Q19" i="2"/>
  <c r="O19" i="2"/>
  <c r="M19" i="2"/>
  <c r="L19" i="2"/>
  <c r="BN57" i="2"/>
  <c r="BM57" i="2"/>
  <c r="BL57" i="2"/>
  <c r="BK57" i="2"/>
  <c r="AW57" i="2"/>
  <c r="AQ57" i="2"/>
  <c r="AJ57" i="2"/>
  <c r="AH57" i="2"/>
  <c r="AE57" i="2"/>
  <c r="AC57" i="2"/>
  <c r="AB57" i="2"/>
  <c r="Z57" i="2"/>
  <c r="W57" i="2"/>
  <c r="U57" i="2"/>
  <c r="T57" i="2"/>
  <c r="Q57" i="2"/>
  <c r="O57" i="2"/>
  <c r="M57" i="2"/>
  <c r="L57" i="2"/>
  <c r="BN110" i="2"/>
  <c r="BM110" i="2"/>
  <c r="BL110" i="2"/>
  <c r="BK110" i="2"/>
  <c r="AW110" i="2"/>
  <c r="AQ110" i="2"/>
  <c r="AJ110" i="2"/>
  <c r="AH110" i="2"/>
  <c r="AE110" i="2"/>
  <c r="AC110" i="2"/>
  <c r="AB110" i="2"/>
  <c r="Z110" i="2"/>
  <c r="W110" i="2"/>
  <c r="U110" i="2"/>
  <c r="T110" i="2"/>
  <c r="Q110" i="2"/>
  <c r="O110" i="2"/>
  <c r="M110" i="2"/>
  <c r="L110" i="2"/>
  <c r="BN162" i="2"/>
  <c r="BM162" i="2"/>
  <c r="BL162" i="2"/>
  <c r="BK162" i="2"/>
  <c r="AW162" i="2"/>
  <c r="AQ162" i="2"/>
  <c r="AJ162" i="2"/>
  <c r="AH162" i="2"/>
  <c r="AE162" i="2"/>
  <c r="AC162" i="2"/>
  <c r="AB162" i="2"/>
  <c r="Z162" i="2"/>
  <c r="W162" i="2"/>
  <c r="U162" i="2"/>
  <c r="T162" i="2"/>
  <c r="Q162" i="2"/>
  <c r="O162" i="2"/>
  <c r="M162" i="2"/>
  <c r="L162" i="2"/>
  <c r="BN42" i="2"/>
  <c r="BM42" i="2"/>
  <c r="BL42" i="2"/>
  <c r="BK42" i="2"/>
  <c r="AW42" i="2"/>
  <c r="AQ42" i="2"/>
  <c r="AJ42" i="2"/>
  <c r="AH42" i="2"/>
  <c r="AE42" i="2"/>
  <c r="AC42" i="2"/>
  <c r="AB42" i="2"/>
  <c r="Z42" i="2"/>
  <c r="W42" i="2"/>
  <c r="U42" i="2"/>
  <c r="T42" i="2"/>
  <c r="Q42" i="2"/>
  <c r="O42" i="2"/>
  <c r="M42" i="2"/>
  <c r="L42" i="2"/>
  <c r="BN22" i="2"/>
  <c r="BM22" i="2"/>
  <c r="BL22" i="2"/>
  <c r="BK22" i="2"/>
  <c r="AW22" i="2"/>
  <c r="AQ22" i="2"/>
  <c r="AJ22" i="2"/>
  <c r="AH22" i="2"/>
  <c r="AE22" i="2"/>
  <c r="AC22" i="2"/>
  <c r="AB22" i="2"/>
  <c r="Z22" i="2"/>
  <c r="W22" i="2"/>
  <c r="U22" i="2"/>
  <c r="T22" i="2"/>
  <c r="Q22" i="2"/>
  <c r="O22" i="2"/>
  <c r="M22" i="2"/>
  <c r="L22" i="2"/>
  <c r="BN113" i="2"/>
  <c r="BM113" i="2"/>
  <c r="BL113" i="2"/>
  <c r="BK113" i="2"/>
  <c r="AW113" i="2"/>
  <c r="AQ113" i="2"/>
  <c r="AJ113" i="2"/>
  <c r="AH113" i="2"/>
  <c r="AE113" i="2"/>
  <c r="AC113" i="2"/>
  <c r="AB113" i="2"/>
  <c r="Z113" i="2"/>
  <c r="W113" i="2"/>
  <c r="U113" i="2"/>
  <c r="T113" i="2"/>
  <c r="Q113" i="2"/>
  <c r="O113" i="2"/>
  <c r="M113" i="2"/>
  <c r="L113" i="2"/>
  <c r="BN61" i="2"/>
  <c r="BM61" i="2"/>
  <c r="BL61" i="2"/>
  <c r="BK61" i="2"/>
  <c r="AW61" i="2"/>
  <c r="AQ61" i="2"/>
  <c r="AJ61" i="2"/>
  <c r="AH61" i="2"/>
  <c r="AE61" i="2"/>
  <c r="AC61" i="2"/>
  <c r="AB61" i="2"/>
  <c r="Z61" i="2"/>
  <c r="W61" i="2"/>
  <c r="U61" i="2"/>
  <c r="T61" i="2"/>
  <c r="Q61" i="2"/>
  <c r="O61" i="2"/>
  <c r="M61" i="2"/>
  <c r="L61" i="2"/>
  <c r="BN145" i="2"/>
  <c r="BM145" i="2"/>
  <c r="BL145" i="2"/>
  <c r="BK145" i="2"/>
  <c r="AW145" i="2"/>
  <c r="AQ145" i="2"/>
  <c r="AJ145" i="2"/>
  <c r="AH145" i="2"/>
  <c r="AE145" i="2"/>
  <c r="AC145" i="2"/>
  <c r="AB145" i="2"/>
  <c r="Z145" i="2"/>
  <c r="W145" i="2"/>
  <c r="U145" i="2"/>
  <c r="T145" i="2"/>
  <c r="Q145" i="2"/>
  <c r="O145" i="2"/>
  <c r="M145" i="2"/>
  <c r="L145" i="2"/>
  <c r="BN64" i="2"/>
  <c r="BM64" i="2"/>
  <c r="BL64" i="2"/>
  <c r="BK64" i="2"/>
  <c r="AW64" i="2"/>
  <c r="AQ64" i="2"/>
  <c r="AJ64" i="2"/>
  <c r="AH64" i="2"/>
  <c r="AE64" i="2"/>
  <c r="AC64" i="2"/>
  <c r="AB64" i="2"/>
  <c r="Z64" i="2"/>
  <c r="W64" i="2"/>
  <c r="U64" i="2"/>
  <c r="T64" i="2"/>
  <c r="Q64" i="2"/>
  <c r="O64" i="2"/>
  <c r="M64" i="2"/>
  <c r="L64" i="2"/>
  <c r="BN54" i="2"/>
  <c r="BM54" i="2"/>
  <c r="BL54" i="2"/>
  <c r="BK54" i="2"/>
  <c r="AW54" i="2"/>
  <c r="AQ54" i="2"/>
  <c r="AJ54" i="2"/>
  <c r="AH54" i="2"/>
  <c r="AE54" i="2"/>
  <c r="AC54" i="2"/>
  <c r="AB54" i="2"/>
  <c r="Z54" i="2"/>
  <c r="W54" i="2"/>
  <c r="U54" i="2"/>
  <c r="T54" i="2"/>
  <c r="Q54" i="2"/>
  <c r="O54" i="2"/>
  <c r="M54" i="2"/>
  <c r="L54" i="2"/>
  <c r="BN37" i="2"/>
  <c r="BM37" i="2"/>
  <c r="BL37" i="2"/>
  <c r="BK37" i="2"/>
  <c r="AW37" i="2"/>
  <c r="AQ37" i="2"/>
  <c r="AJ37" i="2"/>
  <c r="AH37" i="2"/>
  <c r="AE37" i="2"/>
  <c r="AC37" i="2"/>
  <c r="AB37" i="2"/>
  <c r="Z37" i="2"/>
  <c r="W37" i="2"/>
  <c r="U37" i="2"/>
  <c r="T37" i="2"/>
  <c r="Q37" i="2"/>
  <c r="O37" i="2"/>
  <c r="M37" i="2"/>
  <c r="L37" i="2"/>
  <c r="BN25" i="2"/>
  <c r="BM25" i="2"/>
  <c r="BL25" i="2"/>
  <c r="BK25" i="2"/>
  <c r="AW25" i="2"/>
  <c r="AQ25" i="2"/>
  <c r="AJ25" i="2"/>
  <c r="AH25" i="2"/>
  <c r="AE25" i="2"/>
  <c r="AC25" i="2"/>
  <c r="AB25" i="2"/>
  <c r="Z25" i="2"/>
  <c r="W25" i="2"/>
  <c r="U25" i="2"/>
  <c r="T25" i="2"/>
  <c r="Q25" i="2"/>
  <c r="O25" i="2"/>
  <c r="M25" i="2"/>
  <c r="L25" i="2"/>
  <c r="BN132" i="2"/>
  <c r="BM132" i="2"/>
  <c r="BL132" i="2"/>
  <c r="BK132" i="2"/>
  <c r="AW132" i="2"/>
  <c r="AQ132" i="2"/>
  <c r="AJ132" i="2"/>
  <c r="AH132" i="2"/>
  <c r="AE132" i="2"/>
  <c r="AC132" i="2"/>
  <c r="AB132" i="2"/>
  <c r="Z132" i="2"/>
  <c r="W132" i="2"/>
  <c r="U132" i="2"/>
  <c r="T132" i="2"/>
  <c r="Q132" i="2"/>
  <c r="O132" i="2"/>
  <c r="M132" i="2"/>
  <c r="L132" i="2"/>
  <c r="BN151" i="2"/>
  <c r="BM151" i="2"/>
  <c r="BL151" i="2"/>
  <c r="BK151" i="2"/>
  <c r="AW151" i="2"/>
  <c r="AQ151" i="2"/>
  <c r="AJ151" i="2"/>
  <c r="AH151" i="2"/>
  <c r="AE151" i="2"/>
  <c r="AC151" i="2"/>
  <c r="AB151" i="2"/>
  <c r="Z151" i="2"/>
  <c r="W151" i="2"/>
  <c r="U151" i="2"/>
  <c r="T151" i="2"/>
  <c r="Q151" i="2"/>
  <c r="O151" i="2"/>
  <c r="M151" i="2"/>
  <c r="L151" i="2"/>
  <c r="BN124" i="2"/>
  <c r="BM124" i="2"/>
  <c r="BL124" i="2"/>
  <c r="BK124" i="2"/>
  <c r="AW124" i="2"/>
  <c r="AQ124" i="2"/>
  <c r="AJ124" i="2"/>
  <c r="AH124" i="2"/>
  <c r="AE124" i="2"/>
  <c r="AC124" i="2"/>
  <c r="AB124" i="2"/>
  <c r="Z124" i="2"/>
  <c r="W124" i="2"/>
  <c r="U124" i="2"/>
  <c r="T124" i="2"/>
  <c r="Q124" i="2"/>
  <c r="O124" i="2"/>
  <c r="M124" i="2"/>
  <c r="L124" i="2"/>
  <c r="BN144" i="2"/>
  <c r="BM144" i="2"/>
  <c r="BL144" i="2"/>
  <c r="BK144" i="2"/>
  <c r="AW144" i="2"/>
  <c r="AQ144" i="2"/>
  <c r="AJ144" i="2"/>
  <c r="AH144" i="2"/>
  <c r="AE144" i="2"/>
  <c r="AC144" i="2"/>
  <c r="AB144" i="2"/>
  <c r="Z144" i="2"/>
  <c r="W144" i="2"/>
  <c r="U144" i="2"/>
  <c r="T144" i="2"/>
  <c r="Q144" i="2"/>
  <c r="O144" i="2"/>
  <c r="M144" i="2"/>
  <c r="L144" i="2"/>
  <c r="BN28" i="2"/>
  <c r="BM28" i="2"/>
  <c r="BL28" i="2"/>
  <c r="BK28" i="2"/>
  <c r="AW28" i="2"/>
  <c r="AQ28" i="2"/>
  <c r="AJ28" i="2"/>
  <c r="AH28" i="2"/>
  <c r="AE28" i="2"/>
  <c r="AC28" i="2"/>
  <c r="AB28" i="2"/>
  <c r="Z28" i="2"/>
  <c r="W28" i="2"/>
  <c r="U28" i="2"/>
  <c r="T28" i="2"/>
  <c r="Q28" i="2"/>
  <c r="O28" i="2"/>
  <c r="M28" i="2"/>
  <c r="L28" i="2"/>
  <c r="BN32" i="2"/>
  <c r="BM32" i="2"/>
  <c r="BL32" i="2"/>
  <c r="BK32" i="2"/>
  <c r="AW32" i="2"/>
  <c r="AQ32" i="2"/>
  <c r="AJ32" i="2"/>
  <c r="AH32" i="2"/>
  <c r="AE32" i="2"/>
  <c r="AC32" i="2"/>
  <c r="AB32" i="2"/>
  <c r="Z32" i="2"/>
  <c r="W32" i="2"/>
  <c r="U32" i="2"/>
  <c r="T32" i="2"/>
  <c r="Q32" i="2"/>
  <c r="O32" i="2"/>
  <c r="M32" i="2"/>
  <c r="L32" i="2"/>
  <c r="BN3" i="2"/>
  <c r="BM3" i="2"/>
  <c r="BL3" i="2"/>
  <c r="BK3" i="2"/>
  <c r="AW3" i="2"/>
  <c r="AQ3" i="2"/>
  <c r="AJ3" i="2"/>
  <c r="AH3" i="2"/>
  <c r="AE3" i="2"/>
  <c r="AC3" i="2"/>
  <c r="AB3" i="2"/>
  <c r="Z3" i="2"/>
  <c r="W3" i="2"/>
  <c r="U3" i="2"/>
  <c r="T3" i="2"/>
  <c r="Q3" i="2"/>
  <c r="O3" i="2"/>
  <c r="M3" i="2"/>
  <c r="L3" i="2"/>
  <c r="BN4" i="2"/>
  <c r="BM4" i="2"/>
  <c r="BL4" i="2"/>
  <c r="BK4" i="2"/>
  <c r="AW4" i="2"/>
  <c r="AQ4" i="2"/>
  <c r="AJ4" i="2"/>
  <c r="AH4" i="2"/>
  <c r="AE4" i="2"/>
  <c r="AC4" i="2"/>
  <c r="AB4" i="2"/>
  <c r="Z4" i="2"/>
  <c r="W4" i="2"/>
  <c r="U4" i="2"/>
  <c r="T4" i="2"/>
  <c r="Q4" i="2"/>
  <c r="O4" i="2"/>
  <c r="M4" i="2"/>
  <c r="L4" i="2"/>
  <c r="BN167" i="2"/>
  <c r="BM167" i="2"/>
  <c r="BL167" i="2"/>
  <c r="BK167" i="2"/>
  <c r="AW167" i="2"/>
  <c r="AQ167" i="2"/>
  <c r="AJ167" i="2"/>
  <c r="AH167" i="2"/>
  <c r="AE167" i="2"/>
  <c r="AC167" i="2"/>
  <c r="AB167" i="2"/>
  <c r="Z167" i="2"/>
  <c r="W167" i="2"/>
  <c r="U167" i="2"/>
  <c r="T167" i="2"/>
  <c r="Q167" i="2"/>
  <c r="O167" i="2"/>
  <c r="M167" i="2"/>
  <c r="L167" i="2"/>
  <c r="BN44" i="2"/>
  <c r="BM44" i="2"/>
  <c r="BL44" i="2"/>
  <c r="BK44" i="2"/>
  <c r="AW44" i="2"/>
  <c r="AQ44" i="2"/>
  <c r="AJ44" i="2"/>
  <c r="AH44" i="2"/>
  <c r="AE44" i="2"/>
  <c r="AC44" i="2"/>
  <c r="AB44" i="2"/>
  <c r="Z44" i="2"/>
  <c r="W44" i="2"/>
  <c r="U44" i="2"/>
  <c r="T44" i="2"/>
  <c r="Q44" i="2"/>
  <c r="O44" i="2"/>
  <c r="M44" i="2"/>
  <c r="L44" i="2"/>
  <c r="BN77" i="2"/>
  <c r="BM77" i="2"/>
  <c r="BL77" i="2"/>
  <c r="BK77" i="2"/>
  <c r="AW77" i="2"/>
  <c r="AQ77" i="2"/>
  <c r="AJ77" i="2"/>
  <c r="AH77" i="2"/>
  <c r="AE77" i="2"/>
  <c r="AC77" i="2"/>
  <c r="AB77" i="2"/>
  <c r="Z77" i="2"/>
  <c r="W77" i="2"/>
  <c r="U77" i="2"/>
  <c r="T77" i="2"/>
  <c r="Q77" i="2"/>
  <c r="O77" i="2"/>
  <c r="M77" i="2"/>
  <c r="L77" i="2"/>
  <c r="BN131" i="2"/>
  <c r="BM131" i="2"/>
  <c r="BL131" i="2"/>
  <c r="BK131" i="2"/>
  <c r="AW131" i="2"/>
  <c r="AQ131" i="2"/>
  <c r="AJ131" i="2"/>
  <c r="AH131" i="2"/>
  <c r="AE131" i="2"/>
  <c r="AC131" i="2"/>
  <c r="AB131" i="2"/>
  <c r="Z131" i="2"/>
  <c r="W131" i="2"/>
  <c r="U131" i="2"/>
  <c r="T131" i="2"/>
  <c r="Q131" i="2"/>
  <c r="O131" i="2"/>
  <c r="M131" i="2"/>
  <c r="L131" i="2"/>
  <c r="BN74" i="2"/>
  <c r="BM74" i="2"/>
  <c r="BL74" i="2"/>
  <c r="BK74" i="2"/>
  <c r="AW74" i="2"/>
  <c r="AQ74" i="2"/>
  <c r="AJ74" i="2"/>
  <c r="AH74" i="2"/>
  <c r="AE74" i="2"/>
  <c r="AC74" i="2"/>
  <c r="AB74" i="2"/>
  <c r="Z74" i="2"/>
  <c r="W74" i="2"/>
  <c r="U74" i="2"/>
  <c r="T74" i="2"/>
  <c r="Q74" i="2"/>
  <c r="O74" i="2"/>
  <c r="M74" i="2"/>
  <c r="L74" i="2"/>
  <c r="BN91" i="2"/>
  <c r="BM91" i="2"/>
  <c r="BL91" i="2"/>
  <c r="BK91" i="2"/>
  <c r="AW91" i="2"/>
  <c r="AQ91" i="2"/>
  <c r="AJ91" i="2"/>
  <c r="AH91" i="2"/>
  <c r="AE91" i="2"/>
  <c r="AC91" i="2"/>
  <c r="AB91" i="2"/>
  <c r="Z91" i="2"/>
  <c r="W91" i="2"/>
  <c r="U91" i="2"/>
  <c r="T91" i="2"/>
  <c r="Q91" i="2"/>
  <c r="O91" i="2"/>
  <c r="M91" i="2"/>
  <c r="L91" i="2"/>
  <c r="BN107" i="2"/>
  <c r="BM107" i="2"/>
  <c r="BL107" i="2"/>
  <c r="BK107" i="2"/>
  <c r="AW107" i="2"/>
  <c r="AQ107" i="2"/>
  <c r="AJ107" i="2"/>
  <c r="AH107" i="2"/>
  <c r="AE107" i="2"/>
  <c r="AC107" i="2"/>
  <c r="AB107" i="2"/>
  <c r="Z107" i="2"/>
  <c r="W107" i="2"/>
  <c r="U107" i="2"/>
  <c r="T107" i="2"/>
  <c r="Q107" i="2"/>
  <c r="O107" i="2"/>
  <c r="M107" i="2"/>
  <c r="L107" i="2"/>
  <c r="BN143" i="2"/>
  <c r="BM143" i="2"/>
  <c r="BL143" i="2"/>
  <c r="BK143" i="2"/>
  <c r="AW143" i="2"/>
  <c r="AQ143" i="2"/>
  <c r="AJ143" i="2"/>
  <c r="AH143" i="2"/>
  <c r="AE143" i="2"/>
  <c r="AC143" i="2"/>
  <c r="AB143" i="2"/>
  <c r="Z143" i="2"/>
  <c r="W143" i="2"/>
  <c r="U143" i="2"/>
  <c r="T143" i="2"/>
  <c r="Q143" i="2"/>
  <c r="O143" i="2"/>
  <c r="M143" i="2"/>
  <c r="L143" i="2"/>
  <c r="BN12" i="2"/>
  <c r="BM12" i="2"/>
  <c r="BL12" i="2"/>
  <c r="BK12" i="2"/>
  <c r="AW12" i="2"/>
  <c r="AQ12" i="2"/>
  <c r="AJ12" i="2"/>
  <c r="AH12" i="2"/>
  <c r="AE12" i="2"/>
  <c r="AC12" i="2"/>
  <c r="AB12" i="2"/>
  <c r="Z12" i="2"/>
  <c r="W12" i="2"/>
  <c r="U12" i="2"/>
  <c r="T12" i="2"/>
  <c r="Q12" i="2"/>
  <c r="O12" i="2"/>
  <c r="M12" i="2"/>
  <c r="L12" i="2"/>
  <c r="BN8" i="2"/>
  <c r="BM8" i="2"/>
  <c r="BL8" i="2"/>
  <c r="BK8" i="2"/>
  <c r="AW8" i="2"/>
  <c r="AQ8" i="2"/>
  <c r="AJ8" i="2"/>
  <c r="AH8" i="2"/>
  <c r="AE8" i="2"/>
  <c r="AC8" i="2"/>
  <c r="AB8" i="2"/>
  <c r="Z8" i="2"/>
  <c r="W8" i="2"/>
  <c r="U8" i="2"/>
  <c r="T8" i="2"/>
  <c r="Q8" i="2"/>
  <c r="O8" i="2"/>
  <c r="M8" i="2"/>
  <c r="L8" i="2"/>
  <c r="BN101" i="2"/>
  <c r="BM101" i="2"/>
  <c r="BL101" i="2"/>
  <c r="BK101" i="2"/>
  <c r="AW101" i="2"/>
  <c r="AQ101" i="2"/>
  <c r="AJ101" i="2"/>
  <c r="AH101" i="2"/>
  <c r="AE101" i="2"/>
  <c r="AC101" i="2"/>
  <c r="AB101" i="2"/>
  <c r="Z101" i="2"/>
  <c r="W101" i="2"/>
  <c r="U101" i="2"/>
  <c r="T101" i="2"/>
  <c r="Q101" i="2"/>
  <c r="O101" i="2"/>
  <c r="M101" i="2"/>
  <c r="L101" i="2"/>
  <c r="BN139" i="2"/>
  <c r="BM139" i="2"/>
  <c r="BL139" i="2"/>
  <c r="BK139" i="2"/>
  <c r="AW139" i="2"/>
  <c r="AQ139" i="2"/>
  <c r="AJ139" i="2"/>
  <c r="AH139" i="2"/>
  <c r="AE139" i="2"/>
  <c r="AC139" i="2"/>
  <c r="AB139" i="2"/>
  <c r="Z139" i="2"/>
  <c r="W139" i="2"/>
  <c r="U139" i="2"/>
  <c r="T139" i="2"/>
  <c r="Q139" i="2"/>
  <c r="O139" i="2"/>
  <c r="M139" i="2"/>
  <c r="L139" i="2"/>
  <c r="BN137" i="2"/>
  <c r="BM137" i="2"/>
  <c r="BL137" i="2"/>
  <c r="BK137" i="2"/>
  <c r="AW137" i="2"/>
  <c r="AQ137" i="2"/>
  <c r="AJ137" i="2"/>
  <c r="AH137" i="2"/>
  <c r="AE137" i="2"/>
  <c r="AC137" i="2"/>
  <c r="AB137" i="2"/>
  <c r="Z137" i="2"/>
  <c r="W137" i="2"/>
  <c r="U137" i="2"/>
  <c r="T137" i="2"/>
  <c r="Q137" i="2"/>
  <c r="O137" i="2"/>
  <c r="M137" i="2"/>
  <c r="L137" i="2"/>
  <c r="BN59" i="2"/>
  <c r="BM59" i="2"/>
  <c r="BL59" i="2"/>
  <c r="BK59" i="2"/>
  <c r="AW59" i="2"/>
  <c r="AQ59" i="2"/>
  <c r="AJ59" i="2"/>
  <c r="AH59" i="2"/>
  <c r="AE59" i="2"/>
  <c r="AC59" i="2"/>
  <c r="AB59" i="2"/>
  <c r="Z59" i="2"/>
  <c r="W59" i="2"/>
  <c r="U59" i="2"/>
  <c r="T59" i="2"/>
  <c r="Q59" i="2"/>
  <c r="O59" i="2"/>
  <c r="M59" i="2"/>
  <c r="L59" i="2"/>
  <c r="BN98" i="2"/>
  <c r="BM98" i="2"/>
  <c r="BL98" i="2"/>
  <c r="BK98" i="2"/>
  <c r="AW98" i="2"/>
  <c r="AQ98" i="2"/>
  <c r="AJ98" i="2"/>
  <c r="AH98" i="2"/>
  <c r="AE98" i="2"/>
  <c r="AC98" i="2"/>
  <c r="AB98" i="2"/>
  <c r="Z98" i="2"/>
  <c r="W98" i="2"/>
  <c r="U98" i="2"/>
  <c r="T98" i="2"/>
  <c r="Q98" i="2"/>
  <c r="O98" i="2"/>
  <c r="M98" i="2"/>
  <c r="L98" i="2"/>
  <c r="BN45" i="2"/>
  <c r="BM45" i="2"/>
  <c r="BL45" i="2"/>
  <c r="BK45" i="2"/>
  <c r="AW45" i="2"/>
  <c r="AQ45" i="2"/>
  <c r="AJ45" i="2"/>
  <c r="AH45" i="2"/>
  <c r="AE45" i="2"/>
  <c r="AC45" i="2"/>
  <c r="AB45" i="2"/>
  <c r="Z45" i="2"/>
  <c r="W45" i="2"/>
  <c r="U45" i="2"/>
  <c r="T45" i="2"/>
  <c r="Q45" i="2"/>
  <c r="O45" i="2"/>
  <c r="M45" i="2"/>
  <c r="L45" i="2"/>
  <c r="BN159" i="2"/>
  <c r="BM159" i="2"/>
  <c r="BL159" i="2"/>
  <c r="BK159" i="2"/>
  <c r="AW159" i="2"/>
  <c r="AQ159" i="2"/>
  <c r="AJ159" i="2"/>
  <c r="AH159" i="2"/>
  <c r="AE159" i="2"/>
  <c r="AC159" i="2"/>
  <c r="AB159" i="2"/>
  <c r="Z159" i="2"/>
  <c r="W159" i="2"/>
  <c r="U159" i="2"/>
  <c r="T159" i="2"/>
  <c r="Q159" i="2"/>
  <c r="O159" i="2"/>
  <c r="M159" i="2"/>
  <c r="L159" i="2"/>
  <c r="BN109" i="2"/>
  <c r="BM109" i="2"/>
  <c r="BL109" i="2"/>
  <c r="BK109" i="2"/>
  <c r="AW109" i="2"/>
  <c r="AQ109" i="2"/>
  <c r="AJ109" i="2"/>
  <c r="AH109" i="2"/>
  <c r="AE109" i="2"/>
  <c r="AC109" i="2"/>
  <c r="AB109" i="2"/>
  <c r="Z109" i="2"/>
  <c r="W109" i="2"/>
  <c r="U109" i="2"/>
  <c r="T109" i="2"/>
  <c r="Q109" i="2"/>
  <c r="O109" i="2"/>
  <c r="M109" i="2"/>
  <c r="L109" i="2"/>
  <c r="BN117" i="2"/>
  <c r="BM117" i="2"/>
  <c r="BL117" i="2"/>
  <c r="BK117" i="2"/>
  <c r="AW117" i="2"/>
  <c r="AQ117" i="2"/>
  <c r="AJ117" i="2"/>
  <c r="AH117" i="2"/>
  <c r="AE117" i="2"/>
  <c r="AC117" i="2"/>
  <c r="AB117" i="2"/>
  <c r="Z117" i="2"/>
  <c r="W117" i="2"/>
  <c r="U117" i="2"/>
  <c r="T117" i="2"/>
  <c r="Q117" i="2"/>
  <c r="O117" i="2"/>
  <c r="M117" i="2"/>
  <c r="L117" i="2"/>
  <c r="BN156" i="2"/>
  <c r="BM156" i="2"/>
  <c r="BL156" i="2"/>
  <c r="BK156" i="2"/>
  <c r="AW156" i="2"/>
  <c r="AQ156" i="2"/>
  <c r="AJ156" i="2"/>
  <c r="AH156" i="2"/>
  <c r="AE156" i="2"/>
  <c r="AC156" i="2"/>
  <c r="AB156" i="2"/>
  <c r="Z156" i="2"/>
  <c r="W156" i="2"/>
  <c r="U156" i="2"/>
  <c r="T156" i="2"/>
  <c r="Q156" i="2"/>
  <c r="O156" i="2"/>
  <c r="M156" i="2"/>
  <c r="L156" i="2"/>
  <c r="BN40" i="2"/>
  <c r="BM40" i="2"/>
  <c r="BL40" i="2"/>
  <c r="BK40" i="2"/>
  <c r="AW40" i="2"/>
  <c r="AQ40" i="2"/>
  <c r="AJ40" i="2"/>
  <c r="AH40" i="2"/>
  <c r="AE40" i="2"/>
  <c r="AC40" i="2"/>
  <c r="AB40" i="2"/>
  <c r="Z40" i="2"/>
  <c r="W40" i="2"/>
  <c r="U40" i="2"/>
  <c r="T40" i="2"/>
  <c r="Q40" i="2"/>
  <c r="O40" i="2"/>
  <c r="M40" i="2"/>
  <c r="L40" i="2"/>
  <c r="BN118" i="2"/>
  <c r="BM118" i="2"/>
  <c r="BL118" i="2"/>
  <c r="BK118" i="2"/>
  <c r="AW118" i="2"/>
  <c r="AQ118" i="2"/>
  <c r="AJ118" i="2"/>
  <c r="AH118" i="2"/>
  <c r="AE118" i="2"/>
  <c r="AC118" i="2"/>
  <c r="AB118" i="2"/>
  <c r="Z118" i="2"/>
  <c r="W118" i="2"/>
  <c r="U118" i="2"/>
  <c r="T118" i="2"/>
  <c r="Q118" i="2"/>
  <c r="O118" i="2"/>
  <c r="M118" i="2"/>
  <c r="L118" i="2"/>
  <c r="BN168" i="2"/>
  <c r="BM168" i="2"/>
  <c r="BL168" i="2"/>
  <c r="BK168" i="2"/>
  <c r="AW168" i="2"/>
  <c r="AQ168" i="2"/>
  <c r="AJ168" i="2"/>
  <c r="AH168" i="2"/>
  <c r="AE168" i="2"/>
  <c r="AC168" i="2"/>
  <c r="AB168" i="2"/>
  <c r="Z168" i="2"/>
  <c r="W168" i="2"/>
  <c r="U168" i="2"/>
  <c r="T168" i="2"/>
  <c r="Q168" i="2"/>
  <c r="O168" i="2"/>
  <c r="M168" i="2"/>
  <c r="L168" i="2"/>
  <c r="BN11" i="2"/>
  <c r="BM11" i="2"/>
  <c r="BL11" i="2"/>
  <c r="BK11" i="2"/>
  <c r="AW11" i="2"/>
  <c r="AQ11" i="2"/>
  <c r="AJ11" i="2"/>
  <c r="AH11" i="2"/>
  <c r="AE11" i="2"/>
  <c r="AC11" i="2"/>
  <c r="AB11" i="2"/>
  <c r="Z11" i="2"/>
  <c r="W11" i="2"/>
  <c r="U11" i="2"/>
  <c r="T11" i="2"/>
  <c r="Q11" i="2"/>
  <c r="O11" i="2"/>
  <c r="M11" i="2"/>
  <c r="L11" i="2"/>
  <c r="BN50" i="2"/>
  <c r="BM50" i="2"/>
  <c r="BL50" i="2"/>
  <c r="BK50" i="2"/>
  <c r="AW50" i="2"/>
  <c r="AQ50" i="2"/>
  <c r="AJ50" i="2"/>
  <c r="AH50" i="2"/>
  <c r="AE50" i="2"/>
  <c r="AC50" i="2"/>
  <c r="AB50" i="2"/>
  <c r="Z50" i="2"/>
  <c r="W50" i="2"/>
  <c r="U50" i="2"/>
  <c r="T50" i="2"/>
  <c r="Q50" i="2"/>
  <c r="O50" i="2"/>
  <c r="M50" i="2"/>
  <c r="L50" i="2"/>
  <c r="BN48" i="2"/>
  <c r="BM48" i="2"/>
  <c r="BL48" i="2"/>
  <c r="BK48" i="2"/>
  <c r="AW48" i="2"/>
  <c r="AQ48" i="2"/>
  <c r="AJ48" i="2"/>
  <c r="AH48" i="2"/>
  <c r="AE48" i="2"/>
  <c r="AC48" i="2"/>
  <c r="AB48" i="2"/>
  <c r="Z48" i="2"/>
  <c r="W48" i="2"/>
  <c r="U48" i="2"/>
  <c r="T48" i="2"/>
  <c r="Q48" i="2"/>
  <c r="O48" i="2"/>
  <c r="M48" i="2"/>
  <c r="L48" i="2"/>
  <c r="BN120" i="2"/>
  <c r="BM120" i="2"/>
  <c r="BL120" i="2"/>
  <c r="BK120" i="2"/>
  <c r="AW120" i="2"/>
  <c r="AQ120" i="2"/>
  <c r="AJ120" i="2"/>
  <c r="AH120" i="2"/>
  <c r="AE120" i="2"/>
  <c r="AC120" i="2"/>
  <c r="AB120" i="2"/>
  <c r="Z120" i="2"/>
  <c r="W120" i="2"/>
  <c r="U120" i="2"/>
  <c r="T120" i="2"/>
  <c r="Q120" i="2"/>
  <c r="O120" i="2"/>
  <c r="M120" i="2"/>
  <c r="L120" i="2"/>
  <c r="BN138" i="2"/>
  <c r="BM138" i="2"/>
  <c r="BL138" i="2"/>
  <c r="BK138" i="2"/>
  <c r="AW138" i="2"/>
  <c r="AQ138" i="2"/>
  <c r="AJ138" i="2"/>
  <c r="AH138" i="2"/>
  <c r="AE138" i="2"/>
  <c r="AC138" i="2"/>
  <c r="AB138" i="2"/>
  <c r="Z138" i="2"/>
  <c r="W138" i="2"/>
  <c r="U138" i="2"/>
  <c r="T138" i="2"/>
  <c r="Q138" i="2"/>
  <c r="O138" i="2"/>
  <c r="M138" i="2"/>
  <c r="L138" i="2"/>
  <c r="BN103" i="2"/>
  <c r="BM103" i="2"/>
  <c r="BL103" i="2"/>
  <c r="BK103" i="2"/>
  <c r="AW103" i="2"/>
  <c r="AQ103" i="2"/>
  <c r="AJ103" i="2"/>
  <c r="AH103" i="2"/>
  <c r="AE103" i="2"/>
  <c r="AC103" i="2"/>
  <c r="AB103" i="2"/>
  <c r="Z103" i="2"/>
  <c r="W103" i="2"/>
  <c r="U103" i="2"/>
  <c r="T103" i="2"/>
  <c r="Q103" i="2"/>
  <c r="O103" i="2"/>
  <c r="M103" i="2"/>
  <c r="L103" i="2"/>
  <c r="BN105" i="2"/>
  <c r="BM105" i="2"/>
  <c r="BL105" i="2"/>
  <c r="BK105" i="2"/>
  <c r="AW105" i="2"/>
  <c r="AQ105" i="2"/>
  <c r="AJ105" i="2"/>
  <c r="AH105" i="2"/>
  <c r="AE105" i="2"/>
  <c r="AC105" i="2"/>
  <c r="AB105" i="2"/>
  <c r="Z105" i="2"/>
  <c r="W105" i="2"/>
  <c r="U105" i="2"/>
  <c r="T105" i="2"/>
  <c r="Q105" i="2"/>
  <c r="O105" i="2"/>
  <c r="M105" i="2"/>
  <c r="L105" i="2"/>
  <c r="BN95" i="2"/>
  <c r="BM95" i="2"/>
  <c r="BL95" i="2"/>
  <c r="BK95" i="2"/>
  <c r="AW95" i="2"/>
  <c r="AQ95" i="2"/>
  <c r="AJ95" i="2"/>
  <c r="AH95" i="2"/>
  <c r="AE95" i="2"/>
  <c r="AC95" i="2"/>
  <c r="AB95" i="2"/>
  <c r="Z95" i="2"/>
  <c r="W95" i="2"/>
  <c r="U95" i="2"/>
  <c r="T95" i="2"/>
  <c r="Q95" i="2"/>
  <c r="O95" i="2"/>
  <c r="M95" i="2"/>
  <c r="L95" i="2"/>
  <c r="BN102" i="2"/>
  <c r="BM102" i="2"/>
  <c r="BL102" i="2"/>
  <c r="BK102" i="2"/>
  <c r="AW102" i="2"/>
  <c r="AQ102" i="2"/>
  <c r="AJ102" i="2"/>
  <c r="AH102" i="2"/>
  <c r="AE102" i="2"/>
  <c r="AC102" i="2"/>
  <c r="AB102" i="2"/>
  <c r="Z102" i="2"/>
  <c r="W102" i="2"/>
  <c r="U102" i="2"/>
  <c r="T102" i="2"/>
  <c r="Q102" i="2"/>
  <c r="O102" i="2"/>
  <c r="M102" i="2"/>
  <c r="L102" i="2"/>
  <c r="BN115" i="2"/>
  <c r="BM115" i="2"/>
  <c r="BL115" i="2"/>
  <c r="BK115" i="2"/>
  <c r="AW115" i="2"/>
  <c r="AQ115" i="2"/>
  <c r="AJ115" i="2"/>
  <c r="AH115" i="2"/>
  <c r="AE115" i="2"/>
  <c r="AC115" i="2"/>
  <c r="AB115" i="2"/>
  <c r="Z115" i="2"/>
  <c r="W115" i="2"/>
  <c r="U115" i="2"/>
  <c r="T115" i="2"/>
  <c r="Q115" i="2"/>
  <c r="O115" i="2"/>
  <c r="M115" i="2"/>
  <c r="L115" i="2"/>
  <c r="BN96" i="2"/>
  <c r="BM96" i="2"/>
  <c r="BL96" i="2"/>
  <c r="BK96" i="2"/>
  <c r="AW96" i="2"/>
  <c r="AQ96" i="2"/>
  <c r="AJ96" i="2"/>
  <c r="AH96" i="2"/>
  <c r="AE96" i="2"/>
  <c r="AC96" i="2"/>
  <c r="AB96" i="2"/>
  <c r="Z96" i="2"/>
  <c r="W96" i="2"/>
  <c r="U96" i="2"/>
  <c r="T96" i="2"/>
  <c r="Q96" i="2"/>
  <c r="O96" i="2"/>
  <c r="M96" i="2"/>
  <c r="L96" i="2"/>
  <c r="BN163" i="2"/>
  <c r="BM163" i="2"/>
  <c r="BL163" i="2"/>
  <c r="BK163" i="2"/>
  <c r="AW163" i="2"/>
  <c r="AQ163" i="2"/>
  <c r="AJ163" i="2"/>
  <c r="AH163" i="2"/>
  <c r="AE163" i="2"/>
  <c r="AC163" i="2"/>
  <c r="AB163" i="2"/>
  <c r="Z163" i="2"/>
  <c r="W163" i="2"/>
  <c r="U163" i="2"/>
  <c r="T163" i="2"/>
  <c r="Q163" i="2"/>
  <c r="O163" i="2"/>
  <c r="M163" i="2"/>
  <c r="L163" i="2"/>
  <c r="BN52" i="2"/>
  <c r="BM52" i="2"/>
  <c r="BL52" i="2"/>
  <c r="BK52" i="2"/>
  <c r="AW52" i="2"/>
  <c r="AQ52" i="2"/>
  <c r="AJ52" i="2"/>
  <c r="AH52" i="2"/>
  <c r="AE52" i="2"/>
  <c r="AC52" i="2"/>
  <c r="AB52" i="2"/>
  <c r="Z52" i="2"/>
  <c r="W52" i="2"/>
  <c r="U52" i="2"/>
  <c r="T52" i="2"/>
  <c r="Q52" i="2"/>
  <c r="O52" i="2"/>
  <c r="M52" i="2"/>
  <c r="L52" i="2"/>
  <c r="BN70" i="2"/>
  <c r="BM70" i="2"/>
  <c r="BL70" i="2"/>
  <c r="BK70" i="2"/>
  <c r="AW70" i="2"/>
  <c r="AQ70" i="2"/>
  <c r="AJ70" i="2"/>
  <c r="AH70" i="2"/>
  <c r="AE70" i="2"/>
  <c r="AC70" i="2"/>
  <c r="AB70" i="2"/>
  <c r="Z70" i="2"/>
  <c r="W70" i="2"/>
  <c r="U70" i="2"/>
  <c r="T70" i="2"/>
  <c r="Q70" i="2"/>
  <c r="O70" i="2"/>
  <c r="M70" i="2"/>
  <c r="L70" i="2"/>
  <c r="BN6" i="2"/>
  <c r="BM6" i="2"/>
  <c r="BL6" i="2"/>
  <c r="BK6" i="2"/>
  <c r="AW6" i="2"/>
  <c r="AQ6" i="2"/>
  <c r="AJ6" i="2"/>
  <c r="AH6" i="2"/>
  <c r="AE6" i="2"/>
  <c r="AC6" i="2"/>
  <c r="AB6" i="2"/>
  <c r="Z6" i="2"/>
  <c r="W6" i="2"/>
  <c r="U6" i="2"/>
  <c r="T6" i="2"/>
  <c r="Q6" i="2"/>
  <c r="O6" i="2"/>
  <c r="M6" i="2"/>
  <c r="L6" i="2"/>
  <c r="BN62" i="2"/>
  <c r="BM62" i="2"/>
  <c r="BL62" i="2"/>
  <c r="BK62" i="2"/>
  <c r="AW62" i="2"/>
  <c r="AQ62" i="2"/>
  <c r="AJ62" i="2"/>
  <c r="AH62" i="2"/>
  <c r="AE62" i="2"/>
  <c r="AC62" i="2"/>
  <c r="AB62" i="2"/>
  <c r="Z62" i="2"/>
  <c r="W62" i="2"/>
  <c r="U62" i="2"/>
  <c r="T62" i="2"/>
  <c r="Q62" i="2"/>
  <c r="O62" i="2"/>
  <c r="M62" i="2"/>
  <c r="L62" i="2"/>
  <c r="BN35" i="2"/>
  <c r="BM35" i="2"/>
  <c r="BL35" i="2"/>
  <c r="BK35" i="2"/>
  <c r="AW35" i="2"/>
  <c r="AQ35" i="2"/>
  <c r="AJ35" i="2"/>
  <c r="AH35" i="2"/>
  <c r="AE35" i="2"/>
  <c r="AC35" i="2"/>
  <c r="AB35" i="2"/>
  <c r="Z35" i="2"/>
  <c r="W35" i="2"/>
  <c r="U35" i="2"/>
  <c r="T35" i="2"/>
  <c r="Q35" i="2"/>
  <c r="O35" i="2"/>
  <c r="M35" i="2"/>
  <c r="L35" i="2"/>
  <c r="BN30" i="2"/>
  <c r="BM30" i="2"/>
  <c r="BL30" i="2"/>
  <c r="BK30" i="2"/>
  <c r="AW30" i="2"/>
  <c r="AQ30" i="2"/>
  <c r="AJ30" i="2"/>
  <c r="AH30" i="2"/>
  <c r="AE30" i="2"/>
  <c r="AC30" i="2"/>
  <c r="AB30" i="2"/>
  <c r="Z30" i="2"/>
  <c r="W30" i="2"/>
  <c r="U30" i="2"/>
  <c r="T30" i="2"/>
  <c r="Q30" i="2"/>
  <c r="O30" i="2"/>
  <c r="M30" i="2"/>
  <c r="L30" i="2"/>
  <c r="BN60" i="2"/>
  <c r="BM60" i="2"/>
  <c r="BL60" i="2"/>
  <c r="BK60" i="2"/>
  <c r="AW60" i="2"/>
  <c r="AQ60" i="2"/>
  <c r="AJ60" i="2"/>
  <c r="AH60" i="2"/>
  <c r="AE60" i="2"/>
  <c r="AC60" i="2"/>
  <c r="AB60" i="2"/>
  <c r="Z60" i="2"/>
  <c r="W60" i="2"/>
  <c r="U60" i="2"/>
  <c r="T60" i="2"/>
  <c r="Q60" i="2"/>
  <c r="O60" i="2"/>
  <c r="M60" i="2"/>
  <c r="L60" i="2"/>
  <c r="BN149" i="2"/>
  <c r="BM149" i="2"/>
  <c r="BL149" i="2"/>
  <c r="BK149" i="2"/>
  <c r="AW149" i="2"/>
  <c r="AQ149" i="2"/>
  <c r="AJ149" i="2"/>
  <c r="AH149" i="2"/>
  <c r="AE149" i="2"/>
  <c r="AC149" i="2"/>
  <c r="AB149" i="2"/>
  <c r="Z149" i="2"/>
  <c r="W149" i="2"/>
  <c r="U149" i="2"/>
  <c r="T149" i="2"/>
  <c r="Q149" i="2"/>
  <c r="O149" i="2"/>
  <c r="M149" i="2"/>
  <c r="L149" i="2"/>
  <c r="BN165" i="2"/>
  <c r="BM165" i="2"/>
  <c r="BL165" i="2"/>
  <c r="BK165" i="2"/>
  <c r="AW165" i="2"/>
  <c r="AQ165" i="2"/>
  <c r="AJ165" i="2"/>
  <c r="AH165" i="2"/>
  <c r="AE165" i="2"/>
  <c r="AC165" i="2"/>
  <c r="AB165" i="2"/>
  <c r="Z165" i="2"/>
  <c r="W165" i="2"/>
  <c r="U165" i="2"/>
  <c r="T165" i="2"/>
  <c r="Q165" i="2"/>
  <c r="O165" i="2"/>
  <c r="M165" i="2"/>
  <c r="L165" i="2"/>
  <c r="BN81" i="2"/>
  <c r="BM81" i="2"/>
  <c r="BL81" i="2"/>
  <c r="BK81" i="2"/>
  <c r="AW81" i="2"/>
  <c r="AQ81" i="2"/>
  <c r="AJ81" i="2"/>
  <c r="AH81" i="2"/>
  <c r="AE81" i="2"/>
  <c r="AC81" i="2"/>
  <c r="AB81" i="2"/>
  <c r="Z81" i="2"/>
  <c r="W81" i="2"/>
  <c r="U81" i="2"/>
  <c r="T81" i="2"/>
  <c r="Q81" i="2"/>
  <c r="O81" i="2"/>
  <c r="M81" i="2"/>
  <c r="L81" i="2"/>
  <c r="BN158" i="2"/>
  <c r="BM158" i="2"/>
  <c r="BL158" i="2"/>
  <c r="BK158" i="2"/>
  <c r="AW158" i="2"/>
  <c r="AQ158" i="2"/>
  <c r="AJ158" i="2"/>
  <c r="AH158" i="2"/>
  <c r="AE158" i="2"/>
  <c r="AC158" i="2"/>
  <c r="AB158" i="2"/>
  <c r="Z158" i="2"/>
  <c r="W158" i="2"/>
  <c r="U158" i="2"/>
  <c r="T158" i="2"/>
  <c r="Q158" i="2"/>
  <c r="O158" i="2"/>
  <c r="M158" i="2"/>
  <c r="L158" i="2"/>
  <c r="BN56" i="2"/>
  <c r="BM56" i="2"/>
  <c r="BL56" i="2"/>
  <c r="BK56" i="2"/>
  <c r="AW56" i="2"/>
  <c r="AQ56" i="2"/>
  <c r="AJ56" i="2"/>
  <c r="AH56" i="2"/>
  <c r="AE56" i="2"/>
  <c r="AC56" i="2"/>
  <c r="AB56" i="2"/>
  <c r="Z56" i="2"/>
  <c r="W56" i="2"/>
  <c r="U56" i="2"/>
  <c r="T56" i="2"/>
  <c r="Q56" i="2"/>
  <c r="O56" i="2"/>
  <c r="M56" i="2"/>
  <c r="L56" i="2"/>
  <c r="BN27" i="2"/>
  <c r="BM27" i="2"/>
  <c r="BL27" i="2"/>
  <c r="BK27" i="2"/>
  <c r="AW27" i="2"/>
  <c r="AQ27" i="2"/>
  <c r="AJ27" i="2"/>
  <c r="AH27" i="2"/>
  <c r="AE27" i="2"/>
  <c r="AC27" i="2"/>
  <c r="AB27" i="2"/>
  <c r="Z27" i="2"/>
  <c r="W27" i="2"/>
  <c r="U27" i="2"/>
  <c r="T27" i="2"/>
  <c r="Q27" i="2"/>
  <c r="O27" i="2"/>
  <c r="M27" i="2"/>
  <c r="L27" i="2"/>
  <c r="BN97" i="2"/>
  <c r="BM97" i="2"/>
  <c r="BL97" i="2"/>
  <c r="BK97" i="2"/>
  <c r="AW97" i="2"/>
  <c r="AQ97" i="2"/>
  <c r="AJ97" i="2"/>
  <c r="AH97" i="2"/>
  <c r="AE97" i="2"/>
  <c r="AC97" i="2"/>
  <c r="AB97" i="2"/>
  <c r="Z97" i="2"/>
  <c r="W97" i="2"/>
  <c r="U97" i="2"/>
  <c r="T97" i="2"/>
  <c r="Q97" i="2"/>
  <c r="O97" i="2"/>
  <c r="M97" i="2"/>
  <c r="L97" i="2"/>
  <c r="BN108" i="2"/>
  <c r="BM108" i="2"/>
  <c r="BL108" i="2"/>
  <c r="BK108" i="2"/>
  <c r="AW108" i="2"/>
  <c r="AQ108" i="2"/>
  <c r="AJ108" i="2"/>
  <c r="AH108" i="2"/>
  <c r="AE108" i="2"/>
  <c r="AC108" i="2"/>
  <c r="AB108" i="2"/>
  <c r="Z108" i="2"/>
  <c r="W108" i="2"/>
  <c r="U108" i="2"/>
  <c r="T108" i="2"/>
  <c r="Q108" i="2"/>
  <c r="O108" i="2"/>
  <c r="M108" i="2"/>
  <c r="L108" i="2"/>
  <c r="BN123" i="2"/>
  <c r="BM123" i="2"/>
  <c r="BL123" i="2"/>
  <c r="BK123" i="2"/>
  <c r="AW123" i="2"/>
  <c r="AQ123" i="2"/>
  <c r="AJ123" i="2"/>
  <c r="AH123" i="2"/>
  <c r="AE123" i="2"/>
  <c r="AC123" i="2"/>
  <c r="AB123" i="2"/>
  <c r="Z123" i="2"/>
  <c r="W123" i="2"/>
  <c r="U123" i="2"/>
  <c r="T123" i="2"/>
  <c r="Q123" i="2"/>
  <c r="O123" i="2"/>
  <c r="M123" i="2"/>
  <c r="L123" i="2"/>
  <c r="BN5" i="2"/>
  <c r="BM5" i="2"/>
  <c r="BL5" i="2"/>
  <c r="BK5" i="2"/>
  <c r="AW5" i="2"/>
  <c r="AQ5" i="2"/>
  <c r="AJ5" i="2"/>
  <c r="AH5" i="2"/>
  <c r="AE5" i="2"/>
  <c r="AC5" i="2"/>
  <c r="AB5" i="2"/>
  <c r="Z5" i="2"/>
  <c r="W5" i="2"/>
  <c r="U5" i="2"/>
  <c r="T5" i="2"/>
  <c r="Q5" i="2"/>
  <c r="O5" i="2"/>
  <c r="M5" i="2"/>
  <c r="L5" i="2"/>
  <c r="BN112" i="2"/>
  <c r="BM112" i="2"/>
  <c r="BL112" i="2"/>
  <c r="BK112" i="2"/>
  <c r="AW112" i="2"/>
  <c r="AQ112" i="2"/>
  <c r="AJ112" i="2"/>
  <c r="AH112" i="2"/>
  <c r="AE112" i="2"/>
  <c r="AC112" i="2"/>
  <c r="AB112" i="2"/>
  <c r="Z112" i="2"/>
  <c r="W112" i="2"/>
  <c r="U112" i="2"/>
  <c r="T112" i="2"/>
  <c r="Q112" i="2"/>
  <c r="O112" i="2"/>
  <c r="M112" i="2"/>
  <c r="L112" i="2"/>
  <c r="BN18" i="2"/>
  <c r="BM18" i="2"/>
  <c r="BL18" i="2"/>
  <c r="BK18" i="2"/>
  <c r="AW18" i="2"/>
  <c r="AQ18" i="2"/>
  <c r="AJ18" i="2"/>
  <c r="AH18" i="2"/>
  <c r="AE18" i="2"/>
  <c r="AC18" i="2"/>
  <c r="AB18" i="2"/>
  <c r="Z18" i="2"/>
  <c r="W18" i="2"/>
  <c r="U18" i="2"/>
  <c r="T18" i="2"/>
  <c r="Q18" i="2"/>
  <c r="O18" i="2"/>
  <c r="M18" i="2"/>
  <c r="L18" i="2"/>
  <c r="BN80" i="2"/>
  <c r="BM80" i="2"/>
  <c r="BL80" i="2"/>
  <c r="BK80" i="2"/>
  <c r="AW80" i="2"/>
  <c r="AQ80" i="2"/>
  <c r="AJ80" i="2"/>
  <c r="AH80" i="2"/>
  <c r="AE80" i="2"/>
  <c r="AC80" i="2"/>
  <c r="AB80" i="2"/>
  <c r="Z80" i="2"/>
  <c r="W80" i="2"/>
  <c r="U80" i="2"/>
  <c r="T80" i="2"/>
  <c r="Q80" i="2"/>
  <c r="O80" i="2"/>
  <c r="M80" i="2"/>
  <c r="L80" i="2"/>
  <c r="BN142" i="2"/>
  <c r="BM142" i="2"/>
  <c r="BL142" i="2"/>
  <c r="BK142" i="2"/>
  <c r="AW142" i="2"/>
  <c r="AQ142" i="2"/>
  <c r="AJ142" i="2"/>
  <c r="AH142" i="2"/>
  <c r="AE142" i="2"/>
  <c r="AC142" i="2"/>
  <c r="AB142" i="2"/>
  <c r="Z142" i="2"/>
  <c r="W142" i="2"/>
  <c r="U142" i="2"/>
  <c r="T142" i="2"/>
  <c r="Q142" i="2"/>
  <c r="O142" i="2"/>
  <c r="M142" i="2"/>
  <c r="L142" i="2"/>
  <c r="BN136" i="2"/>
  <c r="BM136" i="2"/>
  <c r="BL136" i="2"/>
  <c r="BK136" i="2"/>
  <c r="AW136" i="2"/>
  <c r="AQ136" i="2"/>
  <c r="AJ136" i="2"/>
  <c r="AH136" i="2"/>
  <c r="AE136" i="2"/>
  <c r="AC136" i="2"/>
  <c r="AB136" i="2"/>
  <c r="Z136" i="2"/>
  <c r="W136" i="2"/>
  <c r="U136" i="2"/>
  <c r="T136" i="2"/>
  <c r="Q136" i="2"/>
  <c r="O136" i="2"/>
  <c r="M136" i="2"/>
  <c r="L136" i="2"/>
  <c r="BN71" i="2"/>
  <c r="BM71" i="2"/>
  <c r="BL71" i="2"/>
  <c r="BK71" i="2"/>
  <c r="AW71" i="2"/>
  <c r="AQ71" i="2"/>
  <c r="AJ71" i="2"/>
  <c r="AH71" i="2"/>
  <c r="AE71" i="2"/>
  <c r="AC71" i="2"/>
  <c r="AB71" i="2"/>
  <c r="Z71" i="2"/>
  <c r="W71" i="2"/>
  <c r="U71" i="2"/>
  <c r="T71" i="2"/>
  <c r="Q71" i="2"/>
  <c r="O71" i="2"/>
  <c r="M71" i="2"/>
  <c r="L71" i="2"/>
  <c r="BN14" i="2"/>
  <c r="BM14" i="2"/>
  <c r="BL14" i="2"/>
  <c r="BK14" i="2"/>
  <c r="AW14" i="2"/>
  <c r="AQ14" i="2"/>
  <c r="AJ14" i="2"/>
  <c r="AH14" i="2"/>
  <c r="AE14" i="2"/>
  <c r="AC14" i="2"/>
  <c r="AB14" i="2"/>
  <c r="Z14" i="2"/>
  <c r="W14" i="2"/>
  <c r="U14" i="2"/>
  <c r="T14" i="2"/>
  <c r="Q14" i="2"/>
  <c r="O14" i="2"/>
  <c r="M14" i="2"/>
  <c r="L14" i="2"/>
  <c r="BN49" i="2"/>
  <c r="BM49" i="2"/>
  <c r="BL49" i="2"/>
  <c r="BK49" i="2"/>
  <c r="AW49" i="2"/>
  <c r="AQ49" i="2"/>
  <c r="AJ49" i="2"/>
  <c r="AH49" i="2"/>
  <c r="AE49" i="2"/>
  <c r="AC49" i="2"/>
  <c r="AB49" i="2"/>
  <c r="Z49" i="2"/>
  <c r="W49" i="2"/>
  <c r="U49" i="2"/>
  <c r="T49" i="2"/>
  <c r="Q49" i="2"/>
  <c r="O49" i="2"/>
  <c r="M49" i="2"/>
  <c r="L49" i="2"/>
  <c r="BN83" i="2"/>
  <c r="BM83" i="2"/>
  <c r="BL83" i="2"/>
  <c r="BK83" i="2"/>
  <c r="AW83" i="2"/>
  <c r="AQ83" i="2"/>
  <c r="AJ83" i="2"/>
  <c r="AH83" i="2"/>
  <c r="AE83" i="2"/>
  <c r="AC83" i="2"/>
  <c r="AB83" i="2"/>
  <c r="Z83" i="2"/>
  <c r="W83" i="2"/>
  <c r="U83" i="2"/>
  <c r="T83" i="2"/>
  <c r="Q83" i="2"/>
  <c r="O83" i="2"/>
  <c r="M83" i="2"/>
  <c r="L83" i="2"/>
  <c r="BN36" i="2"/>
  <c r="BM36" i="2"/>
  <c r="BL36" i="2"/>
  <c r="BK36" i="2"/>
  <c r="AW36" i="2"/>
  <c r="AQ36" i="2"/>
  <c r="AJ36" i="2"/>
  <c r="AH36" i="2"/>
  <c r="AE36" i="2"/>
  <c r="AC36" i="2"/>
  <c r="AB36" i="2"/>
  <c r="Z36" i="2"/>
  <c r="W36" i="2"/>
  <c r="U36" i="2"/>
  <c r="T36" i="2"/>
  <c r="Q36" i="2"/>
  <c r="O36" i="2"/>
  <c r="M36" i="2"/>
  <c r="L36" i="2"/>
  <c r="BN26" i="2"/>
  <c r="BM26" i="2"/>
  <c r="BL26" i="2"/>
  <c r="BK26" i="2"/>
  <c r="AW26" i="2"/>
  <c r="AQ26" i="2"/>
  <c r="AJ26" i="2"/>
  <c r="AH26" i="2"/>
  <c r="AE26" i="2"/>
  <c r="AC26" i="2"/>
  <c r="AB26" i="2"/>
  <c r="Z26" i="2"/>
  <c r="W26" i="2"/>
  <c r="U26" i="2"/>
  <c r="T26" i="2"/>
  <c r="Q26" i="2"/>
  <c r="O26" i="2"/>
  <c r="M26" i="2"/>
  <c r="L26" i="2"/>
  <c r="BN93" i="2"/>
  <c r="BM93" i="2"/>
  <c r="BL93" i="2"/>
  <c r="BK93" i="2"/>
  <c r="AW93" i="2"/>
  <c r="AQ93" i="2"/>
  <c r="AJ93" i="2"/>
  <c r="AH93" i="2"/>
  <c r="AE93" i="2"/>
  <c r="AC93" i="2"/>
  <c r="AB93" i="2"/>
  <c r="Z93" i="2"/>
  <c r="W93" i="2"/>
  <c r="U93" i="2"/>
  <c r="T93" i="2"/>
  <c r="Q93" i="2"/>
  <c r="O93" i="2"/>
  <c r="M93" i="2"/>
  <c r="L93" i="2"/>
  <c r="BN10" i="2"/>
  <c r="BM10" i="2"/>
  <c r="BL10" i="2"/>
  <c r="BK10" i="2"/>
  <c r="AW10" i="2"/>
  <c r="AQ10" i="2"/>
  <c r="AJ10" i="2"/>
  <c r="AH10" i="2"/>
  <c r="AE10" i="2"/>
  <c r="AC10" i="2"/>
  <c r="AB10" i="2"/>
  <c r="Z10" i="2"/>
  <c r="W10" i="2"/>
  <c r="U10" i="2"/>
  <c r="T10" i="2"/>
  <c r="Q10" i="2"/>
  <c r="O10" i="2"/>
  <c r="M10" i="2"/>
  <c r="L10" i="2"/>
  <c r="BN126" i="2"/>
  <c r="BM126" i="2"/>
  <c r="BL126" i="2"/>
  <c r="BK126" i="2"/>
  <c r="AW126" i="2"/>
  <c r="AQ126" i="2"/>
  <c r="AJ126" i="2"/>
  <c r="AH126" i="2"/>
  <c r="AE126" i="2"/>
  <c r="AC126" i="2"/>
  <c r="AB126" i="2"/>
  <c r="Z126" i="2"/>
  <c r="W126" i="2"/>
  <c r="U126" i="2"/>
  <c r="T126" i="2"/>
  <c r="Q126" i="2"/>
  <c r="O126" i="2"/>
  <c r="M126" i="2"/>
  <c r="L126" i="2"/>
  <c r="BN87" i="2"/>
  <c r="BM87" i="2"/>
  <c r="BL87" i="2"/>
  <c r="BK87" i="2"/>
  <c r="AW87" i="2"/>
  <c r="AQ87" i="2"/>
  <c r="AJ87" i="2"/>
  <c r="AH87" i="2"/>
  <c r="AE87" i="2"/>
  <c r="AC87" i="2"/>
  <c r="AB87" i="2"/>
  <c r="Z87" i="2"/>
  <c r="W87" i="2"/>
  <c r="U87" i="2"/>
  <c r="T87" i="2"/>
  <c r="Q87" i="2"/>
  <c r="O87" i="2"/>
  <c r="M87" i="2"/>
  <c r="L87" i="2"/>
  <c r="BN72" i="2"/>
  <c r="BM72" i="2"/>
  <c r="BL72" i="2"/>
  <c r="BK72" i="2"/>
  <c r="AW72" i="2"/>
  <c r="AQ72" i="2"/>
  <c r="AJ72" i="2"/>
  <c r="AH72" i="2"/>
  <c r="AE72" i="2"/>
  <c r="AC72" i="2"/>
  <c r="AB72" i="2"/>
  <c r="Z72" i="2"/>
  <c r="W72" i="2"/>
  <c r="U72" i="2"/>
  <c r="T72" i="2"/>
  <c r="Q72" i="2"/>
  <c r="O72" i="2"/>
  <c r="M72" i="2"/>
  <c r="L72" i="2"/>
  <c r="BN89" i="2"/>
  <c r="BM89" i="2"/>
  <c r="BL89" i="2"/>
  <c r="BK89" i="2"/>
  <c r="AW89" i="2"/>
  <c r="AQ89" i="2"/>
  <c r="AJ89" i="2"/>
  <c r="AH89" i="2"/>
  <c r="AE89" i="2"/>
  <c r="AC89" i="2"/>
  <c r="AB89" i="2"/>
  <c r="Z89" i="2"/>
  <c r="W89" i="2"/>
  <c r="U89" i="2"/>
  <c r="T89" i="2"/>
  <c r="Q89" i="2"/>
  <c r="O89" i="2"/>
  <c r="M89" i="2"/>
  <c r="L89" i="2"/>
  <c r="BN43" i="2"/>
  <c r="BM43" i="2"/>
  <c r="BL43" i="2"/>
  <c r="BK43" i="2"/>
  <c r="AW43" i="2"/>
  <c r="AQ43" i="2"/>
  <c r="AJ43" i="2"/>
  <c r="AH43" i="2"/>
  <c r="AE43" i="2"/>
  <c r="AC43" i="2"/>
  <c r="AB43" i="2"/>
  <c r="Z43" i="2"/>
  <c r="W43" i="2"/>
  <c r="U43" i="2"/>
  <c r="T43" i="2"/>
  <c r="Q43" i="2"/>
  <c r="O43" i="2"/>
  <c r="M43" i="2"/>
  <c r="L43" i="2"/>
  <c r="BN100" i="2"/>
  <c r="BM100" i="2"/>
  <c r="BL100" i="2"/>
  <c r="BK100" i="2"/>
  <c r="AW100" i="2"/>
  <c r="AQ100" i="2"/>
  <c r="AJ100" i="2"/>
  <c r="AH100" i="2"/>
  <c r="AE100" i="2"/>
  <c r="AC100" i="2"/>
  <c r="AB100" i="2"/>
  <c r="Z100" i="2"/>
  <c r="W100" i="2"/>
  <c r="U100" i="2"/>
  <c r="T100" i="2"/>
  <c r="Q100" i="2"/>
  <c r="O100" i="2"/>
  <c r="M100" i="2"/>
  <c r="L100" i="2"/>
  <c r="BN146" i="2"/>
  <c r="BM146" i="2"/>
  <c r="BL146" i="2"/>
  <c r="BK146" i="2"/>
  <c r="AW146" i="2"/>
  <c r="AQ146" i="2"/>
  <c r="AJ146" i="2"/>
  <c r="AH146" i="2"/>
  <c r="AE146" i="2"/>
  <c r="AC146" i="2"/>
  <c r="AB146" i="2"/>
  <c r="Z146" i="2"/>
  <c r="W146" i="2"/>
  <c r="U146" i="2"/>
  <c r="T146" i="2"/>
  <c r="Q146" i="2"/>
  <c r="O146" i="2"/>
  <c r="M146" i="2"/>
  <c r="L146" i="2"/>
  <c r="BN20" i="2"/>
  <c r="BM20" i="2"/>
  <c r="BL20" i="2"/>
  <c r="BK20" i="2"/>
  <c r="AW20" i="2"/>
  <c r="AQ20" i="2"/>
  <c r="AJ20" i="2"/>
  <c r="AH20" i="2"/>
  <c r="AE20" i="2"/>
  <c r="AC20" i="2"/>
  <c r="AB20" i="2"/>
  <c r="Z20" i="2"/>
  <c r="W20" i="2"/>
  <c r="U20" i="2"/>
  <c r="T20" i="2"/>
  <c r="Q20" i="2"/>
  <c r="O20" i="2"/>
  <c r="M20" i="2"/>
  <c r="L20" i="2"/>
  <c r="BN38" i="2"/>
  <c r="BM38" i="2"/>
  <c r="BL38" i="2"/>
  <c r="BK38" i="2"/>
  <c r="AW38" i="2"/>
  <c r="AQ38" i="2"/>
  <c r="AJ38" i="2"/>
  <c r="AH38" i="2"/>
  <c r="AE38" i="2"/>
  <c r="AC38" i="2"/>
  <c r="AB38" i="2"/>
  <c r="Z38" i="2"/>
  <c r="W38" i="2"/>
  <c r="U38" i="2"/>
  <c r="T38" i="2"/>
  <c r="Q38" i="2"/>
  <c r="O38" i="2"/>
  <c r="M38" i="2"/>
  <c r="L38" i="2"/>
  <c r="BN94" i="2"/>
  <c r="BM94" i="2"/>
  <c r="BL94" i="2"/>
  <c r="BK94" i="2"/>
  <c r="AW94" i="2"/>
  <c r="AQ94" i="2"/>
  <c r="AJ94" i="2"/>
  <c r="AH94" i="2"/>
  <c r="AE94" i="2"/>
  <c r="AC94" i="2"/>
  <c r="AB94" i="2"/>
  <c r="Z94" i="2"/>
  <c r="W94" i="2"/>
  <c r="U94" i="2"/>
  <c r="T94" i="2"/>
  <c r="Q94" i="2"/>
  <c r="O94" i="2"/>
  <c r="M94" i="2"/>
  <c r="L94" i="2"/>
  <c r="BN34" i="2"/>
  <c r="BM34" i="2"/>
  <c r="BL34" i="2"/>
  <c r="BK34" i="2"/>
  <c r="AW34" i="2"/>
  <c r="AQ34" i="2"/>
  <c r="AJ34" i="2"/>
  <c r="AH34" i="2"/>
  <c r="AE34" i="2"/>
  <c r="AC34" i="2"/>
  <c r="AB34" i="2"/>
  <c r="Z34" i="2"/>
  <c r="W34" i="2"/>
  <c r="U34" i="2"/>
  <c r="T34" i="2"/>
  <c r="Q34" i="2"/>
  <c r="O34" i="2"/>
  <c r="M34" i="2"/>
  <c r="L34" i="2"/>
  <c r="BN15" i="2"/>
  <c r="BM15" i="2"/>
  <c r="BL15" i="2"/>
  <c r="BK15" i="2"/>
  <c r="AW15" i="2"/>
  <c r="AQ15" i="2"/>
  <c r="AJ15" i="2"/>
  <c r="AH15" i="2"/>
  <c r="AE15" i="2"/>
  <c r="AC15" i="2"/>
  <c r="AB15" i="2"/>
  <c r="Z15" i="2"/>
  <c r="W15" i="2"/>
  <c r="U15" i="2"/>
  <c r="T15" i="2"/>
  <c r="Q15" i="2"/>
  <c r="O15" i="2"/>
  <c r="M15" i="2"/>
  <c r="L15" i="2"/>
  <c r="BN21" i="2"/>
  <c r="BM21" i="2"/>
  <c r="BL21" i="2"/>
  <c r="BK21" i="2"/>
  <c r="AW21" i="2"/>
  <c r="AQ21" i="2"/>
  <c r="AJ21" i="2"/>
  <c r="AH21" i="2"/>
  <c r="AE21" i="2"/>
  <c r="AC21" i="2"/>
  <c r="AB21" i="2"/>
  <c r="Z21" i="2"/>
  <c r="W21" i="2"/>
  <c r="U21" i="2"/>
  <c r="T21" i="2"/>
  <c r="Q21" i="2"/>
  <c r="O21" i="2"/>
  <c r="M21" i="2"/>
  <c r="L21" i="2"/>
  <c r="BN119" i="2"/>
  <c r="BM119" i="2"/>
  <c r="BL119" i="2"/>
  <c r="BK119" i="2"/>
  <c r="AW119" i="2"/>
  <c r="AQ119" i="2"/>
  <c r="AJ119" i="2"/>
  <c r="AH119" i="2"/>
  <c r="AE119" i="2"/>
  <c r="AC119" i="2"/>
  <c r="AB119" i="2"/>
  <c r="Z119" i="2"/>
  <c r="W119" i="2"/>
  <c r="U119" i="2"/>
  <c r="T119" i="2"/>
  <c r="Q119" i="2"/>
  <c r="O119" i="2"/>
  <c r="M119" i="2"/>
  <c r="L119" i="2"/>
  <c r="BN55" i="2"/>
  <c r="BM55" i="2"/>
  <c r="BL55" i="2"/>
  <c r="BK55" i="2"/>
  <c r="AW55" i="2"/>
  <c r="AQ55" i="2"/>
  <c r="AJ55" i="2"/>
  <c r="AH55" i="2"/>
  <c r="AE55" i="2"/>
  <c r="AC55" i="2"/>
  <c r="AB55" i="2"/>
  <c r="Z55" i="2"/>
  <c r="W55" i="2"/>
  <c r="U55" i="2"/>
  <c r="T55" i="2"/>
  <c r="Q55" i="2"/>
  <c r="O55" i="2"/>
  <c r="M55" i="2"/>
  <c r="L55" i="2"/>
  <c r="BN24" i="2"/>
  <c r="BM24" i="2"/>
  <c r="BL24" i="2"/>
  <c r="BK24" i="2"/>
  <c r="AW24" i="2"/>
  <c r="AQ24" i="2"/>
  <c r="AJ24" i="2"/>
  <c r="AH24" i="2"/>
  <c r="AE24" i="2"/>
  <c r="AC24" i="2"/>
  <c r="AB24" i="2"/>
  <c r="Z24" i="2"/>
  <c r="W24" i="2"/>
  <c r="U24" i="2"/>
  <c r="T24" i="2"/>
  <c r="Q24" i="2"/>
  <c r="O24" i="2"/>
  <c r="M24" i="2"/>
  <c r="L24" i="2"/>
  <c r="BN140" i="2"/>
  <c r="BM140" i="2"/>
  <c r="BL140" i="2"/>
  <c r="BK140" i="2"/>
  <c r="AW140" i="2"/>
  <c r="AQ140" i="2"/>
  <c r="AJ140" i="2"/>
  <c r="AH140" i="2"/>
  <c r="AE140" i="2"/>
  <c r="AC140" i="2"/>
  <c r="AB140" i="2"/>
  <c r="Z140" i="2"/>
  <c r="W140" i="2"/>
  <c r="U140" i="2"/>
  <c r="T140" i="2"/>
  <c r="Q140" i="2"/>
  <c r="O140" i="2"/>
  <c r="M140" i="2"/>
  <c r="L140" i="2"/>
  <c r="BN66" i="2"/>
  <c r="BM66" i="2"/>
  <c r="BL66" i="2"/>
  <c r="BK66" i="2"/>
  <c r="AW66" i="2"/>
  <c r="AQ66" i="2"/>
  <c r="AJ66" i="2"/>
  <c r="AH66" i="2"/>
  <c r="AE66" i="2"/>
  <c r="AC66" i="2"/>
  <c r="AB66" i="2"/>
  <c r="Z66" i="2"/>
  <c r="W66" i="2"/>
  <c r="U66" i="2"/>
  <c r="T66" i="2"/>
  <c r="Q66" i="2"/>
  <c r="O66" i="2"/>
  <c r="M66" i="2"/>
  <c r="L66" i="2"/>
  <c r="BN164" i="2"/>
  <c r="BM164" i="2"/>
  <c r="BL164" i="2"/>
  <c r="BK164" i="2"/>
  <c r="AW164" i="2"/>
  <c r="AQ164" i="2"/>
  <c r="AJ164" i="2"/>
  <c r="AH164" i="2"/>
  <c r="AE164" i="2"/>
  <c r="AC164" i="2"/>
  <c r="AB164" i="2"/>
  <c r="Z164" i="2"/>
  <c r="W164" i="2"/>
  <c r="U164" i="2"/>
  <c r="T164" i="2"/>
  <c r="Q164" i="2"/>
  <c r="O164" i="2"/>
  <c r="M164" i="2"/>
  <c r="L164" i="2"/>
  <c r="BN73" i="2"/>
  <c r="BM73" i="2"/>
  <c r="BL73" i="2"/>
  <c r="BK73" i="2"/>
  <c r="AW73" i="2"/>
  <c r="AQ73" i="2"/>
  <c r="AJ73" i="2"/>
  <c r="AH73" i="2"/>
  <c r="AE73" i="2"/>
  <c r="AC73" i="2"/>
  <c r="AB73" i="2"/>
  <c r="Z73" i="2"/>
  <c r="W73" i="2"/>
  <c r="U73" i="2"/>
  <c r="T73" i="2"/>
  <c r="Q73" i="2"/>
  <c r="O73" i="2"/>
  <c r="M73" i="2"/>
  <c r="L73" i="2"/>
  <c r="BN9" i="2"/>
  <c r="BM9" i="2"/>
  <c r="BL9" i="2"/>
  <c r="BK9" i="2"/>
  <c r="AW9" i="2"/>
  <c r="AQ9" i="2"/>
  <c r="AJ9" i="2"/>
  <c r="AH9" i="2"/>
  <c r="AE9" i="2"/>
  <c r="AC9" i="2"/>
  <c r="AB9" i="2"/>
  <c r="Z9" i="2"/>
  <c r="W9" i="2"/>
  <c r="U9" i="2"/>
  <c r="T9" i="2"/>
  <c r="Q9" i="2"/>
  <c r="O9" i="2"/>
  <c r="M9" i="2"/>
  <c r="L9" i="2"/>
  <c r="BN69" i="2"/>
  <c r="BM69" i="2"/>
  <c r="BL69" i="2"/>
  <c r="BK69" i="2"/>
  <c r="AW69" i="2"/>
  <c r="AQ69" i="2"/>
  <c r="AJ69" i="2"/>
  <c r="AH69" i="2"/>
  <c r="AE69" i="2"/>
  <c r="AC69" i="2"/>
  <c r="AB69" i="2"/>
  <c r="AD69" i="2" s="1"/>
  <c r="Z69" i="2"/>
  <c r="W69" i="2"/>
  <c r="U69" i="2"/>
  <c r="T69" i="2"/>
  <c r="V69" i="2" s="1"/>
  <c r="Q69" i="2"/>
  <c r="O69" i="2"/>
  <c r="M69" i="2"/>
  <c r="L69" i="2"/>
  <c r="N69" i="2" s="1"/>
  <c r="K20" i="3" l="1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39" i="3"/>
  <c r="J39" i="3"/>
  <c r="I39" i="3"/>
  <c r="H39" i="3"/>
  <c r="K38" i="3"/>
  <c r="J38" i="3"/>
  <c r="I38" i="3"/>
  <c r="H38" i="3"/>
  <c r="K37" i="3"/>
  <c r="J37" i="3"/>
  <c r="I37" i="3"/>
  <c r="H37" i="3"/>
  <c r="K36" i="3"/>
  <c r="J36" i="3"/>
  <c r="I36" i="3"/>
  <c r="H36" i="3"/>
  <c r="K35" i="3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58" i="3"/>
  <c r="J58" i="3"/>
  <c r="I58" i="3"/>
  <c r="H58" i="3"/>
  <c r="K57" i="3"/>
  <c r="J57" i="3"/>
  <c r="I57" i="3"/>
  <c r="H57" i="3"/>
  <c r="K56" i="3"/>
  <c r="J56" i="3"/>
  <c r="I56" i="3"/>
  <c r="H56" i="3"/>
  <c r="K55" i="3"/>
  <c r="J55" i="3"/>
  <c r="I55" i="3"/>
  <c r="H55" i="3"/>
  <c r="K54" i="3"/>
  <c r="J54" i="3"/>
  <c r="I54" i="3"/>
  <c r="H54" i="3"/>
  <c r="K53" i="3"/>
  <c r="J53" i="3"/>
  <c r="I53" i="3"/>
  <c r="H53" i="3"/>
  <c r="K52" i="3"/>
  <c r="J52" i="3"/>
  <c r="I52" i="3"/>
  <c r="H52" i="3"/>
  <c r="K51" i="3"/>
  <c r="J51" i="3"/>
  <c r="I51" i="3"/>
  <c r="H51" i="3"/>
  <c r="K50" i="3"/>
  <c r="J50" i="3"/>
  <c r="I50" i="3"/>
  <c r="H50" i="3"/>
  <c r="K49" i="3"/>
  <c r="J49" i="3"/>
  <c r="I49" i="3"/>
  <c r="H49" i="3"/>
  <c r="K48" i="3"/>
  <c r="J48" i="3"/>
  <c r="I48" i="3"/>
  <c r="H48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N9" i="2"/>
  <c r="V9" i="2"/>
  <c r="AD9" i="2"/>
  <c r="N73" i="2"/>
  <c r="V73" i="2"/>
  <c r="AD73" i="2"/>
  <c r="N164" i="2"/>
  <c r="V164" i="2"/>
  <c r="AD164" i="2"/>
  <c r="N66" i="2"/>
  <c r="V66" i="2"/>
  <c r="AD66" i="2"/>
  <c r="N140" i="2"/>
  <c r="V140" i="2"/>
  <c r="AD140" i="2"/>
  <c r="N24" i="2"/>
  <c r="V24" i="2"/>
  <c r="AD24" i="2"/>
  <c r="N55" i="2"/>
  <c r="V55" i="2"/>
  <c r="AD55" i="2"/>
  <c r="N119" i="2"/>
  <c r="V119" i="2"/>
  <c r="AD119" i="2"/>
  <c r="N21" i="2"/>
  <c r="V21" i="2"/>
  <c r="AD21" i="2"/>
  <c r="N15" i="2"/>
  <c r="V15" i="2"/>
  <c r="AD15" i="2"/>
  <c r="N34" i="2"/>
  <c r="V34" i="2"/>
  <c r="AD34" i="2"/>
  <c r="N94" i="2"/>
  <c r="V94" i="2"/>
  <c r="AD94" i="2"/>
  <c r="N38" i="2"/>
  <c r="V38" i="2"/>
  <c r="AD38" i="2"/>
  <c r="N20" i="2"/>
  <c r="V20" i="2"/>
  <c r="AD20" i="2"/>
  <c r="N146" i="2"/>
  <c r="V146" i="2"/>
  <c r="AD146" i="2"/>
  <c r="N100" i="2"/>
  <c r="V100" i="2"/>
  <c r="AD100" i="2"/>
  <c r="N43" i="2"/>
  <c r="V43" i="2"/>
  <c r="AD43" i="2"/>
  <c r="N89" i="2"/>
  <c r="V89" i="2"/>
  <c r="AD89" i="2"/>
  <c r="N72" i="2"/>
  <c r="V72" i="2"/>
  <c r="AD72" i="2"/>
  <c r="N87" i="2"/>
  <c r="V87" i="2"/>
  <c r="AD87" i="2"/>
  <c r="N126" i="2"/>
  <c r="V126" i="2"/>
  <c r="AD126" i="2"/>
  <c r="N10" i="2"/>
  <c r="V10" i="2"/>
  <c r="AD10" i="2"/>
  <c r="N93" i="2"/>
  <c r="V93" i="2"/>
  <c r="AD93" i="2"/>
  <c r="N26" i="2"/>
  <c r="V26" i="2"/>
  <c r="AD26" i="2"/>
  <c r="N36" i="2"/>
  <c r="V36" i="2"/>
  <c r="AD36" i="2"/>
  <c r="N83" i="2"/>
  <c r="V83" i="2"/>
  <c r="AD83" i="2"/>
  <c r="N49" i="2"/>
  <c r="V49" i="2"/>
  <c r="AD49" i="2"/>
  <c r="N14" i="2"/>
  <c r="V14" i="2"/>
  <c r="AD14" i="2"/>
  <c r="N71" i="2"/>
  <c r="V71" i="2"/>
  <c r="AD71" i="2"/>
  <c r="N136" i="2"/>
  <c r="V136" i="2"/>
  <c r="AD136" i="2"/>
  <c r="N142" i="2"/>
  <c r="V142" i="2"/>
  <c r="AD142" i="2"/>
  <c r="N80" i="2"/>
  <c r="V80" i="2"/>
  <c r="AD80" i="2"/>
  <c r="N18" i="2"/>
  <c r="V18" i="2"/>
  <c r="AD18" i="2"/>
  <c r="N112" i="2"/>
  <c r="V112" i="2"/>
  <c r="AD112" i="2"/>
  <c r="N5" i="2"/>
  <c r="V5" i="2"/>
  <c r="AD5" i="2"/>
  <c r="N123" i="2"/>
  <c r="V123" i="2"/>
  <c r="AD123" i="2"/>
  <c r="N108" i="2"/>
  <c r="V108" i="2"/>
  <c r="AD108" i="2"/>
  <c r="N97" i="2"/>
  <c r="V97" i="2"/>
  <c r="AD97" i="2"/>
  <c r="N27" i="2"/>
  <c r="V27" i="2"/>
  <c r="AD27" i="2"/>
  <c r="N56" i="2"/>
  <c r="V56" i="2"/>
  <c r="AD56" i="2"/>
  <c r="N158" i="2"/>
  <c r="V158" i="2"/>
  <c r="AD158" i="2"/>
  <c r="N81" i="2"/>
  <c r="V81" i="2"/>
  <c r="AD81" i="2"/>
  <c r="N165" i="2"/>
  <c r="V165" i="2"/>
  <c r="AD165" i="2"/>
  <c r="N149" i="2"/>
  <c r="V149" i="2"/>
  <c r="AD149" i="2"/>
  <c r="N60" i="2"/>
  <c r="V60" i="2"/>
  <c r="AD60" i="2"/>
  <c r="N30" i="2"/>
  <c r="V30" i="2"/>
  <c r="AD30" i="2"/>
  <c r="N35" i="2"/>
  <c r="V35" i="2"/>
  <c r="AD35" i="2"/>
  <c r="N62" i="2"/>
  <c r="V62" i="2"/>
  <c r="AD62" i="2"/>
  <c r="N6" i="2"/>
  <c r="V6" i="2"/>
  <c r="AD6" i="2"/>
  <c r="N70" i="2"/>
  <c r="V70" i="2"/>
  <c r="AD70" i="2"/>
  <c r="N52" i="2"/>
  <c r="V52" i="2"/>
  <c r="AD52" i="2"/>
  <c r="N163" i="2"/>
  <c r="V163" i="2"/>
  <c r="AD163" i="2"/>
  <c r="N96" i="2"/>
  <c r="V96" i="2"/>
  <c r="AD96" i="2"/>
  <c r="N115" i="2"/>
  <c r="V115" i="2"/>
  <c r="AD115" i="2"/>
  <c r="N102" i="2"/>
  <c r="V102" i="2"/>
  <c r="AD102" i="2"/>
  <c r="N95" i="2"/>
  <c r="V95" i="2"/>
  <c r="AD95" i="2"/>
  <c r="N105" i="2"/>
  <c r="V105" i="2"/>
  <c r="AD105" i="2"/>
  <c r="N103" i="2"/>
  <c r="V103" i="2"/>
  <c r="AD103" i="2"/>
  <c r="N138" i="2"/>
  <c r="V138" i="2"/>
  <c r="AD138" i="2"/>
  <c r="N120" i="2"/>
  <c r="V120" i="2"/>
  <c r="AD120" i="2"/>
  <c r="N48" i="2"/>
  <c r="V48" i="2"/>
  <c r="AD48" i="2"/>
  <c r="N50" i="2"/>
  <c r="V50" i="2"/>
  <c r="AD50" i="2"/>
  <c r="N11" i="2"/>
  <c r="V11" i="2"/>
  <c r="AD11" i="2"/>
  <c r="N168" i="2"/>
  <c r="V168" i="2"/>
  <c r="AD168" i="2"/>
  <c r="N118" i="2"/>
  <c r="V118" i="2"/>
  <c r="AD118" i="2"/>
  <c r="N40" i="2"/>
  <c r="V40" i="2"/>
  <c r="AD40" i="2"/>
  <c r="N156" i="2"/>
  <c r="V156" i="2"/>
  <c r="AD156" i="2"/>
  <c r="N117" i="2"/>
  <c r="V117" i="2"/>
  <c r="AD117" i="2"/>
  <c r="N109" i="2"/>
  <c r="V109" i="2"/>
  <c r="AD109" i="2"/>
  <c r="N159" i="2"/>
  <c r="V159" i="2"/>
  <c r="AD159" i="2"/>
  <c r="N45" i="2"/>
  <c r="V45" i="2"/>
  <c r="AD45" i="2"/>
  <c r="N98" i="2"/>
  <c r="V98" i="2"/>
  <c r="AD98" i="2"/>
  <c r="N59" i="2"/>
  <c r="V59" i="2"/>
  <c r="AD59" i="2"/>
  <c r="N137" i="2"/>
  <c r="V137" i="2"/>
  <c r="AD137" i="2"/>
  <c r="N139" i="2"/>
  <c r="V139" i="2"/>
  <c r="AD139" i="2"/>
  <c r="N101" i="2"/>
  <c r="V101" i="2"/>
  <c r="AD101" i="2"/>
  <c r="N8" i="2"/>
  <c r="V8" i="2"/>
  <c r="AD8" i="2"/>
  <c r="N12" i="2"/>
  <c r="V12" i="2"/>
  <c r="AD12" i="2"/>
  <c r="N143" i="2"/>
  <c r="V143" i="2"/>
  <c r="AD143" i="2"/>
  <c r="N107" i="2"/>
  <c r="V107" i="2"/>
  <c r="AD107" i="2"/>
  <c r="N91" i="2"/>
  <c r="V91" i="2"/>
  <c r="AD91" i="2"/>
  <c r="N74" i="2"/>
  <c r="V74" i="2"/>
  <c r="AD74" i="2"/>
  <c r="N131" i="2"/>
  <c r="V131" i="2"/>
  <c r="AD131" i="2"/>
  <c r="N77" i="2"/>
  <c r="V77" i="2"/>
  <c r="AD77" i="2"/>
  <c r="N44" i="2"/>
  <c r="V44" i="2"/>
  <c r="AD44" i="2"/>
  <c r="N167" i="2"/>
  <c r="V167" i="2"/>
  <c r="AD167" i="2"/>
  <c r="N4" i="2"/>
  <c r="V4" i="2"/>
  <c r="AD4" i="2"/>
  <c r="N3" i="2"/>
  <c r="V3" i="2"/>
  <c r="AD3" i="2"/>
  <c r="N32" i="2"/>
  <c r="V32" i="2"/>
  <c r="AD32" i="2"/>
  <c r="N28" i="2"/>
  <c r="V28" i="2"/>
  <c r="AD28" i="2"/>
  <c r="N144" i="2"/>
  <c r="V144" i="2"/>
  <c r="AD144" i="2"/>
  <c r="N124" i="2"/>
  <c r="V124" i="2"/>
  <c r="AD124" i="2"/>
  <c r="N151" i="2"/>
  <c r="V151" i="2"/>
  <c r="AD151" i="2"/>
  <c r="N132" i="2"/>
  <c r="V132" i="2"/>
  <c r="AD132" i="2"/>
  <c r="N25" i="2"/>
  <c r="V25" i="2"/>
  <c r="AD25" i="2"/>
  <c r="N37" i="2"/>
  <c r="V37" i="2"/>
  <c r="AD37" i="2"/>
  <c r="N54" i="2"/>
  <c r="V54" i="2"/>
  <c r="AD54" i="2"/>
  <c r="N64" i="2"/>
  <c r="V64" i="2"/>
  <c r="AD64" i="2"/>
  <c r="N145" i="2"/>
  <c r="V145" i="2"/>
  <c r="AD145" i="2"/>
  <c r="N61" i="2"/>
  <c r="V61" i="2"/>
  <c r="AD61" i="2"/>
  <c r="N113" i="2"/>
  <c r="V113" i="2"/>
  <c r="AD113" i="2"/>
  <c r="N22" i="2"/>
  <c r="V22" i="2"/>
  <c r="AD22" i="2"/>
  <c r="N42" i="2"/>
  <c r="V42" i="2"/>
  <c r="AD42" i="2"/>
  <c r="N162" i="2"/>
  <c r="V162" i="2"/>
  <c r="AD162" i="2"/>
  <c r="N110" i="2"/>
  <c r="V110" i="2"/>
  <c r="AD110" i="2"/>
  <c r="N57" i="2"/>
  <c r="V57" i="2"/>
  <c r="AD57" i="2"/>
  <c r="N19" i="2"/>
  <c r="V19" i="2"/>
  <c r="AD19" i="2"/>
  <c r="N157" i="2"/>
  <c r="V157" i="2"/>
  <c r="AD157" i="2"/>
  <c r="N76" i="2"/>
  <c r="V76" i="2"/>
  <c r="AD76" i="2"/>
  <c r="N111" i="2"/>
  <c r="V111" i="2"/>
  <c r="AD111" i="2"/>
  <c r="N67" i="2"/>
  <c r="V67" i="2"/>
  <c r="AD67" i="2"/>
  <c r="N90" i="2"/>
  <c r="V90" i="2"/>
  <c r="AD90" i="2"/>
  <c r="N58" i="2"/>
  <c r="V58" i="2"/>
  <c r="AD58" i="2"/>
  <c r="N135" i="2"/>
  <c r="V135" i="2"/>
  <c r="AD135" i="2"/>
  <c r="N154" i="2"/>
  <c r="V154" i="2"/>
  <c r="AD154" i="2"/>
  <c r="N160" i="2"/>
  <c r="V160" i="2"/>
  <c r="AD160" i="2"/>
  <c r="N153" i="2"/>
  <c r="V153" i="2"/>
  <c r="AD153" i="2"/>
  <c r="N53" i="2"/>
  <c r="V53" i="2"/>
  <c r="AD53" i="2"/>
  <c r="N127" i="2"/>
  <c r="V127" i="2"/>
  <c r="AD127" i="2"/>
  <c r="N85" i="2"/>
  <c r="V85" i="2"/>
  <c r="AD85" i="2"/>
  <c r="N78" i="2"/>
  <c r="V78" i="2"/>
  <c r="AD78" i="2"/>
  <c r="N23" i="2"/>
  <c r="V23" i="2"/>
  <c r="AD23" i="2"/>
  <c r="N68" i="2"/>
  <c r="V68" i="2"/>
  <c r="AD68" i="2"/>
  <c r="N161" i="2"/>
  <c r="V161" i="2"/>
  <c r="AD161" i="2"/>
  <c r="N41" i="2"/>
  <c r="V41" i="2"/>
  <c r="AD41" i="2"/>
  <c r="N29" i="2"/>
  <c r="V29" i="2"/>
  <c r="AD29" i="2"/>
  <c r="N148" i="2"/>
  <c r="V148" i="2"/>
  <c r="AD148" i="2"/>
  <c r="N121" i="2"/>
  <c r="V121" i="2"/>
  <c r="AD121" i="2"/>
  <c r="N133" i="2"/>
  <c r="V133" i="2"/>
  <c r="AD133" i="2"/>
  <c r="N7" i="2"/>
  <c r="V7" i="2"/>
  <c r="AD7" i="2"/>
  <c r="N104" i="2"/>
  <c r="V104" i="2"/>
  <c r="AD104" i="2"/>
  <c r="N13" i="2"/>
  <c r="V13" i="2"/>
  <c r="AD13" i="2"/>
  <c r="N79" i="2"/>
  <c r="V79" i="2"/>
  <c r="AD79" i="2"/>
  <c r="N106" i="2"/>
  <c r="V106" i="2"/>
  <c r="AD106" i="2"/>
  <c r="N39" i="2"/>
  <c r="V39" i="2"/>
  <c r="AD39" i="2"/>
  <c r="N31" i="2"/>
  <c r="V31" i="2"/>
  <c r="AD31" i="2"/>
  <c r="N46" i="2"/>
  <c r="V46" i="2"/>
  <c r="AD46" i="2"/>
  <c r="N130" i="2"/>
  <c r="V130" i="2"/>
  <c r="AD130" i="2"/>
  <c r="N99" i="2"/>
  <c r="V99" i="2"/>
  <c r="AD99" i="2"/>
  <c r="N88" i="2"/>
  <c r="V88" i="2"/>
  <c r="AD88" i="2"/>
  <c r="N114" i="2"/>
  <c r="V114" i="2"/>
  <c r="AD114" i="2"/>
  <c r="N125" i="2"/>
  <c r="V125" i="2"/>
  <c r="AD125" i="2"/>
  <c r="N84" i="2"/>
  <c r="V84" i="2"/>
  <c r="AD84" i="2"/>
  <c r="N128" i="2"/>
  <c r="V128" i="2"/>
  <c r="AD128" i="2"/>
  <c r="N16" i="2"/>
  <c r="V16" i="2"/>
  <c r="AD16" i="2"/>
  <c r="N82" i="2"/>
  <c r="V82" i="2"/>
  <c r="AD82" i="2"/>
  <c r="N116" i="2"/>
  <c r="V116" i="2"/>
  <c r="AD116" i="2"/>
  <c r="N141" i="2"/>
  <c r="V141" i="2"/>
  <c r="AD141" i="2"/>
  <c r="N122" i="2"/>
  <c r="V122" i="2"/>
  <c r="AD122" i="2"/>
  <c r="N134" i="2"/>
  <c r="V134" i="2"/>
  <c r="AD134" i="2"/>
  <c r="N166" i="2"/>
  <c r="V166" i="2"/>
  <c r="AD166" i="2"/>
  <c r="N63" i="2"/>
  <c r="V63" i="2"/>
  <c r="AD63" i="2"/>
  <c r="N51" i="2"/>
  <c r="V51" i="2"/>
  <c r="AD51" i="2"/>
  <c r="N86" i="2"/>
  <c r="V86" i="2"/>
  <c r="AD86" i="2"/>
  <c r="N92" i="2"/>
  <c r="V92" i="2"/>
  <c r="AD92" i="2"/>
  <c r="N33" i="2"/>
  <c r="V33" i="2"/>
  <c r="AD33" i="2"/>
  <c r="N152" i="2"/>
  <c r="V152" i="2"/>
  <c r="AD152" i="2"/>
  <c r="N17" i="2"/>
  <c r="V17" i="2"/>
  <c r="AD17" i="2"/>
  <c r="N147" i="2"/>
  <c r="V147" i="2"/>
  <c r="AD147" i="2"/>
  <c r="N65" i="2"/>
  <c r="V65" i="2"/>
  <c r="AD65" i="2"/>
  <c r="N47" i="2"/>
  <c r="V47" i="2"/>
  <c r="AD47" i="2"/>
  <c r="N129" i="2"/>
  <c r="V129" i="2"/>
  <c r="AD129" i="2"/>
  <c r="N155" i="2"/>
  <c r="V155" i="2"/>
  <c r="AD155" i="2"/>
  <c r="N75" i="2"/>
  <c r="V75" i="2"/>
  <c r="AD75" i="2"/>
  <c r="N169" i="2"/>
  <c r="V169" i="2"/>
  <c r="AD169" i="2"/>
  <c r="N150" i="2"/>
  <c r="V150" i="2"/>
  <c r="AD150" i="2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E58" i="3" l="1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K8" i="4"/>
  <c r="J8" i="4"/>
  <c r="E8" i="4"/>
  <c r="L7" i="4"/>
  <c r="K7" i="4"/>
  <c r="J7" i="4"/>
  <c r="I7" i="4"/>
  <c r="H7" i="4"/>
  <c r="G7" i="4"/>
  <c r="F7" i="4"/>
  <c r="E7" i="4"/>
  <c r="D7" i="4"/>
  <c r="C7" i="4"/>
  <c r="B7" i="4"/>
  <c r="L6" i="4"/>
  <c r="K6" i="4"/>
  <c r="J6" i="4"/>
  <c r="I6" i="4"/>
  <c r="H6" i="4"/>
  <c r="G6" i="4"/>
  <c r="F6" i="4"/>
  <c r="E6" i="4"/>
  <c r="D6" i="4"/>
  <c r="C6" i="4"/>
  <c r="B6" i="4"/>
  <c r="L5" i="4"/>
  <c r="K5" i="4"/>
  <c r="J5" i="4"/>
  <c r="I5" i="4"/>
  <c r="H5" i="4"/>
  <c r="G5" i="4"/>
  <c r="F5" i="4"/>
  <c r="E5" i="4"/>
  <c r="D5" i="4"/>
  <c r="C5" i="4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100-000001000000}">
      <text>
        <r>
          <rPr>
            <sz val="10"/>
            <rFont val="Arial"/>
            <family val="2"/>
          </rPr>
          <t>IBGE/SIDRA tab. 5938, var. 37</t>
        </r>
      </text>
    </comment>
    <comment ref="D2" authorId="0" shapeId="0" xr:uid="{00000000-0006-0000-0100-000002000000}">
      <text>
        <r>
          <rPr>
            <sz val="10"/>
            <rFont val="Arial"/>
            <family val="2"/>
          </rPr>
          <t>IBGE/SIDRA tab. 5938. VAB setorial de 2022 não publicado no SIDRA</t>
        </r>
      </text>
    </comment>
    <comment ref="E2" authorId="0" shapeId="0" xr:uid="{00000000-0006-0000-0100-000003000000}">
      <text>
        <r>
          <rPr>
            <sz val="10"/>
            <rFont val="Arial"/>
            <family val="2"/>
          </rPr>
          <t>IBGE/SIDRA tab. 5938 (ano mais recente)</t>
        </r>
      </text>
    </comment>
    <comment ref="F2" authorId="0" shapeId="0" xr:uid="{00000000-0006-0000-0100-000004000000}">
      <text>
        <r>
          <rPr>
            <sz val="10"/>
            <rFont val="Arial"/>
            <family val="2"/>
          </rPr>
          <t>IBGE/SIDRA tab. 5938, var. 498</t>
        </r>
      </text>
    </comment>
    <comment ref="G2" authorId="0" shapeId="0" xr:uid="{00000000-0006-0000-0100-000005000000}">
      <text>
        <r>
          <rPr>
            <sz val="10"/>
            <rFont val="Arial"/>
            <family val="2"/>
          </rPr>
          <t>IBGE/SIDRA tab. 5938, var. 543</t>
        </r>
      </text>
    </comment>
    <comment ref="H2" authorId="0" shapeId="0" xr:uid="{00000000-0006-0000-0100-000006000000}">
      <text>
        <r>
          <rPr>
            <sz val="10"/>
            <rFont val="Arial"/>
            <family val="2"/>
          </rPr>
          <t>IBGE/SIDRA tab. 6579 (estimativas). Denominador dos indicadores per capita de 2021</t>
        </r>
      </text>
    </comment>
    <comment ref="I2" authorId="0" shapeId="0" xr:uid="{00000000-0006-0000-0100-000007000000}">
      <text>
        <r>
          <rPr>
            <sz val="10"/>
            <rFont val="Arial"/>
            <family val="2"/>
          </rPr>
          <t>IBGE Cidades, indicador 47001</t>
        </r>
      </text>
    </comment>
    <comment ref="J2" authorId="0" shapeId="0" xr:uid="{00000000-0006-0000-0100-000008000000}">
      <text>
        <r>
          <rPr>
            <sz val="10"/>
            <rFont val="Arial"/>
            <family val="2"/>
          </rPr>
          <t>IBGE Cidades, indicador 47001</t>
        </r>
      </text>
    </comment>
    <comment ref="K2" authorId="0" shapeId="0" xr:uid="{00000000-0006-0000-0100-000009000000}">
      <text>
        <r>
          <rPr>
            <sz val="10"/>
            <rFont val="Arial"/>
            <family val="2"/>
          </rPr>
          <t>IBGE/SIDRA tab. 5938, var. 517. Inclui extrativa, transformação, construção e eletricidade/água/gás</t>
        </r>
      </text>
    </comment>
    <comment ref="P2" authorId="0" shapeId="0" xr:uid="{00000000-0006-0000-0100-00000A000000}">
      <text>
        <r>
          <rPr>
            <sz val="10"/>
            <rFont val="Arial"/>
            <family val="2"/>
          </rPr>
          <t>Observatório Sebrae, cubo RF (Receita Federal), estabelecimentos com situação Ativa</t>
        </r>
      </text>
    </comment>
    <comment ref="R2" authorId="0" shapeId="0" xr:uid="{00000000-0006-0000-0100-00000B000000}">
      <text>
        <r>
          <rPr>
            <sz val="10"/>
            <rFont val="Arial"/>
            <family val="2"/>
          </rPr>
          <t>Estabelecimentos industriais fora de MEI/ME (proxy de indústria de maior porte)</t>
        </r>
      </text>
    </comment>
    <comment ref="S2" authorId="0" shapeId="0" xr:uid="{00000000-0006-0000-0100-00000C000000}">
      <text>
        <r>
          <rPr>
            <sz val="10"/>
            <rFont val="Arial"/>
            <family val="2"/>
          </rPr>
          <t>IBGE/SIDRA tab. 5938, var. 6575. Serviços EXCETO adm. pública; inclui comércio</t>
        </r>
      </text>
    </comment>
    <comment ref="X2" authorId="0" shapeId="0" xr:uid="{00000000-0006-0000-0100-00000D000000}">
      <text>
        <r>
          <rPr>
            <sz val="10"/>
            <rFont val="Arial"/>
            <family val="2"/>
          </rPr>
          <t>Observatório Sebrae, cubo RF</t>
        </r>
      </text>
    </comment>
    <comment ref="Y2" authorId="0" shapeId="0" xr:uid="{00000000-0006-0000-0100-00000E000000}">
      <text>
        <r>
          <rPr>
            <sz val="10"/>
            <rFont val="Arial"/>
            <family val="2"/>
          </rPr>
          <t>Observatório Sebrae, cubo RF</t>
        </r>
      </text>
    </comment>
    <comment ref="Z2" authorId="0" shapeId="0" xr:uid="{00000000-0006-0000-0100-00000F000000}">
      <text>
        <r>
          <rPr>
            <sz val="10"/>
            <rFont val="Arial"/>
            <family val="2"/>
          </rPr>
          <t>Comércio somado porque o VAB de Serviços do IBGE inclui comércio</t>
        </r>
      </text>
    </comment>
    <comment ref="AA2" authorId="0" shapeId="0" xr:uid="{00000000-0006-0000-0100-000010000000}">
      <text>
        <r>
          <rPr>
            <sz val="10"/>
            <rFont val="Arial"/>
            <family val="2"/>
          </rPr>
          <t>IBGE/SIDRA tab. 5938, var. 525. Adm., defesa, educação e saúde públicas e seguridade social</t>
        </r>
      </text>
    </comment>
    <comment ref="AF2" authorId="0" shapeId="0" xr:uid="{00000000-0006-0000-0100-000011000000}">
      <text>
        <r>
          <rPr>
            <sz val="10"/>
            <rFont val="Arial"/>
            <family val="2"/>
          </rPr>
          <t>IBGE Cidades, indicador 60048 (% da receita bruta vinda de transferências correntes). Em pontos percentuais</t>
        </r>
      </text>
    </comment>
    <comment ref="AG2" authorId="0" shapeId="0" xr:uid="{00000000-0006-0000-0100-000012000000}">
      <text>
        <r>
          <rPr>
            <sz val="10"/>
            <rFont val="Arial"/>
            <family val="2"/>
          </rPr>
          <t>IBGE Cidades, indicador 28141 (Siconfi/STN)</t>
        </r>
      </text>
    </comment>
    <comment ref="AH2" authorId="0" shapeId="0" xr:uid="{00000000-0006-0000-0100-000013000000}">
      <text>
        <r>
          <rPr>
            <sz val="10"/>
            <rFont val="Arial"/>
            <family val="2"/>
          </rPr>
          <t>Receita 2025 ÷ população Censo 2022</t>
        </r>
      </text>
    </comment>
    <comment ref="AI2" authorId="0" shapeId="0" xr:uid="{00000000-0006-0000-0100-000014000000}">
      <text>
        <r>
          <rPr>
            <sz val="10"/>
            <rFont val="Arial"/>
            <family val="2"/>
          </rPr>
          <t>IBGE/SIDRA tab. 5938, var. 513 (referência p/ fechar o VAB)</t>
        </r>
      </text>
    </comment>
    <comment ref="AK2" authorId="0" shapeId="0" xr:uid="{00000000-0006-0000-0100-000015000000}">
      <text>
        <r>
          <rPr>
            <sz val="10"/>
            <rFont val="Arial"/>
            <family val="2"/>
          </rPr>
          <t>IBGE/SIDRA tab. 9509, var. 367</t>
        </r>
      </text>
    </comment>
    <comment ref="AL2" authorId="0" shapeId="0" xr:uid="{00000000-0006-0000-0100-000016000000}">
      <text>
        <r>
          <rPr>
            <sz val="10"/>
            <rFont val="Arial"/>
            <family val="2"/>
          </rPr>
          <t>IBGE/SIDRA tab. 9509, var. 367</t>
        </r>
      </text>
    </comment>
    <comment ref="AM2" authorId="0" shapeId="0" xr:uid="{00000000-0006-0000-0100-000017000000}">
      <text>
        <r>
          <rPr>
            <sz val="10"/>
            <rFont val="Arial"/>
            <family val="2"/>
          </rPr>
          <t>IBGE/SIDRA tab. 9509, var. 706</t>
        </r>
      </text>
    </comment>
    <comment ref="AN2" authorId="0" shapeId="0" xr:uid="{00000000-0006-0000-0100-000018000000}">
      <text>
        <r>
          <rPr>
            <sz val="10"/>
            <rFont val="Arial"/>
            <family val="2"/>
          </rPr>
          <t>IBGE/SIDRA tab. 9509, var. 707</t>
        </r>
      </text>
    </comment>
    <comment ref="AO2" authorId="0" shapeId="0" xr:uid="{00000000-0006-0000-0100-000019000000}">
      <text>
        <r>
          <rPr>
            <sz val="10"/>
            <rFont val="Arial"/>
            <family val="2"/>
          </rPr>
          <t>IBGE/SIDRA tab. 9509, var. 708</t>
        </r>
      </text>
    </comment>
    <comment ref="AP2" authorId="0" shapeId="0" xr:uid="{00000000-0006-0000-0100-00001A000000}">
      <text>
        <r>
          <rPr>
            <sz val="10"/>
            <rFont val="Arial"/>
            <family val="2"/>
          </rPr>
          <t>IBGE/SIDRA tab. 9509, var. 1606 (em salários mínimos)</t>
        </r>
      </text>
    </comment>
    <comment ref="AQ2" authorId="0" shapeId="0" xr:uid="{00000000-0006-0000-0100-00001B000000}">
      <text>
        <r>
          <rPr>
            <sz val="10"/>
            <rFont val="Arial"/>
            <family val="2"/>
          </rPr>
          <t>Empresas CEMPRE 2024 ÷ população Censo 2022</t>
        </r>
      </text>
    </comment>
    <comment ref="AR2" authorId="0" shapeId="0" xr:uid="{00000000-0006-0000-0100-00001C000000}">
      <text>
        <r>
          <rPr>
            <sz val="10"/>
            <rFont val="Arial"/>
            <family val="2"/>
          </rPr>
          <t>Observatório Sebrae, cubo RF; base cadastral vigente na data de extração</t>
        </r>
      </text>
    </comment>
    <comment ref="AV2" authorId="0" shapeId="0" xr:uid="{00000000-0006-0000-0100-00001D000000}">
      <text>
        <r>
          <rPr>
            <sz val="10"/>
            <rFont val="Arial"/>
            <family val="2"/>
          </rPr>
          <t>Médias/grandes e não enquadradas, inclusive órgãos públicos</t>
        </r>
      </text>
    </comment>
    <comment ref="AZ2" authorId="0" shapeId="0" xr:uid="{00000000-0006-0000-0100-00001E000000}">
      <text>
        <r>
          <rPr>
            <sz val="10"/>
            <rFont val="Arial"/>
            <family val="2"/>
          </rPr>
          <t>IBGE Cidades, indicador 96385</t>
        </r>
      </text>
    </comment>
    <comment ref="BA2" authorId="0" shapeId="0" xr:uid="{00000000-0006-0000-0100-00001F000000}">
      <text>
        <r>
          <rPr>
            <sz val="10"/>
            <rFont val="Arial"/>
            <family val="2"/>
          </rPr>
          <t>IBGE Cidades, indicador 29167</t>
        </r>
      </text>
    </comment>
    <comment ref="BB2" authorId="0" shapeId="0" xr:uid="{00000000-0006-0000-0100-000020000000}">
      <text>
        <r>
          <rPr>
            <sz val="10"/>
            <rFont val="Arial"/>
            <family val="2"/>
          </rPr>
          <t>IBGE Cidades, indicador 96386</t>
        </r>
      </text>
    </comment>
    <comment ref="BC2" authorId="0" shapeId="0" xr:uid="{00000000-0006-0000-0100-000021000000}">
      <text>
        <r>
          <rPr>
            <sz val="10"/>
            <rFont val="Arial"/>
            <family val="2"/>
          </rPr>
          <t>PNUD/Atlas via IBGE Cidades, indicador 329756 (último disponível por município)</t>
        </r>
      </text>
    </comment>
    <comment ref="BD2" authorId="0" shapeId="0" xr:uid="{00000000-0006-0000-0100-000022000000}">
      <text>
        <r>
          <rPr>
            <sz val="10"/>
            <rFont val="Arial"/>
            <family val="2"/>
          </rPr>
          <t>IBGE Cidades, indicador 60037 (Censo 2010). Em pontos percentuais</t>
        </r>
      </text>
    </comment>
    <comment ref="BE2" authorId="0" shapeId="0" xr:uid="{00000000-0006-0000-0100-000023000000}">
      <text>
        <r>
          <rPr>
            <sz val="10"/>
            <rFont val="Arial"/>
            <family val="2"/>
          </rPr>
          <t>IBGE Cidades, indicador 60045 (Censo 2022)</t>
        </r>
      </text>
    </comment>
    <comment ref="BF2" authorId="0" shapeId="0" xr:uid="{00000000-0006-0000-0100-000024000000}">
      <text>
        <r>
          <rPr>
            <sz val="10"/>
            <rFont val="Arial"/>
            <family val="2"/>
          </rPr>
          <t>INEP via IBGE Cidades, indicador 78187</t>
        </r>
      </text>
    </comment>
    <comment ref="BG2" authorId="0" shapeId="0" xr:uid="{00000000-0006-0000-0100-000025000000}">
      <text>
        <r>
          <rPr>
            <sz val="10"/>
            <rFont val="Arial"/>
            <family val="2"/>
          </rPr>
          <t>INEP via IBGE Cidades, indicador 78192</t>
        </r>
      </text>
    </comment>
    <comment ref="BH2" authorId="0" shapeId="0" xr:uid="{00000000-0006-0000-0100-000026000000}">
      <text>
        <r>
          <rPr>
            <sz val="10"/>
            <rFont val="Arial"/>
            <family val="2"/>
          </rPr>
          <t>IBGE Cidades, indicador 60030 (Censo 2022)</t>
        </r>
      </text>
    </comment>
    <comment ref="BI2" authorId="0" shapeId="0" xr:uid="{00000000-0006-0000-0100-000027000000}">
      <text>
        <r>
          <rPr>
            <sz val="10"/>
            <rFont val="Arial"/>
            <family val="2"/>
          </rPr>
          <t>IBGE Cidades, indicador 143514</t>
        </r>
      </text>
    </comment>
    <comment ref="BJ2" authorId="0" shapeId="0" xr:uid="{00000000-0006-0000-0100-000028000000}">
      <text>
        <r>
          <rPr>
            <sz val="10"/>
            <rFont val="Arial"/>
            <family val="2"/>
          </rPr>
          <t>IBGE Cidades, indicador 143558</t>
        </r>
      </text>
    </comment>
    <comment ref="BK2" authorId="0" shapeId="0" xr:uid="{00000000-0006-0000-0100-000029000000}">
      <text>
        <r>
          <rPr>
            <sz val="10"/>
            <rFont val="Arial"/>
            <family val="2"/>
          </rPr>
          <t>Pessoal ocupado formal 2024 ÷ população Censo 2022</t>
        </r>
      </text>
    </comment>
    <comment ref="BL2" authorId="0" shapeId="0" xr:uid="{00000000-0006-0000-0100-00002A000000}">
      <text>
        <r>
          <rPr>
            <sz val="10"/>
            <rFont val="Arial"/>
            <family val="2"/>
          </rPr>
          <t>Deve ser ~0 (diferença só de arredondamento do IBGE)</t>
        </r>
      </text>
    </comment>
    <comment ref="BM2" authorId="0" shapeId="0" xr:uid="{00000000-0006-0000-0100-00002B000000}">
      <text>
        <r>
          <rPr>
            <sz val="10"/>
            <rFont val="Arial"/>
            <family val="2"/>
          </rPr>
          <t>Deve ser ~0</t>
        </r>
      </text>
    </comment>
    <comment ref="BN2" authorId="0" shapeId="0" xr:uid="{00000000-0006-0000-0100-00002C000000}">
      <text>
        <r>
          <rPr>
            <sz val="10"/>
            <rFont val="Arial"/>
            <family val="2"/>
          </rPr>
          <t>Deve ser ~0; confirma que o denominador per capita é o mesmo do IBGE</t>
        </r>
      </text>
    </comment>
  </commentList>
</comments>
</file>

<file path=xl/sharedStrings.xml><?xml version="1.0" encoding="utf-8"?>
<sst xmlns="http://schemas.openxmlformats.org/spreadsheetml/2006/main" count="12249" uniqueCount="533">
  <si>
    <t>Base de dados – Valor Adicionado e fatores socioeconômicos dos municípios do RN</t>
  </si>
  <si>
    <t>Extração: 09/10/2026, direto das APIs oficiais (IBGE/SIDRA, IBGE Cidades, IpeaData, Observatório Sebrae). 167 municípios + total do RN.</t>
  </si>
  <si>
    <t>ABAS</t>
  </si>
  <si>
    <t>Municipios_RN – 1 linha por município. Colunas agrupadas por setor (Indústria, Serviços, Administração), mais perfil empresarial, socioeconômico e controles. Rankings e % são fórmulas.</t>
  </si>
  <si>
    <t>Ranking_Setores – Top 15 por setor, por participação no VAB municipal e por VAB absoluto (fórmulas).</t>
  </si>
  <si>
    <t>Correlacoes – Correlação entre peso de cada setor no VAB e indicadores sociais/empresariais (fórmulas CORREL).</t>
  </si>
  <si>
    <t>Serie_Historica – Formato longo, filtrável por município e série. PIB e VAB setorial em preços correntes (IBGE, 2002–2023/2021) e em preços constantes de 2010 (IpeaData, 2002–2021), com variação real.</t>
  </si>
  <si>
    <t>Serie_Participacao – Participação % de cada setor no VAB municipal, ano a ano (2002–2021), pronta para gráfico de linhas.</t>
  </si>
  <si>
    <t>CNAE_PO_10municipios – Pessoal ocupado por seção CNAE (só 10 municípios cobertos pelo IBGE).</t>
  </si>
  <si>
    <t>FONTES</t>
  </si>
  <si>
    <t>IBGE/SIDRA tab. 5938 – PIB dos Municípios (ref. 2010): https://sidra.ibge.gov.br/tabela/5938</t>
  </si>
  <si>
    <t>IBGE/SIDRA tab. 6579 – Estimativas de população (2021): https://sidra.ibge.gov.br/tabela/6579</t>
  </si>
  <si>
    <t>IBGE/SIDRA tab. 9509 e 9510 – Cadastro Central de Empresas (CEMPRE): https://sidra.ibge.gov.br/tabela/9509</t>
  </si>
  <si>
    <t>IBGE Cidades – painel do município (IDHM, IDEB, renda, escolarização, receitas etc.): https://cidades.ibge.gov.br/brasil/rn</t>
  </si>
  <si>
    <t>IpeaData – PIB municipal a preços de 2010 (séries PIB_IBGE_5938_37, PIBI, PIBSE, PIBG, PIBAG): http://www.ipeadata.gov.br</t>
  </si>
  <si>
    <t>Observatório Sebrae – cubo "RF" (Receita Federal, estabelecimentos com situação cadastral Ativa) por porte e grande setor: https://observatorio.sebrae.com.br</t>
  </si>
  <si>
    <t>VALIDAÇÕES FEITAS (dupla checagem)</t>
  </si>
  <si>
    <t>1. Soma dos 167 municípios = total oficial do RN (VAB Indústria 2021: diferença de R$ 1 mil, arredondamento do IBGE; Sebrae: 314.597 = 314.597).</t>
  </si>
  <si>
    <t>2. Transcrição conferida por checksum coluna a coluna contra o valor calculado no navegador na hora da extração (zero divergências).</t>
  </si>
  <si>
    <t>3. Conferência cruzada entre fontes: no ano-base 2010, o valor a preços constantes (IpeaData) = valor corrente (SIDRA) em 668 de 668 comparações.</t>
  </si>
  <si>
    <t>4. Colunas "Controle" na aba Municipios_RN: Σ VAB setores = VAB total; VAB + impostos = PIB; PIB per capita calculado = IBGE.</t>
  </si>
  <si>
    <t>LIMITAÇÕES – LEIA ANTES DE ESCREVER O TEXTO</t>
  </si>
  <si>
    <t>• VAB por setor: último ano com dado municipal no SIDRA é 2021 (para 2022–2023 o IBGE só disponibiliza o PIB total). Por isso a análise setorial usa 2021.</t>
  </si>
  <si>
    <t>• "Serviços" no IBGE exclui administração pública, mas INCLUI comércio. "Administração" inclui educação e saúde PÚBLICAS e seguridade social.</t>
  </si>
  <si>
    <t>• Sebrae conta ESTABELECIMENTOS (CNPJ) ativos na base vigente em 09/10/2026; CEMPRE/IBGE conta EMPRESAS com pessoal ocupado. Os números não são comparáveis entre si.</t>
  </si>
  <si>
    <t>• IDHM (2010) e % renda ≤ ½ SM (2010) são os mais recentes por município. Mortalidade infantil ficou de fora: dado ausente na maioria dos municípios pequenos.</t>
  </si>
  <si>
    <t>• Indicadores com anos diferentes (2010–2025) estão identificados no cabeçalho. Cuidado ao comparar.</t>
  </si>
  <si>
    <t>• Municípios pequenos com uma grande planta (energia eólica, petróleo, sal) têm per capita inflado. Isso é achado, não erro: a riqueza é gerada no município, mas não necessariamente fica nele.</t>
  </si>
  <si>
    <t>CONVENÇÕES</t>
  </si>
  <si>
    <t>Texto azul = dado importado da fonte · preto = fórmula · verde = fórmula que puxa de outra aba · célula vazia = inexistente/sigiloso/não disponível. Valores monetários do PIB/VAB em mil R$.</t>
  </si>
  <si>
    <t>IDENTIFICAÇÃO</t>
  </si>
  <si>
    <t>ECONOMIA GERAL</t>
  </si>
  <si>
    <t>INDÚSTRIA</t>
  </si>
  <si>
    <t>SERVIÇOS (exceto adm. pública)</t>
  </si>
  <si>
    <t>ADMINISTRAÇÃO PÚBLICA</t>
  </si>
  <si>
    <t>AGROPECUÁRIA (ref.)</t>
  </si>
  <si>
    <t>PERFIL EMPRESARIAL</t>
  </si>
  <si>
    <t>SOCIOECONÔMICO</t>
  </si>
  <si>
    <t>CONTROLE DE QUALIDADE</t>
  </si>
  <si>
    <t>Código IBGE</t>
  </si>
  <si>
    <t>Município</t>
  </si>
  <si>
    <t>PIB 2021 (mil R$)</t>
  </si>
  <si>
    <t>PIB 2022 (mil R$)</t>
  </si>
  <si>
    <t>PIB 2023 (mil R$)</t>
  </si>
  <si>
    <t>VAB total 2021 (mil R$)</t>
  </si>
  <si>
    <t>Impostos líq. 2021 (mil R$)</t>
  </si>
  <si>
    <t>População estimada 2021</t>
  </si>
  <si>
    <t>PIB per capita 2021 (R$) – IBGE</t>
  </si>
  <si>
    <t>PIB per capita 2023 (R$) – IBGE</t>
  </si>
  <si>
    <t>VAB Indústria 2021 (mil R$)</t>
  </si>
  <si>
    <t>Part. Indústria no VAB (%)</t>
  </si>
  <si>
    <t>VAB Indústria per capita (R$)</t>
  </si>
  <si>
    <t>Ranking RN – part. %</t>
  </si>
  <si>
    <t>Ranking RN – VAB absoluto</t>
  </si>
  <si>
    <t>Estab. ativos Indústria (Sebrae)</t>
  </si>
  <si>
    <t>% estab. Indústria no total</t>
  </si>
  <si>
    <t>Estab. Indústria EPP + demais portes</t>
  </si>
  <si>
    <t>VAB Serviços 2021 (mil R$)</t>
  </si>
  <si>
    <t>Part. Serviços no VAB (%)</t>
  </si>
  <si>
    <t>VAB Serviços per capita (R$)</t>
  </si>
  <si>
    <t>Estab. ativos Comércio (Sebrae)</t>
  </si>
  <si>
    <t>Estab. ativos Serviços (Sebrae)</t>
  </si>
  <si>
    <t>% estab. Comércio+Serviços no total</t>
  </si>
  <si>
    <t>VAB Adm. pública 2021 (mil R$)</t>
  </si>
  <si>
    <t>Part. Adm. pública no VAB (%)</t>
  </si>
  <si>
    <t>VAB Adm. per capita (R$)</t>
  </si>
  <si>
    <t>Receita de transferências (% receita) 2025</t>
  </si>
  <si>
    <t>Receitas orçamentárias brutas 2025 (R$)</t>
  </si>
  <si>
    <t>Receita bruta per capita 2025 (R$)</t>
  </si>
  <si>
    <t>VAB Agropecuária 2021 (mil R$)</t>
  </si>
  <si>
    <t>Part. Agro no VAB (%)</t>
  </si>
  <si>
    <t>Empresas atuantes 2022 (CEMPRE)</t>
  </si>
  <si>
    <t>Empresas atuantes 2024 (CEMPRE)</t>
  </si>
  <si>
    <t>Unidades locais 2024 (CEMPRE)</t>
  </si>
  <si>
    <t>Pessoal ocupado 2024 (CEMPRE)</t>
  </si>
  <si>
    <t>Pessoal assalariado 2024 (CEMPRE)</t>
  </si>
  <si>
    <t>Salário médio mensal 2024 (SM)</t>
  </si>
  <si>
    <t>Empresas por mil hab. 2024</t>
  </si>
  <si>
    <t>Estab. ativos – total (Sebrae)</t>
  </si>
  <si>
    <t>MEI (Sebrae)</t>
  </si>
  <si>
    <t>ME (Sebrae)</t>
  </si>
  <si>
    <t>EPP (Sebrae)</t>
  </si>
  <si>
    <t>Demais portes (Sebrae)</t>
  </si>
  <si>
    <t>% MEI nos estab. ativos</t>
  </si>
  <si>
    <t>Estab. Agro (Sebrae)</t>
  </si>
  <si>
    <t>Estab. Adm. pública (Sebrae)</t>
  </si>
  <si>
    <t>População Censo 2022</t>
  </si>
  <si>
    <t>Área (km²)</t>
  </si>
  <si>
    <t>Densidade 2022 (hab/km²)</t>
  </si>
  <si>
    <t>IDHM 2010</t>
  </si>
  <si>
    <t>% pop. com renda ≤ ½ SM 2010</t>
  </si>
  <si>
    <t>Escolarização 6–14 anos 2022 (%)</t>
  </si>
  <si>
    <t>IDEB anos iniciais 2025 (rede pública)</t>
  </si>
  <si>
    <t>IDEB anos finais 2025 (rede pública)</t>
  </si>
  <si>
    <t>Esgotamento sanitário adequado 2022 (%)</t>
  </si>
  <si>
    <t>Pessoal ocupado formal 2024</t>
  </si>
  <si>
    <t>Salário médio formal 2024 (SM)</t>
  </si>
  <si>
    <t>% da população em emprego formal</t>
  </si>
  <si>
    <t>Controle: Σ VAB setores − VAB total</t>
  </si>
  <si>
    <t>Controle: VAB + impostos − PIB 2021</t>
  </si>
  <si>
    <t>Controle: PIB pc calculado − IBGE (R$)</t>
  </si>
  <si>
    <t>2408102</t>
  </si>
  <si>
    <t>Natal</t>
  </si>
  <si>
    <t>2408003</t>
  </si>
  <si>
    <t>Mossoró</t>
  </si>
  <si>
    <t>2403251</t>
  </si>
  <si>
    <t>Parnamirim</t>
  </si>
  <si>
    <t>2404507</t>
  </si>
  <si>
    <t>Guamaré</t>
  </si>
  <si>
    <t>2412005</t>
  </si>
  <si>
    <t>São Gonçalo do Amarante</t>
  </si>
  <si>
    <t>2407104</t>
  </si>
  <si>
    <t>Macaíba</t>
  </si>
  <si>
    <t>2400208</t>
  </si>
  <si>
    <t>Assú</t>
  </si>
  <si>
    <t>2402006</t>
  </si>
  <si>
    <t>Caicó</t>
  </si>
  <si>
    <t>2405801</t>
  </si>
  <si>
    <t>João Câmara</t>
  </si>
  <si>
    <t>2407203</t>
  </si>
  <si>
    <t>Macau</t>
  </si>
  <si>
    <t>2412203</t>
  </si>
  <si>
    <t>São José de Mipibu</t>
  </si>
  <si>
    <t>2402600</t>
  </si>
  <si>
    <t>Ceará-Mirim</t>
  </si>
  <si>
    <t>2401107</t>
  </si>
  <si>
    <t>Areia Branca</t>
  </si>
  <si>
    <t>2413359</t>
  </si>
  <si>
    <t>Serra do Mel</t>
  </si>
  <si>
    <t>2414407</t>
  </si>
  <si>
    <t>Touros</t>
  </si>
  <si>
    <t>2403103</t>
  </si>
  <si>
    <t>Currais Novos</t>
  </si>
  <si>
    <t>2409902</t>
  </si>
  <si>
    <t>Pendências</t>
  </si>
  <si>
    <t>2401453</t>
  </si>
  <si>
    <t>Baraúna</t>
  </si>
  <si>
    <t>2401008</t>
  </si>
  <si>
    <t>Apodi</t>
  </si>
  <si>
    <t>2409407</t>
  </si>
  <si>
    <t>Pau dos Ferros</t>
  </si>
  <si>
    <t>2411205</t>
  </si>
  <si>
    <t>Santa Cruz</t>
  </si>
  <si>
    <t>2400703</t>
  </si>
  <si>
    <t>Alto do Rodrigues</t>
  </si>
  <si>
    <t>2408805</t>
  </si>
  <si>
    <t>Parazinho</t>
  </si>
  <si>
    <t>2402204</t>
  </si>
  <si>
    <t>Canguaretama</t>
  </si>
  <si>
    <t>2403608</t>
  </si>
  <si>
    <t>Extremoz</t>
  </si>
  <si>
    <t>2408300</t>
  </si>
  <si>
    <t>Nova Cruz</t>
  </si>
  <si>
    <t>2411601</t>
  </si>
  <si>
    <t>São Bento do Norte</t>
  </si>
  <si>
    <t>2404200</t>
  </si>
  <si>
    <t>Goianinha</t>
  </si>
  <si>
    <t>2412559</t>
  </si>
  <si>
    <t>São Miguel do Gostoso</t>
  </si>
  <si>
    <t>2408201</t>
  </si>
  <si>
    <t>Nísia Floresta</t>
  </si>
  <si>
    <t>2414209</t>
  </si>
  <si>
    <t>Tibau do Sul</t>
  </si>
  <si>
    <t>2401206</t>
  </si>
  <si>
    <t>Arez</t>
  </si>
  <si>
    <t>2404309</t>
  </si>
  <si>
    <t>Governador Dix-Sept Rosado</t>
  </si>
  <si>
    <t>2402303</t>
  </si>
  <si>
    <t>Caraúbas</t>
  </si>
  <si>
    <t>2408904</t>
  </si>
  <si>
    <t>Parelhas</t>
  </si>
  <si>
    <t>2401404</t>
  </si>
  <si>
    <t>Baía Formosa</t>
  </si>
  <si>
    <t>2412500</t>
  </si>
  <si>
    <t>São Miguel</t>
  </si>
  <si>
    <t>2406106</t>
  </si>
  <si>
    <t>Jucurutu</t>
  </si>
  <si>
    <t>2411502</t>
  </si>
  <si>
    <t>Santo Antônio</t>
  </si>
  <si>
    <t>2409506</t>
  </si>
  <si>
    <t>Pedra Grande</t>
  </si>
  <si>
    <t>2401651</t>
  </si>
  <si>
    <t>Bodó</t>
  </si>
  <si>
    <t>2407807</t>
  </si>
  <si>
    <t>Monte Alegre</t>
  </si>
  <si>
    <t>2406502</t>
  </si>
  <si>
    <t>Lagoa Nova</t>
  </si>
  <si>
    <t>2412609</t>
  </si>
  <si>
    <t>São Paulo do Potengi</t>
  </si>
  <si>
    <t>2414605</t>
  </si>
  <si>
    <t>Upanema</t>
  </si>
  <si>
    <t>2405603</t>
  </si>
  <si>
    <t>Jardim de Piranhas</t>
  </si>
  <si>
    <t>2402501</t>
  </si>
  <si>
    <t>Carnaubais</t>
  </si>
  <si>
    <t>2405702</t>
  </si>
  <si>
    <t>Jardim do Seridó</t>
  </si>
  <si>
    <t>2414001</t>
  </si>
  <si>
    <t>Tangará</t>
  </si>
  <si>
    <t>2404705</t>
  </si>
  <si>
    <t>Ipanguaçu</t>
  </si>
  <si>
    <t>2410900</t>
  </si>
  <si>
    <t>Riachuelo</t>
  </si>
  <si>
    <t>2408953</t>
  </si>
  <si>
    <t>Rio do Fogo</t>
  </si>
  <si>
    <t>2400802</t>
  </si>
  <si>
    <t>Angicos</t>
  </si>
  <si>
    <t>2403707</t>
  </si>
  <si>
    <t>Felipe Guerra</t>
  </si>
  <si>
    <t>2409803</t>
  </si>
  <si>
    <t>Pedro Velho</t>
  </si>
  <si>
    <t>2410405</t>
  </si>
  <si>
    <t>Pureza</t>
  </si>
  <si>
    <t>2406700</t>
  </si>
  <si>
    <t>Lajes</t>
  </si>
  <si>
    <t>2404101</t>
  </si>
  <si>
    <t>Galinhos</t>
  </si>
  <si>
    <t>2409308</t>
  </si>
  <si>
    <t>Patu</t>
  </si>
  <si>
    <t>2404408</t>
  </si>
  <si>
    <t>Grossos</t>
  </si>
  <si>
    <t>2413904</t>
  </si>
  <si>
    <t>Taipu</t>
  </si>
  <si>
    <t>2409100</t>
  </si>
  <si>
    <t>Passa e Fica</t>
  </si>
  <si>
    <t>2414506</t>
  </si>
  <si>
    <t>Umarizal</t>
  </si>
  <si>
    <t>2400505</t>
  </si>
  <si>
    <t>Alexandria</t>
  </si>
  <si>
    <t>2410256</t>
  </si>
  <si>
    <t>Porto do Mangue</t>
  </si>
  <si>
    <t>2411403</t>
  </si>
  <si>
    <t>Santana do Matos</t>
  </si>
  <si>
    <t>2400109</t>
  </si>
  <si>
    <t>Acari</t>
  </si>
  <si>
    <t>2404606</t>
  </si>
  <si>
    <t>Ielmo Marinho</t>
  </si>
  <si>
    <t>2402709</t>
  </si>
  <si>
    <t>Cerro Corá</t>
  </si>
  <si>
    <t>2401800</t>
  </si>
  <si>
    <t>Brejinho</t>
  </si>
  <si>
    <t>2400307</t>
  </si>
  <si>
    <t>Afonso Bezerra</t>
  </si>
  <si>
    <t>2407500</t>
  </si>
  <si>
    <t>Maxaranguape</t>
  </si>
  <si>
    <t>2414803</t>
  </si>
  <si>
    <t>Vera Cruz</t>
  </si>
  <si>
    <t>2410108</t>
  </si>
  <si>
    <t>Poço Branco</t>
  </si>
  <si>
    <t>2407708</t>
  </si>
  <si>
    <t>Montanhas</t>
  </si>
  <si>
    <t>2411106</t>
  </si>
  <si>
    <t>Ruy Barbosa</t>
  </si>
  <si>
    <t>2412302</t>
  </si>
  <si>
    <t>São José do Campestre</t>
  </si>
  <si>
    <t>2403004</t>
  </si>
  <si>
    <t>Cruzeta</t>
  </si>
  <si>
    <t>2403806</t>
  </si>
  <si>
    <t>Florânia</t>
  </si>
  <si>
    <t>2413409</t>
  </si>
  <si>
    <t>Serra Negra do Norte</t>
  </si>
  <si>
    <t>2402402</t>
  </si>
  <si>
    <t>Carnaúba dos Dantas</t>
  </si>
  <si>
    <t>2413201</t>
  </si>
  <si>
    <t>Senador Georgino Avelino</t>
  </si>
  <si>
    <t>2411056</t>
  </si>
  <si>
    <t>Tibau</t>
  </si>
  <si>
    <t>2414100</t>
  </si>
  <si>
    <t>Tenente Ananias</t>
  </si>
  <si>
    <t>2401859</t>
  </si>
  <si>
    <t>Caiçara do Norte</t>
  </si>
  <si>
    <t>2412906</t>
  </si>
  <si>
    <t>São Tomé</t>
  </si>
  <si>
    <t>2401701</t>
  </si>
  <si>
    <t>Bom Jesus</t>
  </si>
  <si>
    <t>2410306</t>
  </si>
  <si>
    <t>Serra Caiada</t>
  </si>
  <si>
    <t>2407401</t>
  </si>
  <si>
    <t>Martins</t>
  </si>
  <si>
    <t>2414159</t>
  </si>
  <si>
    <t>Tenente Laurentino Cruz</t>
  </si>
  <si>
    <t>2402105</t>
  </si>
  <si>
    <t>Campo Redondo</t>
  </si>
  <si>
    <t>2401305</t>
  </si>
  <si>
    <t>Campo Grande</t>
  </si>
  <si>
    <t>2405108</t>
  </si>
  <si>
    <t>Jandaíra</t>
  </si>
  <si>
    <t>2404853</t>
  </si>
  <si>
    <t>Itajá</t>
  </si>
  <si>
    <t>2403509</t>
  </si>
  <si>
    <t>Espírito Santo</t>
  </si>
  <si>
    <t>2406601</t>
  </si>
  <si>
    <t>Lagoa Salgada</t>
  </si>
  <si>
    <t>2412807</t>
  </si>
  <si>
    <t>São Rafael</t>
  </si>
  <si>
    <t>2401602</t>
  </si>
  <si>
    <t>Bento Fernandes</t>
  </si>
  <si>
    <t>2407005</t>
  </si>
  <si>
    <t>Luís Gomes</t>
  </si>
  <si>
    <t>2405009</t>
  </si>
  <si>
    <t>Jaçanã</t>
  </si>
  <si>
    <t>2405306</t>
  </si>
  <si>
    <t>Januário Cicco</t>
  </si>
  <si>
    <t>2412104</t>
  </si>
  <si>
    <t>São João do Sabugi</t>
  </si>
  <si>
    <t>2405207</t>
  </si>
  <si>
    <t>Janduís</t>
  </si>
  <si>
    <t>2412401</t>
  </si>
  <si>
    <t>São José do Seridó</t>
  </si>
  <si>
    <t>2407302</t>
  </si>
  <si>
    <t>Marcelino Vieira</t>
  </si>
  <si>
    <t>2403400</t>
  </si>
  <si>
    <t>Equador</t>
  </si>
  <si>
    <t>2406304</t>
  </si>
  <si>
    <t>Lagoa de Pedras</t>
  </si>
  <si>
    <t>2409704</t>
  </si>
  <si>
    <t>Pedro Avelino</t>
  </si>
  <si>
    <t>2410207</t>
  </si>
  <si>
    <t>Portalegre</t>
  </si>
  <si>
    <t>2403202</t>
  </si>
  <si>
    <t>Doutor Severiano</t>
  </si>
  <si>
    <t>2409332</t>
  </si>
  <si>
    <t>Santa Maria</t>
  </si>
  <si>
    <t>2413003</t>
  </si>
  <si>
    <t>São Vicente</t>
  </si>
  <si>
    <t>2404903</t>
  </si>
  <si>
    <t>Itaú</t>
  </si>
  <si>
    <t>2413508</t>
  </si>
  <si>
    <t>Serrinha</t>
  </si>
  <si>
    <t>2406205</t>
  </si>
  <si>
    <t>Lagoa d'Anta</t>
  </si>
  <si>
    <t>2406007</t>
  </si>
  <si>
    <t>José da Penha</t>
  </si>
  <si>
    <t>2400901</t>
  </si>
  <si>
    <t>Antônio Martins</t>
  </si>
  <si>
    <t>2405504</t>
  </si>
  <si>
    <t>Jardim de Angicos</t>
  </si>
  <si>
    <t>2411809</t>
  </si>
  <si>
    <t>São Fernando</t>
  </si>
  <si>
    <t>2413607</t>
  </si>
  <si>
    <t>Severiano Melo</t>
  </si>
  <si>
    <t>2403301</t>
  </si>
  <si>
    <t>Encanto</t>
  </si>
  <si>
    <t>2408508</t>
  </si>
  <si>
    <t>Ouro Branco</t>
  </si>
  <si>
    <t>2413102</t>
  </si>
  <si>
    <t>Senador Elói de Souza</t>
  </si>
  <si>
    <t>2401909</t>
  </si>
  <si>
    <t>Caiçara do Rio do Vento</t>
  </si>
  <si>
    <t>2411007</t>
  </si>
  <si>
    <t>Rodolfo Fernandes</t>
  </si>
  <si>
    <t>2413300</t>
  </si>
  <si>
    <t>Serra de São Bento</t>
  </si>
  <si>
    <t>2414704</t>
  </si>
  <si>
    <t>Várzea</t>
  </si>
  <si>
    <t>2412708</t>
  </si>
  <si>
    <t>São Pedro</t>
  </si>
  <si>
    <t>2407609</t>
  </si>
  <si>
    <t>Messias Targino</t>
  </si>
  <si>
    <t>2408706</t>
  </si>
  <si>
    <t>Paraú</t>
  </si>
  <si>
    <t>2411908</t>
  </si>
  <si>
    <t>São Francisco do Oeste</t>
  </si>
  <si>
    <t>2413706</t>
  </si>
  <si>
    <t>Sítio Novo</t>
  </si>
  <si>
    <t>2410504</t>
  </si>
  <si>
    <t>Rafael Fernandes</t>
  </si>
  <si>
    <t>2402808</t>
  </si>
  <si>
    <t>Coronel Ezequiel</t>
  </si>
  <si>
    <t>2406809</t>
  </si>
  <si>
    <t>Lajes Pintadas</t>
  </si>
  <si>
    <t>2405405</t>
  </si>
  <si>
    <t>Japi</t>
  </si>
  <si>
    <t>2406908</t>
  </si>
  <si>
    <t>Lucrécia</t>
  </si>
  <si>
    <t>2400604</t>
  </si>
  <si>
    <t>Almino Afonso</t>
  </si>
  <si>
    <t>2413557</t>
  </si>
  <si>
    <t>Serrinha dos Pintos</t>
  </si>
  <si>
    <t>2402907</t>
  </si>
  <si>
    <t>Coronel João Pessoa</t>
  </si>
  <si>
    <t>2407252</t>
  </si>
  <si>
    <t>Major Sales</t>
  </si>
  <si>
    <t>2408409</t>
  </si>
  <si>
    <t>Olho d'Água do Borges</t>
  </si>
  <si>
    <t>2409209</t>
  </si>
  <si>
    <t>Passagem</t>
  </si>
  <si>
    <t>2401503</t>
  </si>
  <si>
    <t>Barcelona</t>
  </si>
  <si>
    <t>2414456</t>
  </si>
  <si>
    <t>Triunfo Potiguar</t>
  </si>
  <si>
    <t>2411700</t>
  </si>
  <si>
    <t>São Bento do Trairí</t>
  </si>
  <si>
    <t>2404002</t>
  </si>
  <si>
    <t>Frutuoso Gomes</t>
  </si>
  <si>
    <t>2415008</t>
  </si>
  <si>
    <t>Vila Flor</t>
  </si>
  <si>
    <t>2408607</t>
  </si>
  <si>
    <t>Paraná</t>
  </si>
  <si>
    <t>2414308</t>
  </si>
  <si>
    <t>Timbaúba dos Batistas</t>
  </si>
  <si>
    <t>2410801</t>
  </si>
  <si>
    <t>Riacho de Santana</t>
  </si>
  <si>
    <t>2410603</t>
  </si>
  <si>
    <t>Rafael Godeiro</t>
  </si>
  <si>
    <t>2414753</t>
  </si>
  <si>
    <t>Venha-Ver</t>
  </si>
  <si>
    <t>2406155</t>
  </si>
  <si>
    <t>Jundiá</t>
  </si>
  <si>
    <t>2410009</t>
  </si>
  <si>
    <t>Pilões</t>
  </si>
  <si>
    <t>2403756</t>
  </si>
  <si>
    <t>Fernando Pedroza</t>
  </si>
  <si>
    <t>2406403</t>
  </si>
  <si>
    <t>Lagoa de Velhos</t>
  </si>
  <si>
    <t>2410702</t>
  </si>
  <si>
    <t>Riacho da Cruz</t>
  </si>
  <si>
    <t>2411429</t>
  </si>
  <si>
    <t>Santana do Seridó</t>
  </si>
  <si>
    <t>2409605</t>
  </si>
  <si>
    <t>Pedra Preta</t>
  </si>
  <si>
    <t>2404804</t>
  </si>
  <si>
    <t>Ipueira</t>
  </si>
  <si>
    <t>2400406</t>
  </si>
  <si>
    <t>Água Nova</t>
  </si>
  <si>
    <t>2403905</t>
  </si>
  <si>
    <t>Francisco Dantas</t>
  </si>
  <si>
    <t>2413805</t>
  </si>
  <si>
    <t>Taboleiro Grande</t>
  </si>
  <si>
    <t>2407906</t>
  </si>
  <si>
    <t>Monte das Gameleiras</t>
  </si>
  <si>
    <t>2405900</t>
  </si>
  <si>
    <t>João Dias</t>
  </si>
  <si>
    <t>2414902</t>
  </si>
  <si>
    <t>Viçosa</t>
  </si>
  <si>
    <t>Azul = dado importado da fonte; preto = fórmula. Passe o mouse no cabeçalho para ver a fonte de cada coluna. Linha do RN: valores oficiais do estado (IBGE) e somas (Sebrae). Células vazias = dado inexistente, sigiloso ("X") ou não disponível na fonte.</t>
  </si>
  <si>
    <t>Top 15 municípios do RN por setor – VAB 2021 (fórmulas ligadas à aba Municipios_RN)</t>
  </si>
  <si>
    <t>Participação % = peso do setor no VAB do próprio município (especialização). VAB absoluto = tamanho da economia setorial.</t>
  </si>
  <si>
    <t>INDÚSTRIA – por participação no VAB municipal</t>
  </si>
  <si>
    <t>INDÚSTRIA – por VAB absoluto</t>
  </si>
  <si>
    <t>#</t>
  </si>
  <si>
    <t>VAB (mil R$)</t>
  </si>
  <si>
    <t>Part. %</t>
  </si>
  <si>
    <t>PIB per capita 2021 (R$)</t>
  </si>
  <si>
    <t>SERVIÇOS – por participação no VAB municipal</t>
  </si>
  <si>
    <t>SERVIÇOS – por VAB absoluto</t>
  </si>
  <si>
    <t>ADMINISTRAÇÃO PÚBLICA – por participação no VAB municipal</t>
  </si>
  <si>
    <t>ADMINISTRAÇÃO PÚBLICA – por VAB absoluto</t>
  </si>
  <si>
    <t>Correlação de Pearson entre a estrutura do VAB e variáveis socioeconômicas/empresariais – 167 municípios do RN</t>
  </si>
  <si>
    <t>CORREL ignora células vazias. Leitura: |r| &lt; 0,3 fraca · 0,3–0,6 moderada · &gt; 0,6 forte. Correlação não é causalidade; use como pista para os "fatores".</t>
  </si>
  <si>
    <t xml:space="preserve">Variável do VAB  ↓   ×   Variável → </t>
  </si>
  <si>
    <t>% renda ≤ ½ SM 2010</t>
  </si>
  <si>
    <t>Salário médio formal 2024</t>
  </si>
  <si>
    <t>% pop. em emprego formal</t>
  </si>
  <si>
    <t>IDEB anos finais 2025</t>
  </si>
  <si>
    <t>Escolarização 6–14 (2022)</t>
  </si>
  <si>
    <t>Esgotamento adequado 2022</t>
  </si>
  <si>
    <t>Densidade 2022</t>
  </si>
  <si>
    <t>% MEI nos estab.</t>
  </si>
  <si>
    <t>% receita de transferências</t>
  </si>
  <si>
    <t>Fonte</t>
  </si>
  <si>
    <t>Série</t>
  </si>
  <si>
    <t>Preços</t>
  </si>
  <si>
    <t>Unidade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</si>
  <si>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</si>
  <si>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</si>
  <si>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</si>
  <si>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</si>
  <si>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</si>
  <si>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</si>
  <si>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</si>
  <si>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</si>
  <si>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</si>
  <si>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</si>
  <si>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</si>
  <si>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</si>
  <si>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</si>
  <si>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</si>
  <si>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</si>
  <si>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</si>
  <si>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</si>
  <si>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</si>
  <si>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</si>
  <si>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</si>
  <si>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</si>
  <si>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</si>
  <si>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Var. real 2002–2021 (%)</t>
  </si>
  <si>
    <t>Cresc. médio anual real 2002–2021 (%)</t>
  </si>
  <si>
    <t>24</t>
  </si>
  <si>
    <t>RIO GRANDE DO NORTE (total)</t>
  </si>
  <si>
    <t>IBGE/SIDRA tab. 5938</t>
  </si>
  <si>
    <t>PIB</t>
  </si>
  <si>
    <t>Correntes</t>
  </si>
  <si>
    <t>mil R$</t>
  </si>
  <si>
    <t>VAB total</t>
  </si>
  <si>
    <t>VAB Indústria</t>
  </si>
  <si>
    <t>VAB Serviços (exc. adm. pública)</t>
  </si>
  <si>
    <t>VAB Adm. pública</t>
  </si>
  <si>
    <t>IpeaData (IBGE)</t>
  </si>
  <si>
    <t>Constantes de 2010</t>
  </si>
  <si>
    <t>mil R$ de 2010</t>
  </si>
  <si>
    <t>VAB Agropecuária</t>
  </si>
  <si>
    <t>Setor</t>
  </si>
  <si>
    <t>Variação 2002→2021 (p.p.)</t>
  </si>
  <si>
    <t>Indústria</t>
  </si>
  <si>
    <t>Serviços (exc. adm. pública)</t>
  </si>
  <si>
    <t>Adm. pública</t>
  </si>
  <si>
    <t>Pessoal ocupado por seção CNAE 2.0 – CEMPRE (IBGE/SIDRA tab. 9510). A tabela só cobre 10 municípios do RN</t>
  </si>
  <si>
    <t>Símbolos da fonte: "X" = sigilo; "-" = zero ou inexistente; "..." = não disponível. B–F = Indústria; G–N e P–S = Serviços; O = Adm. pública.</t>
  </si>
  <si>
    <t>Ano</t>
  </si>
  <si>
    <t>Total</t>
  </si>
  <si>
    <t>A Agro</t>
  </si>
  <si>
    <t>B Extrativa</t>
  </si>
  <si>
    <t>C Transformacao</t>
  </si>
  <si>
    <t>D Eletricidade gas</t>
  </si>
  <si>
    <t>E Agua esgoto</t>
  </si>
  <si>
    <t>F Construcao</t>
  </si>
  <si>
    <t>G Comercio</t>
  </si>
  <si>
    <t>H Transporte</t>
  </si>
  <si>
    <t>I Alojamento alim</t>
  </si>
  <si>
    <t>J Info comunic</t>
  </si>
  <si>
    <t>K Financeiras</t>
  </si>
  <si>
    <t>L Imobiliarias</t>
  </si>
  <si>
    <t>M Profissionais</t>
  </si>
  <si>
    <t>N Administrativas</t>
  </si>
  <si>
    <t>O Adm publica</t>
  </si>
  <si>
    <t>P Educacao</t>
  </si>
  <si>
    <t>Q Saude</t>
  </si>
  <si>
    <t>R Artes cultura</t>
  </si>
  <si>
    <t>S Outros servicos</t>
  </si>
  <si>
    <t>2024</t>
  </si>
  <si>
    <t>X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</si>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</sst>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#,##0.0"/>
    <numFmt numFmtId="167" formatCode="0.000"/>
    <numFmt numFmtId="168" formatCode="#,##0;\-#,##0;0"/>
  </numFmts>
  <fonts count="17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1F4E78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2"/>
      <name val="Arial"/>
      <charset val="1"/>
    </font>
    <font>
      <sz val="9"/>
      <color rgb="FF00800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0000FF"/>
      <name val="Arial"/>
      <charset val="1"/>
    </font>
    <font>
      <sz val="9"/>
      <color rgb="FF000000"/>
      <name val="Arial"/>
      <charset val="1"/>
    </font>
    <font>
      <b/>
      <sz val="11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1F4E78"/>
        <bgColor rgb="FF0E6E6E"/>
      </patternFill>
    </fill>
    <fill>
      <patternFill patternType="solid">
        <fgColor rgb="FF833C0B"/>
        <bgColor rgb="FF806000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806000"/>
        <bgColor rgb="FF833C0B"/>
      </patternFill>
    </fill>
    <fill>
      <patternFill patternType="solid">
        <fgColor rgb="FF0E6E6E"/>
        <bgColor rgb="FF008080"/>
      </patternFill>
    </fill>
    <fill>
      <patternFill patternType="solid">
        <fgColor rgb="FFA50021"/>
        <bgColor rgb="FF800000"/>
      </patternFill>
    </fill>
    <fill>
      <patternFill patternType="solid">
        <fgColor rgb="FF595959"/>
        <bgColor rgb="FF404040"/>
      </patternFill>
    </fill>
    <fill>
      <patternFill patternType="solid">
        <fgColor rgb="FFD9D9D9"/>
        <bgColor rgb="FFE9DDF5"/>
      </patternFill>
    </fill>
    <fill>
      <patternFill patternType="solid">
        <fgColor rgb="FFDDEBF7"/>
        <bgColor rgb="FFDAF0F0"/>
      </patternFill>
    </fill>
    <fill>
      <patternFill patternType="solid">
        <fgColor rgb="FFFBE5D6"/>
        <bgColor rgb="FFF8DCE0"/>
      </patternFill>
    </fill>
    <fill>
      <patternFill patternType="solid">
        <fgColor rgb="FFE2EFDA"/>
        <bgColor rgb="FFDAF0F0"/>
      </patternFill>
    </fill>
    <fill>
      <patternFill patternType="solid">
        <fgColor rgb="FFE9DDF5"/>
        <bgColor rgb="FFF8DCE0"/>
      </patternFill>
    </fill>
    <fill>
      <patternFill patternType="solid">
        <fgColor rgb="FFFFF2CC"/>
        <bgColor rgb="FFFBE5D6"/>
      </patternFill>
    </fill>
    <fill>
      <patternFill patternType="solid">
        <fgColor rgb="FFDAF0F0"/>
        <bgColor rgb="FFDDEBF7"/>
      </patternFill>
    </fill>
    <fill>
      <patternFill patternType="solid">
        <fgColor rgb="FFF8DCE0"/>
        <bgColor rgb="FFFBE5D6"/>
      </patternFill>
    </fill>
    <fill>
      <patternFill patternType="solid">
        <fgColor rgb="FFEDEDED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3" fontId="7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  <xf numFmtId="1" fontId="6" fillId="0" borderId="0" xfId="0" applyNumberFormat="1" applyFont="1"/>
    <xf numFmtId="165" fontId="7" fillId="0" borderId="0" xfId="0" applyNumberFormat="1" applyFont="1"/>
    <xf numFmtId="165" fontId="6" fillId="0" borderId="0" xfId="0" applyNumberFormat="1" applyFont="1"/>
    <xf numFmtId="166" fontId="7" fillId="0" borderId="0" xfId="0" applyNumberFormat="1" applyFont="1"/>
    <xf numFmtId="167" fontId="7" fillId="0" borderId="0" xfId="0" applyNumberFormat="1" applyFont="1"/>
    <xf numFmtId="168" fontId="6" fillId="0" borderId="0" xfId="0" applyNumberFormat="1" applyFont="1"/>
    <xf numFmtId="0" fontId="8" fillId="0" borderId="0" xfId="0" applyFont="1"/>
    <xf numFmtId="0" fontId="10" fillId="0" borderId="0" xfId="0" applyFont="1"/>
    <xf numFmtId="0" fontId="4" fillId="4" borderId="0" xfId="0" applyFont="1" applyFill="1"/>
    <xf numFmtId="0" fontId="0" fillId="4" borderId="0" xfId="0" applyFill="1"/>
    <xf numFmtId="0" fontId="5" fillId="13" borderId="0" xfId="0" applyFont="1" applyFill="1" applyAlignment="1">
      <alignment horizontal="center" vertical="center" wrapText="1"/>
    </xf>
    <xf numFmtId="0" fontId="6" fillId="0" borderId="0" xfId="0" applyFont="1"/>
    <xf numFmtId="49" fontId="11" fillId="0" borderId="0" xfId="0" applyNumberFormat="1" applyFont="1"/>
    <xf numFmtId="3" fontId="11" fillId="0" borderId="0" xfId="0" applyNumberFormat="1" applyFont="1"/>
    <xf numFmtId="164" fontId="11" fillId="0" borderId="0" xfId="0" applyNumberFormat="1" applyFont="1"/>
    <xf numFmtId="0" fontId="4" fillId="5" borderId="0" xfId="0" applyFont="1" applyFill="1"/>
    <xf numFmtId="0" fontId="0" fillId="5" borderId="0" xfId="0" applyFill="1"/>
    <xf numFmtId="0" fontId="5" fillId="14" borderId="0" xfId="0" applyFont="1" applyFill="1" applyAlignment="1">
      <alignment horizontal="center" vertical="center" wrapText="1"/>
    </xf>
    <xf numFmtId="0" fontId="4" fillId="6" borderId="0" xfId="0" applyFont="1" applyFill="1"/>
    <xf numFmtId="0" fontId="0" fillId="6" borderId="0" xfId="0" applyFill="1"/>
    <xf numFmtId="0" fontId="5" fillId="15" borderId="0" xfId="0" applyFont="1" applyFill="1" applyAlignment="1">
      <alignment horizontal="center" vertical="center" wrapText="1"/>
    </xf>
    <xf numFmtId="0" fontId="5" fillId="0" borderId="0" xfId="0" applyFont="1"/>
    <xf numFmtId="0" fontId="5" fillId="18" borderId="0" xfId="0" applyFont="1" applyFill="1" applyAlignment="1">
      <alignment horizontal="center" vertical="center" wrapText="1"/>
    </xf>
    <xf numFmtId="0" fontId="5" fillId="12" borderId="0" xfId="0" applyFont="1" applyFill="1"/>
    <xf numFmtId="2" fontId="11" fillId="0" borderId="0" xfId="0" applyNumberFormat="1" applyFont="1"/>
    <xf numFmtId="0" fontId="12" fillId="3" borderId="0" xfId="0" applyFont="1" applyFill="1" applyAlignment="1">
      <alignment horizontal="center" vertical="center" wrapText="1"/>
    </xf>
    <xf numFmtId="0" fontId="13" fillId="0" borderId="0" xfId="0" applyFont="1"/>
    <xf numFmtId="3" fontId="14" fillId="0" borderId="0" xfId="0" applyNumberFormat="1" applyFont="1"/>
    <xf numFmtId="0" fontId="15" fillId="0" borderId="0" xfId="0" applyFont="1"/>
    <xf numFmtId="0" fontId="12" fillId="5" borderId="0" xfId="0" applyFont="1" applyFill="1" applyAlignment="1">
      <alignment horizontal="center" vertical="center" wrapText="1"/>
    </xf>
    <xf numFmtId="0" fontId="16" fillId="0" borderId="0" xfId="0" applyFont="1"/>
    <xf numFmtId="0" fontId="5" fillId="17" borderId="0" xfId="0" applyFont="1" applyFill="1" applyAlignment="1">
      <alignment horizontal="center" vertical="center" wrapText="1"/>
    </xf>
    <xf numFmtId="3" fontId="15" fillId="0" borderId="0" xfId="0" applyNumberFormat="1" applyFont="1"/>
    <xf numFmtId="0" fontId="4" fillId="7" borderId="0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2" fontId="11" fillId="2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50021"/>
      <rgbColor rgb="FF008000"/>
      <rgbColor rgb="FF000080"/>
      <rgbColor rgb="FF806000"/>
      <rgbColor rgb="FF800080"/>
      <rgbColor rgb="FF0E6E6E"/>
      <rgbColor rgb="FFE9DDF5"/>
      <rgbColor rgb="FF808080"/>
      <rgbColor rgb="FF9999FF"/>
      <rgbColor rgb="FF7030A0"/>
      <rgbColor rgb="FFFFF2CC"/>
      <rgbColor rgb="FFDA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BE5D6"/>
      <rgbColor rgb="FFEDEDED"/>
      <rgbColor rgb="FFF2F2F2"/>
      <rgbColor rgb="FFCC99FF"/>
      <rgbColor rgb="FFF8DC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833C0B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opLeftCell="A27" zoomScaleNormal="100" workbookViewId="0"/>
  </sheetViews>
  <sheetFormatPr defaultColWidth="8.7109375" defaultRowHeight="15"/>
  <cols>
    <col min="1" max="1" width="150" customWidth="1"/>
  </cols>
  <sheetData>
    <row r="1" spans="1:1" ht="17.45">
      <c r="A1" s="1" t="s">
        <v>0</v>
      </c>
    </row>
    <row r="2" spans="1:1">
      <c r="A2" s="2" t="s">
        <v>1</v>
      </c>
    </row>
    <row r="3" spans="1:1">
      <c r="A3" s="2"/>
    </row>
    <row r="4" spans="1:1">
      <c r="A4" s="3" t="s">
        <v>2</v>
      </c>
    </row>
    <row r="5" spans="1:1" ht="23.85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 ht="23.85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/>
    </row>
    <row r="12" spans="1:1">
      <c r="A12" s="3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14</v>
      </c>
    </row>
    <row r="18" spans="1:1">
      <c r="A18" s="2" t="s">
        <v>15</v>
      </c>
    </row>
    <row r="19" spans="1:1">
      <c r="A19" s="2"/>
    </row>
    <row r="20" spans="1:1">
      <c r="A20" s="3" t="s">
        <v>16</v>
      </c>
    </row>
    <row r="21" spans="1:1">
      <c r="A21" s="2" t="s">
        <v>17</v>
      </c>
    </row>
    <row r="22" spans="1:1">
      <c r="A22" s="2" t="s">
        <v>18</v>
      </c>
    </row>
    <row r="23" spans="1:1">
      <c r="A23" s="2" t="s">
        <v>19</v>
      </c>
    </row>
    <row r="24" spans="1:1">
      <c r="A24" s="2" t="s">
        <v>20</v>
      </c>
    </row>
    <row r="25" spans="1:1">
      <c r="A25" s="2"/>
    </row>
    <row r="26" spans="1:1">
      <c r="A26" s="3" t="s">
        <v>21</v>
      </c>
    </row>
    <row r="27" spans="1:1">
      <c r="A27" s="2" t="s">
        <v>22</v>
      </c>
    </row>
    <row r="28" spans="1:1">
      <c r="A28" s="2" t="s">
        <v>23</v>
      </c>
    </row>
    <row r="29" spans="1:1" ht="23.85">
      <c r="A29" s="2" t="s">
        <v>24</v>
      </c>
    </row>
    <row r="30" spans="1:1">
      <c r="A30" s="2" t="s">
        <v>25</v>
      </c>
    </row>
    <row r="31" spans="1:1">
      <c r="A31" s="2" t="s">
        <v>26</v>
      </c>
    </row>
    <row r="32" spans="1:1" ht="23.85">
      <c r="A32" s="2" t="s">
        <v>27</v>
      </c>
    </row>
    <row r="33" spans="1:1">
      <c r="A33" s="2"/>
    </row>
    <row r="34" spans="1:1">
      <c r="A34" s="3" t="s">
        <v>28</v>
      </c>
    </row>
    <row r="35" spans="1:1" ht="23.85">
      <c r="A35" s="2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71"/>
  <sheetViews>
    <sheetView zoomScaleNormal="100" workbookViewId="0">
      <pane xSplit="2" ySplit="2" topLeftCell="C3" activePane="bottomRight" state="frozen"/>
      <selection pane="bottomRight" activeCell="A3" sqref="A3"/>
      <selection pane="bottomLeft" activeCell="A3" sqref="A3"/>
      <selection pane="topRight" activeCell="C1" sqref="C1"/>
    </sheetView>
  </sheetViews>
  <sheetFormatPr defaultColWidth="8.7109375" defaultRowHeight="15"/>
  <cols>
    <col min="1" max="1" width="12.85546875" customWidth="1"/>
    <col min="2" max="2" width="24" customWidth="1"/>
    <col min="3" max="3" width="17.28515625" customWidth="1"/>
    <col min="4" max="4" width="17.140625" customWidth="1"/>
    <col min="5" max="5" width="16.7109375" customWidth="1"/>
    <col min="6" max="6" width="25.28515625" customWidth="1"/>
    <col min="7" max="7" width="26.5703125" customWidth="1"/>
    <col min="8" max="8" width="27.7109375" customWidth="1"/>
    <col min="9" max="9" width="19.5703125" customWidth="1"/>
    <col min="10" max="10" width="24.85546875" customWidth="1"/>
    <col min="11" max="11" width="17.85546875" customWidth="1"/>
    <col min="12" max="66" width="13" customWidth="1"/>
  </cols>
  <sheetData>
    <row r="1" spans="1:66" ht="21.75" customHeight="1">
      <c r="A1" s="54" t="s">
        <v>30</v>
      </c>
      <c r="B1" s="54"/>
      <c r="C1" s="55" t="s">
        <v>31</v>
      </c>
      <c r="D1" s="55"/>
      <c r="E1" s="55"/>
      <c r="F1" s="55"/>
      <c r="G1" s="55"/>
      <c r="H1" s="55"/>
      <c r="I1" s="55"/>
      <c r="J1" s="55"/>
      <c r="K1" s="56" t="s">
        <v>32</v>
      </c>
      <c r="L1" s="56"/>
      <c r="M1" s="56"/>
      <c r="N1" s="56"/>
      <c r="O1" s="56"/>
      <c r="P1" s="56"/>
      <c r="Q1" s="56"/>
      <c r="R1" s="56"/>
      <c r="S1" s="57" t="s">
        <v>33</v>
      </c>
      <c r="T1" s="57"/>
      <c r="U1" s="57"/>
      <c r="V1" s="57"/>
      <c r="W1" s="57"/>
      <c r="X1" s="57"/>
      <c r="Y1" s="57"/>
      <c r="Z1" s="57"/>
      <c r="AA1" s="58" t="s">
        <v>34</v>
      </c>
      <c r="AB1" s="58"/>
      <c r="AC1" s="58"/>
      <c r="AD1" s="58"/>
      <c r="AE1" s="58"/>
      <c r="AF1" s="58"/>
      <c r="AG1" s="58"/>
      <c r="AH1" s="58"/>
      <c r="AI1" s="50" t="s">
        <v>35</v>
      </c>
      <c r="AJ1" s="50"/>
      <c r="AK1" s="51" t="s">
        <v>36</v>
      </c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2" t="s">
        <v>37</v>
      </c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3" t="s">
        <v>38</v>
      </c>
      <c r="BM1" s="53"/>
      <c r="BN1" s="53"/>
    </row>
    <row r="2" spans="1:66" ht="66" customHeight="1">
      <c r="A2" s="4" t="s">
        <v>39</v>
      </c>
      <c r="B2" s="4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  <c r="K2" s="6" t="s">
        <v>49</v>
      </c>
      <c r="L2" s="6" t="s">
        <v>50</v>
      </c>
      <c r="M2" s="6" t="s">
        <v>51</v>
      </c>
      <c r="N2" s="6" t="s">
        <v>52</v>
      </c>
      <c r="O2" s="6" t="s">
        <v>53</v>
      </c>
      <c r="P2" s="6" t="s">
        <v>54</v>
      </c>
      <c r="Q2" s="6" t="s">
        <v>55</v>
      </c>
      <c r="R2" s="6" t="s">
        <v>56</v>
      </c>
      <c r="S2" s="7" t="s">
        <v>57</v>
      </c>
      <c r="T2" s="7" t="s">
        <v>58</v>
      </c>
      <c r="U2" s="7" t="s">
        <v>59</v>
      </c>
      <c r="V2" s="7" t="s">
        <v>52</v>
      </c>
      <c r="W2" s="7" t="s">
        <v>53</v>
      </c>
      <c r="X2" s="7" t="s">
        <v>60</v>
      </c>
      <c r="Y2" s="7" t="s">
        <v>61</v>
      </c>
      <c r="Z2" s="7" t="s">
        <v>62</v>
      </c>
      <c r="AA2" s="8" t="s">
        <v>63</v>
      </c>
      <c r="AB2" s="8" t="s">
        <v>64</v>
      </c>
      <c r="AC2" s="8" t="s">
        <v>65</v>
      </c>
      <c r="AD2" s="8" t="s">
        <v>52</v>
      </c>
      <c r="AE2" s="8" t="s">
        <v>53</v>
      </c>
      <c r="AF2" s="8" t="s">
        <v>66</v>
      </c>
      <c r="AG2" s="8" t="s">
        <v>67</v>
      </c>
      <c r="AH2" s="8" t="s">
        <v>68</v>
      </c>
      <c r="AI2" s="9" t="s">
        <v>69</v>
      </c>
      <c r="AJ2" s="9" t="s">
        <v>70</v>
      </c>
      <c r="AK2" s="10" t="s">
        <v>71</v>
      </c>
      <c r="AL2" s="10" t="s">
        <v>72</v>
      </c>
      <c r="AM2" s="10" t="s">
        <v>73</v>
      </c>
      <c r="AN2" s="10" t="s">
        <v>74</v>
      </c>
      <c r="AO2" s="10" t="s">
        <v>75</v>
      </c>
      <c r="AP2" s="10" t="s">
        <v>76</v>
      </c>
      <c r="AQ2" s="10" t="s">
        <v>77</v>
      </c>
      <c r="AR2" s="10" t="s">
        <v>78</v>
      </c>
      <c r="AS2" s="10" t="s">
        <v>79</v>
      </c>
      <c r="AT2" s="10" t="s">
        <v>80</v>
      </c>
      <c r="AU2" s="10" t="s">
        <v>81</v>
      </c>
      <c r="AV2" s="10" t="s">
        <v>82</v>
      </c>
      <c r="AW2" s="10" t="s">
        <v>83</v>
      </c>
      <c r="AX2" s="10" t="s">
        <v>84</v>
      </c>
      <c r="AY2" s="10" t="s">
        <v>85</v>
      </c>
      <c r="AZ2" s="11" t="s">
        <v>86</v>
      </c>
      <c r="BA2" s="11" t="s">
        <v>87</v>
      </c>
      <c r="BB2" s="11" t="s">
        <v>88</v>
      </c>
      <c r="BC2" s="11" t="s">
        <v>89</v>
      </c>
      <c r="BD2" s="11" t="s">
        <v>90</v>
      </c>
      <c r="BE2" s="11" t="s">
        <v>91</v>
      </c>
      <c r="BF2" s="11" t="s">
        <v>92</v>
      </c>
      <c r="BG2" s="11" t="s">
        <v>93</v>
      </c>
      <c r="BH2" s="11" t="s">
        <v>94</v>
      </c>
      <c r="BI2" s="11" t="s">
        <v>95</v>
      </c>
      <c r="BJ2" s="11" t="s">
        <v>96</v>
      </c>
      <c r="BK2" s="11" t="s">
        <v>97</v>
      </c>
      <c r="BL2" s="12" t="s">
        <v>98</v>
      </c>
      <c r="BM2" s="12" t="s">
        <v>99</v>
      </c>
      <c r="BN2" s="12" t="s">
        <v>100</v>
      </c>
    </row>
    <row r="3" spans="1:66">
      <c r="A3" s="13" t="s">
        <v>101</v>
      </c>
      <c r="B3" s="13" t="s">
        <v>102</v>
      </c>
      <c r="C3" s="14">
        <v>24186139</v>
      </c>
      <c r="D3" s="14">
        <v>27497422</v>
      </c>
      <c r="E3" s="14">
        <v>31162043</v>
      </c>
      <c r="F3" s="14">
        <v>20775502</v>
      </c>
      <c r="G3" s="14">
        <v>3410637</v>
      </c>
      <c r="H3" s="14">
        <v>896708</v>
      </c>
      <c r="I3" s="14">
        <v>26972.15</v>
      </c>
      <c r="J3" s="14">
        <v>41477.5</v>
      </c>
      <c r="K3" s="14">
        <v>2556518</v>
      </c>
      <c r="L3" s="15">
        <f>IFERROR(K3/F3,"")</f>
        <v>0.12305445134370278</v>
      </c>
      <c r="M3" s="16">
        <f>IFERROR(K3*1000/H3,"")</f>
        <v>2851.0038942442802</v>
      </c>
      <c r="N3" s="17">
        <f>IF(L3="","",RANK(L3,$L$3:$L$168,0)+COUNTIF($L$3:L3,L3)-1)</f>
        <v>51</v>
      </c>
      <c r="O3" s="17">
        <f>IF(K3="","",RANK(K3,$K$3:$K$168,0)+COUNTIF($K$3:K3,K3)-1)</f>
        <v>1</v>
      </c>
      <c r="P3" s="14">
        <v>15140</v>
      </c>
      <c r="Q3" s="15">
        <f>IFERROR(P3/AR3,"")</f>
        <v>0.13470469953912131</v>
      </c>
      <c r="R3" s="16">
        <v>2492</v>
      </c>
      <c r="S3" s="14">
        <v>13347894</v>
      </c>
      <c r="T3" s="15">
        <f>IFERROR(S3/F3,"")</f>
        <v>0.64248238141249248</v>
      </c>
      <c r="U3" s="16">
        <f>IFERROR(S3*1000/H3,"")</f>
        <v>14885.44096852041</v>
      </c>
      <c r="V3" s="17">
        <f>IF(T3="","",RANK(T3,$T$3:$T$168,0)+COUNTIF($T$3:T3,T3)-1)</f>
        <v>1</v>
      </c>
      <c r="W3" s="17">
        <f>IF(S3="","",RANK(S3,$S$3:$S$168,0)+COUNTIF($S$3:S3,S3)-1)</f>
        <v>1</v>
      </c>
      <c r="X3" s="14">
        <v>26454</v>
      </c>
      <c r="Y3" s="14">
        <v>70281</v>
      </c>
      <c r="Z3" s="15">
        <f>IFERROR((X3+Y3)/AR3,"")</f>
        <v>0.86067761624285999</v>
      </c>
      <c r="AA3" s="14">
        <v>4851091</v>
      </c>
      <c r="AB3" s="15">
        <f>IFERROR(AA3/F3,"")</f>
        <v>0.23350054309157006</v>
      </c>
      <c r="AC3" s="16">
        <f>IFERROR(AA3*1000/H3,"")</f>
        <v>5409.8892839140499</v>
      </c>
      <c r="AD3" s="17">
        <f>IF(AB3="","",RANK(AB3,$AB$3:$AB$168,0)+COUNTIF($AB$3:AB3,AB3)-1)</f>
        <v>150</v>
      </c>
      <c r="AE3" s="17">
        <f>IF(AA3="","",RANK(AA3,$AA$3:$AA$168,0)+COUNTIF($AA$3:AA3,AA3)-1)</f>
        <v>1</v>
      </c>
      <c r="AF3" s="18">
        <v>57.6</v>
      </c>
      <c r="AG3" s="14">
        <v>4537308046.2299995</v>
      </c>
      <c r="AH3" s="16">
        <f>IFERROR(AG3/AZ3,"")</f>
        <v>6039.2759832689999</v>
      </c>
      <c r="AI3" s="14">
        <v>19998</v>
      </c>
      <c r="AJ3" s="15">
        <f>IFERROR(AI3/F3,"")</f>
        <v>9.6257601862039237E-4</v>
      </c>
      <c r="AK3" s="14">
        <v>39666</v>
      </c>
      <c r="AL3" s="14">
        <v>43817</v>
      </c>
      <c r="AM3" s="14">
        <v>46732</v>
      </c>
      <c r="AN3" s="14">
        <v>367921</v>
      </c>
      <c r="AO3" s="14">
        <v>310411</v>
      </c>
      <c r="AP3" s="18">
        <v>2.8</v>
      </c>
      <c r="AQ3" s="19">
        <f>IFERROR(AL3*1000/AZ3,"")</f>
        <v>58.321575935045921</v>
      </c>
      <c r="AR3" s="14">
        <v>112394</v>
      </c>
      <c r="AS3" s="14">
        <v>54887</v>
      </c>
      <c r="AT3" s="14">
        <v>39467</v>
      </c>
      <c r="AU3" s="14">
        <v>6729</v>
      </c>
      <c r="AV3" s="14">
        <v>11311</v>
      </c>
      <c r="AW3" s="15">
        <f>IFERROR(AS3/AR3,"")</f>
        <v>0.48834457355374844</v>
      </c>
      <c r="AX3" s="14">
        <v>278</v>
      </c>
      <c r="AY3" s="14">
        <v>224</v>
      </c>
      <c r="AZ3" s="14">
        <v>751300</v>
      </c>
      <c r="BA3" s="20">
        <v>167.40100000000001</v>
      </c>
      <c r="BB3" s="20">
        <v>4488.03</v>
      </c>
      <c r="BC3" s="21">
        <v>0.76300000000000001</v>
      </c>
      <c r="BD3" s="18">
        <v>35.700000000000003</v>
      </c>
      <c r="BE3" s="18">
        <v>97.86</v>
      </c>
      <c r="BF3" s="18">
        <v>5</v>
      </c>
      <c r="BG3" s="18">
        <v>3.9</v>
      </c>
      <c r="BH3" s="18">
        <v>43.74</v>
      </c>
      <c r="BI3" s="14">
        <v>367921</v>
      </c>
      <c r="BJ3" s="18">
        <v>2.8</v>
      </c>
      <c r="BK3" s="15">
        <f>IFERROR(BI3/AZ3,"")</f>
        <v>0.48971249833621722</v>
      </c>
      <c r="BL3" s="22">
        <f>IFERROR(AI3+K3+S3+AA3-F3,"")</f>
        <v>-1</v>
      </c>
      <c r="BM3" s="22">
        <f>IFERROR(F3+G3-C3,"")</f>
        <v>0</v>
      </c>
      <c r="BN3" s="22">
        <f>IF(I3="","",IFERROR(C3*1000/H3-I3,""))</f>
        <v>-4.1063534627028275E-3</v>
      </c>
    </row>
    <row r="4" spans="1:66">
      <c r="A4" s="13" t="s">
        <v>103</v>
      </c>
      <c r="B4" s="13" t="s">
        <v>104</v>
      </c>
      <c r="C4" s="14">
        <v>8071719</v>
      </c>
      <c r="D4" s="14">
        <v>9582885</v>
      </c>
      <c r="E4" s="14">
        <v>10323666</v>
      </c>
      <c r="F4" s="14">
        <v>6898438</v>
      </c>
      <c r="G4" s="14">
        <v>1173281</v>
      </c>
      <c r="H4" s="14">
        <v>303792</v>
      </c>
      <c r="I4" s="14">
        <v>26569.89</v>
      </c>
      <c r="J4" s="14">
        <v>39019.51</v>
      </c>
      <c r="K4" s="14">
        <v>1285190</v>
      </c>
      <c r="L4" s="15">
        <f>IFERROR(K4/F4,"")</f>
        <v>0.18630159465084706</v>
      </c>
      <c r="M4" s="16">
        <f>IFERROR(K4*1000/H4,"")</f>
        <v>4230.4932322115128</v>
      </c>
      <c r="N4" s="17">
        <f>IF(L4="","",RANK(L4,$L$3:$L$168,0)+COUNTIF($L$3:L4,L4)-1)</f>
        <v>38</v>
      </c>
      <c r="O4" s="17">
        <f>IF(K4="","",RANK(K4,$K$3:$K$168,0)+COUNTIF($K$3:K4,K4)-1)</f>
        <v>3</v>
      </c>
      <c r="P4" s="14">
        <v>4790</v>
      </c>
      <c r="Q4" s="15">
        <f>IFERROR(P4/AR4,"")</f>
        <v>0.15899887140675828</v>
      </c>
      <c r="R4" s="16">
        <v>771</v>
      </c>
      <c r="S4" s="14">
        <v>3766138</v>
      </c>
      <c r="T4" s="15">
        <f>IFERROR(S4/F4,"")</f>
        <v>0.54594068976194321</v>
      </c>
      <c r="U4" s="16">
        <f>IFERROR(S4*1000/H4,"")</f>
        <v>12397.094064359826</v>
      </c>
      <c r="V4" s="17">
        <f>IF(T4="","",RANK(T4,$T$3:$T$168,0)+COUNTIF($T$3:T4,T4)-1)</f>
        <v>6</v>
      </c>
      <c r="W4" s="17">
        <f>IF(S4="","",RANK(S4,$S$3:$S$168,0)+COUNTIF($S$3:S4,S4)-1)</f>
        <v>2</v>
      </c>
      <c r="X4" s="14">
        <v>9267</v>
      </c>
      <c r="Y4" s="14">
        <v>15803</v>
      </c>
      <c r="Z4" s="15">
        <f>IFERROR((X4+Y4)/AR4,"")</f>
        <v>0.83217154617274114</v>
      </c>
      <c r="AA4" s="14">
        <v>1662885</v>
      </c>
      <c r="AB4" s="15">
        <f>IFERROR(AA4/F4,"")</f>
        <v>0.24105239475950932</v>
      </c>
      <c r="AC4" s="16">
        <f>IFERROR(AA4*1000/H4,"")</f>
        <v>5473.7616527097489</v>
      </c>
      <c r="AD4" s="17">
        <f>IF(AB4="","",RANK(AB4,$AB$3:$AB$168,0)+COUNTIF($AB$3:AB4,AB4)-1)</f>
        <v>149</v>
      </c>
      <c r="AE4" s="17">
        <f>IF(AA4="","",RANK(AA4,$AA$3:$AA$168,0)+COUNTIF($AA$3:AA4,AA4)-1)</f>
        <v>2</v>
      </c>
      <c r="AF4" s="18">
        <v>66.400000000000006</v>
      </c>
      <c r="AG4" s="14">
        <v>1455609004.0699999</v>
      </c>
      <c r="AH4" s="16">
        <f>IFERROR(AG4/AZ4,"")</f>
        <v>5501.6460390358952</v>
      </c>
      <c r="AI4" s="14">
        <v>184225</v>
      </c>
      <c r="AJ4" s="15">
        <f>IFERROR(AI4/F4,"")</f>
        <v>2.6705320827700416E-2</v>
      </c>
      <c r="AK4" s="14">
        <v>11354</v>
      </c>
      <c r="AL4" s="14">
        <v>12753</v>
      </c>
      <c r="AM4" s="14">
        <v>13622</v>
      </c>
      <c r="AN4" s="14">
        <v>97192</v>
      </c>
      <c r="AO4" s="14">
        <v>81997</v>
      </c>
      <c r="AP4" s="18">
        <v>2</v>
      </c>
      <c r="AQ4" s="19">
        <f>IFERROR(AL4*1000/AZ4,"")</f>
        <v>48.201468759567156</v>
      </c>
      <c r="AR4" s="14">
        <v>30126</v>
      </c>
      <c r="AS4" s="14">
        <v>13465</v>
      </c>
      <c r="AT4" s="14">
        <v>12081</v>
      </c>
      <c r="AU4" s="14">
        <v>1688</v>
      </c>
      <c r="AV4" s="14">
        <v>2892</v>
      </c>
      <c r="AW4" s="15">
        <f>IFERROR(AS4/AR4,"")</f>
        <v>0.44695611763924847</v>
      </c>
      <c r="AX4" s="14">
        <v>206</v>
      </c>
      <c r="AY4" s="14">
        <v>50</v>
      </c>
      <c r="AZ4" s="14">
        <v>264577</v>
      </c>
      <c r="BA4" s="20">
        <v>2099.3339999999998</v>
      </c>
      <c r="BB4" s="20">
        <v>126.03</v>
      </c>
      <c r="BC4" s="21">
        <v>0.72</v>
      </c>
      <c r="BD4" s="18">
        <v>38</v>
      </c>
      <c r="BE4" s="18">
        <v>98.56</v>
      </c>
      <c r="BF4" s="18">
        <v>5.9</v>
      </c>
      <c r="BG4" s="18">
        <v>4.5</v>
      </c>
      <c r="BH4" s="18">
        <v>52.96</v>
      </c>
      <c r="BI4" s="14">
        <v>97079</v>
      </c>
      <c r="BJ4" s="18">
        <v>2</v>
      </c>
      <c r="BK4" s="15">
        <f>IFERROR(BI4/AZ4,"")</f>
        <v>0.36692153890927781</v>
      </c>
      <c r="BL4" s="22">
        <f>IFERROR(AI4+K4+S4+AA4-F4,"")</f>
        <v>0</v>
      </c>
      <c r="BM4" s="22">
        <f>IFERROR(F4+G4-C4,"")</f>
        <v>0</v>
      </c>
      <c r="BN4" s="22">
        <f>IF(I4="","",IFERROR(C4*1000/H4-I4,""))</f>
        <v>-3.3670406046439894E-3</v>
      </c>
    </row>
    <row r="5" spans="1:66">
      <c r="A5" s="13" t="s">
        <v>105</v>
      </c>
      <c r="B5" s="13" t="s">
        <v>106</v>
      </c>
      <c r="C5" s="14">
        <v>6845358</v>
      </c>
      <c r="D5" s="14">
        <v>7490688</v>
      </c>
      <c r="E5" s="14">
        <v>7608526</v>
      </c>
      <c r="F5" s="14">
        <v>5682309</v>
      </c>
      <c r="G5" s="14">
        <v>1163049</v>
      </c>
      <c r="H5" s="14">
        <v>272490</v>
      </c>
      <c r="I5" s="14">
        <v>25121.5</v>
      </c>
      <c r="J5" s="14">
        <v>30107.02</v>
      </c>
      <c r="K5" s="14">
        <v>577662</v>
      </c>
      <c r="L5" s="15">
        <f>IFERROR(K5/F5,"")</f>
        <v>0.10165973022586416</v>
      </c>
      <c r="M5" s="16">
        <f>IFERROR(K5*1000/H5,"")</f>
        <v>2119.9383463613344</v>
      </c>
      <c r="N5" s="17">
        <f>IF(L5="","",RANK(L5,$L$3:$L$168,0)+COUNTIF($L$3:L5,L5)-1)</f>
        <v>58</v>
      </c>
      <c r="O5" s="17">
        <f>IF(K5="","",RANK(K5,$K$3:$K$168,0)+COUNTIF($K$3:K5,K5)-1)</f>
        <v>5</v>
      </c>
      <c r="P5" s="14">
        <v>4745</v>
      </c>
      <c r="Q5" s="15">
        <f>IFERROR(P5/AR5,"")</f>
        <v>0.14688583457157009</v>
      </c>
      <c r="R5" s="16">
        <v>594</v>
      </c>
      <c r="S5" s="14">
        <v>3470184</v>
      </c>
      <c r="T5" s="15">
        <f>IFERROR(S5/F5,"")</f>
        <v>0.61069962932322053</v>
      </c>
      <c r="U5" s="16">
        <f>IFERROR(S5*1000/H5,"")</f>
        <v>12735.087526147749</v>
      </c>
      <c r="V5" s="17">
        <f>IF(T5="","",RANK(T5,$T$3:$T$168,0)+COUNTIF($T$3:T5,T5)-1)</f>
        <v>3</v>
      </c>
      <c r="W5" s="17">
        <f>IF(S5="","",RANK(S5,$S$3:$S$168,0)+COUNTIF($S$3:S5,S5)-1)</f>
        <v>3</v>
      </c>
      <c r="X5" s="14">
        <v>8341</v>
      </c>
      <c r="Y5" s="14">
        <v>19136</v>
      </c>
      <c r="Z5" s="15">
        <f>IFERROR((X5+Y5)/AR5,"")</f>
        <v>0.85057578008915302</v>
      </c>
      <c r="AA5" s="14">
        <v>1550432</v>
      </c>
      <c r="AB5" s="15">
        <f>IFERROR(AA5/F5,"")</f>
        <v>0.27285246191293011</v>
      </c>
      <c r="AC5" s="16">
        <f>IFERROR(AA5*1000/H5,"")</f>
        <v>5689.8675180740574</v>
      </c>
      <c r="AD5" s="17">
        <f>IF(AB5="","",RANK(AB5,$AB$3:$AB$168,0)+COUNTIF($AB$3:AB5,AB5)-1)</f>
        <v>144</v>
      </c>
      <c r="AE5" s="17">
        <f>IF(AA5="","",RANK(AA5,$AA$3:$AA$168,0)+COUNTIF($AA$3:AA5,AA5)-1)</f>
        <v>3</v>
      </c>
      <c r="AF5" s="18">
        <v>66.900000000000006</v>
      </c>
      <c r="AG5" s="14">
        <v>1039088423.86</v>
      </c>
      <c r="AH5" s="16">
        <f>IFERROR(AG5/AZ5,"")</f>
        <v>4111.6843565900062</v>
      </c>
      <c r="AI5" s="14">
        <v>84031</v>
      </c>
      <c r="AJ5" s="15">
        <f>IFERROR(AI5/F5,"")</f>
        <v>1.4788178537985175E-2</v>
      </c>
      <c r="AK5" s="14">
        <v>9215</v>
      </c>
      <c r="AL5" s="14">
        <v>10058</v>
      </c>
      <c r="AM5" s="14">
        <v>10479</v>
      </c>
      <c r="AN5" s="14">
        <v>63485</v>
      </c>
      <c r="AO5" s="14">
        <v>52323</v>
      </c>
      <c r="AP5" s="18">
        <v>1.7</v>
      </c>
      <c r="AQ5" s="19">
        <f>IFERROR(AL5*1000/AZ5,"")</f>
        <v>39.799616961332092</v>
      </c>
      <c r="AR5" s="14">
        <v>32304</v>
      </c>
      <c r="AS5" s="14">
        <v>18863</v>
      </c>
      <c r="AT5" s="14">
        <v>9552</v>
      </c>
      <c r="AU5" s="14">
        <v>1403</v>
      </c>
      <c r="AV5" s="14">
        <v>2486</v>
      </c>
      <c r="AW5" s="15">
        <f>IFERROR(AS5/AR5,"")</f>
        <v>0.58392149578999508</v>
      </c>
      <c r="AX5" s="14">
        <v>63</v>
      </c>
      <c r="AY5" s="14">
        <v>19</v>
      </c>
      <c r="AZ5" s="14">
        <v>252716</v>
      </c>
      <c r="BA5" s="20">
        <v>124.006</v>
      </c>
      <c r="BB5" s="20">
        <v>2037.93</v>
      </c>
      <c r="BC5" s="21">
        <v>0.76600000000000001</v>
      </c>
      <c r="BD5" s="18">
        <v>35.5</v>
      </c>
      <c r="BE5" s="18">
        <v>98.96</v>
      </c>
      <c r="BF5" s="18">
        <v>5.0999999999999996</v>
      </c>
      <c r="BG5" s="18">
        <v>4</v>
      </c>
      <c r="BH5" s="18">
        <v>16.04</v>
      </c>
      <c r="BI5" s="14">
        <v>63416</v>
      </c>
      <c r="BJ5" s="18">
        <v>1.7</v>
      </c>
      <c r="BK5" s="15">
        <f>IFERROR(BI5/AZ5,"")</f>
        <v>0.25093781161461876</v>
      </c>
      <c r="BL5" s="22">
        <f>IFERROR(AI5+K5+S5+AA5-F5,"")</f>
        <v>0</v>
      </c>
      <c r="BM5" s="22">
        <f>IFERROR(F5+G5-C5,"")</f>
        <v>0</v>
      </c>
      <c r="BN5" s="22">
        <f>IF(I5="","",IFERROR(C5*1000/H5-I5,""))</f>
        <v>1.7064846433640923E-3</v>
      </c>
    </row>
    <row r="6" spans="1:66">
      <c r="A6" s="13" t="s">
        <v>107</v>
      </c>
      <c r="B6" s="13" t="s">
        <v>108</v>
      </c>
      <c r="C6" s="14">
        <v>2042133</v>
      </c>
      <c r="D6" s="14">
        <v>2748777</v>
      </c>
      <c r="E6" s="14">
        <v>2581922</v>
      </c>
      <c r="F6" s="14">
        <v>1961362</v>
      </c>
      <c r="G6" s="14">
        <v>80771</v>
      </c>
      <c r="H6" s="14">
        <v>16261</v>
      </c>
      <c r="I6" s="14">
        <v>125584.68</v>
      </c>
      <c r="J6" s="14">
        <v>168808.24</v>
      </c>
      <c r="K6" s="14">
        <v>1471020</v>
      </c>
      <c r="L6" s="15">
        <f>IFERROR(K6/F6,"")</f>
        <v>0.74999923522531786</v>
      </c>
      <c r="M6" s="16">
        <f>IFERROR(K6*1000/H6,"")</f>
        <v>90463.071151835684</v>
      </c>
      <c r="N6" s="17">
        <f>IF(L6="","",RANK(L6,$L$3:$L$168,0)+COUNTIF($L$3:L6,L6)-1)</f>
        <v>5</v>
      </c>
      <c r="O6" s="17">
        <f>IF(K6="","",RANK(K6,$K$3:$K$168,0)+COUNTIF($K$3:K6,K6)-1)</f>
        <v>2</v>
      </c>
      <c r="P6" s="14">
        <v>153</v>
      </c>
      <c r="Q6" s="15">
        <f>IFERROR(P6/AR6,"")</f>
        <v>0.13385826771653545</v>
      </c>
      <c r="R6" s="16">
        <v>38</v>
      </c>
      <c r="S6" s="14">
        <v>258287</v>
      </c>
      <c r="T6" s="15">
        <f>IFERROR(S6/F6,"")</f>
        <v>0.13168757220747623</v>
      </c>
      <c r="U6" s="16">
        <f>IFERROR(S6*1000/H6,"")</f>
        <v>15883.832482627146</v>
      </c>
      <c r="V6" s="17">
        <f>IF(T6="","",RANK(T6,$T$3:$T$168,0)+COUNTIF($T$3:T6,T6)-1)</f>
        <v>156</v>
      </c>
      <c r="W6" s="17">
        <f>IF(S6="","",RANK(S6,$S$3:$S$168,0)+COUNTIF($S$3:S6,S6)-1)</f>
        <v>15</v>
      </c>
      <c r="X6" s="14">
        <v>392</v>
      </c>
      <c r="Y6" s="14">
        <v>577</v>
      </c>
      <c r="Z6" s="15">
        <f>IFERROR((X6+Y6)/AR6,"")</f>
        <v>0.84776902887139105</v>
      </c>
      <c r="AA6" s="14">
        <v>190763</v>
      </c>
      <c r="AB6" s="15">
        <f>IFERROR(AA6/F6,"")</f>
        <v>9.7260475118820494E-2</v>
      </c>
      <c r="AC6" s="16">
        <f>IFERROR(AA6*1000/H6,"")</f>
        <v>11731.320337002644</v>
      </c>
      <c r="AD6" s="17">
        <f>IF(AB6="","",RANK(AB6,$AB$3:$AB$168,0)+COUNTIF($AB$3:AB6,AB6)-1)</f>
        <v>163</v>
      </c>
      <c r="AE6" s="17">
        <f>IF(AA6="","",RANK(AA6,$AA$3:$AA$168,0)+COUNTIF($AA$3:AA6,AA6)-1)</f>
        <v>17</v>
      </c>
      <c r="AF6" s="18">
        <v>77.94</v>
      </c>
      <c r="AG6" s="14">
        <v>262481831.55000001</v>
      </c>
      <c r="AH6" s="16">
        <f>IFERROR(AG6/AZ6,"")</f>
        <v>17161.283527296502</v>
      </c>
      <c r="AI6" s="14">
        <v>41293</v>
      </c>
      <c r="AJ6" s="15">
        <f>IFERROR(AI6/F6,"")</f>
        <v>2.1053227298173414E-2</v>
      </c>
      <c r="AK6" s="14">
        <v>437</v>
      </c>
      <c r="AL6" s="14">
        <v>475</v>
      </c>
      <c r="AM6" s="14">
        <v>492</v>
      </c>
      <c r="AN6" s="14">
        <v>2826</v>
      </c>
      <c r="AO6" s="14">
        <v>2423</v>
      </c>
      <c r="AP6" s="18">
        <v>3.6</v>
      </c>
      <c r="AQ6" s="19">
        <f>IFERROR(AL6*1000/AZ6,"")</f>
        <v>31.055900621118013</v>
      </c>
      <c r="AR6" s="14">
        <v>1143</v>
      </c>
      <c r="AS6" s="14">
        <v>579</v>
      </c>
      <c r="AT6" s="14">
        <v>364</v>
      </c>
      <c r="AU6" s="14">
        <v>27</v>
      </c>
      <c r="AV6" s="14">
        <v>173</v>
      </c>
      <c r="AW6" s="15">
        <f>IFERROR(AS6/AR6,"")</f>
        <v>0.5065616797900262</v>
      </c>
      <c r="AX6" s="14">
        <v>14</v>
      </c>
      <c r="AY6" s="14">
        <v>6</v>
      </c>
      <c r="AZ6" s="14">
        <v>15295</v>
      </c>
      <c r="BA6" s="20">
        <v>258.30700000000002</v>
      </c>
      <c r="BB6" s="20">
        <v>59.21</v>
      </c>
      <c r="BC6" s="21">
        <v>0.626</v>
      </c>
      <c r="BD6" s="18">
        <v>44</v>
      </c>
      <c r="BE6" s="18">
        <v>98.86</v>
      </c>
      <c r="BF6" s="18">
        <v>5.5</v>
      </c>
      <c r="BG6" s="18">
        <v>4</v>
      </c>
      <c r="BH6" s="18">
        <v>26.34</v>
      </c>
      <c r="BI6" s="14">
        <v>2826</v>
      </c>
      <c r="BJ6" s="18">
        <v>3.6</v>
      </c>
      <c r="BK6" s="15">
        <f>IFERROR(BI6/AZ6,"")</f>
        <v>0.18476626348479896</v>
      </c>
      <c r="BL6" s="22">
        <f>IFERROR(AI6+K6+S6+AA6-F6,"")</f>
        <v>1</v>
      </c>
      <c r="BM6" s="22">
        <f>IFERROR(F6+G6-C6,"")</f>
        <v>0</v>
      </c>
      <c r="BN6" s="22">
        <f>IF(I6="","",IFERROR(C6*1000/H6-I6,""))</f>
        <v>3.1887337812804617E-2</v>
      </c>
    </row>
    <row r="7" spans="1:66">
      <c r="A7" s="13" t="s">
        <v>109</v>
      </c>
      <c r="B7" s="13" t="s">
        <v>110</v>
      </c>
      <c r="C7" s="14">
        <v>1905641</v>
      </c>
      <c r="D7" s="14">
        <v>2307194</v>
      </c>
      <c r="E7" s="14">
        <v>2588564</v>
      </c>
      <c r="F7" s="14">
        <v>1675162</v>
      </c>
      <c r="G7" s="14">
        <v>230479</v>
      </c>
      <c r="H7" s="14">
        <v>104919</v>
      </c>
      <c r="I7" s="14">
        <v>18162.97</v>
      </c>
      <c r="J7" s="14">
        <v>22346.41</v>
      </c>
      <c r="K7" s="14">
        <v>169638</v>
      </c>
      <c r="L7" s="15">
        <f>IFERROR(K7/F7,"")</f>
        <v>0.10126662376534329</v>
      </c>
      <c r="M7" s="16">
        <f>IFERROR(K7*1000/H7,"")</f>
        <v>1616.8472821891173</v>
      </c>
      <c r="N7" s="17">
        <f>IF(L7="","",RANK(L7,$L$3:$L$168,0)+COUNTIF($L$3:L7,L7)-1)</f>
        <v>59</v>
      </c>
      <c r="O7" s="17">
        <f>IF(K7="","",RANK(K7,$K$3:$K$168,0)+COUNTIF($K$3:K7,K7)-1)</f>
        <v>21</v>
      </c>
      <c r="P7" s="14">
        <v>1814</v>
      </c>
      <c r="Q7" s="15">
        <f>IFERROR(P7/AR7,"")</f>
        <v>0.19271220652289386</v>
      </c>
      <c r="R7" s="16">
        <v>266</v>
      </c>
      <c r="S7" s="14">
        <v>878071</v>
      </c>
      <c r="T7" s="15">
        <f>IFERROR(S7/F7,"")</f>
        <v>0.52417079661549149</v>
      </c>
      <c r="U7" s="16">
        <f>IFERROR(S7*1000/H7,"")</f>
        <v>8369.0370666895415</v>
      </c>
      <c r="V7" s="17">
        <f>IF(T7="","",RANK(T7,$T$3:$T$168,0)+COUNTIF($T$3:T7,T7)-1)</f>
        <v>7</v>
      </c>
      <c r="W7" s="17">
        <f>IF(S7="","",RANK(S7,$S$3:$S$168,0)+COUNTIF($S$3:S7,S7)-1)</f>
        <v>4</v>
      </c>
      <c r="X7" s="14">
        <v>2594</v>
      </c>
      <c r="Y7" s="14">
        <v>4935</v>
      </c>
      <c r="Z7" s="15">
        <f>IFERROR((X7+Y7)/AR7,"")</f>
        <v>0.79985126952087537</v>
      </c>
      <c r="AA7" s="14">
        <v>589005</v>
      </c>
      <c r="AB7" s="15">
        <f>IFERROR(AA7/F7,"")</f>
        <v>0.35161076958526999</v>
      </c>
      <c r="AC7" s="16">
        <f>IFERROR(AA7*1000/H7,"")</f>
        <v>5613.9021530895261</v>
      </c>
      <c r="AD7" s="17">
        <f>IF(AB7="","",RANK(AB7,$AB$3:$AB$168,0)+COUNTIF($AB$3:AB7,AB7)-1)</f>
        <v>132</v>
      </c>
      <c r="AE7" s="17">
        <f>IF(AA7="","",RANK(AA7,$AA$3:$AA$168,0)+COUNTIF($AA$3:AA7,AA7)-1)</f>
        <v>4</v>
      </c>
      <c r="AF7" s="18">
        <v>61.26</v>
      </c>
      <c r="AG7" s="14">
        <v>621103385.67999995</v>
      </c>
      <c r="AH7" s="16">
        <f>IFERROR(AG7/AZ7,"")</f>
        <v>5361.8276013052709</v>
      </c>
      <c r="AI7" s="14">
        <v>38448</v>
      </c>
      <c r="AJ7" s="15">
        <f>IFERROR(AI7/F7,"")</f>
        <v>2.295181003389523E-2</v>
      </c>
      <c r="AK7" s="14">
        <v>1936</v>
      </c>
      <c r="AL7" s="14">
        <v>2232</v>
      </c>
      <c r="AM7" s="14">
        <v>2404</v>
      </c>
      <c r="AN7" s="14">
        <v>17939</v>
      </c>
      <c r="AO7" s="14">
        <v>15602</v>
      </c>
      <c r="AP7" s="18">
        <v>1.7</v>
      </c>
      <c r="AQ7" s="19">
        <f>IFERROR(AL7*1000/AZ7,"")</f>
        <v>19.268288471831351</v>
      </c>
      <c r="AR7" s="14">
        <v>9413</v>
      </c>
      <c r="AS7" s="14">
        <v>6050</v>
      </c>
      <c r="AT7" s="14">
        <v>2301</v>
      </c>
      <c r="AU7" s="14">
        <v>354</v>
      </c>
      <c r="AV7" s="14">
        <v>708</v>
      </c>
      <c r="AW7" s="15">
        <f>IFERROR(AS7/AR7,"")</f>
        <v>0.64272814193137151</v>
      </c>
      <c r="AX7" s="14">
        <v>56</v>
      </c>
      <c r="AY7" s="14">
        <v>14</v>
      </c>
      <c r="AZ7" s="14">
        <v>115838</v>
      </c>
      <c r="BA7" s="20">
        <v>249.8</v>
      </c>
      <c r="BB7" s="20">
        <v>463.72</v>
      </c>
      <c r="BC7" s="21">
        <v>0.66100000000000003</v>
      </c>
      <c r="BD7" s="18">
        <v>41.3</v>
      </c>
      <c r="BE7" s="18">
        <v>99.02</v>
      </c>
      <c r="BF7" s="18">
        <v>4.7</v>
      </c>
      <c r="BG7" s="18">
        <v>3.8</v>
      </c>
      <c r="BH7" s="18">
        <v>32.729999999999997</v>
      </c>
      <c r="BI7" s="14">
        <v>17939</v>
      </c>
      <c r="BJ7" s="18">
        <v>1.7</v>
      </c>
      <c r="BK7" s="15">
        <f>IFERROR(BI7/AZ7,"")</f>
        <v>0.15486282567033272</v>
      </c>
      <c r="BL7" s="22">
        <f>IFERROR(AI7+K7+S7+AA7-F7,"")</f>
        <v>0</v>
      </c>
      <c r="BM7" s="22">
        <f>IFERROR(F7+G7-C7,"")</f>
        <v>0</v>
      </c>
      <c r="BN7" s="22">
        <f>IF(I7="","",IFERROR(C7*1000/H7-I7,""))</f>
        <v>3.3413395067327656E-3</v>
      </c>
    </row>
    <row r="8" spans="1:66">
      <c r="A8" s="13" t="s">
        <v>111</v>
      </c>
      <c r="B8" s="13" t="s">
        <v>112</v>
      </c>
      <c r="C8" s="14">
        <v>1828142</v>
      </c>
      <c r="D8" s="14">
        <v>2109145</v>
      </c>
      <c r="E8" s="14">
        <v>2455739</v>
      </c>
      <c r="F8" s="14">
        <v>1561048</v>
      </c>
      <c r="G8" s="14">
        <v>267094</v>
      </c>
      <c r="H8" s="14">
        <v>82828</v>
      </c>
      <c r="I8" s="14">
        <v>22071.55</v>
      </c>
      <c r="J8" s="14">
        <v>29857.38</v>
      </c>
      <c r="K8" s="14">
        <v>485851</v>
      </c>
      <c r="L8" s="15">
        <f>IFERROR(K8/F8,"")</f>
        <v>0.31123386340458459</v>
      </c>
      <c r="M8" s="16">
        <f>IFERROR(K8*1000/H8,"")</f>
        <v>5865.7821026705942</v>
      </c>
      <c r="N8" s="17">
        <f>IF(L8="","",RANK(L8,$L$3:$L$168,0)+COUNTIF($L$3:L8,L8)-1)</f>
        <v>26</v>
      </c>
      <c r="O8" s="17">
        <f>IF(K8="","",RANK(K8,$K$3:$K$168,0)+COUNTIF($K$3:K8,K8)-1)</f>
        <v>9</v>
      </c>
      <c r="P8" s="14">
        <v>1396</v>
      </c>
      <c r="Q8" s="15">
        <f>IFERROR(P8/AR8,"")</f>
        <v>0.25085354896675649</v>
      </c>
      <c r="R8" s="16">
        <v>376</v>
      </c>
      <c r="S8" s="14">
        <v>605895</v>
      </c>
      <c r="T8" s="15">
        <f>IFERROR(S8/F8,"")</f>
        <v>0.38813348468464776</v>
      </c>
      <c r="U8" s="16">
        <f>IFERROR(S8*1000/H8,"")</f>
        <v>7315.0987588738108</v>
      </c>
      <c r="V8" s="17">
        <f>IF(T8="","",RANK(T8,$T$3:$T$168,0)+COUNTIF($T$3:T8,T8)-1)</f>
        <v>29</v>
      </c>
      <c r="W8" s="17">
        <f>IF(S8="","",RANK(S8,$S$3:$S$168,0)+COUNTIF($S$3:S8,S8)-1)</f>
        <v>6</v>
      </c>
      <c r="X8" s="14">
        <v>1642</v>
      </c>
      <c r="Y8" s="14">
        <v>2451</v>
      </c>
      <c r="Z8" s="15">
        <f>IFERROR((X8+Y8)/AR8,"")</f>
        <v>0.73548966756513923</v>
      </c>
      <c r="AA8" s="14">
        <v>433168</v>
      </c>
      <c r="AB8" s="15">
        <f>IFERROR(AA8/F8,"")</f>
        <v>0.27748538161542757</v>
      </c>
      <c r="AC8" s="16">
        <f>IFERROR(AA8*1000/H8,"")</f>
        <v>5229.7290771236776</v>
      </c>
      <c r="AD8" s="17">
        <f>IF(AB8="","",RANK(AB8,$AB$3:$AB$168,0)+COUNTIF($AB$3:AB8,AB8)-1)</f>
        <v>142</v>
      </c>
      <c r="AE8" s="17">
        <f>IF(AA8="","",RANK(AA8,$AA$3:$AA$168,0)+COUNTIF($AA$3:AA8,AA8)-1)</f>
        <v>5</v>
      </c>
      <c r="AF8" s="18">
        <v>73.11</v>
      </c>
      <c r="AG8" s="14">
        <v>411739661.52999997</v>
      </c>
      <c r="AH8" s="16">
        <f>IFERROR(AG8/AZ8,"")</f>
        <v>5006.014195066201</v>
      </c>
      <c r="AI8" s="14">
        <v>36133</v>
      </c>
      <c r="AJ8" s="15">
        <f>IFERROR(AI8/F8,"")</f>
        <v>2.3146629700047661E-2</v>
      </c>
      <c r="AK8" s="14">
        <v>1766</v>
      </c>
      <c r="AL8" s="14">
        <v>1886</v>
      </c>
      <c r="AM8" s="14">
        <v>2286</v>
      </c>
      <c r="AN8" s="14">
        <v>14258</v>
      </c>
      <c r="AO8" s="14">
        <v>12208</v>
      </c>
      <c r="AP8" s="18">
        <v>1.9</v>
      </c>
      <c r="AQ8" s="19">
        <f>IFERROR(AL8*1000/AZ8,"")</f>
        <v>22.93036997410303</v>
      </c>
      <c r="AR8" s="14">
        <v>5565</v>
      </c>
      <c r="AS8" s="14">
        <v>2758</v>
      </c>
      <c r="AT8" s="14">
        <v>1826</v>
      </c>
      <c r="AU8" s="14">
        <v>268</v>
      </c>
      <c r="AV8" s="14">
        <v>713</v>
      </c>
      <c r="AW8" s="15">
        <f>IFERROR(AS8/AR8,"")</f>
        <v>0.49559748427672956</v>
      </c>
      <c r="AX8" s="14">
        <v>59</v>
      </c>
      <c r="AY8" s="14">
        <v>17</v>
      </c>
      <c r="AZ8" s="14">
        <v>82249</v>
      </c>
      <c r="BA8" s="20">
        <v>510.09199999999998</v>
      </c>
      <c r="BB8" s="20">
        <v>161.24</v>
      </c>
      <c r="BC8" s="21">
        <v>0.64</v>
      </c>
      <c r="BD8" s="18">
        <v>44.5</v>
      </c>
      <c r="BE8" s="18">
        <v>96.89</v>
      </c>
      <c r="BF8" s="18">
        <v>5</v>
      </c>
      <c r="BG8" s="18">
        <v>4.0999999999999996</v>
      </c>
      <c r="BH8" s="18">
        <v>10.23</v>
      </c>
      <c r="BI8" s="14">
        <v>14239</v>
      </c>
      <c r="BJ8" s="18">
        <v>1.9</v>
      </c>
      <c r="BK8" s="15">
        <f>IFERROR(BI8/AZ8,"")</f>
        <v>0.17312064584371847</v>
      </c>
      <c r="BL8" s="22">
        <f>IFERROR(AI8+K8+S8+AA8-F8,"")</f>
        <v>-1</v>
      </c>
      <c r="BM8" s="22">
        <f>IFERROR(F8+G8-C8,"")</f>
        <v>0</v>
      </c>
      <c r="BN8" s="22">
        <f>IF(I8="","",IFERROR(C8*1000/H8-I8,""))</f>
        <v>-4.1459409840172157E-3</v>
      </c>
    </row>
    <row r="9" spans="1:66">
      <c r="A9" s="13" t="s">
        <v>113</v>
      </c>
      <c r="B9" s="13" t="s">
        <v>114</v>
      </c>
      <c r="C9" s="14">
        <v>1467562</v>
      </c>
      <c r="D9" s="14">
        <v>2146108</v>
      </c>
      <c r="E9" s="14">
        <v>2170177</v>
      </c>
      <c r="F9" s="14">
        <v>1368136</v>
      </c>
      <c r="G9" s="14">
        <v>99426</v>
      </c>
      <c r="H9" s="14">
        <v>58743</v>
      </c>
      <c r="I9" s="14">
        <v>24982.76</v>
      </c>
      <c r="J9" s="14">
        <v>38412.94</v>
      </c>
      <c r="K9" s="14">
        <v>483176</v>
      </c>
      <c r="L9" s="15">
        <f>IFERROR(K9/F9,"")</f>
        <v>0.35316372056579171</v>
      </c>
      <c r="M9" s="16">
        <f>IFERROR(K9*1000/H9,"")</f>
        <v>8225.2523704952073</v>
      </c>
      <c r="N9" s="17">
        <f>IF(L9="","",RANK(L9,$L$3:$L$168,0)+COUNTIF($L$3:L9,L9)-1)</f>
        <v>22</v>
      </c>
      <c r="O9" s="17">
        <f>IF(K9="","",RANK(K9,$K$3:$K$168,0)+COUNTIF($K$3:K9,K9)-1)</f>
        <v>10</v>
      </c>
      <c r="P9" s="14">
        <v>676</v>
      </c>
      <c r="Q9" s="15">
        <f>IFERROR(P9/AR9,"")</f>
        <v>0.15486827033218786</v>
      </c>
      <c r="R9" s="16">
        <v>145</v>
      </c>
      <c r="S9" s="14">
        <v>518977</v>
      </c>
      <c r="T9" s="15">
        <f>IFERROR(S9/F9,"")</f>
        <v>0.37933144073396213</v>
      </c>
      <c r="U9" s="16">
        <f>IFERROR(S9*1000/H9,"")</f>
        <v>8834.7037093781382</v>
      </c>
      <c r="V9" s="17">
        <f>IF(T9="","",RANK(T9,$T$3:$T$168,0)+COUNTIF($T$3:T9,T9)-1)</f>
        <v>30</v>
      </c>
      <c r="W9" s="17">
        <f>IF(S9="","",RANK(S9,$S$3:$S$168,0)+COUNTIF($S$3:S9,S9)-1)</f>
        <v>7</v>
      </c>
      <c r="X9" s="14">
        <v>1563</v>
      </c>
      <c r="Y9" s="14">
        <v>2061</v>
      </c>
      <c r="Z9" s="15">
        <f>IFERROR((X9+Y9)/AR9,"")</f>
        <v>0.83024054982817874</v>
      </c>
      <c r="AA9" s="14">
        <v>330939</v>
      </c>
      <c r="AB9" s="15">
        <f>IFERROR(AA9/F9,"")</f>
        <v>0.24189042609799025</v>
      </c>
      <c r="AC9" s="16">
        <f>IFERROR(AA9*1000/H9,"")</f>
        <v>5633.6755017619116</v>
      </c>
      <c r="AD9" s="17">
        <f>IF(AB9="","",RANK(AB9,$AB$3:$AB$168,0)+COUNTIF($AB$3:AB9,AB9)-1)</f>
        <v>148</v>
      </c>
      <c r="AE9" s="17">
        <f>IF(AA9="","",RANK(AA9,$AA$3:$AA$168,0)+COUNTIF($AA$3:AA9,AA9)-1)</f>
        <v>8</v>
      </c>
      <c r="AF9" s="18">
        <v>77.19</v>
      </c>
      <c r="AG9" s="14">
        <v>328559362.69999999</v>
      </c>
      <c r="AH9" s="16">
        <f>IFERROR(AG9/AZ9,"")</f>
        <v>5815.6216847210417</v>
      </c>
      <c r="AI9" s="14">
        <v>35044</v>
      </c>
      <c r="AJ9" s="15">
        <f>IFERROR(AI9/F9,"")</f>
        <v>2.5614412602255915E-2</v>
      </c>
      <c r="AK9" s="14">
        <v>1744</v>
      </c>
      <c r="AL9" s="14">
        <v>1969</v>
      </c>
      <c r="AM9" s="14">
        <v>2065</v>
      </c>
      <c r="AN9" s="14">
        <v>9666</v>
      </c>
      <c r="AO9" s="14">
        <v>7528</v>
      </c>
      <c r="AP9" s="18">
        <v>1.8</v>
      </c>
      <c r="AQ9" s="19">
        <f>IFERROR(AL9*1000/AZ9,"")</f>
        <v>34.852024922118382</v>
      </c>
      <c r="AR9" s="14">
        <v>4365</v>
      </c>
      <c r="AS9" s="14">
        <v>1897</v>
      </c>
      <c r="AT9" s="14">
        <v>1761</v>
      </c>
      <c r="AU9" s="14">
        <v>221</v>
      </c>
      <c r="AV9" s="14">
        <v>486</v>
      </c>
      <c r="AW9" s="15">
        <f>IFERROR(AS9/AR9,"")</f>
        <v>0.43459335624284079</v>
      </c>
      <c r="AX9" s="14">
        <v>53</v>
      </c>
      <c r="AY9" s="14">
        <v>12</v>
      </c>
      <c r="AZ9" s="14">
        <v>56496</v>
      </c>
      <c r="BA9" s="20">
        <v>1303.442</v>
      </c>
      <c r="BB9" s="20">
        <v>43.34</v>
      </c>
      <c r="BC9" s="21">
        <v>0.66100000000000003</v>
      </c>
      <c r="BD9" s="18">
        <v>44.7</v>
      </c>
      <c r="BE9" s="18">
        <v>98.04</v>
      </c>
      <c r="BF9" s="18">
        <v>4.8</v>
      </c>
      <c r="BG9" s="18">
        <v>3.7</v>
      </c>
      <c r="BH9" s="18">
        <v>2.6</v>
      </c>
      <c r="BI9" s="14">
        <v>9658</v>
      </c>
      <c r="BJ9" s="18">
        <v>1.8</v>
      </c>
      <c r="BK9" s="15">
        <f>IFERROR(BI9/AZ9,"")</f>
        <v>0.17095015576323988</v>
      </c>
      <c r="BL9" s="22">
        <f>IFERROR(AI9+K9+S9+AA9-F9,"")</f>
        <v>0</v>
      </c>
      <c r="BM9" s="22">
        <f>IFERROR(F9+G9-C9,"")</f>
        <v>0</v>
      </c>
      <c r="BN9" s="22">
        <f>IF(I9="","",IFERROR(C9*1000/H9-I9,""))</f>
        <v>-4.6078681698418222E-3</v>
      </c>
    </row>
    <row r="10" spans="1:66">
      <c r="A10" s="13" t="s">
        <v>115</v>
      </c>
      <c r="B10" s="13" t="s">
        <v>116</v>
      </c>
      <c r="C10" s="14">
        <v>1394838</v>
      </c>
      <c r="D10" s="14">
        <v>1598739</v>
      </c>
      <c r="E10" s="14">
        <v>1735797</v>
      </c>
      <c r="F10" s="14">
        <v>1214573</v>
      </c>
      <c r="G10" s="14">
        <v>180265</v>
      </c>
      <c r="H10" s="14">
        <v>68726</v>
      </c>
      <c r="I10" s="14">
        <v>20295.64</v>
      </c>
      <c r="J10" s="14">
        <v>28387.75</v>
      </c>
      <c r="K10" s="14">
        <v>80879</v>
      </c>
      <c r="L10" s="15">
        <f>IFERROR(K10/F10,"")</f>
        <v>6.6590480769784938E-2</v>
      </c>
      <c r="M10" s="16">
        <f>IFERROR(K10*1000/H10,"")</f>
        <v>1176.8326397578792</v>
      </c>
      <c r="N10" s="17">
        <f>IF(L10="","",RANK(L10,$L$3:$L$168,0)+COUNTIF($L$3:L10,L10)-1)</f>
        <v>73</v>
      </c>
      <c r="O10" s="17">
        <f>IF(K10="","",RANK(K10,$K$3:$K$168,0)+COUNTIF($K$3:K10,K10)-1)</f>
        <v>31</v>
      </c>
      <c r="P10" s="14">
        <v>1073</v>
      </c>
      <c r="Q10" s="15">
        <f>IFERROR(P10/AR10,"")</f>
        <v>0.1657911001236094</v>
      </c>
      <c r="R10" s="16">
        <v>94</v>
      </c>
      <c r="S10" s="14">
        <v>687110</v>
      </c>
      <c r="T10" s="15">
        <f>IFERROR(S10/F10,"")</f>
        <v>0.56572145107786853</v>
      </c>
      <c r="U10" s="16">
        <f>IFERROR(S10*1000/H10,"")</f>
        <v>9997.8174198993111</v>
      </c>
      <c r="V10" s="17">
        <f>IF(T10="","",RANK(T10,$T$3:$T$168,0)+COUNTIF($T$3:T10,T10)-1)</f>
        <v>5</v>
      </c>
      <c r="W10" s="17">
        <f>IF(S10="","",RANK(S10,$S$3:$S$168,0)+COUNTIF($S$3:S10,S10)-1)</f>
        <v>5</v>
      </c>
      <c r="X10" s="14">
        <v>2247</v>
      </c>
      <c r="Y10" s="14">
        <v>3119</v>
      </c>
      <c r="Z10" s="15">
        <f>IFERROR((X10+Y10)/AR10,"")</f>
        <v>0.8291100123609394</v>
      </c>
      <c r="AA10" s="14">
        <v>392190</v>
      </c>
      <c r="AB10" s="15">
        <f>IFERROR(AA10/F10,"")</f>
        <v>0.32290360480596886</v>
      </c>
      <c r="AC10" s="16">
        <f>IFERROR(AA10*1000/H10,"")</f>
        <v>5706.5739312632777</v>
      </c>
      <c r="AD10" s="17">
        <f>IF(AB10="","",RANK(AB10,$AB$3:$AB$168,0)+COUNTIF($AB$3:AB10,AB10)-1)</f>
        <v>134</v>
      </c>
      <c r="AE10" s="17">
        <f>IF(AA10="","",RANK(AA10,$AA$3:$AA$168,0)+COUNTIF($AA$3:AA10,AA10)-1)</f>
        <v>7</v>
      </c>
      <c r="AF10" s="18">
        <v>81.819999999999993</v>
      </c>
      <c r="AG10" s="14">
        <v>297940524.89999998</v>
      </c>
      <c r="AH10" s="16">
        <f>IFERROR(AG10/AZ10,"")</f>
        <v>4872.6085909135509</v>
      </c>
      <c r="AI10" s="14">
        <v>54394</v>
      </c>
      <c r="AJ10" s="15">
        <f>IFERROR(AI10/F10,"")</f>
        <v>4.4784463346377701E-2</v>
      </c>
      <c r="AK10" s="14">
        <v>2147</v>
      </c>
      <c r="AL10" s="14">
        <v>2404</v>
      </c>
      <c r="AM10" s="14">
        <v>2584</v>
      </c>
      <c r="AN10" s="14">
        <v>14370</v>
      </c>
      <c r="AO10" s="14">
        <v>11540</v>
      </c>
      <c r="AP10" s="18">
        <v>1.7</v>
      </c>
      <c r="AQ10" s="19">
        <f>IFERROR(AL10*1000/AZ10,"")</f>
        <v>39.315736107022538</v>
      </c>
      <c r="AR10" s="14">
        <v>6472</v>
      </c>
      <c r="AS10" s="14">
        <v>3345</v>
      </c>
      <c r="AT10" s="14">
        <v>2346</v>
      </c>
      <c r="AU10" s="14">
        <v>245</v>
      </c>
      <c r="AV10" s="14">
        <v>536</v>
      </c>
      <c r="AW10" s="15">
        <f>IFERROR(AS10/AR10,"")</f>
        <v>0.51684177997527814</v>
      </c>
      <c r="AX10" s="14">
        <v>15</v>
      </c>
      <c r="AY10" s="14">
        <v>15</v>
      </c>
      <c r="AZ10" s="14">
        <v>61146</v>
      </c>
      <c r="BA10" s="20">
        <v>1228.5830000000001</v>
      </c>
      <c r="BB10" s="20">
        <v>49.77</v>
      </c>
      <c r="BC10" s="21">
        <v>0.71</v>
      </c>
      <c r="BD10" s="18">
        <v>37.9</v>
      </c>
      <c r="BE10" s="18">
        <v>98.92</v>
      </c>
      <c r="BF10" s="18">
        <v>5.9</v>
      </c>
      <c r="BG10" s="18">
        <v>4.5999999999999996</v>
      </c>
      <c r="BH10" s="18">
        <v>73.59</v>
      </c>
      <c r="BI10" s="14">
        <v>14370</v>
      </c>
      <c r="BJ10" s="18">
        <v>1.7</v>
      </c>
      <c r="BK10" s="15">
        <f>IFERROR(BI10/AZ10,"")</f>
        <v>0.23501128446668629</v>
      </c>
      <c r="BL10" s="22">
        <f>IFERROR(AI10+K10+S10+AA10-F10,"")</f>
        <v>0</v>
      </c>
      <c r="BM10" s="22">
        <f>IFERROR(F10+G10-C10,"")</f>
        <v>0</v>
      </c>
      <c r="BN10" s="22">
        <f>IF(I10="","",IFERROR(C10*1000/H10-I10,""))</f>
        <v>-2.250094577902928E-3</v>
      </c>
    </row>
    <row r="11" spans="1:66">
      <c r="A11" s="13" t="s">
        <v>117</v>
      </c>
      <c r="B11" s="13" t="s">
        <v>118</v>
      </c>
      <c r="C11" s="14">
        <v>1269833</v>
      </c>
      <c r="D11" s="14">
        <v>1419596</v>
      </c>
      <c r="E11" s="14">
        <v>1527022</v>
      </c>
      <c r="F11" s="14">
        <v>1197893</v>
      </c>
      <c r="G11" s="14">
        <v>71940</v>
      </c>
      <c r="H11" s="14">
        <v>35360</v>
      </c>
      <c r="I11" s="14">
        <v>35911.56</v>
      </c>
      <c r="J11" s="14">
        <v>45870.29</v>
      </c>
      <c r="K11" s="14">
        <v>712023</v>
      </c>
      <c r="L11" s="15">
        <f>IFERROR(K11/F11,"")</f>
        <v>0.59439616059197276</v>
      </c>
      <c r="M11" s="16">
        <f>IFERROR(K11*1000/H11,"")</f>
        <v>20136.397058823528</v>
      </c>
      <c r="N11" s="17">
        <f>IF(L11="","",RANK(L11,$L$3:$L$168,0)+COUNTIF($L$3:L11,L11)-1)</f>
        <v>9</v>
      </c>
      <c r="O11" s="17">
        <f>IF(K11="","",RANK(K11,$K$3:$K$168,0)+COUNTIF($K$3:K11,K11)-1)</f>
        <v>4</v>
      </c>
      <c r="P11" s="14">
        <v>388</v>
      </c>
      <c r="Q11" s="15">
        <f>IFERROR(P11/AR11,"")</f>
        <v>0.14526394608760765</v>
      </c>
      <c r="R11" s="16">
        <v>84</v>
      </c>
      <c r="S11" s="14">
        <v>241850</v>
      </c>
      <c r="T11" s="15">
        <f>IFERROR(S11/F11,"")</f>
        <v>0.20189616267897048</v>
      </c>
      <c r="U11" s="16">
        <f>IFERROR(S11*1000/H11,"")</f>
        <v>6839.6493212669684</v>
      </c>
      <c r="V11" s="17">
        <f>IF(T11="","",RANK(T11,$T$3:$T$168,0)+COUNTIF($T$3:T11,T11)-1)</f>
        <v>141</v>
      </c>
      <c r="W11" s="17">
        <f>IF(S11="","",RANK(S11,$S$3:$S$168,0)+COUNTIF($S$3:S11,S11)-1)</f>
        <v>16</v>
      </c>
      <c r="X11" s="14">
        <v>1008</v>
      </c>
      <c r="Y11" s="14">
        <v>1246</v>
      </c>
      <c r="Z11" s="15">
        <f>IFERROR((X11+Y11)/AR11,"")</f>
        <v>0.84387869711718455</v>
      </c>
      <c r="AA11" s="14">
        <v>222640</v>
      </c>
      <c r="AB11" s="15">
        <f>IFERROR(AA11/F11,"")</f>
        <v>0.18585967194064912</v>
      </c>
      <c r="AC11" s="16">
        <f>IFERROR(AA11*1000/H11,"")</f>
        <v>6296.3800904977379</v>
      </c>
      <c r="AD11" s="17">
        <f>IF(AB11="","",RANK(AB11,$AB$3:$AB$168,0)+COUNTIF($AB$3:AB11,AB11)-1)</f>
        <v>156</v>
      </c>
      <c r="AE11" s="17">
        <f>IF(AA11="","",RANK(AA11,$AA$3:$AA$168,0)+COUNTIF($AA$3:AA11,AA11)-1)</f>
        <v>12</v>
      </c>
      <c r="AF11" s="18">
        <v>74.37</v>
      </c>
      <c r="AG11" s="14">
        <v>235482841.53999999</v>
      </c>
      <c r="AH11" s="16">
        <f>IFERROR(AG11/AZ11,"")</f>
        <v>7073.681031541003</v>
      </c>
      <c r="AI11" s="14">
        <v>21379</v>
      </c>
      <c r="AJ11" s="15">
        <f>IFERROR(AI11/F11,"")</f>
        <v>1.7847169989306223E-2</v>
      </c>
      <c r="AK11" s="14">
        <v>964</v>
      </c>
      <c r="AL11" s="14">
        <v>1049</v>
      </c>
      <c r="AM11" s="14">
        <v>1089</v>
      </c>
      <c r="AN11" s="14">
        <v>4713</v>
      </c>
      <c r="AO11" s="14">
        <v>3696</v>
      </c>
      <c r="AP11" s="18">
        <v>2.1</v>
      </c>
      <c r="AQ11" s="19">
        <f>IFERROR(AL11*1000/AZ11,"")</f>
        <v>31.51096425352959</v>
      </c>
      <c r="AR11" s="14">
        <v>2671</v>
      </c>
      <c r="AS11" s="14">
        <v>1319</v>
      </c>
      <c r="AT11" s="14">
        <v>966</v>
      </c>
      <c r="AU11" s="14">
        <v>106</v>
      </c>
      <c r="AV11" s="14">
        <v>280</v>
      </c>
      <c r="AW11" s="15">
        <f>IFERROR(AS11/AR11,"")</f>
        <v>0.4938225383751404</v>
      </c>
      <c r="AX11" s="14">
        <v>20</v>
      </c>
      <c r="AY11" s="14">
        <v>9</v>
      </c>
      <c r="AZ11" s="14">
        <v>33290</v>
      </c>
      <c r="BA11" s="20">
        <v>714.971</v>
      </c>
      <c r="BB11" s="20">
        <v>46.56</v>
      </c>
      <c r="BC11" s="21">
        <v>0.59499999999999997</v>
      </c>
      <c r="BD11" s="18">
        <v>48</v>
      </c>
      <c r="BE11" s="18">
        <v>97.61</v>
      </c>
      <c r="BF11" s="18">
        <v>4.5999999999999996</v>
      </c>
      <c r="BG11" s="18">
        <v>3.7</v>
      </c>
      <c r="BH11" s="18">
        <v>30.28</v>
      </c>
      <c r="BI11" s="14">
        <v>4713</v>
      </c>
      <c r="BJ11" s="18">
        <v>2.1</v>
      </c>
      <c r="BK11" s="15">
        <f>IFERROR(BI11/AZ11,"")</f>
        <v>0.14157404626013817</v>
      </c>
      <c r="BL11" s="22">
        <f>IFERROR(AI11+K11+S11+AA11-F11,"")</f>
        <v>-1</v>
      </c>
      <c r="BM11" s="22">
        <f>IFERROR(F11+G11-C11,"")</f>
        <v>0</v>
      </c>
      <c r="BN11" s="22">
        <f>IF(I11="","",IFERROR(C11*1000/H11-I11,""))</f>
        <v>6.742081452102866E-3</v>
      </c>
    </row>
    <row r="12" spans="1:66">
      <c r="A12" s="13" t="s">
        <v>119</v>
      </c>
      <c r="B12" s="13" t="s">
        <v>120</v>
      </c>
      <c r="C12" s="14">
        <v>1111118</v>
      </c>
      <c r="D12" s="14">
        <v>1493271</v>
      </c>
      <c r="E12" s="14">
        <v>1315680</v>
      </c>
      <c r="F12" s="14">
        <v>1065640</v>
      </c>
      <c r="G12" s="14">
        <v>45478</v>
      </c>
      <c r="H12" s="14">
        <v>32260</v>
      </c>
      <c r="I12" s="14">
        <v>34442.58</v>
      </c>
      <c r="J12" s="14">
        <v>48071.89</v>
      </c>
      <c r="K12" s="14">
        <v>546975</v>
      </c>
      <c r="L12" s="15">
        <f>IFERROR(K12/F12,"")</f>
        <v>0.51328309748132572</v>
      </c>
      <c r="M12" s="16">
        <f>IFERROR(K12*1000/H12,"")</f>
        <v>16955.207687538747</v>
      </c>
      <c r="N12" s="17">
        <f>IF(L12="","",RANK(L12,$L$3:$L$168,0)+COUNTIF($L$3:L12,L12)-1)</f>
        <v>11</v>
      </c>
      <c r="O12" s="17">
        <f>IF(K12="","",RANK(K12,$K$3:$K$168,0)+COUNTIF($K$3:K12,K12)-1)</f>
        <v>7</v>
      </c>
      <c r="P12" s="14">
        <v>310</v>
      </c>
      <c r="Q12" s="15">
        <f>IFERROR(P12/AR12,"")</f>
        <v>0.14065335753176045</v>
      </c>
      <c r="R12" s="16">
        <v>45</v>
      </c>
      <c r="S12" s="14">
        <v>290912</v>
      </c>
      <c r="T12" s="15">
        <f>IFERROR(S12/F12,"")</f>
        <v>0.27299275552719493</v>
      </c>
      <c r="U12" s="16">
        <f>IFERROR(S12*1000/H12,"")</f>
        <v>9017.7309361438311</v>
      </c>
      <c r="V12" s="17">
        <f>IF(T12="","",RANK(T12,$T$3:$T$168,0)+COUNTIF($T$3:T12,T12)-1)</f>
        <v>73</v>
      </c>
      <c r="W12" s="17">
        <f>IF(S12="","",RANK(S12,$S$3:$S$168,0)+COUNTIF($S$3:S12,S12)-1)</f>
        <v>12</v>
      </c>
      <c r="X12" s="14">
        <v>874</v>
      </c>
      <c r="Y12" s="14">
        <v>971</v>
      </c>
      <c r="Z12" s="15">
        <f>IFERROR((X12+Y12)/AR12,"")</f>
        <v>0.83711433756805809</v>
      </c>
      <c r="AA12" s="14">
        <v>186985</v>
      </c>
      <c r="AB12" s="15">
        <f>IFERROR(AA12/F12,"")</f>
        <v>0.17546732480012012</v>
      </c>
      <c r="AC12" s="16">
        <f>IFERROR(AA12*1000/H12,"")</f>
        <v>5796.1872287662736</v>
      </c>
      <c r="AD12" s="17">
        <f>IF(AB12="","",RANK(AB12,$AB$3:$AB$168,0)+COUNTIF($AB$3:AB12,AB12)-1)</f>
        <v>157</v>
      </c>
      <c r="AE12" s="17">
        <f>IF(AA12="","",RANK(AA12,$AA$3:$AA$168,0)+COUNTIF($AA$3:AA12,AA12)-1)</f>
        <v>19</v>
      </c>
      <c r="AF12" s="18">
        <v>90.23</v>
      </c>
      <c r="AG12" s="14">
        <v>189434280.83000001</v>
      </c>
      <c r="AH12" s="16">
        <f>IFERROR(AG12/AZ12,"")</f>
        <v>6921.490768022215</v>
      </c>
      <c r="AI12" s="14">
        <v>40768</v>
      </c>
      <c r="AJ12" s="15">
        <f>IFERROR(AI12/F12,"")</f>
        <v>3.8256822191359181E-2</v>
      </c>
      <c r="AK12" s="14">
        <v>811</v>
      </c>
      <c r="AL12" s="14">
        <v>836</v>
      </c>
      <c r="AM12" s="14">
        <v>870</v>
      </c>
      <c r="AN12" s="14">
        <v>5173</v>
      </c>
      <c r="AO12" s="14">
        <v>4327</v>
      </c>
      <c r="AP12" s="18">
        <v>2.4</v>
      </c>
      <c r="AQ12" s="19">
        <f>IFERROR(AL12*1000/AZ12,"")</f>
        <v>30.545507691183456</v>
      </c>
      <c r="AR12" s="14">
        <v>2204</v>
      </c>
      <c r="AS12" s="14">
        <v>1181</v>
      </c>
      <c r="AT12" s="14">
        <v>700</v>
      </c>
      <c r="AU12" s="14">
        <v>76</v>
      </c>
      <c r="AV12" s="14">
        <v>247</v>
      </c>
      <c r="AW12" s="15">
        <f>IFERROR(AS12/AR12,"")</f>
        <v>0.53584392014519056</v>
      </c>
      <c r="AX12" s="14">
        <v>38</v>
      </c>
      <c r="AY12" s="14">
        <v>11</v>
      </c>
      <c r="AZ12" s="14">
        <v>27369</v>
      </c>
      <c r="BA12" s="20">
        <v>775.30200000000002</v>
      </c>
      <c r="BB12" s="20">
        <v>35.299999999999997</v>
      </c>
      <c r="BC12" s="21">
        <v>0.66500000000000004</v>
      </c>
      <c r="BD12" s="18">
        <v>42.8</v>
      </c>
      <c r="BE12" s="18">
        <v>99.18</v>
      </c>
      <c r="BF12" s="18">
        <v>5.5</v>
      </c>
      <c r="BG12" s="18">
        <v>4.3</v>
      </c>
      <c r="BH12" s="18">
        <v>57.41</v>
      </c>
      <c r="BI12" s="14">
        <v>5160</v>
      </c>
      <c r="BJ12" s="18">
        <v>2.4</v>
      </c>
      <c r="BK12" s="15">
        <f>IFERROR(BI12/AZ12,"")</f>
        <v>0.18853447330921846</v>
      </c>
      <c r="BL12" s="22">
        <f>IFERROR(AI12+K12+S12+AA12-F12,"")</f>
        <v>0</v>
      </c>
      <c r="BM12" s="22">
        <f>IFERROR(F12+G12-C12,"")</f>
        <v>0</v>
      </c>
      <c r="BN12" s="22">
        <f>IF(I12="","",IFERROR(C12*1000/H12-I12,""))</f>
        <v>1.1444513329479378E-2</v>
      </c>
    </row>
    <row r="13" spans="1:66">
      <c r="A13" s="13" t="s">
        <v>121</v>
      </c>
      <c r="B13" s="13" t="s">
        <v>122</v>
      </c>
      <c r="C13" s="14">
        <v>1040956</v>
      </c>
      <c r="D13" s="14">
        <v>1359848</v>
      </c>
      <c r="E13" s="14">
        <v>1457800</v>
      </c>
      <c r="F13" s="14">
        <v>878691</v>
      </c>
      <c r="G13" s="14">
        <v>162265</v>
      </c>
      <c r="H13" s="14">
        <v>44566</v>
      </c>
      <c r="I13" s="14">
        <v>23357.62</v>
      </c>
      <c r="J13" s="14">
        <v>30829.42</v>
      </c>
      <c r="K13" s="14">
        <v>122526</v>
      </c>
      <c r="L13" s="15">
        <f>IFERROR(K13/F13,"")</f>
        <v>0.13944151015544715</v>
      </c>
      <c r="M13" s="16">
        <f>IFERROR(K13*1000/H13,"")</f>
        <v>2749.3156217744468</v>
      </c>
      <c r="N13" s="17">
        <f>IF(L13="","",RANK(L13,$L$3:$L$168,0)+COUNTIF($L$3:L13,L13)-1)</f>
        <v>49</v>
      </c>
      <c r="O13" s="17">
        <f>IF(K13="","",RANK(K13,$K$3:$K$168,0)+COUNTIF($K$3:K13,K13)-1)</f>
        <v>23</v>
      </c>
      <c r="P13" s="14">
        <v>676</v>
      </c>
      <c r="Q13" s="15">
        <f>IFERROR(P13/AR13,"")</f>
        <v>0.1857653201428964</v>
      </c>
      <c r="R13" s="16">
        <v>164</v>
      </c>
      <c r="S13" s="14">
        <v>435717</v>
      </c>
      <c r="T13" s="15">
        <f>IFERROR(S13/F13,"")</f>
        <v>0.49587056200643914</v>
      </c>
      <c r="U13" s="16">
        <f>IFERROR(S13*1000/H13,"")</f>
        <v>9776.8926984696845</v>
      </c>
      <c r="V13" s="17">
        <f>IF(T13="","",RANK(T13,$T$3:$T$168,0)+COUNTIF($T$3:T13,T13)-1)</f>
        <v>9</v>
      </c>
      <c r="W13" s="17">
        <f>IF(S13="","",RANK(S13,$S$3:$S$168,0)+COUNTIF($S$3:S13,S13)-1)</f>
        <v>8</v>
      </c>
      <c r="X13" s="14">
        <v>1240</v>
      </c>
      <c r="Y13" s="14">
        <v>1660</v>
      </c>
      <c r="Z13" s="15">
        <f>IFERROR((X13+Y13)/AR13,"")</f>
        <v>0.79692223138224783</v>
      </c>
      <c r="AA13" s="14">
        <v>261506</v>
      </c>
      <c r="AB13" s="15">
        <f>IFERROR(AA13/F13,"")</f>
        <v>0.29760860188621485</v>
      </c>
      <c r="AC13" s="16">
        <f>IFERROR(AA13*1000/H13,"")</f>
        <v>5867.8364672620382</v>
      </c>
      <c r="AD13" s="17">
        <f>IF(AB13="","",RANK(AB13,$AB$3:$AB$168,0)+COUNTIF($AB$3:AB13,AB13)-1)</f>
        <v>136</v>
      </c>
      <c r="AE13" s="17">
        <f>IF(AA13="","",RANK(AA13,$AA$3:$AA$168,0)+COUNTIF($AA$3:AA13,AA13)-1)</f>
        <v>9</v>
      </c>
      <c r="AF13" s="18">
        <v>90.1</v>
      </c>
      <c r="AG13" s="14">
        <v>285497006.38</v>
      </c>
      <c r="AH13" s="16">
        <f>IFERROR(AG13/AZ13,"")</f>
        <v>6037.6645599120247</v>
      </c>
      <c r="AI13" s="14">
        <v>58942</v>
      </c>
      <c r="AJ13" s="15">
        <f>IFERROR(AI13/F13,"")</f>
        <v>6.7079325951898902E-2</v>
      </c>
      <c r="AK13" s="14">
        <v>1089</v>
      </c>
      <c r="AL13" s="14">
        <v>1204</v>
      </c>
      <c r="AM13" s="14">
        <v>1298</v>
      </c>
      <c r="AN13" s="14">
        <v>9918</v>
      </c>
      <c r="AO13" s="14">
        <v>8676</v>
      </c>
      <c r="AP13" s="18">
        <v>1.7</v>
      </c>
      <c r="AQ13" s="19">
        <f>IFERROR(AL13*1000/AZ13,"")</f>
        <v>25.462081800109971</v>
      </c>
      <c r="AR13" s="14">
        <v>3639</v>
      </c>
      <c r="AS13" s="14">
        <v>1973</v>
      </c>
      <c r="AT13" s="14">
        <v>1139</v>
      </c>
      <c r="AU13" s="14">
        <v>148</v>
      </c>
      <c r="AV13" s="14">
        <v>379</v>
      </c>
      <c r="AW13" s="15">
        <f>IFERROR(AS13/AR13,"")</f>
        <v>0.54218191810937066</v>
      </c>
      <c r="AX13" s="14">
        <v>50</v>
      </c>
      <c r="AY13" s="14">
        <v>13</v>
      </c>
      <c r="AZ13" s="14">
        <v>47286</v>
      </c>
      <c r="BA13" s="20">
        <v>289.98700000000002</v>
      </c>
      <c r="BB13" s="20">
        <v>163.06</v>
      </c>
      <c r="BC13" s="21">
        <v>0.61099999999999999</v>
      </c>
      <c r="BD13" s="18">
        <v>48.2</v>
      </c>
      <c r="BE13" s="18">
        <v>98.35</v>
      </c>
      <c r="BF13" s="18">
        <v>5.2</v>
      </c>
      <c r="BG13" s="18">
        <v>3.7</v>
      </c>
      <c r="BH13" s="18">
        <v>4.8499999999999996</v>
      </c>
      <c r="BI13" s="14">
        <v>9918</v>
      </c>
      <c r="BJ13" s="18">
        <v>1.7</v>
      </c>
      <c r="BK13" s="15">
        <f>IFERROR(BI13/AZ13,"")</f>
        <v>0.20974495622382947</v>
      </c>
      <c r="BL13" s="22">
        <f>IFERROR(AI13+K13+S13+AA13-F13,"")</f>
        <v>0</v>
      </c>
      <c r="BM13" s="22">
        <f>IFERROR(F13+G13-C13,"")</f>
        <v>0</v>
      </c>
      <c r="BN13" s="22">
        <f>IF(I13="","",IFERROR(C13*1000/H13-I13,""))</f>
        <v>6.8904546060366556E-3</v>
      </c>
    </row>
    <row r="14" spans="1:66">
      <c r="A14" s="13" t="s">
        <v>123</v>
      </c>
      <c r="B14" s="13" t="s">
        <v>124</v>
      </c>
      <c r="C14" s="14">
        <v>1002193</v>
      </c>
      <c r="D14" s="14">
        <v>1186374</v>
      </c>
      <c r="E14" s="14">
        <v>1260346</v>
      </c>
      <c r="F14" s="14">
        <v>904757</v>
      </c>
      <c r="G14" s="14">
        <v>97436</v>
      </c>
      <c r="H14" s="14">
        <v>74268</v>
      </c>
      <c r="I14" s="14">
        <v>13494.28</v>
      </c>
      <c r="J14" s="14">
        <v>15930.56</v>
      </c>
      <c r="K14" s="14">
        <v>45712</v>
      </c>
      <c r="L14" s="15">
        <f>IFERROR(K14/F14,"")</f>
        <v>5.0524063367290886E-2</v>
      </c>
      <c r="M14" s="16">
        <f>IFERROR(K14*1000/H14,"")</f>
        <v>615.50061937846715</v>
      </c>
      <c r="N14" s="17">
        <f>IF(L14="","",RANK(L14,$L$3:$L$168,0)+COUNTIF($L$3:L14,L14)-1)</f>
        <v>88</v>
      </c>
      <c r="O14" s="17">
        <f>IF(K14="","",RANK(K14,$K$3:$K$168,0)+COUNTIF($K$3:K14,K14)-1)</f>
        <v>40</v>
      </c>
      <c r="P14" s="14">
        <v>790</v>
      </c>
      <c r="Q14" s="15">
        <f>IFERROR(P14/AR14,"")</f>
        <v>0.18236380424746076</v>
      </c>
      <c r="R14" s="16">
        <v>165</v>
      </c>
      <c r="S14" s="14">
        <v>365315</v>
      </c>
      <c r="T14" s="15">
        <f>IFERROR(S14/F14,"")</f>
        <v>0.40377139939232304</v>
      </c>
      <c r="U14" s="16">
        <f>IFERROR(S14*1000/H14,"")</f>
        <v>4918.8748855496315</v>
      </c>
      <c r="V14" s="17">
        <f>IF(T14="","",RANK(T14,$T$3:$T$168,0)+COUNTIF($T$3:T14,T14)-1)</f>
        <v>26</v>
      </c>
      <c r="W14" s="17">
        <f>IF(S14="","",RANK(S14,$S$3:$S$168,0)+COUNTIF($S$3:S14,S14)-1)</f>
        <v>10</v>
      </c>
      <c r="X14" s="14">
        <v>1557</v>
      </c>
      <c r="Y14" s="14">
        <v>1891</v>
      </c>
      <c r="Z14" s="15">
        <f>IFERROR((X14+Y14)/AR14,"")</f>
        <v>0.79593721144967677</v>
      </c>
      <c r="AA14" s="14">
        <v>419272</v>
      </c>
      <c r="AB14" s="15">
        <f>IFERROR(AA14/F14,"")</f>
        <v>0.46340840689820584</v>
      </c>
      <c r="AC14" s="16">
        <f>IFERROR(AA14*1000/H14,"")</f>
        <v>5645.3923627942049</v>
      </c>
      <c r="AD14" s="17">
        <f>IF(AB14="","",RANK(AB14,$AB$3:$AB$168,0)+COUNTIF($AB$3:AB14,AB14)-1)</f>
        <v>100</v>
      </c>
      <c r="AE14" s="17">
        <f>IF(AA14="","",RANK(AA14,$AA$3:$AA$168,0)+COUNTIF($AA$3:AA14,AA14)-1)</f>
        <v>6</v>
      </c>
      <c r="AF14" s="18">
        <v>74.58</v>
      </c>
      <c r="AG14" s="14">
        <v>394591772.86000001</v>
      </c>
      <c r="AH14" s="16">
        <f>IFERROR(AG14/AZ14,"")</f>
        <v>4987.5721779687801</v>
      </c>
      <c r="AI14" s="14">
        <v>74458</v>
      </c>
      <c r="AJ14" s="15">
        <f>IFERROR(AI14/F14,"")</f>
        <v>8.2296130342180279E-2</v>
      </c>
      <c r="AK14" s="14">
        <v>1329</v>
      </c>
      <c r="AL14" s="14">
        <v>1475</v>
      </c>
      <c r="AM14" s="14">
        <v>1639</v>
      </c>
      <c r="AN14" s="14">
        <v>8956</v>
      </c>
      <c r="AO14" s="14">
        <v>7325</v>
      </c>
      <c r="AP14" s="18">
        <v>1.7</v>
      </c>
      <c r="AQ14" s="19">
        <f>IFERROR(AL14*1000/AZ14,"")</f>
        <v>18.643746445048347</v>
      </c>
      <c r="AR14" s="14">
        <v>4332</v>
      </c>
      <c r="AS14" s="14">
        <v>2265</v>
      </c>
      <c r="AT14" s="14">
        <v>1387</v>
      </c>
      <c r="AU14" s="14">
        <v>252</v>
      </c>
      <c r="AV14" s="14">
        <v>428</v>
      </c>
      <c r="AW14" s="15">
        <f>IFERROR(AS14/AR14,"")</f>
        <v>0.52285318559556782</v>
      </c>
      <c r="AX14" s="14">
        <v>78</v>
      </c>
      <c r="AY14" s="14">
        <v>16</v>
      </c>
      <c r="AZ14" s="14">
        <v>79115</v>
      </c>
      <c r="BA14" s="20">
        <v>724.83799999999997</v>
      </c>
      <c r="BB14" s="20">
        <v>109.15</v>
      </c>
      <c r="BC14" s="21">
        <v>0.61599999999999999</v>
      </c>
      <c r="BD14" s="18">
        <v>46.1</v>
      </c>
      <c r="BE14" s="18">
        <v>98</v>
      </c>
      <c r="BF14" s="18">
        <v>4.5</v>
      </c>
      <c r="BG14" s="18">
        <v>3.7</v>
      </c>
      <c r="BH14" s="18">
        <v>24.78</v>
      </c>
      <c r="BI14" s="14">
        <v>8956</v>
      </c>
      <c r="BJ14" s="18">
        <v>1.7</v>
      </c>
      <c r="BK14" s="15">
        <f>IFERROR(BI14/AZ14,"")</f>
        <v>0.11320230044871389</v>
      </c>
      <c r="BL14" s="22">
        <f>IFERROR(AI14+K14+S14+AA14-F14,"")</f>
        <v>0</v>
      </c>
      <c r="BM14" s="22">
        <f>IFERROR(F14+G14-C14,"")</f>
        <v>0</v>
      </c>
      <c r="BN14" s="22">
        <f>IF(I14="","",IFERROR(C14*1000/H14-I14,""))</f>
        <v>-2.5184467067447258E-3</v>
      </c>
    </row>
    <row r="15" spans="1:66">
      <c r="A15" s="13" t="s">
        <v>125</v>
      </c>
      <c r="B15" s="13" t="s">
        <v>126</v>
      </c>
      <c r="C15" s="14">
        <v>935968</v>
      </c>
      <c r="D15" s="14">
        <v>1218377</v>
      </c>
      <c r="E15" s="14">
        <v>1089647</v>
      </c>
      <c r="F15" s="14">
        <v>856320</v>
      </c>
      <c r="G15" s="14">
        <v>79648</v>
      </c>
      <c r="H15" s="14">
        <v>28156</v>
      </c>
      <c r="I15" s="14">
        <v>33242.230000000003</v>
      </c>
      <c r="J15" s="14">
        <v>45226.720000000001</v>
      </c>
      <c r="K15" s="14">
        <v>388193</v>
      </c>
      <c r="L15" s="15">
        <f>IFERROR(K15/F15,"")</f>
        <v>0.45332702727952168</v>
      </c>
      <c r="M15" s="16">
        <f>IFERROR(K15*1000/H15,"")</f>
        <v>13787.22119619264</v>
      </c>
      <c r="N15" s="17">
        <f>IF(L15="","",RANK(L15,$L$3:$L$168,0)+COUNTIF($L$3:L15,L15)-1)</f>
        <v>16</v>
      </c>
      <c r="O15" s="17">
        <f>IF(K15="","",RANK(K15,$K$3:$K$168,0)+COUNTIF($K$3:K15,K15)-1)</f>
        <v>12</v>
      </c>
      <c r="P15" s="14">
        <v>281</v>
      </c>
      <c r="Q15" s="15">
        <f>IFERROR(P15/AR15,"")</f>
        <v>0.16318234610917537</v>
      </c>
      <c r="R15" s="16">
        <v>61</v>
      </c>
      <c r="S15" s="14">
        <v>273953</v>
      </c>
      <c r="T15" s="15">
        <f>IFERROR(S15/F15,"")</f>
        <v>0.31991895553064276</v>
      </c>
      <c r="U15" s="16">
        <f>IFERROR(S15*1000/H15,"")</f>
        <v>9729.8266799261255</v>
      </c>
      <c r="V15" s="17">
        <f>IF(T15="","",RANK(T15,$T$3:$T$168,0)+COUNTIF($T$3:T15,T15)-1)</f>
        <v>47</v>
      </c>
      <c r="W15" s="17">
        <f>IF(S15="","",RANK(S15,$S$3:$S$168,0)+COUNTIF($S$3:S15,S15)-1)</f>
        <v>13</v>
      </c>
      <c r="X15" s="14">
        <v>610</v>
      </c>
      <c r="Y15" s="14">
        <v>804</v>
      </c>
      <c r="Z15" s="15">
        <f>IFERROR((X15+Y15)/AR15,"")</f>
        <v>0.82113821138211385</v>
      </c>
      <c r="AA15" s="14">
        <v>176058</v>
      </c>
      <c r="AB15" s="15">
        <f>IFERROR(AA15/F15,"")</f>
        <v>0.20559837443946188</v>
      </c>
      <c r="AC15" s="16">
        <f>IFERROR(AA15*1000/H15,"")</f>
        <v>6252.9478619122037</v>
      </c>
      <c r="AD15" s="17">
        <f>IF(AB15="","",RANK(AB15,$AB$3:$AB$168,0)+COUNTIF($AB$3:AB15,AB15)-1)</f>
        <v>153</v>
      </c>
      <c r="AE15" s="17">
        <f>IF(AA15="","",RANK(AA15,$AA$3:$AA$168,0)+COUNTIF($AA$3:AA15,AA15)-1)</f>
        <v>22</v>
      </c>
      <c r="AF15" s="18">
        <v>89.27</v>
      </c>
      <c r="AG15" s="14">
        <v>182409957.34</v>
      </c>
      <c r="AH15" s="16">
        <f>IFERROR(AG15/AZ15,"")</f>
        <v>7571.0769659237121</v>
      </c>
      <c r="AI15" s="14">
        <v>18116</v>
      </c>
      <c r="AJ15" s="15">
        <f>IFERROR(AI15/F15,"")</f>
        <v>2.1155642750373693E-2</v>
      </c>
      <c r="AK15" s="14">
        <v>706</v>
      </c>
      <c r="AL15" s="14">
        <v>721</v>
      </c>
      <c r="AM15" s="14">
        <v>747</v>
      </c>
      <c r="AN15" s="14">
        <v>4772</v>
      </c>
      <c r="AO15" s="14">
        <v>3999</v>
      </c>
      <c r="AP15" s="18">
        <v>1.9</v>
      </c>
      <c r="AQ15" s="19">
        <f>IFERROR(AL15*1000/AZ15,"")</f>
        <v>29.925704561490889</v>
      </c>
      <c r="AR15" s="14">
        <v>1722</v>
      </c>
      <c r="AS15" s="14">
        <v>840</v>
      </c>
      <c r="AT15" s="14">
        <v>588</v>
      </c>
      <c r="AU15" s="14">
        <v>43</v>
      </c>
      <c r="AV15" s="14">
        <v>251</v>
      </c>
      <c r="AW15" s="15">
        <f>IFERROR(AS15/AR15,"")</f>
        <v>0.48780487804878048</v>
      </c>
      <c r="AX15" s="14">
        <v>14</v>
      </c>
      <c r="AY15" s="14">
        <v>12</v>
      </c>
      <c r="AZ15" s="14">
        <v>24093</v>
      </c>
      <c r="BA15" s="20">
        <v>342.74900000000002</v>
      </c>
      <c r="BB15" s="20">
        <v>70.290000000000006</v>
      </c>
      <c r="BC15" s="21">
        <v>0.68200000000000005</v>
      </c>
      <c r="BD15" s="18">
        <v>45</v>
      </c>
      <c r="BE15" s="18">
        <v>98.64</v>
      </c>
      <c r="BF15" s="18">
        <v>5.0999999999999996</v>
      </c>
      <c r="BG15" s="18">
        <v>3.9</v>
      </c>
      <c r="BH15" s="18">
        <v>33.1</v>
      </c>
      <c r="BI15" s="14">
        <v>4772</v>
      </c>
      <c r="BJ15" s="18">
        <v>1.9</v>
      </c>
      <c r="BK15" s="15">
        <f>IFERROR(BI15/AZ15,"")</f>
        <v>0.19806582824886895</v>
      </c>
      <c r="BL15" s="22">
        <f>IFERROR(AI15+K15+S15+AA15-F15,"")</f>
        <v>0</v>
      </c>
      <c r="BM15" s="22">
        <f>IFERROR(F15+G15-C15,"")</f>
        <v>0</v>
      </c>
      <c r="BN15" s="22">
        <f>IF(I15="","",IFERROR(C15*1000/H15-I15,""))</f>
        <v>-8.0934791913023219E-3</v>
      </c>
    </row>
    <row r="16" spans="1:66">
      <c r="A16" s="13" t="s">
        <v>127</v>
      </c>
      <c r="B16" s="13" t="s">
        <v>128</v>
      </c>
      <c r="C16" s="14">
        <v>858721</v>
      </c>
      <c r="D16" s="14">
        <v>976555</v>
      </c>
      <c r="E16" s="14">
        <v>685341</v>
      </c>
      <c r="F16" s="14">
        <v>771900</v>
      </c>
      <c r="G16" s="14">
        <v>86821</v>
      </c>
      <c r="H16" s="14">
        <v>12225</v>
      </c>
      <c r="I16" s="14">
        <v>70243</v>
      </c>
      <c r="J16" s="14">
        <v>52352.07</v>
      </c>
      <c r="K16" s="14">
        <v>565336</v>
      </c>
      <c r="L16" s="15">
        <f>IFERROR(K16/F16,"")</f>
        <v>0.73239538800362747</v>
      </c>
      <c r="M16" s="16">
        <f>IFERROR(K16*1000/H16,"")</f>
        <v>46244.253578732103</v>
      </c>
      <c r="N16" s="17">
        <f>IF(L16="","",RANK(L16,$L$3:$L$168,0)+COUNTIF($L$3:L16,L16)-1)</f>
        <v>6</v>
      </c>
      <c r="O16" s="17">
        <f>IF(K16="","",RANK(K16,$K$3:$K$168,0)+COUNTIF($K$3:K16,K16)-1)</f>
        <v>6</v>
      </c>
      <c r="P16" s="14">
        <v>197</v>
      </c>
      <c r="Q16" s="15">
        <f>IFERROR(P16/AR16,"")</f>
        <v>0.29624060150375942</v>
      </c>
      <c r="R16" s="16">
        <v>70</v>
      </c>
      <c r="S16" s="14">
        <v>80193</v>
      </c>
      <c r="T16" s="15">
        <f>IFERROR(S16/F16,"")</f>
        <v>0.1038904003109211</v>
      </c>
      <c r="U16" s="16">
        <f>IFERROR(S16*1000/H16,"")</f>
        <v>6559.7546012269941</v>
      </c>
      <c r="V16" s="17">
        <f>IF(T16="","",RANK(T16,$T$3:$T$168,0)+COUNTIF($T$3:T16,T16)-1)</f>
        <v>159</v>
      </c>
      <c r="W16" s="17">
        <f>IF(S16="","",RANK(S16,$S$3:$S$168,0)+COUNTIF($S$3:S16,S16)-1)</f>
        <v>34</v>
      </c>
      <c r="X16" s="14">
        <v>208</v>
      </c>
      <c r="Y16" s="14">
        <v>246</v>
      </c>
      <c r="Z16" s="15">
        <f>IFERROR((X16+Y16)/AR16,"")</f>
        <v>0.68270676691729326</v>
      </c>
      <c r="AA16" s="14">
        <v>80731</v>
      </c>
      <c r="AB16" s="15">
        <f>IFERROR(AA16/F16,"")</f>
        <v>0.10458738178520534</v>
      </c>
      <c r="AC16" s="16">
        <f>IFERROR(AA16*1000/H16,"")</f>
        <v>6603.7627811860939</v>
      </c>
      <c r="AD16" s="17">
        <f>IF(AB16="","",RANK(AB16,$AB$3:$AB$168,0)+COUNTIF($AB$3:AB16,AB16)-1)</f>
        <v>162</v>
      </c>
      <c r="AE16" s="17">
        <f>IF(AA16="","",RANK(AA16,$AA$3:$AA$168,0)+COUNTIF($AA$3:AA16,AA16)-1)</f>
        <v>46</v>
      </c>
      <c r="AF16" s="18">
        <v>91.13</v>
      </c>
      <c r="AG16" s="14">
        <v>241989351.72999999</v>
      </c>
      <c r="AH16" s="16">
        <f>IFERROR(AG16/AZ16,"")</f>
        <v>18485.169332365746</v>
      </c>
      <c r="AI16" s="14">
        <v>45640</v>
      </c>
      <c r="AJ16" s="15">
        <f>IFERROR(AI16/F16,"")</f>
        <v>5.9126829900246147E-2</v>
      </c>
      <c r="AK16" s="14">
        <v>344</v>
      </c>
      <c r="AL16" s="14">
        <v>365</v>
      </c>
      <c r="AM16" s="14">
        <v>372</v>
      </c>
      <c r="AN16" s="14">
        <v>1760</v>
      </c>
      <c r="AO16" s="14">
        <v>1324</v>
      </c>
      <c r="AP16" s="18">
        <v>2.2000000000000002</v>
      </c>
      <c r="AQ16" s="19">
        <f>IFERROR(AL16*1000/AZ16,"")</f>
        <v>27.881750821174855</v>
      </c>
      <c r="AR16" s="14">
        <v>665</v>
      </c>
      <c r="AS16" s="14">
        <v>212</v>
      </c>
      <c r="AT16" s="14">
        <v>251</v>
      </c>
      <c r="AU16" s="14">
        <v>24</v>
      </c>
      <c r="AV16" s="14">
        <v>178</v>
      </c>
      <c r="AW16" s="15">
        <f>IFERROR(AS16/AR16,"")</f>
        <v>0.31879699248120302</v>
      </c>
      <c r="AX16" s="14">
        <v>6</v>
      </c>
      <c r="AY16" s="14">
        <v>7</v>
      </c>
      <c r="AZ16" s="14">
        <v>13091</v>
      </c>
      <c r="BA16" s="20">
        <v>620.24099999999999</v>
      </c>
      <c r="BB16" s="20">
        <v>21.11</v>
      </c>
      <c r="BC16" s="21">
        <v>0.61399999999999999</v>
      </c>
      <c r="BD16" s="18">
        <v>50.6</v>
      </c>
      <c r="BE16" s="18">
        <v>98.19</v>
      </c>
      <c r="BF16" s="18">
        <v>5.7</v>
      </c>
      <c r="BG16" s="18">
        <v>4.4000000000000004</v>
      </c>
      <c r="BH16" s="18">
        <v>0.38</v>
      </c>
      <c r="BI16" s="14">
        <v>1760</v>
      </c>
      <c r="BJ16" s="18">
        <v>2.2000000000000002</v>
      </c>
      <c r="BK16" s="15">
        <f>IFERROR(BI16/AZ16,"")</f>
        <v>0.13444351080895273</v>
      </c>
      <c r="BL16" s="22">
        <f>IFERROR(AI16+K16+S16+AA16-F16,"")</f>
        <v>0</v>
      </c>
      <c r="BM16" s="22">
        <f>IFERROR(F16+G16-C16,"")</f>
        <v>0</v>
      </c>
      <c r="BN16" s="22">
        <f>IF(I16="","",IFERROR(C16*1000/H16-I16,""))</f>
        <v>2.6584867082419805E-2</v>
      </c>
    </row>
    <row r="17" spans="1:66">
      <c r="A17" s="13" t="s">
        <v>129</v>
      </c>
      <c r="B17" s="13" t="s">
        <v>130</v>
      </c>
      <c r="C17" s="14">
        <v>814838</v>
      </c>
      <c r="D17" s="14">
        <v>979898</v>
      </c>
      <c r="E17" s="14">
        <v>1015670</v>
      </c>
      <c r="F17" s="14">
        <v>766925</v>
      </c>
      <c r="G17" s="14">
        <v>47913</v>
      </c>
      <c r="H17" s="14">
        <v>33716</v>
      </c>
      <c r="I17" s="14">
        <v>24167.69</v>
      </c>
      <c r="J17" s="14">
        <v>30745.279999999999</v>
      </c>
      <c r="K17" s="14">
        <v>286754</v>
      </c>
      <c r="L17" s="15">
        <f>IFERROR(K17/F17,"")</f>
        <v>0.37390096815203572</v>
      </c>
      <c r="M17" s="16">
        <f>IFERROR(K17*1000/H17,"")</f>
        <v>8504.982797484874</v>
      </c>
      <c r="N17" s="17">
        <f>IF(L17="","",RANK(L17,$L$3:$L$168,0)+COUNTIF($L$3:L17,L17)-1)</f>
        <v>19</v>
      </c>
      <c r="O17" s="17">
        <f>IF(K17="","",RANK(K17,$K$3:$K$168,0)+COUNTIF($K$3:K17,K17)-1)</f>
        <v>15</v>
      </c>
      <c r="P17" s="14">
        <v>238</v>
      </c>
      <c r="Q17" s="15">
        <f>IFERROR(P17/AR17,"")</f>
        <v>0.13607775871926817</v>
      </c>
      <c r="R17" s="16">
        <v>49</v>
      </c>
      <c r="S17" s="14">
        <v>173527</v>
      </c>
      <c r="T17" s="15">
        <f>IFERROR(S17/F17,"")</f>
        <v>0.22626332431463311</v>
      </c>
      <c r="U17" s="16">
        <f>IFERROR(S17*1000/H17,"")</f>
        <v>5146.7255902242259</v>
      </c>
      <c r="V17" s="17">
        <f>IF(T17="","",RANK(T17,$T$3:$T$168,0)+COUNTIF($T$3:T17,T17)-1)</f>
        <v>116</v>
      </c>
      <c r="W17" s="17">
        <f>IF(S17="","",RANK(S17,$S$3:$S$168,0)+COUNTIF($S$3:S17,S17)-1)</f>
        <v>23</v>
      </c>
      <c r="X17" s="14">
        <v>698</v>
      </c>
      <c r="Y17" s="14">
        <v>739</v>
      </c>
      <c r="Z17" s="15">
        <f>IFERROR((X17+Y17)/AR17,"")</f>
        <v>0.82161234991423671</v>
      </c>
      <c r="AA17" s="14">
        <v>207128</v>
      </c>
      <c r="AB17" s="15">
        <f>IFERROR(AA17/F17,"")</f>
        <v>0.27007595266812268</v>
      </c>
      <c r="AC17" s="16">
        <f>IFERROR(AA17*1000/H17,"")</f>
        <v>6143.3147467077943</v>
      </c>
      <c r="AD17" s="17">
        <f>IF(AB17="","",RANK(AB17,$AB$3:$AB$168,0)+COUNTIF($AB$3:AB17,AB17)-1)</f>
        <v>145</v>
      </c>
      <c r="AE17" s="17">
        <f>IF(AA17="","",RANK(AA17,$AA$3:$AA$168,0)+COUNTIF($AA$3:AA17,AA17)-1)</f>
        <v>14</v>
      </c>
      <c r="AF17" s="18">
        <v>84.41</v>
      </c>
      <c r="AG17" s="14">
        <v>231252682.37</v>
      </c>
      <c r="AH17" s="16">
        <f>IFERROR(AG17/AZ17,"")</f>
        <v>7000.2325524443777</v>
      </c>
      <c r="AI17" s="14">
        <v>99515</v>
      </c>
      <c r="AJ17" s="15">
        <f>IFERROR(AI17/F17,"")</f>
        <v>0.12975845095674285</v>
      </c>
      <c r="AK17" s="14">
        <v>692</v>
      </c>
      <c r="AL17" s="14">
        <v>751</v>
      </c>
      <c r="AM17" s="14">
        <v>769</v>
      </c>
      <c r="AN17" s="14">
        <v>3436</v>
      </c>
      <c r="AO17" s="14">
        <v>2633</v>
      </c>
      <c r="AP17" s="18">
        <v>1.8</v>
      </c>
      <c r="AQ17" s="19">
        <f>IFERROR(AL17*1000/AZ17,"")</f>
        <v>22.733464507340699</v>
      </c>
      <c r="AR17" s="14">
        <v>1749</v>
      </c>
      <c r="AS17" s="14">
        <v>764</v>
      </c>
      <c r="AT17" s="14">
        <v>681</v>
      </c>
      <c r="AU17" s="14">
        <v>54</v>
      </c>
      <c r="AV17" s="14">
        <v>250</v>
      </c>
      <c r="AW17" s="15">
        <f>IFERROR(AS17/AR17,"")</f>
        <v>0.43682104059462551</v>
      </c>
      <c r="AX17" s="14">
        <v>66</v>
      </c>
      <c r="AY17" s="14">
        <v>8</v>
      </c>
      <c r="AZ17" s="14">
        <v>33035</v>
      </c>
      <c r="BA17" s="20">
        <v>753.96100000000001</v>
      </c>
      <c r="BB17" s="20">
        <v>43.82</v>
      </c>
      <c r="BC17" s="21">
        <v>0.57199999999999995</v>
      </c>
      <c r="BD17" s="18">
        <v>52</v>
      </c>
      <c r="BE17" s="18">
        <v>98.44</v>
      </c>
      <c r="BF17" s="18">
        <v>4.9000000000000004</v>
      </c>
      <c r="BG17" s="18">
        <v>3.8</v>
      </c>
      <c r="BH17" s="18">
        <v>11.61</v>
      </c>
      <c r="BI17" s="14">
        <v>3436</v>
      </c>
      <c r="BJ17" s="18">
        <v>1.8</v>
      </c>
      <c r="BK17" s="15">
        <f>IFERROR(BI17/AZ17,"")</f>
        <v>0.10401089753291963</v>
      </c>
      <c r="BL17" s="22">
        <f>IFERROR(AI17+K17+S17+AA17-F17,"")</f>
        <v>-1</v>
      </c>
      <c r="BM17" s="22">
        <f>IFERROR(F17+G17-C17,"")</f>
        <v>0</v>
      </c>
      <c r="BN17" s="22">
        <f>IF(I17="","",IFERROR(C17*1000/H17-I17,""))</f>
        <v>4.8629730699758511E-3</v>
      </c>
    </row>
    <row r="18" spans="1:66">
      <c r="A18" s="13" t="s">
        <v>131</v>
      </c>
      <c r="B18" s="13" t="s">
        <v>132</v>
      </c>
      <c r="C18" s="14">
        <v>804224</v>
      </c>
      <c r="D18" s="14">
        <v>930342</v>
      </c>
      <c r="E18" s="14">
        <v>955847</v>
      </c>
      <c r="F18" s="14">
        <v>717010</v>
      </c>
      <c r="G18" s="14">
        <v>87214</v>
      </c>
      <c r="H18" s="14">
        <v>45022</v>
      </c>
      <c r="I18" s="14">
        <v>17862.919999999998</v>
      </c>
      <c r="J18" s="14">
        <v>23136.71</v>
      </c>
      <c r="K18" s="14">
        <v>80321</v>
      </c>
      <c r="L18" s="15">
        <f>IFERROR(K18/F18,"")</f>
        <v>0.11202214752932316</v>
      </c>
      <c r="M18" s="16">
        <f>IFERROR(K18*1000/H18,"")</f>
        <v>1784.0389143085602</v>
      </c>
      <c r="N18" s="17">
        <f>IF(L18="","",RANK(L18,$L$3:$L$168,0)+COUNTIF($L$3:L18,L18)-1)</f>
        <v>55</v>
      </c>
      <c r="O18" s="17">
        <f>IF(K18="","",RANK(K18,$K$3:$K$168,0)+COUNTIF($K$3:K18,K18)-1)</f>
        <v>32</v>
      </c>
      <c r="P18" s="14">
        <v>750</v>
      </c>
      <c r="Q18" s="15">
        <f>IFERROR(P18/AR18,"")</f>
        <v>0.17609767551068325</v>
      </c>
      <c r="R18" s="16">
        <v>94</v>
      </c>
      <c r="S18" s="14">
        <v>364932</v>
      </c>
      <c r="T18" s="15">
        <f>IFERROR(S18/F18,"")</f>
        <v>0.50896361278085378</v>
      </c>
      <c r="U18" s="16">
        <f>IFERROR(S18*1000/H18,"")</f>
        <v>8105.6372440140376</v>
      </c>
      <c r="V18" s="17">
        <f>IF(T18="","",RANK(T18,$T$3:$T$168,0)+COUNTIF($T$3:T18,T18)-1)</f>
        <v>8</v>
      </c>
      <c r="W18" s="17">
        <f>IF(S18="","",RANK(S18,$S$3:$S$168,0)+COUNTIF($S$3:S18,S18)-1)</f>
        <v>11</v>
      </c>
      <c r="X18" s="14">
        <v>1393</v>
      </c>
      <c r="Y18" s="14">
        <v>2065</v>
      </c>
      <c r="Z18" s="15">
        <f>IFERROR((X18+Y18)/AR18,"")</f>
        <v>0.81192768255459025</v>
      </c>
      <c r="AA18" s="14">
        <v>252593</v>
      </c>
      <c r="AB18" s="15">
        <f>IFERROR(AA18/F18,"")</f>
        <v>0.35228657898774074</v>
      </c>
      <c r="AC18" s="16">
        <f>IFERROR(AA18*1000/H18,"")</f>
        <v>5610.4348984940698</v>
      </c>
      <c r="AD18" s="17">
        <f>IF(AB18="","",RANK(AB18,$AB$3:$AB$168,0)+COUNTIF($AB$3:AB18,AB18)-1)</f>
        <v>130</v>
      </c>
      <c r="AE18" s="17">
        <f>IF(AA18="","",RANK(AA18,$AA$3:$AA$168,0)+COUNTIF($AA$3:AA18,AA18)-1)</f>
        <v>10</v>
      </c>
      <c r="AF18" s="18">
        <v>78.489999999999995</v>
      </c>
      <c r="AG18" s="14">
        <v>219553359.25</v>
      </c>
      <c r="AH18" s="16">
        <f>IFERROR(AG18/AZ18,"")</f>
        <v>5314.3891571660251</v>
      </c>
      <c r="AI18" s="14">
        <v>19164</v>
      </c>
      <c r="AJ18" s="15">
        <f>IFERROR(AI18/F18,"")</f>
        <v>2.6727660702082257E-2</v>
      </c>
      <c r="AK18" s="14">
        <v>1489</v>
      </c>
      <c r="AL18" s="14">
        <v>1654</v>
      </c>
      <c r="AM18" s="14">
        <v>1741</v>
      </c>
      <c r="AN18" s="14">
        <v>9785</v>
      </c>
      <c r="AO18" s="14">
        <v>7960</v>
      </c>
      <c r="AP18" s="18">
        <v>1.8</v>
      </c>
      <c r="AQ18" s="19">
        <f>IFERROR(AL18*1000/AZ18,"")</f>
        <v>40.035824074746451</v>
      </c>
      <c r="AR18" s="14">
        <v>4259</v>
      </c>
      <c r="AS18" s="14">
        <v>2178</v>
      </c>
      <c r="AT18" s="14">
        <v>1459</v>
      </c>
      <c r="AU18" s="14">
        <v>190</v>
      </c>
      <c r="AV18" s="14">
        <v>432</v>
      </c>
      <c r="AW18" s="15">
        <f>IFERROR(AS18/AR18,"")</f>
        <v>0.51138764968302419</v>
      </c>
      <c r="AX18" s="14">
        <v>24</v>
      </c>
      <c r="AY18" s="14">
        <v>26</v>
      </c>
      <c r="AZ18" s="14">
        <v>41313</v>
      </c>
      <c r="BA18" s="20">
        <v>864.34900000000005</v>
      </c>
      <c r="BB18" s="20">
        <v>47.8</v>
      </c>
      <c r="BC18" s="21">
        <v>0.69099999999999995</v>
      </c>
      <c r="BD18" s="18">
        <v>44.2</v>
      </c>
      <c r="BE18" s="18">
        <v>99.3</v>
      </c>
      <c r="BF18" s="18">
        <v>5.8</v>
      </c>
      <c r="BG18" s="18">
        <v>4.5999999999999996</v>
      </c>
      <c r="BH18" s="18">
        <v>73.27</v>
      </c>
      <c r="BI18" s="14">
        <v>9785</v>
      </c>
      <c r="BJ18" s="18">
        <v>1.8</v>
      </c>
      <c r="BK18" s="15">
        <f>IFERROR(BI18/AZ18,"")</f>
        <v>0.23685038607702177</v>
      </c>
      <c r="BL18" s="22">
        <f>IFERROR(AI18+K18+S18+AA18-F18,"")</f>
        <v>0</v>
      </c>
      <c r="BM18" s="22">
        <f>IFERROR(F18+G18-C18,"")</f>
        <v>0</v>
      </c>
      <c r="BN18" s="22">
        <f>IF(I18="","",IFERROR(C18*1000/H18-I18,""))</f>
        <v>-8.5344942453957628E-3</v>
      </c>
    </row>
    <row r="19" spans="1:66">
      <c r="A19" s="13" t="s">
        <v>133</v>
      </c>
      <c r="B19" s="13" t="s">
        <v>134</v>
      </c>
      <c r="C19" s="14">
        <v>757491</v>
      </c>
      <c r="D19" s="14">
        <v>695059</v>
      </c>
      <c r="E19" s="14">
        <v>668530</v>
      </c>
      <c r="F19" s="14">
        <v>703548</v>
      </c>
      <c r="G19" s="14">
        <v>53943</v>
      </c>
      <c r="H19" s="14">
        <v>15411</v>
      </c>
      <c r="I19" s="14">
        <v>49152.6</v>
      </c>
      <c r="J19" s="14">
        <v>54449.39</v>
      </c>
      <c r="K19" s="14">
        <v>223525</v>
      </c>
      <c r="L19" s="15">
        <f>IFERROR(K19/F19,"")</f>
        <v>0.31771108723214336</v>
      </c>
      <c r="M19" s="16">
        <f>IFERROR(K19*1000/H19,"")</f>
        <v>14504.250210888327</v>
      </c>
      <c r="N19" s="17">
        <f>IF(L19="","",RANK(L19,$L$3:$L$168,0)+COUNTIF($L$3:L19,L19)-1)</f>
        <v>25</v>
      </c>
      <c r="O19" s="17">
        <f>IF(K19="","",RANK(K19,$K$3:$K$168,0)+COUNTIF($K$3:K19,K19)-1)</f>
        <v>17</v>
      </c>
      <c r="P19" s="14">
        <v>86</v>
      </c>
      <c r="Q19" s="15">
        <f>IFERROR(P19/AR19,"")</f>
        <v>0.1122715404699739</v>
      </c>
      <c r="R19" s="16">
        <v>11</v>
      </c>
      <c r="S19" s="14">
        <v>104514</v>
      </c>
      <c r="T19" s="15">
        <f>IFERROR(S19/F19,"")</f>
        <v>0.14855276399051665</v>
      </c>
      <c r="U19" s="16">
        <f>IFERROR(S19*1000/H19,"")</f>
        <v>6781.7792485886703</v>
      </c>
      <c r="V19" s="17">
        <f>IF(T19="","",RANK(T19,$T$3:$T$168,0)+COUNTIF($T$3:T19,T19)-1)</f>
        <v>154</v>
      </c>
      <c r="W19" s="17">
        <f>IF(S19="","",RANK(S19,$S$3:$S$168,0)+COUNTIF($S$3:S19,S19)-1)</f>
        <v>31</v>
      </c>
      <c r="X19" s="14">
        <v>350</v>
      </c>
      <c r="Y19" s="14">
        <v>307</v>
      </c>
      <c r="Z19" s="15">
        <f>IFERROR((X19+Y19)/AR19,"")</f>
        <v>0.85770234986945171</v>
      </c>
      <c r="AA19" s="14">
        <v>98121</v>
      </c>
      <c r="AB19" s="15">
        <f>IFERROR(AA19/F19,"")</f>
        <v>0.1394659639427587</v>
      </c>
      <c r="AC19" s="16">
        <f>IFERROR(AA19*1000/H19,"")</f>
        <v>6366.9456881448314</v>
      </c>
      <c r="AD19" s="17">
        <f>IF(AB19="","",RANK(AB19,$AB$3:$AB$168,0)+COUNTIF($AB$3:AB19,AB19)-1)</f>
        <v>160</v>
      </c>
      <c r="AE19" s="17">
        <f>IF(AA19="","",RANK(AA19,$AA$3:$AA$168,0)+COUNTIF($AA$3:AA19,AA19)-1)</f>
        <v>35</v>
      </c>
      <c r="AF19" s="18">
        <v>92.73</v>
      </c>
      <c r="AG19" s="14">
        <v>87122785.019999996</v>
      </c>
      <c r="AH19" s="16">
        <f>IFERROR(AG19/AZ19,"")</f>
        <v>7095.8450089591133</v>
      </c>
      <c r="AI19" s="14">
        <v>277388</v>
      </c>
      <c r="AJ19" s="15">
        <f>IFERROR(AI19/F19,"")</f>
        <v>0.39427018483458132</v>
      </c>
      <c r="AK19" s="14">
        <v>258</v>
      </c>
      <c r="AL19" s="14">
        <v>274</v>
      </c>
      <c r="AM19" s="14">
        <v>281</v>
      </c>
      <c r="AN19" s="14">
        <v>2177</v>
      </c>
      <c r="AO19" s="14">
        <v>1912</v>
      </c>
      <c r="AP19" s="18">
        <v>1.7</v>
      </c>
      <c r="AQ19" s="19">
        <f>IFERROR(AL19*1000/AZ19,"")</f>
        <v>22.316338165825051</v>
      </c>
      <c r="AR19" s="14">
        <v>766</v>
      </c>
      <c r="AS19" s="14">
        <v>407</v>
      </c>
      <c r="AT19" s="14">
        <v>223</v>
      </c>
      <c r="AU19" s="14">
        <v>20</v>
      </c>
      <c r="AV19" s="14">
        <v>116</v>
      </c>
      <c r="AW19" s="15">
        <f>IFERROR(AS19/AR19,"")</f>
        <v>0.53133159268929508</v>
      </c>
      <c r="AX19" s="14">
        <v>14</v>
      </c>
      <c r="AY19" s="14">
        <v>9</v>
      </c>
      <c r="AZ19" s="14">
        <v>12278</v>
      </c>
      <c r="BA19" s="20">
        <v>419.137</v>
      </c>
      <c r="BB19" s="20">
        <v>29.29</v>
      </c>
      <c r="BC19" s="21">
        <v>0.63100000000000001</v>
      </c>
      <c r="BD19" s="18">
        <v>47.4</v>
      </c>
      <c r="BE19" s="18">
        <v>98.94</v>
      </c>
      <c r="BF19" s="18">
        <v>5.0999999999999996</v>
      </c>
      <c r="BG19" s="18">
        <v>4.7</v>
      </c>
      <c r="BH19" s="18">
        <v>62.98</v>
      </c>
      <c r="BI19" s="14">
        <v>2177</v>
      </c>
      <c r="BJ19" s="18">
        <v>1.7</v>
      </c>
      <c r="BK19" s="15">
        <f>IFERROR(BI19/AZ19,"")</f>
        <v>0.17730900798175597</v>
      </c>
      <c r="BL19" s="22">
        <f>IFERROR(AI19+K19+S19+AA19-F19,"")</f>
        <v>0</v>
      </c>
      <c r="BM19" s="22">
        <f>IFERROR(F19+G19-C19,"")</f>
        <v>0</v>
      </c>
      <c r="BN19" s="22">
        <f>IF(I19="","",IFERROR(C19*1000/H19-I19,""))</f>
        <v>1.8259684642544016E-2</v>
      </c>
    </row>
    <row r="20" spans="1:66">
      <c r="A20" s="13" t="s">
        <v>135</v>
      </c>
      <c r="B20" s="13" t="s">
        <v>136</v>
      </c>
      <c r="C20" s="14">
        <v>746395</v>
      </c>
      <c r="D20" s="14">
        <v>783899</v>
      </c>
      <c r="E20" s="14">
        <v>991164</v>
      </c>
      <c r="F20" s="14">
        <v>643616</v>
      </c>
      <c r="G20" s="14">
        <v>102779</v>
      </c>
      <c r="H20" s="14">
        <v>29112</v>
      </c>
      <c r="I20" s="14">
        <v>25638.75</v>
      </c>
      <c r="J20" s="14">
        <v>36828.449999999997</v>
      </c>
      <c r="K20" s="14">
        <v>197064</v>
      </c>
      <c r="L20" s="15">
        <f>IFERROR(K20/F20,"")</f>
        <v>0.30618256848804254</v>
      </c>
      <c r="M20" s="16">
        <f>IFERROR(K20*1000/H20,"")</f>
        <v>6769.1673536685903</v>
      </c>
      <c r="N20" s="17">
        <f>IF(L20="","",RANK(L20,$L$3:$L$168,0)+COUNTIF($L$3:L20,L20)-1)</f>
        <v>27</v>
      </c>
      <c r="O20" s="17">
        <f>IF(K20="","",RANK(K20,$K$3:$K$168,0)+COUNTIF($K$3:K20,K20)-1)</f>
        <v>19</v>
      </c>
      <c r="P20" s="14">
        <v>184</v>
      </c>
      <c r="Q20" s="15">
        <f>IFERROR(P20/AR20,"")</f>
        <v>0.13489736070381231</v>
      </c>
      <c r="R20" s="16">
        <v>23</v>
      </c>
      <c r="S20" s="14">
        <v>189703</v>
      </c>
      <c r="T20" s="15">
        <f>IFERROR(S20/F20,"")</f>
        <v>0.29474562472033011</v>
      </c>
      <c r="U20" s="16">
        <f>IFERROR(S20*1000/H20,"")</f>
        <v>6516.3162956856277</v>
      </c>
      <c r="V20" s="17">
        <f>IF(T20="","",RANK(T20,$T$3:$T$168,0)+COUNTIF($T$3:T20,T20)-1)</f>
        <v>56</v>
      </c>
      <c r="W20" s="17">
        <f>IF(S20="","",RANK(S20,$S$3:$S$168,0)+COUNTIF($S$3:S20,S20)-1)</f>
        <v>22</v>
      </c>
      <c r="X20" s="14">
        <v>530</v>
      </c>
      <c r="Y20" s="14">
        <v>534</v>
      </c>
      <c r="Z20" s="15">
        <f>IFERROR((X20+Y20)/AR20,"")</f>
        <v>0.78005865102639294</v>
      </c>
      <c r="AA20" s="14">
        <v>183388</v>
      </c>
      <c r="AB20" s="15">
        <f>IFERROR(AA20/F20,"")</f>
        <v>0.28493387361408046</v>
      </c>
      <c r="AC20" s="16">
        <f>IFERROR(AA20*1000/H20,"")</f>
        <v>6299.3954383072269</v>
      </c>
      <c r="AD20" s="17">
        <f>IF(AB20="","",RANK(AB20,$AB$3:$AB$168,0)+COUNTIF($AB$3:AB20,AB20)-1)</f>
        <v>141</v>
      </c>
      <c r="AE20" s="17">
        <f>IF(AA20="","",RANK(AA20,$AA$3:$AA$168,0)+COUNTIF($AA$3:AA20,AA20)-1)</f>
        <v>20</v>
      </c>
      <c r="AF20" s="18">
        <v>92.52</v>
      </c>
      <c r="AG20" s="14">
        <v>191011088.30000001</v>
      </c>
      <c r="AH20" s="16">
        <f>IFERROR(AG20/AZ20,"")</f>
        <v>7097.3540036413633</v>
      </c>
      <c r="AI20" s="14">
        <v>73461</v>
      </c>
      <c r="AJ20" s="15">
        <f>IFERROR(AI20/F20,"")</f>
        <v>0.11413793317754686</v>
      </c>
      <c r="AK20" s="14">
        <v>615</v>
      </c>
      <c r="AL20" s="14">
        <v>668</v>
      </c>
      <c r="AM20" s="14">
        <v>682</v>
      </c>
      <c r="AN20" s="14">
        <v>4703</v>
      </c>
      <c r="AO20" s="14">
        <v>4081</v>
      </c>
      <c r="AP20" s="18">
        <v>2</v>
      </c>
      <c r="AQ20" s="19">
        <f>IFERROR(AL20*1000/AZ20,"")</f>
        <v>24.820718611823281</v>
      </c>
      <c r="AR20" s="14">
        <v>1364</v>
      </c>
      <c r="AS20" s="14">
        <v>505</v>
      </c>
      <c r="AT20" s="14">
        <v>551</v>
      </c>
      <c r="AU20" s="14">
        <v>82</v>
      </c>
      <c r="AV20" s="14">
        <v>226</v>
      </c>
      <c r="AW20" s="15">
        <f>IFERROR(AS20/AR20,"")</f>
        <v>0.37023460410557185</v>
      </c>
      <c r="AX20" s="14">
        <v>106</v>
      </c>
      <c r="AY20" s="14">
        <v>10</v>
      </c>
      <c r="AZ20" s="14">
        <v>26913</v>
      </c>
      <c r="BA20" s="20">
        <v>825.68100000000004</v>
      </c>
      <c r="BB20" s="20">
        <v>32.590000000000003</v>
      </c>
      <c r="BC20" s="21">
        <v>0.57399999999999995</v>
      </c>
      <c r="BD20" s="18">
        <v>46.8</v>
      </c>
      <c r="BE20" s="18">
        <v>98.53</v>
      </c>
      <c r="BF20" s="18">
        <v>5.7</v>
      </c>
      <c r="BG20" s="18">
        <v>4.5</v>
      </c>
      <c r="BH20" s="18">
        <v>1.17</v>
      </c>
      <c r="BI20" s="14">
        <v>4703</v>
      </c>
      <c r="BJ20" s="18">
        <v>2</v>
      </c>
      <c r="BK20" s="15">
        <f>IFERROR(BI20/AZ20,"")</f>
        <v>0.17474826292126483</v>
      </c>
      <c r="BL20" s="22">
        <f>IFERROR(AI20+K20+S20+AA20-F20,"")</f>
        <v>0</v>
      </c>
      <c r="BM20" s="22">
        <f>IFERROR(F20+G20-C20,"")</f>
        <v>0</v>
      </c>
      <c r="BN20" s="22">
        <f>IF(I20="","",IFERROR(C20*1000/H20-I20,""))</f>
        <v>-9.9615278923010919E-3</v>
      </c>
    </row>
    <row r="21" spans="1:66">
      <c r="A21" s="13" t="s">
        <v>137</v>
      </c>
      <c r="B21" s="13" t="s">
        <v>138</v>
      </c>
      <c r="C21" s="14">
        <v>709586</v>
      </c>
      <c r="D21" s="14">
        <v>895178</v>
      </c>
      <c r="E21" s="14">
        <v>941920</v>
      </c>
      <c r="F21" s="14">
        <v>655419</v>
      </c>
      <c r="G21" s="14">
        <v>54167</v>
      </c>
      <c r="H21" s="14">
        <v>35904</v>
      </c>
      <c r="I21" s="14">
        <v>19763.419999999998</v>
      </c>
      <c r="J21" s="14">
        <v>26239.53</v>
      </c>
      <c r="K21" s="14">
        <v>168019</v>
      </c>
      <c r="L21" s="15">
        <f>IFERROR(K21/F21,"")</f>
        <v>0.25635356924349156</v>
      </c>
      <c r="M21" s="16">
        <f>IFERROR(K21*1000/H21,"")</f>
        <v>4679.6735739750447</v>
      </c>
      <c r="N21" s="17">
        <f>IF(L21="","",RANK(L21,$L$3:$L$168,0)+COUNTIF($L$3:L21,L21)-1)</f>
        <v>29</v>
      </c>
      <c r="O21" s="17">
        <f>IF(K21="","",RANK(K21,$K$3:$K$168,0)+COUNTIF($K$3:K21,K21)-1)</f>
        <v>22</v>
      </c>
      <c r="P21" s="14">
        <v>305</v>
      </c>
      <c r="Q21" s="15">
        <f>IFERROR(P21/AR21,"")</f>
        <v>0.13214904679376083</v>
      </c>
      <c r="R21" s="16">
        <v>48</v>
      </c>
      <c r="S21" s="14">
        <v>229538</v>
      </c>
      <c r="T21" s="15">
        <f>IFERROR(S21/F21,"")</f>
        <v>0.35021566356788558</v>
      </c>
      <c r="U21" s="16">
        <f>IFERROR(S21*1000/H21,"")</f>
        <v>6393.1038324420679</v>
      </c>
      <c r="V21" s="17">
        <f>IF(T21="","",RANK(T21,$T$3:$T$168,0)+COUNTIF($T$3:T21,T21)-1)</f>
        <v>37</v>
      </c>
      <c r="W21" s="17">
        <f>IF(S21="","",RANK(S21,$S$3:$S$168,0)+COUNTIF($S$3:S21,S21)-1)</f>
        <v>18</v>
      </c>
      <c r="X21" s="14">
        <v>934</v>
      </c>
      <c r="Y21" s="14">
        <v>1022</v>
      </c>
      <c r="Z21" s="15">
        <f>IFERROR((X21+Y21)/AR21,"")</f>
        <v>0.84748700173310221</v>
      </c>
      <c r="AA21" s="14">
        <v>191888</v>
      </c>
      <c r="AB21" s="15">
        <f>IFERROR(AA21/F21,"")</f>
        <v>0.29277149426550036</v>
      </c>
      <c r="AC21" s="16">
        <f>IFERROR(AA21*1000/H21,"")</f>
        <v>5344.4741532976823</v>
      </c>
      <c r="AD21" s="17">
        <f>IF(AB21="","",RANK(AB21,$AB$3:$AB$168,0)+COUNTIF($AB$3:AB21,AB21)-1)</f>
        <v>138</v>
      </c>
      <c r="AE21" s="17">
        <f>IF(AA21="","",RANK(AA21,$AA$3:$AA$168,0)+COUNTIF($AA$3:AA21,AA21)-1)</f>
        <v>16</v>
      </c>
      <c r="AF21" s="18">
        <v>88.36</v>
      </c>
      <c r="AG21" s="14">
        <v>168488616.77000001</v>
      </c>
      <c r="AH21" s="16">
        <f>IFERROR(AG21/AZ21,"")</f>
        <v>4668.1798900063732</v>
      </c>
      <c r="AI21" s="14">
        <v>65975</v>
      </c>
      <c r="AJ21" s="15">
        <f>IFERROR(AI21/F21,"")</f>
        <v>0.10066079866467099</v>
      </c>
      <c r="AK21" s="14">
        <v>974</v>
      </c>
      <c r="AL21" s="14">
        <v>1058</v>
      </c>
      <c r="AM21" s="14">
        <v>1118</v>
      </c>
      <c r="AN21" s="14">
        <v>4758</v>
      </c>
      <c r="AO21" s="14">
        <v>3569</v>
      </c>
      <c r="AP21" s="18">
        <v>1.8</v>
      </c>
      <c r="AQ21" s="19">
        <f>IFERROR(AL21*1000/AZ21,"")</f>
        <v>29.313163217244341</v>
      </c>
      <c r="AR21" s="14">
        <v>2308</v>
      </c>
      <c r="AS21" s="14">
        <v>995</v>
      </c>
      <c r="AT21" s="14">
        <v>912</v>
      </c>
      <c r="AU21" s="14">
        <v>99</v>
      </c>
      <c r="AV21" s="14">
        <v>302</v>
      </c>
      <c r="AW21" s="15">
        <f>IFERROR(AS21/AR21,"")</f>
        <v>0.4311091854419411</v>
      </c>
      <c r="AX21" s="14">
        <v>34</v>
      </c>
      <c r="AY21" s="14">
        <v>9</v>
      </c>
      <c r="AZ21" s="14">
        <v>36093</v>
      </c>
      <c r="BA21" s="20">
        <v>1569.146</v>
      </c>
      <c r="BB21" s="20">
        <v>22.52</v>
      </c>
      <c r="BC21" s="21">
        <v>0.63900000000000001</v>
      </c>
      <c r="BD21" s="18">
        <v>51.9</v>
      </c>
      <c r="BE21" s="18">
        <v>98.89</v>
      </c>
      <c r="BF21" s="18">
        <v>5.9</v>
      </c>
      <c r="BG21" s="18">
        <v>4.5999999999999996</v>
      </c>
      <c r="BH21" s="18">
        <v>4.46</v>
      </c>
      <c r="BI21" s="14">
        <v>4758</v>
      </c>
      <c r="BJ21" s="18">
        <v>1.8</v>
      </c>
      <c r="BK21" s="15">
        <f>IFERROR(BI21/AZ21,"")</f>
        <v>0.13182611586734269</v>
      </c>
      <c r="BL21" s="22">
        <f>IFERROR(AI21+K21+S21+AA21-F21,"")</f>
        <v>1</v>
      </c>
      <c r="BM21" s="22">
        <f>IFERROR(F21+G21-C21,"")</f>
        <v>0</v>
      </c>
      <c r="BN21" s="22">
        <f>IF(I21="","",IFERROR(C21*1000/H21-I21,""))</f>
        <v>4.6880570444045588E-3</v>
      </c>
    </row>
    <row r="22" spans="1:66">
      <c r="A22" s="13" t="s">
        <v>139</v>
      </c>
      <c r="B22" s="13" t="s">
        <v>140</v>
      </c>
      <c r="C22" s="14">
        <v>709328</v>
      </c>
      <c r="D22" s="14">
        <v>798632</v>
      </c>
      <c r="E22" s="14">
        <v>827724</v>
      </c>
      <c r="F22" s="14">
        <v>612636</v>
      </c>
      <c r="G22" s="14">
        <v>96693</v>
      </c>
      <c r="H22" s="14">
        <v>30802</v>
      </c>
      <c r="I22" s="14">
        <v>23028.639999999999</v>
      </c>
      <c r="J22" s="14">
        <v>27157.19</v>
      </c>
      <c r="K22" s="14">
        <v>38730</v>
      </c>
      <c r="L22" s="15">
        <f>IFERROR(K22/F22,"")</f>
        <v>6.3218615948132328E-2</v>
      </c>
      <c r="M22" s="16">
        <f>IFERROR(K22*1000/H22,"")</f>
        <v>1257.3858840335042</v>
      </c>
      <c r="N22" s="17">
        <f>IF(L22="","",RANK(L22,$L$3:$L$168,0)+COUNTIF($L$3:L22,L22)-1)</f>
        <v>76</v>
      </c>
      <c r="O22" s="17">
        <f>IF(K22="","",RANK(K22,$K$3:$K$168,0)+COUNTIF($K$3:K22,K22)-1)</f>
        <v>42</v>
      </c>
      <c r="P22" s="14">
        <v>334</v>
      </c>
      <c r="Q22" s="15">
        <f>IFERROR(P22/AR22,"")</f>
        <v>0.10918600849950964</v>
      </c>
      <c r="R22" s="16">
        <v>33</v>
      </c>
      <c r="S22" s="14">
        <v>389068</v>
      </c>
      <c r="T22" s="15">
        <f>IFERROR(S22/F22,"")</f>
        <v>0.63507204930823524</v>
      </c>
      <c r="U22" s="16">
        <f>IFERROR(S22*1000/H22,"")</f>
        <v>12631.257710538277</v>
      </c>
      <c r="V22" s="17">
        <f>IF(T22="","",RANK(T22,$T$3:$T$168,0)+COUNTIF($T$3:T22,T22)-1)</f>
        <v>2</v>
      </c>
      <c r="W22" s="17">
        <f>IF(S22="","",RANK(S22,$S$3:$S$168,0)+COUNTIF($S$3:S22,S22)-1)</f>
        <v>9</v>
      </c>
      <c r="X22" s="14">
        <v>1191</v>
      </c>
      <c r="Y22" s="14">
        <v>1514</v>
      </c>
      <c r="Z22" s="15">
        <f>IFERROR((X22+Y22)/AR22,"")</f>
        <v>0.88427590715920235</v>
      </c>
      <c r="AA22" s="14">
        <v>175826</v>
      </c>
      <c r="AB22" s="15">
        <f>IFERROR(AA22/F22,"")</f>
        <v>0.2869991316213869</v>
      </c>
      <c r="AC22" s="16">
        <f>IFERROR(AA22*1000/H22,"")</f>
        <v>5708.2656970326598</v>
      </c>
      <c r="AD22" s="17">
        <f>IF(AB22="","",RANK(AB22,$AB$3:$AB$168,0)+COUNTIF($AB$3:AB22,AB22)-1)</f>
        <v>140</v>
      </c>
      <c r="AE22" s="17">
        <f>IF(AA22="","",RANK(AA22,$AA$3:$AA$168,0)+COUNTIF($AA$3:AA22,AA22)-1)</f>
        <v>23</v>
      </c>
      <c r="AF22" s="18">
        <v>85.14</v>
      </c>
      <c r="AG22" s="14">
        <v>168485048.44999999</v>
      </c>
      <c r="AH22" s="16">
        <f>IFERROR(AG22/AZ22,"")</f>
        <v>5527.9060484267857</v>
      </c>
      <c r="AI22" s="14">
        <v>9012</v>
      </c>
      <c r="AJ22" s="15">
        <f>IFERROR(AI22/F22,"")</f>
        <v>1.471020312224551E-2</v>
      </c>
      <c r="AK22" s="14">
        <v>1243</v>
      </c>
      <c r="AL22" s="14">
        <v>1402</v>
      </c>
      <c r="AM22" s="14">
        <v>1458</v>
      </c>
      <c r="AN22" s="14">
        <v>6498</v>
      </c>
      <c r="AO22" s="14">
        <v>4945</v>
      </c>
      <c r="AP22" s="18">
        <v>1.7</v>
      </c>
      <c r="AQ22" s="19">
        <f>IFERROR(AL22*1000/AZ22,"")</f>
        <v>45.998884477837201</v>
      </c>
      <c r="AR22" s="14">
        <v>3059</v>
      </c>
      <c r="AS22" s="14">
        <v>1324</v>
      </c>
      <c r="AT22" s="14">
        <v>1275</v>
      </c>
      <c r="AU22" s="14">
        <v>176</v>
      </c>
      <c r="AV22" s="14">
        <v>284</v>
      </c>
      <c r="AW22" s="15">
        <f>IFERROR(AS22/AR22,"")</f>
        <v>0.43282118339326575</v>
      </c>
      <c r="AX22" s="14">
        <v>4</v>
      </c>
      <c r="AY22" s="14">
        <v>15</v>
      </c>
      <c r="AZ22" s="14">
        <v>30479</v>
      </c>
      <c r="BA22" s="20">
        <v>259.959</v>
      </c>
      <c r="BB22" s="20">
        <v>117.25</v>
      </c>
      <c r="BC22" s="21">
        <v>0.67800000000000005</v>
      </c>
      <c r="BD22" s="18">
        <v>40.5</v>
      </c>
      <c r="BE22" s="18">
        <v>99.7</v>
      </c>
      <c r="BF22" s="18">
        <v>6.2</v>
      </c>
      <c r="BG22" s="18">
        <v>5</v>
      </c>
      <c r="BH22" s="18">
        <v>47.04</v>
      </c>
      <c r="BI22" s="14">
        <v>6498</v>
      </c>
      <c r="BJ22" s="18">
        <v>1.7</v>
      </c>
      <c r="BK22" s="15">
        <f>IFERROR(BI22/AZ22,"")</f>
        <v>0.21319597099642376</v>
      </c>
      <c r="BL22" s="22">
        <f>IFERROR(AI22+K22+S22+AA22-F22,"")</f>
        <v>0</v>
      </c>
      <c r="BM22" s="22">
        <f>IFERROR(F22+G22-C22,"")</f>
        <v>1</v>
      </c>
      <c r="BN22" s="22">
        <f>IF(I22="","",IFERROR(C22*1000/H22-I22,""))</f>
        <v>-5.4957470274530351E-3</v>
      </c>
    </row>
    <row r="23" spans="1:66">
      <c r="A23" s="13" t="s">
        <v>141</v>
      </c>
      <c r="B23" s="13" t="s">
        <v>142</v>
      </c>
      <c r="C23" s="14">
        <v>619036</v>
      </c>
      <c r="D23" s="14">
        <v>675850</v>
      </c>
      <c r="E23" s="14">
        <v>716309</v>
      </c>
      <c r="F23" s="14">
        <v>557357</v>
      </c>
      <c r="G23" s="14">
        <v>61679</v>
      </c>
      <c r="H23" s="14">
        <v>40295</v>
      </c>
      <c r="I23" s="14">
        <v>15362.6</v>
      </c>
      <c r="J23" s="14">
        <v>19197.310000000001</v>
      </c>
      <c r="K23" s="14">
        <v>31230</v>
      </c>
      <c r="L23" s="15">
        <f>IFERROR(K23/F23,"")</f>
        <v>5.603230963278473E-2</v>
      </c>
      <c r="M23" s="16">
        <f>IFERROR(K23*1000/H23,"")</f>
        <v>775.03412334036477</v>
      </c>
      <c r="N23" s="17">
        <f>IF(L23="","",RANK(L23,$L$3:$L$168,0)+COUNTIF($L$3:L23,L23)-1)</f>
        <v>81</v>
      </c>
      <c r="O23" s="17">
        <f>IF(K23="","",RANK(K23,$K$3:$K$168,0)+COUNTIF($K$3:K23,K23)-1)</f>
        <v>45</v>
      </c>
      <c r="P23" s="14">
        <v>447</v>
      </c>
      <c r="Q23" s="15">
        <f>IFERROR(P23/AR23,"")</f>
        <v>0.14895034988337222</v>
      </c>
      <c r="R23" s="16">
        <v>39</v>
      </c>
      <c r="S23" s="14">
        <v>268281</v>
      </c>
      <c r="T23" s="15">
        <f>IFERROR(S23/F23,"")</f>
        <v>0.48134499073304904</v>
      </c>
      <c r="U23" s="16">
        <f>IFERROR(S23*1000/H23,"")</f>
        <v>6657.9228192083383</v>
      </c>
      <c r="V23" s="17">
        <f>IF(T23="","",RANK(T23,$T$3:$T$168,0)+COUNTIF($T$3:T23,T23)-1)</f>
        <v>10</v>
      </c>
      <c r="W23" s="17">
        <f>IF(S23="","",RANK(S23,$S$3:$S$168,0)+COUNTIF($S$3:S23,S23)-1)</f>
        <v>14</v>
      </c>
      <c r="X23" s="14">
        <v>1171</v>
      </c>
      <c r="Y23" s="14">
        <v>1359</v>
      </c>
      <c r="Z23" s="15">
        <f>IFERROR((X23+Y23)/AR23,"")</f>
        <v>0.84305231589470175</v>
      </c>
      <c r="AA23" s="14">
        <v>224065</v>
      </c>
      <c r="AB23" s="15">
        <f>IFERROR(AA23/F23,"")</f>
        <v>0.40201343124783578</v>
      </c>
      <c r="AC23" s="16">
        <f>IFERROR(AA23*1000/H23,"")</f>
        <v>5560.6154609753075</v>
      </c>
      <c r="AD23" s="17">
        <f>IF(AB23="","",RANK(AB23,$AB$3:$AB$168,0)+COUNTIF($AB$3:AB23,AB23)-1)</f>
        <v>118</v>
      </c>
      <c r="AE23" s="17">
        <f>IF(AA23="","",RANK(AA23,$AA$3:$AA$168,0)+COUNTIF($AA$3:AA23,AA23)-1)</f>
        <v>11</v>
      </c>
      <c r="AF23" s="18">
        <v>84.8</v>
      </c>
      <c r="AG23" s="14">
        <v>190212260.83000001</v>
      </c>
      <c r="AH23" s="16">
        <f>IFERROR(AG23/AZ23,"")</f>
        <v>5097.7477241176002</v>
      </c>
      <c r="AI23" s="14">
        <v>33781</v>
      </c>
      <c r="AJ23" s="15">
        <f>IFERROR(AI23/F23,"")</f>
        <v>6.0609268386330482E-2</v>
      </c>
      <c r="AK23" s="14">
        <v>982</v>
      </c>
      <c r="AL23" s="14">
        <v>1087</v>
      </c>
      <c r="AM23" s="14">
        <v>1143</v>
      </c>
      <c r="AN23" s="14">
        <v>4643</v>
      </c>
      <c r="AO23" s="14">
        <v>3519</v>
      </c>
      <c r="AP23" s="18">
        <v>1.6</v>
      </c>
      <c r="AQ23" s="19">
        <f>IFERROR(AL23*1000/AZ23,"")</f>
        <v>29.131937930479992</v>
      </c>
      <c r="AR23" s="14">
        <v>3001</v>
      </c>
      <c r="AS23" s="14">
        <v>1499</v>
      </c>
      <c r="AT23" s="14">
        <v>1157</v>
      </c>
      <c r="AU23" s="14">
        <v>116</v>
      </c>
      <c r="AV23" s="14">
        <v>229</v>
      </c>
      <c r="AW23" s="15">
        <f>IFERROR(AS23/AR23,"")</f>
        <v>0.49950016661112961</v>
      </c>
      <c r="AX23" s="14">
        <v>15</v>
      </c>
      <c r="AY23" s="14">
        <v>9</v>
      </c>
      <c r="AZ23" s="14">
        <v>37313</v>
      </c>
      <c r="BA23" s="20">
        <v>624.35599999999999</v>
      </c>
      <c r="BB23" s="20">
        <v>59.76</v>
      </c>
      <c r="BC23" s="21">
        <v>0.63500000000000001</v>
      </c>
      <c r="BD23" s="18">
        <v>49</v>
      </c>
      <c r="BE23" s="18">
        <v>97.59</v>
      </c>
      <c r="BF23" s="18">
        <v>4.9000000000000004</v>
      </c>
      <c r="BG23" s="18">
        <v>3.9</v>
      </c>
      <c r="BH23" s="18">
        <v>79.290000000000006</v>
      </c>
      <c r="BI23" s="14">
        <v>4643</v>
      </c>
      <c r="BJ23" s="18">
        <v>1.6</v>
      </c>
      <c r="BK23" s="15">
        <f>IFERROR(BI23/AZ23,"")</f>
        <v>0.12443384343258382</v>
      </c>
      <c r="BL23" s="22">
        <f>IFERROR(AI23+K23+S23+AA23-F23,"")</f>
        <v>0</v>
      </c>
      <c r="BM23" s="22">
        <f>IFERROR(F23+G23-C23,"")</f>
        <v>0</v>
      </c>
      <c r="BN23" s="22">
        <f>IF(I23="","",IFERROR(C23*1000/H23-I23,""))</f>
        <v>8.1896016854443587E-4</v>
      </c>
    </row>
    <row r="24" spans="1:66">
      <c r="A24" s="13" t="s">
        <v>143</v>
      </c>
      <c r="B24" s="13" t="s">
        <v>144</v>
      </c>
      <c r="C24" s="14">
        <v>616322</v>
      </c>
      <c r="D24" s="14">
        <v>792176</v>
      </c>
      <c r="E24" s="14">
        <v>902783</v>
      </c>
      <c r="F24" s="14">
        <v>576422</v>
      </c>
      <c r="G24" s="14">
        <v>39901</v>
      </c>
      <c r="H24" s="14">
        <v>14923</v>
      </c>
      <c r="I24" s="14">
        <v>41300.160000000003</v>
      </c>
      <c r="J24" s="14">
        <v>72315.210000000006</v>
      </c>
      <c r="K24" s="14">
        <v>304515</v>
      </c>
      <c r="L24" s="15">
        <f>IFERROR(K24/F24,"")</f>
        <v>0.52828483298694362</v>
      </c>
      <c r="M24" s="16">
        <f>IFERROR(K24*1000/H24,"")</f>
        <v>20405.749514172752</v>
      </c>
      <c r="N24" s="17">
        <f>IF(L24="","",RANK(L24,$L$3:$L$168,0)+COUNTIF($L$3:L24,L24)-1)</f>
        <v>10</v>
      </c>
      <c r="O24" s="17">
        <f>IF(K24="","",RANK(K24,$K$3:$K$168,0)+COUNTIF($K$3:K24,K24)-1)</f>
        <v>14</v>
      </c>
      <c r="P24" s="14">
        <v>125</v>
      </c>
      <c r="Q24" s="15">
        <f>IFERROR(P24/AR24,"")</f>
        <v>0.12833675564681724</v>
      </c>
      <c r="R24" s="16">
        <v>20</v>
      </c>
      <c r="S24" s="14">
        <v>141516</v>
      </c>
      <c r="T24" s="15">
        <f>IFERROR(S24/F24,"")</f>
        <v>0.24550763156159897</v>
      </c>
      <c r="U24" s="16">
        <f>IFERROR(S24*1000/H24,"")</f>
        <v>9483.0798096897415</v>
      </c>
      <c r="V24" s="17">
        <f>IF(T24="","",RANK(T24,$T$3:$T$168,0)+COUNTIF($T$3:T24,T24)-1)</f>
        <v>97</v>
      </c>
      <c r="W24" s="17">
        <f>IF(S24="","",RANK(S24,$S$3:$S$168,0)+COUNTIF($S$3:S24,S24)-1)</f>
        <v>25</v>
      </c>
      <c r="X24" s="14">
        <v>374</v>
      </c>
      <c r="Y24" s="14">
        <v>421</v>
      </c>
      <c r="Z24" s="15">
        <f>IFERROR((X24+Y24)/AR24,"")</f>
        <v>0.81622176591375772</v>
      </c>
      <c r="AA24" s="14">
        <v>109153</v>
      </c>
      <c r="AB24" s="15">
        <f>IFERROR(AA24/F24,"")</f>
        <v>0.18936300141215984</v>
      </c>
      <c r="AC24" s="16">
        <f>IFERROR(AA24*1000/H24,"")</f>
        <v>7314.4139918247001</v>
      </c>
      <c r="AD24" s="17">
        <f>IF(AB24="","",RANK(AB24,$AB$3:$AB$168,0)+COUNTIF($AB$3:AB24,AB24)-1)</f>
        <v>155</v>
      </c>
      <c r="AE24" s="17">
        <f>IF(AA24="","",RANK(AA24,$AA$3:$AA$168,0)+COUNTIF($AA$3:AA24,AA24)-1)</f>
        <v>30</v>
      </c>
      <c r="AF24" s="18">
        <v>84.35</v>
      </c>
      <c r="AG24" s="14">
        <v>162021652.28999999</v>
      </c>
      <c r="AH24" s="16">
        <f>IFERROR(AG24/AZ24,"")</f>
        <v>12978.344464114065</v>
      </c>
      <c r="AI24" s="14">
        <v>21237</v>
      </c>
      <c r="AJ24" s="15">
        <f>IFERROR(AI24/F24,"")</f>
        <v>3.6842799199197807E-2</v>
      </c>
      <c r="AK24" s="14">
        <v>403</v>
      </c>
      <c r="AL24" s="14">
        <v>450</v>
      </c>
      <c r="AM24" s="14">
        <v>461</v>
      </c>
      <c r="AN24" s="14">
        <v>3317</v>
      </c>
      <c r="AO24" s="14">
        <v>2872</v>
      </c>
      <c r="AP24" s="18">
        <v>2.2999999999999998</v>
      </c>
      <c r="AQ24" s="19">
        <f>IFERROR(AL24*1000/AZ24,"")</f>
        <v>36.046139057994232</v>
      </c>
      <c r="AR24" s="14">
        <v>974</v>
      </c>
      <c r="AS24" s="14">
        <v>417</v>
      </c>
      <c r="AT24" s="14">
        <v>352</v>
      </c>
      <c r="AU24" s="14">
        <v>56</v>
      </c>
      <c r="AV24" s="14">
        <v>149</v>
      </c>
      <c r="AW24" s="15">
        <f>IFERROR(AS24/AR24,"")</f>
        <v>0.42813141683778233</v>
      </c>
      <c r="AX24" s="14">
        <v>45</v>
      </c>
      <c r="AY24" s="14">
        <v>8</v>
      </c>
      <c r="AZ24" s="14">
        <v>12484</v>
      </c>
      <c r="BA24" s="20">
        <v>191.334</v>
      </c>
      <c r="BB24" s="20">
        <v>65.25</v>
      </c>
      <c r="BC24" s="21">
        <v>0.67200000000000004</v>
      </c>
      <c r="BD24" s="18">
        <v>42.9</v>
      </c>
      <c r="BE24" s="18">
        <v>96.35</v>
      </c>
      <c r="BF24" s="18">
        <v>6.3</v>
      </c>
      <c r="BG24" s="18">
        <v>5.2</v>
      </c>
      <c r="BH24" s="18">
        <v>6.27</v>
      </c>
      <c r="BI24" s="14">
        <v>3317</v>
      </c>
      <c r="BJ24" s="18">
        <v>2.2999999999999998</v>
      </c>
      <c r="BK24" s="15">
        <f>IFERROR(BI24/AZ24,"")</f>
        <v>0.26570009612303747</v>
      </c>
      <c r="BL24" s="22">
        <f>IFERROR(AI24+K24+S24+AA24-F24,"")</f>
        <v>-1</v>
      </c>
      <c r="BM24" s="22">
        <f>IFERROR(F24+G24-C24,"")</f>
        <v>1</v>
      </c>
      <c r="BN24" s="22">
        <f>IF(I24="","",IFERROR(C24*1000/H24-I24,""))</f>
        <v>-1.9277625142422039E-2</v>
      </c>
    </row>
    <row r="25" spans="1:66">
      <c r="A25" s="13" t="s">
        <v>145</v>
      </c>
      <c r="B25" s="13" t="s">
        <v>146</v>
      </c>
      <c r="C25" s="14">
        <v>606239</v>
      </c>
      <c r="D25" s="14">
        <v>510446</v>
      </c>
      <c r="E25" s="14">
        <v>524974</v>
      </c>
      <c r="F25" s="14">
        <v>595044</v>
      </c>
      <c r="G25" s="14">
        <v>11195</v>
      </c>
      <c r="H25" s="14">
        <v>5307</v>
      </c>
      <c r="I25" s="14">
        <v>114233.9</v>
      </c>
      <c r="J25" s="14">
        <v>109346.87</v>
      </c>
      <c r="K25" s="14">
        <v>528052</v>
      </c>
      <c r="L25" s="15">
        <f>IFERROR(K25/F25,"")</f>
        <v>0.88741672884694245</v>
      </c>
      <c r="M25" s="16">
        <f>IFERROR(K25*1000/H25,"")</f>
        <v>99501.036367062377</v>
      </c>
      <c r="N25" s="17">
        <f>IF(L25="","",RANK(L25,$L$3:$L$168,0)+COUNTIF($L$3:L25,L25)-1)</f>
        <v>2</v>
      </c>
      <c r="O25" s="17">
        <f>IF(K25="","",RANK(K25,$K$3:$K$168,0)+COUNTIF($K$3:K25,K25)-1)</f>
        <v>8</v>
      </c>
      <c r="P25" s="14">
        <v>53</v>
      </c>
      <c r="Q25" s="15">
        <f>IFERROR(P25/AR25,"")</f>
        <v>0.16060606060606061</v>
      </c>
      <c r="R25" s="16">
        <v>30</v>
      </c>
      <c r="S25" s="14">
        <v>20688</v>
      </c>
      <c r="T25" s="15">
        <f>IFERROR(S25/F25,"")</f>
        <v>3.4767176881037372E-2</v>
      </c>
      <c r="U25" s="16">
        <f>IFERROR(S25*1000/H25,"")</f>
        <v>3898.247597512719</v>
      </c>
      <c r="V25" s="17">
        <f>IF(T25="","",RANK(T25,$T$3:$T$168,0)+COUNTIF($T$3:T25,T25)-1)</f>
        <v>165</v>
      </c>
      <c r="W25" s="17">
        <f>IF(S25="","",RANK(S25,$S$3:$S$168,0)+COUNTIF($S$3:S25,S25)-1)</f>
        <v>96</v>
      </c>
      <c r="X25" s="14">
        <v>89</v>
      </c>
      <c r="Y25" s="14">
        <v>174</v>
      </c>
      <c r="Z25" s="15">
        <f>IFERROR((X25+Y25)/AR25,"")</f>
        <v>0.79696969696969699</v>
      </c>
      <c r="AA25" s="14">
        <v>40792</v>
      </c>
      <c r="AB25" s="15">
        <f>IFERROR(AA25/F25,"")</f>
        <v>6.8552913734110418E-2</v>
      </c>
      <c r="AC25" s="16">
        <f>IFERROR(AA25*1000/H25,"")</f>
        <v>7686.4518560391934</v>
      </c>
      <c r="AD25" s="17">
        <f>IF(AB25="","",RANK(AB25,$AB$3:$AB$168,0)+COUNTIF($AB$3:AB25,AB25)-1)</f>
        <v>165</v>
      </c>
      <c r="AE25" s="17">
        <f>IF(AA25="","",RANK(AA25,$AA$3:$AA$168,0)+COUNTIF($AA$3:AA25,AA25)-1)</f>
        <v>101</v>
      </c>
      <c r="AF25" s="18">
        <v>89.17</v>
      </c>
      <c r="AG25" s="14">
        <v>68531484.819999993</v>
      </c>
      <c r="AH25" s="16">
        <f>IFERROR(AG25/AZ25,"")</f>
        <v>14274.418833576337</v>
      </c>
      <c r="AI25" s="14">
        <v>5512</v>
      </c>
      <c r="AJ25" s="15">
        <f>IFERROR(AI25/F25,"")</f>
        <v>9.2631805379098011E-3</v>
      </c>
      <c r="AK25" s="14">
        <v>122</v>
      </c>
      <c r="AL25" s="14">
        <v>133</v>
      </c>
      <c r="AM25" s="14">
        <v>137</v>
      </c>
      <c r="AN25" s="14">
        <v>495</v>
      </c>
      <c r="AO25" s="14">
        <v>399</v>
      </c>
      <c r="AP25" s="18">
        <v>2.6</v>
      </c>
      <c r="AQ25" s="19">
        <f>IFERROR(AL25*1000/AZ25,"")</f>
        <v>27.702561966257029</v>
      </c>
      <c r="AR25" s="14">
        <v>330</v>
      </c>
      <c r="AS25" s="14">
        <v>159</v>
      </c>
      <c r="AT25" s="14">
        <v>88</v>
      </c>
      <c r="AU25" s="14">
        <v>10</v>
      </c>
      <c r="AV25" s="14">
        <v>73</v>
      </c>
      <c r="AW25" s="15">
        <f>IFERROR(AS25/AR25,"")</f>
        <v>0.48181818181818181</v>
      </c>
      <c r="AX25" s="14">
        <v>8</v>
      </c>
      <c r="AY25" s="14">
        <v>6</v>
      </c>
      <c r="AZ25" s="14">
        <v>4801</v>
      </c>
      <c r="BA25" s="20">
        <v>231.00700000000001</v>
      </c>
      <c r="BB25" s="20">
        <v>20.78</v>
      </c>
      <c r="BC25" s="21">
        <v>0.54900000000000004</v>
      </c>
      <c r="BD25" s="18">
        <v>50.3</v>
      </c>
      <c r="BE25" s="18">
        <v>98.81</v>
      </c>
      <c r="BF25" s="18">
        <v>4.9000000000000004</v>
      </c>
      <c r="BG25" s="18">
        <v>4.5999999999999996</v>
      </c>
      <c r="BH25" s="18">
        <v>43.44</v>
      </c>
      <c r="BI25" s="14">
        <v>495</v>
      </c>
      <c r="BJ25" s="18">
        <v>2.6</v>
      </c>
      <c r="BK25" s="15">
        <f>IFERROR(BI25/AZ25,"")</f>
        <v>0.10310352009997917</v>
      </c>
      <c r="BL25" s="22">
        <f>IFERROR(AI25+K25+S25+AA25-F25,"")</f>
        <v>0</v>
      </c>
      <c r="BM25" s="22">
        <f>IFERROR(F25+G25-C25,"")</f>
        <v>0</v>
      </c>
      <c r="BN25" s="22">
        <f>IF(I25="","",IFERROR(C25*1000/H25-I25,""))</f>
        <v>-5.7904654226149432E-2</v>
      </c>
    </row>
    <row r="26" spans="1:66">
      <c r="A26" s="13" t="s">
        <v>147</v>
      </c>
      <c r="B26" s="13" t="s">
        <v>148</v>
      </c>
      <c r="C26" s="14">
        <v>605673</v>
      </c>
      <c r="D26" s="14">
        <v>639755</v>
      </c>
      <c r="E26" s="14">
        <v>615957</v>
      </c>
      <c r="F26" s="14">
        <v>555294</v>
      </c>
      <c r="G26" s="14">
        <v>50379</v>
      </c>
      <c r="H26" s="14">
        <v>34814</v>
      </c>
      <c r="I26" s="14">
        <v>17397.39</v>
      </c>
      <c r="J26" s="14">
        <v>20761.66</v>
      </c>
      <c r="K26" s="14">
        <v>16405</v>
      </c>
      <c r="L26" s="15">
        <f>IFERROR(K26/F26,"")</f>
        <v>2.9542908801463728E-2</v>
      </c>
      <c r="M26" s="16">
        <f>IFERROR(K26*1000/H26,"")</f>
        <v>471.21847532601828</v>
      </c>
      <c r="N26" s="17">
        <f>IF(L26="","",RANK(L26,$L$3:$L$168,0)+COUNTIF($L$3:L26,L26)-1)</f>
        <v>153</v>
      </c>
      <c r="O26" s="17">
        <f>IF(K26="","",RANK(K26,$K$3:$K$168,0)+COUNTIF($K$3:K26,K26)-1)</f>
        <v>59</v>
      </c>
      <c r="P26" s="14">
        <v>204</v>
      </c>
      <c r="Q26" s="15">
        <f>IFERROR(P26/AR26,"")</f>
        <v>0.11881188118811881</v>
      </c>
      <c r="R26" s="16">
        <v>21</v>
      </c>
      <c r="S26" s="14">
        <v>146734</v>
      </c>
      <c r="T26" s="15">
        <f>IFERROR(S26/F26,"")</f>
        <v>0.26424560683169634</v>
      </c>
      <c r="U26" s="16">
        <f>IFERROR(S26*1000/H26,"")</f>
        <v>4214.7986442235879</v>
      </c>
      <c r="V26" s="17">
        <f>IF(T26="","",RANK(T26,$T$3:$T$168,0)+COUNTIF($T$3:T26,T26)-1)</f>
        <v>82</v>
      </c>
      <c r="W26" s="17">
        <f>IF(S26="","",RANK(S26,$S$3:$S$168,0)+COUNTIF($S$3:S26,S26)-1)</f>
        <v>24</v>
      </c>
      <c r="X26" s="14">
        <v>662</v>
      </c>
      <c r="Y26" s="14">
        <v>796</v>
      </c>
      <c r="Z26" s="15">
        <f>IFERROR((X26+Y26)/AR26,"")</f>
        <v>0.84915550378567273</v>
      </c>
      <c r="AA26" s="14">
        <v>197510</v>
      </c>
      <c r="AB26" s="15">
        <f>IFERROR(AA26/F26,"")</f>
        <v>0.35568545671302049</v>
      </c>
      <c r="AC26" s="16">
        <f>IFERROR(AA26*1000/H26,"")</f>
        <v>5673.2923536508297</v>
      </c>
      <c r="AD26" s="17">
        <f>IF(AB26="","",RANK(AB26,$AB$3:$AB$168,0)+COUNTIF($AB$3:AB26,AB26)-1)</f>
        <v>129</v>
      </c>
      <c r="AE26" s="17">
        <f>IF(AA26="","",RANK(AA26,$AA$3:$AA$168,0)+COUNTIF($AA$3:AA26,AA26)-1)</f>
        <v>15</v>
      </c>
      <c r="AF26" s="18">
        <v>91.91</v>
      </c>
      <c r="AG26" s="14">
        <v>187346119.69</v>
      </c>
      <c r="AH26" s="16">
        <f>IFERROR(AG26/AZ26,"")</f>
        <v>6314.7539331940134</v>
      </c>
      <c r="AI26" s="14">
        <v>194645</v>
      </c>
      <c r="AJ26" s="15">
        <f>IFERROR(AI26/F26,"")</f>
        <v>0.35052602765381941</v>
      </c>
      <c r="AK26" s="14">
        <v>610</v>
      </c>
      <c r="AL26" s="14">
        <v>703</v>
      </c>
      <c r="AM26" s="14">
        <v>732</v>
      </c>
      <c r="AN26" s="14">
        <v>3429</v>
      </c>
      <c r="AO26" s="14">
        <v>2736</v>
      </c>
      <c r="AP26" s="18">
        <v>1.7</v>
      </c>
      <c r="AQ26" s="19">
        <f>IFERROR(AL26*1000/AZ26,"")</f>
        <v>23.695564244303625</v>
      </c>
      <c r="AR26" s="14">
        <v>1717</v>
      </c>
      <c r="AS26" s="14">
        <v>796</v>
      </c>
      <c r="AT26" s="14">
        <v>671</v>
      </c>
      <c r="AU26" s="14">
        <v>68</v>
      </c>
      <c r="AV26" s="14">
        <v>182</v>
      </c>
      <c r="AW26" s="15">
        <f>IFERROR(AS26/AR26,"")</f>
        <v>0.46359930110658126</v>
      </c>
      <c r="AX26" s="14">
        <v>43</v>
      </c>
      <c r="AY26" s="14">
        <v>12</v>
      </c>
      <c r="AZ26" s="14">
        <v>29668</v>
      </c>
      <c r="BA26" s="20">
        <v>245.48500000000001</v>
      </c>
      <c r="BB26" s="20">
        <v>120.85</v>
      </c>
      <c r="BC26" s="21">
        <v>0.57899999999999996</v>
      </c>
      <c r="BD26" s="18">
        <v>50.7</v>
      </c>
      <c r="BE26" s="18">
        <v>99.75</v>
      </c>
      <c r="BF26" s="18">
        <v>4.9000000000000004</v>
      </c>
      <c r="BG26" s="18">
        <v>4</v>
      </c>
      <c r="BH26" s="18">
        <v>2.42</v>
      </c>
      <c r="BI26" s="14">
        <v>3429</v>
      </c>
      <c r="BJ26" s="18">
        <v>1.7</v>
      </c>
      <c r="BK26" s="15">
        <f>IFERROR(BI26/AZ26,"")</f>
        <v>0.11557907509774841</v>
      </c>
      <c r="BL26" s="22">
        <f>IFERROR(AI26+K26+S26+AA26-F26,"")</f>
        <v>0</v>
      </c>
      <c r="BM26" s="22">
        <f>IFERROR(F26+G26-C26,"")</f>
        <v>0</v>
      </c>
      <c r="BN26" s="22">
        <f>IF(I26="","",IFERROR(C26*1000/H26-I26,""))</f>
        <v>7.5986672018188983E-3</v>
      </c>
    </row>
    <row r="27" spans="1:66">
      <c r="A27" s="13" t="s">
        <v>149</v>
      </c>
      <c r="B27" s="13" t="s">
        <v>150</v>
      </c>
      <c r="C27" s="14">
        <v>570418</v>
      </c>
      <c r="D27" s="14">
        <v>844765</v>
      </c>
      <c r="E27" s="14">
        <v>986508</v>
      </c>
      <c r="F27" s="14">
        <v>510371</v>
      </c>
      <c r="G27" s="14">
        <v>60046</v>
      </c>
      <c r="H27" s="14">
        <v>29282</v>
      </c>
      <c r="I27" s="14">
        <v>19480.150000000001</v>
      </c>
      <c r="J27" s="14">
        <v>16005.64</v>
      </c>
      <c r="K27" s="14">
        <v>83820</v>
      </c>
      <c r="L27" s="15">
        <f>IFERROR(K27/F27,"")</f>
        <v>0.16423346937815825</v>
      </c>
      <c r="M27" s="16">
        <f>IFERROR(K27*1000/H27,"")</f>
        <v>2862.5093914350114</v>
      </c>
      <c r="N27" s="17">
        <f>IF(L27="","",RANK(L27,$L$3:$L$168,0)+COUNTIF($L$3:L27,L27)-1)</f>
        <v>41</v>
      </c>
      <c r="O27" s="17">
        <f>IF(K27="","",RANK(K27,$K$3:$K$168,0)+COUNTIF($K$3:K27,K27)-1)</f>
        <v>28</v>
      </c>
      <c r="P27" s="14">
        <v>1452</v>
      </c>
      <c r="Q27" s="15">
        <f>IFERROR(P27/AR27,"")</f>
        <v>0.2457268573362667</v>
      </c>
      <c r="R27" s="16">
        <v>566</v>
      </c>
      <c r="S27" s="14">
        <v>221907</v>
      </c>
      <c r="T27" s="15">
        <f>IFERROR(S27/F27,"")</f>
        <v>0.43479547231327798</v>
      </c>
      <c r="U27" s="16">
        <f>IFERROR(S27*1000/H27,"")</f>
        <v>7578.2733419848373</v>
      </c>
      <c r="V27" s="17">
        <f>IF(T27="","",RANK(T27,$T$3:$T$168,0)+COUNTIF($T$3:T27,T27)-1)</f>
        <v>17</v>
      </c>
      <c r="W27" s="17">
        <f>IF(S27="","",RANK(S27,$S$3:$S$168,0)+COUNTIF($S$3:S27,S27)-1)</f>
        <v>20</v>
      </c>
      <c r="X27" s="14">
        <v>1515</v>
      </c>
      <c r="Y27" s="14">
        <v>2893</v>
      </c>
      <c r="Z27" s="15">
        <f>IFERROR((X27+Y27)/AR27,"")</f>
        <v>0.74598070739549838</v>
      </c>
      <c r="AA27" s="14">
        <v>190176</v>
      </c>
      <c r="AB27" s="15">
        <f>IFERROR(AA27/F27,"")</f>
        <v>0.37262305264209761</v>
      </c>
      <c r="AC27" s="16">
        <f>IFERROR(AA27*1000/H27,"")</f>
        <v>6494.6383443753839</v>
      </c>
      <c r="AD27" s="17">
        <f>IF(AB27="","",RANK(AB27,$AB$3:$AB$168,0)+COUNTIF($AB$3:AB27,AB27)-1)</f>
        <v>123</v>
      </c>
      <c r="AE27" s="17">
        <f>IF(AA27="","",RANK(AA27,$AA$3:$AA$168,0)+COUNTIF($AA$3:AA27,AA27)-1)</f>
        <v>18</v>
      </c>
      <c r="AF27" s="18">
        <v>71.23</v>
      </c>
      <c r="AG27" s="14">
        <v>320006022.00999999</v>
      </c>
      <c r="AH27" s="16">
        <f>IFERROR(AG27/AZ27,"")</f>
        <v>5191.9529814228927</v>
      </c>
      <c r="AI27" s="14">
        <v>14469</v>
      </c>
      <c r="AJ27" s="15">
        <f>IFERROR(AI27/F27,"")</f>
        <v>2.8349965025442278E-2</v>
      </c>
      <c r="AK27" s="14">
        <v>1000</v>
      </c>
      <c r="AL27" s="14">
        <v>1190</v>
      </c>
      <c r="AM27" s="14">
        <v>1701</v>
      </c>
      <c r="AN27" s="14">
        <v>5690</v>
      </c>
      <c r="AO27" s="14">
        <v>4369</v>
      </c>
      <c r="AP27" s="18">
        <v>2</v>
      </c>
      <c r="AQ27" s="19">
        <f>IFERROR(AL27*1000/AZ27,"")</f>
        <v>19.307211811470754</v>
      </c>
      <c r="AR27" s="14">
        <v>5909</v>
      </c>
      <c r="AS27" s="14">
        <v>3569</v>
      </c>
      <c r="AT27" s="14">
        <v>1403</v>
      </c>
      <c r="AU27" s="14">
        <v>215</v>
      </c>
      <c r="AV27" s="14">
        <v>722</v>
      </c>
      <c r="AW27" s="15">
        <f>IFERROR(AS27/AR27,"")</f>
        <v>0.60399390759857841</v>
      </c>
      <c r="AX27" s="14">
        <v>38</v>
      </c>
      <c r="AY27" s="14">
        <v>11</v>
      </c>
      <c r="AZ27" s="14">
        <v>61635</v>
      </c>
      <c r="BA27" s="20">
        <v>140.63900000000001</v>
      </c>
      <c r="BB27" s="20">
        <v>438.25</v>
      </c>
      <c r="BC27" s="21">
        <v>0.66</v>
      </c>
      <c r="BD27" s="18">
        <v>43.2</v>
      </c>
      <c r="BE27" s="18">
        <v>98.12</v>
      </c>
      <c r="BF27" s="18">
        <v>5</v>
      </c>
      <c r="BG27" s="18">
        <v>4.2</v>
      </c>
      <c r="BH27" s="18">
        <v>5.76</v>
      </c>
      <c r="BI27" s="14">
        <v>5681</v>
      </c>
      <c r="BJ27" s="18">
        <v>2</v>
      </c>
      <c r="BK27" s="15">
        <f>IFERROR(BI27/AZ27,"")</f>
        <v>9.2171655715096945E-2</v>
      </c>
      <c r="BL27" s="22">
        <f>IFERROR(AI27+K27+S27+AA27-F27,"")</f>
        <v>1</v>
      </c>
      <c r="BM27" s="22">
        <f>IFERROR(F27+G27-C27,"")</f>
        <v>-1</v>
      </c>
      <c r="BN27" s="22">
        <f>IF(I27="","",IFERROR(C27*1000/H27-I27,""))</f>
        <v>8.4591216436820105E-3</v>
      </c>
    </row>
    <row r="28" spans="1:66">
      <c r="A28" s="13" t="s">
        <v>151</v>
      </c>
      <c r="B28" s="13" t="s">
        <v>152</v>
      </c>
      <c r="C28" s="14">
        <v>560495</v>
      </c>
      <c r="D28" s="14">
        <v>631950</v>
      </c>
      <c r="E28" s="14">
        <v>629221</v>
      </c>
      <c r="F28" s="14">
        <v>492626</v>
      </c>
      <c r="G28" s="14">
        <v>67869</v>
      </c>
      <c r="H28" s="14">
        <v>37554</v>
      </c>
      <c r="I28" s="14">
        <v>14925.04</v>
      </c>
      <c r="J28" s="14">
        <v>18396.12</v>
      </c>
      <c r="K28" s="14">
        <v>28436</v>
      </c>
      <c r="L28" s="15">
        <f>IFERROR(K28/F28,"")</f>
        <v>5.7723303276725139E-2</v>
      </c>
      <c r="M28" s="16">
        <f>IFERROR(K28*1000/H28,"")</f>
        <v>757.20296106939338</v>
      </c>
      <c r="N28" s="17">
        <f>IF(L28="","",RANK(L28,$L$3:$L$168,0)+COUNTIF($L$3:L28,L28)-1)</f>
        <v>80</v>
      </c>
      <c r="O28" s="17">
        <f>IF(K28="","",RANK(K28,$K$3:$K$168,0)+COUNTIF($K$3:K28,K28)-1)</f>
        <v>49</v>
      </c>
      <c r="P28" s="14">
        <v>294</v>
      </c>
      <c r="Q28" s="15">
        <f>IFERROR(P28/AR28,"")</f>
        <v>0.14121037463976946</v>
      </c>
      <c r="R28" s="16">
        <v>38</v>
      </c>
      <c r="S28" s="14">
        <v>234694</v>
      </c>
      <c r="T28" s="15">
        <f>IFERROR(S28/F28,"")</f>
        <v>0.47641415597227915</v>
      </c>
      <c r="U28" s="16">
        <f>IFERROR(S28*1000/H28,"")</f>
        <v>6249.5073760451614</v>
      </c>
      <c r="V28" s="17">
        <f>IF(T28="","",RANK(T28,$T$3:$T$168,0)+COUNTIF($T$3:T28,T28)-1)</f>
        <v>12</v>
      </c>
      <c r="W28" s="17">
        <f>IF(S28="","",RANK(S28,$S$3:$S$168,0)+COUNTIF($S$3:S28,S28)-1)</f>
        <v>17</v>
      </c>
      <c r="X28" s="14">
        <v>966</v>
      </c>
      <c r="Y28" s="14">
        <v>809</v>
      </c>
      <c r="Z28" s="15">
        <f>IFERROR((X28+Y28)/AR28,"")</f>
        <v>0.85254562920268973</v>
      </c>
      <c r="AA28" s="14">
        <v>212905</v>
      </c>
      <c r="AB28" s="15">
        <f>IFERROR(AA28/F28,"")</f>
        <v>0.4321838473811776</v>
      </c>
      <c r="AC28" s="16">
        <f>IFERROR(AA28*1000/H28,"")</f>
        <v>5669.3028705330989</v>
      </c>
      <c r="AD28" s="17">
        <f>IF(AB28="","",RANK(AB28,$AB$3:$AB$168,0)+COUNTIF($AB$3:AB28,AB28)-1)</f>
        <v>112</v>
      </c>
      <c r="AE28" s="17">
        <f>IF(AA28="","",RANK(AA28,$AA$3:$AA$168,0)+COUNTIF($AA$3:AA28,AA28)-1)</f>
        <v>13</v>
      </c>
      <c r="AF28" s="18">
        <v>85.78</v>
      </c>
      <c r="AG28" s="14">
        <v>196465386.08000001</v>
      </c>
      <c r="AH28" s="16">
        <f>IFERROR(AG28/AZ28,"")</f>
        <v>5733.0352820333246</v>
      </c>
      <c r="AI28" s="14">
        <v>16591</v>
      </c>
      <c r="AJ28" s="15">
        <f>IFERROR(AI28/F28,"")</f>
        <v>3.3678693369818075E-2</v>
      </c>
      <c r="AK28" s="14">
        <v>679</v>
      </c>
      <c r="AL28" s="14">
        <v>707</v>
      </c>
      <c r="AM28" s="14">
        <v>796</v>
      </c>
      <c r="AN28" s="14">
        <v>3421</v>
      </c>
      <c r="AO28" s="14">
        <v>2743</v>
      </c>
      <c r="AP28" s="18">
        <v>1.9</v>
      </c>
      <c r="AQ28" s="19">
        <f>IFERROR(AL28*1000/AZ28,"")</f>
        <v>20.630890892643496</v>
      </c>
      <c r="AR28" s="14">
        <v>2082</v>
      </c>
      <c r="AS28" s="14">
        <v>1081</v>
      </c>
      <c r="AT28" s="14">
        <v>701</v>
      </c>
      <c r="AU28" s="14">
        <v>65</v>
      </c>
      <c r="AV28" s="14">
        <v>235</v>
      </c>
      <c r="AW28" s="15">
        <f>IFERROR(AS28/AR28,"")</f>
        <v>0.51921229586935636</v>
      </c>
      <c r="AX28" s="14">
        <v>5</v>
      </c>
      <c r="AY28" s="14">
        <v>8</v>
      </c>
      <c r="AZ28" s="14">
        <v>34269</v>
      </c>
      <c r="BA28" s="20">
        <v>277.31900000000002</v>
      </c>
      <c r="BB28" s="20">
        <v>123.42</v>
      </c>
      <c r="BC28" s="21">
        <v>0.629</v>
      </c>
      <c r="BD28" s="18">
        <v>50.3</v>
      </c>
      <c r="BE28" s="18">
        <v>97.76</v>
      </c>
      <c r="BF28" s="18">
        <v>5</v>
      </c>
      <c r="BG28" s="18">
        <v>3.9</v>
      </c>
      <c r="BH28" s="18">
        <v>38.64</v>
      </c>
      <c r="BI28" s="14">
        <v>3423</v>
      </c>
      <c r="BJ28" s="18">
        <v>2.8</v>
      </c>
      <c r="BK28" s="15">
        <f>IFERROR(BI28/AZ28,"")</f>
        <v>9.9886194519828414E-2</v>
      </c>
      <c r="BL28" s="22">
        <f>IFERROR(AI28+K28+S28+AA28-F28,"")</f>
        <v>0</v>
      </c>
      <c r="BM28" s="22">
        <f>IFERROR(F28+G28-C28,"")</f>
        <v>0</v>
      </c>
      <c r="BN28" s="22">
        <f>IF(I28="","",IFERROR(C28*1000/H28-I28,""))</f>
        <v>1.2738989171339199E-3</v>
      </c>
    </row>
    <row r="29" spans="1:66">
      <c r="A29" s="13" t="s">
        <v>153</v>
      </c>
      <c r="B29" s="13" t="s">
        <v>154</v>
      </c>
      <c r="C29" s="14">
        <v>549241</v>
      </c>
      <c r="D29" s="14">
        <v>421481</v>
      </c>
      <c r="E29" s="14">
        <v>394853</v>
      </c>
      <c r="F29" s="14">
        <v>509541</v>
      </c>
      <c r="G29" s="14">
        <v>39700</v>
      </c>
      <c r="H29" s="14">
        <v>2687</v>
      </c>
      <c r="I29" s="14">
        <v>204406.89</v>
      </c>
      <c r="J29" s="14">
        <v>119507.48</v>
      </c>
      <c r="K29" s="14">
        <v>452181</v>
      </c>
      <c r="L29" s="15">
        <f>IFERROR(K29/F29,"")</f>
        <v>0.88742809705205272</v>
      </c>
      <c r="M29" s="16">
        <f>IFERROR(K29*1000/H29,"")</f>
        <v>168284.70413100111</v>
      </c>
      <c r="N29" s="17">
        <f>IF(L29="","",RANK(L29,$L$3:$L$168,0)+COUNTIF($L$3:L29,L29)-1)</f>
        <v>1</v>
      </c>
      <c r="O29" s="17">
        <f>IF(K29="","",RANK(K29,$K$3:$K$168,0)+COUNTIF($K$3:K29,K29)-1)</f>
        <v>11</v>
      </c>
      <c r="P29" s="14">
        <v>47</v>
      </c>
      <c r="Q29" s="15">
        <f>IFERROR(P29/AR29,"")</f>
        <v>0.22596153846153846</v>
      </c>
      <c r="R29" s="16">
        <v>31</v>
      </c>
      <c r="S29" s="14">
        <v>19561</v>
      </c>
      <c r="T29" s="15">
        <f>IFERROR(S29/F29,"")</f>
        <v>3.8389452468005521E-2</v>
      </c>
      <c r="U29" s="16">
        <f>IFERROR(S29*1000/H29,"")</f>
        <v>7279.8660215854115</v>
      </c>
      <c r="V29" s="17">
        <f>IF(T29="","",RANK(T29,$T$3:$T$168,0)+COUNTIF($T$3:T29,T29)-1)</f>
        <v>164</v>
      </c>
      <c r="W29" s="17">
        <f>IF(S29="","",RANK(S29,$S$3:$S$168,0)+COUNTIF($S$3:S29,S29)-1)</f>
        <v>102</v>
      </c>
      <c r="X29" s="14">
        <v>40</v>
      </c>
      <c r="Y29" s="14">
        <v>105</v>
      </c>
      <c r="Z29" s="15">
        <f>IFERROR((X29+Y29)/AR29,"")</f>
        <v>0.69711538461538458</v>
      </c>
      <c r="AA29" s="14">
        <v>27247</v>
      </c>
      <c r="AB29" s="15">
        <f>IFERROR(AA29/F29,"")</f>
        <v>5.3473616450884227E-2</v>
      </c>
      <c r="AC29" s="16">
        <f>IFERROR(AA29*1000/H29,"")</f>
        <v>10140.305173055453</v>
      </c>
      <c r="AD29" s="17">
        <f>IF(AB29="","",RANK(AB29,$AB$3:$AB$168,0)+COUNTIF($AB$3:AB29,AB29)-1)</f>
        <v>166</v>
      </c>
      <c r="AE29" s="17">
        <f>IF(AA29="","",RANK(AA29,$AA$3:$AA$168,0)+COUNTIF($AA$3:AA29,AA29)-1)</f>
        <v>140</v>
      </c>
      <c r="AF29" s="18">
        <v>87.3</v>
      </c>
      <c r="AG29" s="14">
        <v>61503574.68</v>
      </c>
      <c r="AH29" s="16">
        <f>IFERROR(AG29/AZ29,"")</f>
        <v>18614.883377723971</v>
      </c>
      <c r="AI29" s="14">
        <v>10552</v>
      </c>
      <c r="AJ29" s="15">
        <f>IFERROR(AI29/F29,"")</f>
        <v>2.0708834029057523E-2</v>
      </c>
      <c r="AK29" s="14">
        <v>101</v>
      </c>
      <c r="AL29" s="14">
        <v>118</v>
      </c>
      <c r="AM29" s="14">
        <v>119</v>
      </c>
      <c r="AN29" s="14">
        <v>1069</v>
      </c>
      <c r="AO29" s="14">
        <v>961</v>
      </c>
      <c r="AP29" s="18">
        <v>1.7</v>
      </c>
      <c r="AQ29" s="19">
        <f>IFERROR(AL29*1000/AZ29,"")</f>
        <v>35.714285714285715</v>
      </c>
      <c r="AR29" s="14">
        <v>208</v>
      </c>
      <c r="AS29" s="14">
        <v>75</v>
      </c>
      <c r="AT29" s="14">
        <v>39</v>
      </c>
      <c r="AU29" s="14">
        <v>9</v>
      </c>
      <c r="AV29" s="14">
        <v>85</v>
      </c>
      <c r="AW29" s="15">
        <f>IFERROR(AS29/AR29,"")</f>
        <v>0.36057692307692307</v>
      </c>
      <c r="AX29" s="14">
        <v>10</v>
      </c>
      <c r="AY29" s="14">
        <v>6</v>
      </c>
      <c r="AZ29" s="14">
        <v>3304</v>
      </c>
      <c r="BA29" s="20">
        <v>288.76100000000002</v>
      </c>
      <c r="BB29" s="20">
        <v>11.44</v>
      </c>
      <c r="BC29" s="21">
        <v>0.55500000000000005</v>
      </c>
      <c r="BD29" s="18">
        <v>51.2</v>
      </c>
      <c r="BE29" s="18">
        <v>98.28</v>
      </c>
      <c r="BF29" s="18">
        <v>4.7</v>
      </c>
      <c r="BG29" s="18">
        <v>4.4000000000000004</v>
      </c>
      <c r="BH29" s="18">
        <v>2.4300000000000002</v>
      </c>
      <c r="BI29" s="14">
        <v>1069</v>
      </c>
      <c r="BJ29" s="18">
        <v>1.7</v>
      </c>
      <c r="BK29" s="15">
        <f>IFERROR(BI29/AZ29,"")</f>
        <v>0.32354721549636806</v>
      </c>
      <c r="BL29" s="22">
        <f>IFERROR(AI29+K29+S29+AA29-F29,"")</f>
        <v>0</v>
      </c>
      <c r="BM29" s="22">
        <f>IFERROR(F29+G29-C29,"")</f>
        <v>0</v>
      </c>
      <c r="BN29" s="22">
        <f>IF(I29="","",IFERROR(C29*1000/H29-I29,""))</f>
        <v>-0.11664681803085841</v>
      </c>
    </row>
    <row r="30" spans="1:66">
      <c r="A30" s="13" t="s">
        <v>155</v>
      </c>
      <c r="B30" s="13" t="s">
        <v>156</v>
      </c>
      <c r="C30" s="14">
        <v>546570</v>
      </c>
      <c r="D30" s="14">
        <v>658983</v>
      </c>
      <c r="E30" s="14">
        <v>646383</v>
      </c>
      <c r="F30" s="14">
        <v>494275</v>
      </c>
      <c r="G30" s="14">
        <v>52295</v>
      </c>
      <c r="H30" s="14">
        <v>27004</v>
      </c>
      <c r="I30" s="14">
        <v>20240.330000000002</v>
      </c>
      <c r="J30" s="14">
        <v>24171.98</v>
      </c>
      <c r="K30" s="14">
        <v>75316</v>
      </c>
      <c r="L30" s="15">
        <f>IFERROR(K30/F30,"")</f>
        <v>0.15237671336806433</v>
      </c>
      <c r="M30" s="16">
        <f>IFERROR(K30*1000/H30,"")</f>
        <v>2789.068286179825</v>
      </c>
      <c r="N30" s="17">
        <f>IF(L30="","",RANK(L30,$L$3:$L$168,0)+COUNTIF($L$3:L30,L30)-1)</f>
        <v>46</v>
      </c>
      <c r="O30" s="17">
        <f>IF(K30="","",RANK(K30,$K$3:$K$168,0)+COUNTIF($K$3:K30,K30)-1)</f>
        <v>35</v>
      </c>
      <c r="P30" s="14">
        <v>314</v>
      </c>
      <c r="Q30" s="15">
        <f>IFERROR(P30/AR30,"")</f>
        <v>0.1471415182755389</v>
      </c>
      <c r="R30" s="16">
        <v>42</v>
      </c>
      <c r="S30" s="14">
        <v>199599</v>
      </c>
      <c r="T30" s="15">
        <f>IFERROR(S30/F30,"")</f>
        <v>0.40382175914217794</v>
      </c>
      <c r="U30" s="16">
        <f>IFERROR(S30*1000/H30,"")</f>
        <v>7391.4605243667602</v>
      </c>
      <c r="V30" s="17">
        <f>IF(T30="","",RANK(T30,$T$3:$T$168,0)+COUNTIF($T$3:T30,T30)-1)</f>
        <v>25</v>
      </c>
      <c r="W30" s="17">
        <f>IF(S30="","",RANK(S30,$S$3:$S$168,0)+COUNTIF($S$3:S30,S30)-1)</f>
        <v>21</v>
      </c>
      <c r="X30" s="14">
        <v>811</v>
      </c>
      <c r="Y30" s="14">
        <v>989</v>
      </c>
      <c r="Z30" s="15">
        <f>IFERROR((X30+Y30)/AR30,"")</f>
        <v>0.8434864104967198</v>
      </c>
      <c r="AA30" s="14">
        <v>176852</v>
      </c>
      <c r="AB30" s="15">
        <f>IFERROR(AA30/F30,"")</f>
        <v>0.35780081938192304</v>
      </c>
      <c r="AC30" s="16">
        <f>IFERROR(AA30*1000/H30,"")</f>
        <v>6549.103836468671</v>
      </c>
      <c r="AD30" s="17">
        <f>IF(AB30="","",RANK(AB30,$AB$3:$AB$168,0)+COUNTIF($AB$3:AB30,AB30)-1)</f>
        <v>127</v>
      </c>
      <c r="AE30" s="17">
        <f>IF(AA30="","",RANK(AA30,$AA$3:$AA$168,0)+COUNTIF($AA$3:AA30,AA30)-1)</f>
        <v>21</v>
      </c>
      <c r="AF30" s="18">
        <v>83.92</v>
      </c>
      <c r="AG30" s="14">
        <v>204796682.59</v>
      </c>
      <c r="AH30" s="16">
        <f>IFERROR(AG30/AZ30,"")</f>
        <v>7658.5274518529604</v>
      </c>
      <c r="AI30" s="14">
        <v>42508</v>
      </c>
      <c r="AJ30" s="15">
        <f>IFERROR(AI30/F30,"")</f>
        <v>8.6000708107834709E-2</v>
      </c>
      <c r="AK30" s="14">
        <v>626</v>
      </c>
      <c r="AL30" s="14">
        <v>720</v>
      </c>
      <c r="AM30" s="14">
        <v>740</v>
      </c>
      <c r="AN30" s="14">
        <v>4549</v>
      </c>
      <c r="AO30" s="14">
        <v>3855</v>
      </c>
      <c r="AP30" s="18">
        <v>1.9</v>
      </c>
      <c r="AQ30" s="19">
        <f>IFERROR(AL30*1000/AZ30,"")</f>
        <v>26.924946711042967</v>
      </c>
      <c r="AR30" s="14">
        <v>2134</v>
      </c>
      <c r="AS30" s="14">
        <v>1113</v>
      </c>
      <c r="AT30" s="14">
        <v>749</v>
      </c>
      <c r="AU30" s="14">
        <v>87</v>
      </c>
      <c r="AV30" s="14">
        <v>185</v>
      </c>
      <c r="AW30" s="15">
        <f>IFERROR(AS30/AR30,"")</f>
        <v>0.52155576382380509</v>
      </c>
      <c r="AX30" s="14">
        <v>13</v>
      </c>
      <c r="AY30" s="14">
        <v>6</v>
      </c>
      <c r="AZ30" s="14">
        <v>26741</v>
      </c>
      <c r="BA30" s="20">
        <v>192.279</v>
      </c>
      <c r="BB30" s="20">
        <v>139.07</v>
      </c>
      <c r="BC30" s="21">
        <v>0.63800000000000001</v>
      </c>
      <c r="BD30" s="18">
        <v>46.7</v>
      </c>
      <c r="BE30" s="18">
        <v>98.08</v>
      </c>
      <c r="BF30" s="18">
        <v>4.9000000000000004</v>
      </c>
      <c r="BG30" s="18">
        <v>4.2</v>
      </c>
      <c r="BH30" s="18">
        <v>38.369999999999997</v>
      </c>
      <c r="BI30" s="14">
        <v>4551</v>
      </c>
      <c r="BJ30" s="18">
        <v>1.9</v>
      </c>
      <c r="BK30" s="15">
        <f>IFERROR(BI30/AZ30,"")</f>
        <v>0.17018810066938408</v>
      </c>
      <c r="BL30" s="22">
        <f>IFERROR(AI30+K30+S30+AA30-F30,"")</f>
        <v>0</v>
      </c>
      <c r="BM30" s="22">
        <f>IFERROR(F30+G30-C30,"")</f>
        <v>0</v>
      </c>
      <c r="BN30" s="22">
        <f>IF(I30="","",IFERROR(C30*1000/H30-I30,""))</f>
        <v>4.7652199646108784E-3</v>
      </c>
    </row>
    <row r="31" spans="1:66">
      <c r="A31" s="13" t="s">
        <v>157</v>
      </c>
      <c r="B31" s="13" t="s">
        <v>158</v>
      </c>
      <c r="C31" s="14">
        <v>492637</v>
      </c>
      <c r="D31" s="14">
        <v>722955</v>
      </c>
      <c r="E31" s="14">
        <v>712098</v>
      </c>
      <c r="F31" s="14">
        <v>465371</v>
      </c>
      <c r="G31" s="14">
        <v>27266</v>
      </c>
      <c r="H31" s="14">
        <v>10441</v>
      </c>
      <c r="I31" s="14">
        <v>47182.94</v>
      </c>
      <c r="J31" s="14">
        <v>69670.12</v>
      </c>
      <c r="K31" s="14">
        <v>310242</v>
      </c>
      <c r="L31" s="15">
        <f>IFERROR(K31/F31,"")</f>
        <v>0.66665520627628283</v>
      </c>
      <c r="M31" s="16">
        <f>IFERROR(K31*1000/H31,"")</f>
        <v>29713.820515276315</v>
      </c>
      <c r="N31" s="17">
        <f>IF(L31="","",RANK(L31,$L$3:$L$168,0)+COUNTIF($L$3:L31,L31)-1)</f>
        <v>8</v>
      </c>
      <c r="O31" s="17">
        <f>IF(K31="","",RANK(K31,$K$3:$K$168,0)+COUNTIF($K$3:K31,K31)-1)</f>
        <v>13</v>
      </c>
      <c r="P31" s="14">
        <v>174</v>
      </c>
      <c r="Q31" s="15">
        <f>IFERROR(P31/AR31,"")</f>
        <v>0.15</v>
      </c>
      <c r="R31" s="16">
        <v>53</v>
      </c>
      <c r="S31" s="14">
        <v>64906</v>
      </c>
      <c r="T31" s="15">
        <f>IFERROR(S31/F31,"")</f>
        <v>0.13947151842293568</v>
      </c>
      <c r="U31" s="16">
        <f>IFERROR(S31*1000/H31,"")</f>
        <v>6216.4543626089453</v>
      </c>
      <c r="V31" s="17">
        <f>IF(T31="","",RANK(T31,$T$3:$T$168,0)+COUNTIF($T$3:T31,T31)-1)</f>
        <v>155</v>
      </c>
      <c r="W31" s="17">
        <f>IF(S31="","",RANK(S31,$S$3:$S$168,0)+COUNTIF($S$3:S31,S31)-1)</f>
        <v>42</v>
      </c>
      <c r="X31" s="14">
        <v>318</v>
      </c>
      <c r="Y31" s="14">
        <v>649</v>
      </c>
      <c r="Z31" s="15">
        <f>IFERROR((X31+Y31)/AR31,"")</f>
        <v>0.83362068965517244</v>
      </c>
      <c r="AA31" s="14">
        <v>77780</v>
      </c>
      <c r="AB31" s="15">
        <f>IFERROR(AA31/F31,"")</f>
        <v>0.16713546826080697</v>
      </c>
      <c r="AC31" s="16">
        <f>IFERROR(AA31*1000/H31,"")</f>
        <v>7449.4780193468059</v>
      </c>
      <c r="AD31" s="17">
        <f>IF(AB31="","",RANK(AB31,$AB$3:$AB$168,0)+COUNTIF($AB$3:AB31,AB31)-1)</f>
        <v>159</v>
      </c>
      <c r="AE31" s="17">
        <f>IF(AA31="","",RANK(AA31,$AA$3:$AA$168,0)+COUNTIF($AA$3:AA31,AA31)-1)</f>
        <v>48</v>
      </c>
      <c r="AF31" s="18">
        <v>83.93</v>
      </c>
      <c r="AG31" s="14">
        <v>102330437.81999999</v>
      </c>
      <c r="AH31" s="16">
        <f>IFERROR(AG31/AZ31,"")</f>
        <v>10011.783369533314</v>
      </c>
      <c r="AI31" s="14">
        <v>12444</v>
      </c>
      <c r="AJ31" s="15">
        <f>IFERROR(AI31/F31,"")</f>
        <v>2.6739955863171534E-2</v>
      </c>
      <c r="AK31" s="14">
        <v>432</v>
      </c>
      <c r="AL31" s="14">
        <v>491</v>
      </c>
      <c r="AM31" s="14">
        <v>502</v>
      </c>
      <c r="AN31" s="14">
        <v>2610</v>
      </c>
      <c r="AO31" s="14">
        <v>2016</v>
      </c>
      <c r="AP31" s="18">
        <v>1.6</v>
      </c>
      <c r="AQ31" s="19">
        <f>IFERROR(AL31*1000/AZ31,"")</f>
        <v>48.038352411701396</v>
      </c>
      <c r="AR31" s="14">
        <v>1160</v>
      </c>
      <c r="AS31" s="14">
        <v>529</v>
      </c>
      <c r="AT31" s="14">
        <v>426</v>
      </c>
      <c r="AU31" s="14">
        <v>45</v>
      </c>
      <c r="AV31" s="14">
        <v>160</v>
      </c>
      <c r="AW31" s="15">
        <f>IFERROR(AS31/AR31,"")</f>
        <v>0.45603448275862069</v>
      </c>
      <c r="AX31" s="14">
        <v>11</v>
      </c>
      <c r="AY31" s="14">
        <v>8</v>
      </c>
      <c r="AZ31" s="14">
        <v>10221</v>
      </c>
      <c r="BA31" s="20">
        <v>431.44499999999999</v>
      </c>
      <c r="BB31" s="20">
        <v>23.69</v>
      </c>
      <c r="BC31" s="21">
        <v>0.59099999999999997</v>
      </c>
      <c r="BD31" s="18">
        <v>53.1</v>
      </c>
      <c r="BE31" s="18">
        <v>97.66</v>
      </c>
      <c r="BF31" s="18">
        <v>4.8</v>
      </c>
      <c r="BG31" s="18">
        <v>3.9</v>
      </c>
      <c r="BH31" s="18">
        <v>35.07</v>
      </c>
      <c r="BI31" s="14">
        <v>2610</v>
      </c>
      <c r="BJ31" s="18">
        <v>1.6</v>
      </c>
      <c r="BK31" s="15">
        <f>IFERROR(BI31/AZ31,"")</f>
        <v>0.25535661872615206</v>
      </c>
      <c r="BL31" s="22">
        <f>IFERROR(AI31+K31+S31+AA31-F31,"")</f>
        <v>1</v>
      </c>
      <c r="BM31" s="22">
        <f>IFERROR(F31+G31-C31,"")</f>
        <v>0</v>
      </c>
      <c r="BN31" s="22">
        <f>IF(I31="","",IFERROR(C31*1000/H31-I31,""))</f>
        <v>-7.3307154525537044E-3</v>
      </c>
    </row>
    <row r="32" spans="1:66">
      <c r="A32" s="13" t="s">
        <v>159</v>
      </c>
      <c r="B32" s="13" t="s">
        <v>160</v>
      </c>
      <c r="C32" s="14">
        <v>474716</v>
      </c>
      <c r="D32" s="14">
        <v>573065</v>
      </c>
      <c r="E32" s="14">
        <v>573358</v>
      </c>
      <c r="F32" s="14">
        <v>441738</v>
      </c>
      <c r="G32" s="14">
        <v>32978</v>
      </c>
      <c r="H32" s="14">
        <v>28266</v>
      </c>
      <c r="I32" s="14">
        <v>16794.59</v>
      </c>
      <c r="J32" s="14">
        <v>17949.98</v>
      </c>
      <c r="K32" s="14">
        <v>24345</v>
      </c>
      <c r="L32" s="15">
        <f>IFERROR(K32/F32,"")</f>
        <v>5.5111853632696307E-2</v>
      </c>
      <c r="M32" s="16">
        <f>IFERROR(K32*1000/H32,"")</f>
        <v>861.28210571004036</v>
      </c>
      <c r="N32" s="17">
        <f>IF(L32="","",RANK(L32,$L$3:$L$168,0)+COUNTIF($L$3:L32,L32)-1)</f>
        <v>83</v>
      </c>
      <c r="O32" s="17">
        <f>IF(K32="","",RANK(K32,$K$3:$K$168,0)+COUNTIF($K$3:K32,K32)-1)</f>
        <v>52</v>
      </c>
      <c r="P32" s="14">
        <v>387</v>
      </c>
      <c r="Q32" s="15">
        <f>IFERROR(P32/AR32,"")</f>
        <v>0.17974918718067812</v>
      </c>
      <c r="R32" s="16">
        <v>76</v>
      </c>
      <c r="S32" s="14">
        <v>119029</v>
      </c>
      <c r="T32" s="15">
        <f>IFERROR(S32/F32,"")</f>
        <v>0.26945610293884609</v>
      </c>
      <c r="U32" s="16">
        <f>IFERROR(S32*1000/H32,"")</f>
        <v>4211.0309205405783</v>
      </c>
      <c r="V32" s="17">
        <f>IF(T32="","",RANK(T32,$T$3:$T$168,0)+COUNTIF($T$3:T32,T32)-1)</f>
        <v>75</v>
      </c>
      <c r="W32" s="17">
        <f>IF(S32="","",RANK(S32,$S$3:$S$168,0)+COUNTIF($S$3:S32,S32)-1)</f>
        <v>28</v>
      </c>
      <c r="X32" s="14">
        <v>531</v>
      </c>
      <c r="Y32" s="14">
        <v>1170</v>
      </c>
      <c r="Z32" s="15">
        <f>IFERROR((X32+Y32)/AR32,"")</f>
        <v>0.79006038086391084</v>
      </c>
      <c r="AA32" s="14">
        <v>175294</v>
      </c>
      <c r="AB32" s="15">
        <f>IFERROR(AA32/F32,"")</f>
        <v>0.39682798400862052</v>
      </c>
      <c r="AC32" s="16">
        <f>IFERROR(AA32*1000/H32,"")</f>
        <v>6201.5849430411099</v>
      </c>
      <c r="AD32" s="17">
        <f>IF(AB32="","",RANK(AB32,$AB$3:$AB$168,0)+COUNTIF($AB$3:AB32,AB32)-1)</f>
        <v>120</v>
      </c>
      <c r="AE32" s="17">
        <f>IF(AA32="","",RANK(AA32,$AA$3:$AA$168,0)+COUNTIF($AA$3:AA32,AA32)-1)</f>
        <v>24</v>
      </c>
      <c r="AF32" s="18">
        <v>84.73</v>
      </c>
      <c r="AG32" s="14">
        <v>181802410.72999999</v>
      </c>
      <c r="AH32" s="16">
        <f>IFERROR(AG32/AZ32,"")</f>
        <v>5691.641435414188</v>
      </c>
      <c r="AI32" s="14">
        <v>123070</v>
      </c>
      <c r="AJ32" s="15">
        <f>IFERROR(AI32/F32,"")</f>
        <v>0.27860405941983712</v>
      </c>
      <c r="AK32" s="14">
        <v>600</v>
      </c>
      <c r="AL32" s="14">
        <v>712</v>
      </c>
      <c r="AM32" s="14">
        <v>743</v>
      </c>
      <c r="AN32" s="14">
        <v>3296</v>
      </c>
      <c r="AO32" s="14">
        <v>2533</v>
      </c>
      <c r="AP32" s="18">
        <v>1.7</v>
      </c>
      <c r="AQ32" s="19">
        <f>IFERROR(AL32*1000/AZ32,"")</f>
        <v>22.290401352451319</v>
      </c>
      <c r="AR32" s="14">
        <v>2153</v>
      </c>
      <c r="AS32" s="14">
        <v>1191</v>
      </c>
      <c r="AT32" s="14">
        <v>575</v>
      </c>
      <c r="AU32" s="14">
        <v>90</v>
      </c>
      <c r="AV32" s="14">
        <v>297</v>
      </c>
      <c r="AW32" s="15">
        <f>IFERROR(AS32/AR32,"")</f>
        <v>0.55318160705991637</v>
      </c>
      <c r="AX32" s="14">
        <v>60</v>
      </c>
      <c r="AY32" s="14">
        <v>5</v>
      </c>
      <c r="AZ32" s="14">
        <v>31942</v>
      </c>
      <c r="BA32" s="20">
        <v>307.71899999999999</v>
      </c>
      <c r="BB32" s="20">
        <v>103.8</v>
      </c>
      <c r="BC32" s="21">
        <v>0.622</v>
      </c>
      <c r="BD32" s="18">
        <v>47.9</v>
      </c>
      <c r="BE32" s="18">
        <v>98.97</v>
      </c>
      <c r="BF32" s="18">
        <v>5.5</v>
      </c>
      <c r="BG32" s="18">
        <v>4</v>
      </c>
      <c r="BH32" s="18">
        <v>4.21</v>
      </c>
      <c r="BI32" s="14">
        <v>3296</v>
      </c>
      <c r="BJ32" s="18">
        <v>1.7</v>
      </c>
      <c r="BK32" s="15">
        <f>IFERROR(BI32/AZ32,"")</f>
        <v>0.10318702648550498</v>
      </c>
      <c r="BL32" s="22">
        <f>IFERROR(AI32+K32+S32+AA32-F32,"")</f>
        <v>0</v>
      </c>
      <c r="BM32" s="22">
        <f>IFERROR(F32+G32-C32,"")</f>
        <v>0</v>
      </c>
      <c r="BN32" s="22">
        <f>IF(I32="","",IFERROR(C32*1000/H32-I32,""))</f>
        <v>4.2121276455873158E-3</v>
      </c>
    </row>
    <row r="33" spans="1:66">
      <c r="A33" s="13" t="s">
        <v>161</v>
      </c>
      <c r="B33" s="13" t="s">
        <v>162</v>
      </c>
      <c r="C33" s="14">
        <v>415829</v>
      </c>
      <c r="D33" s="14">
        <v>578304</v>
      </c>
      <c r="E33" s="14">
        <v>576215</v>
      </c>
      <c r="F33" s="14">
        <v>381886</v>
      </c>
      <c r="G33" s="14">
        <v>33943</v>
      </c>
      <c r="H33" s="14">
        <v>14694</v>
      </c>
      <c r="I33" s="14">
        <v>28299.21</v>
      </c>
      <c r="J33" s="14">
        <v>34037.14</v>
      </c>
      <c r="K33" s="14">
        <v>34868</v>
      </c>
      <c r="L33" s="15">
        <f>IFERROR(K33/F33,"")</f>
        <v>9.1304734920892625E-2</v>
      </c>
      <c r="M33" s="16">
        <f>IFERROR(K33*1000/H33,"")</f>
        <v>2372.9413365999726</v>
      </c>
      <c r="N33" s="17">
        <f>IF(L33="","",RANK(L33,$L$3:$L$168,0)+COUNTIF($L$3:L33,L33)-1)</f>
        <v>63</v>
      </c>
      <c r="O33" s="17">
        <f>IF(K33="","",RANK(K33,$K$3:$K$168,0)+COUNTIF($K$3:K33,K33)-1)</f>
        <v>43</v>
      </c>
      <c r="P33" s="14">
        <v>323</v>
      </c>
      <c r="Q33" s="15">
        <f>IFERROR(P33/AR33,"")</f>
        <v>0.11088225197391006</v>
      </c>
      <c r="R33" s="16">
        <v>63</v>
      </c>
      <c r="S33" s="14">
        <v>228062</v>
      </c>
      <c r="T33" s="15">
        <f>IFERROR(S33/F33,"")</f>
        <v>0.59719916414846319</v>
      </c>
      <c r="U33" s="16">
        <f>IFERROR(S33*1000/H33,"")</f>
        <v>15520.75677147135</v>
      </c>
      <c r="V33" s="17">
        <f>IF(T33="","",RANK(T33,$T$3:$T$168,0)+COUNTIF($T$3:T33,T33)-1)</f>
        <v>4</v>
      </c>
      <c r="W33" s="17">
        <f>IF(S33="","",RANK(S33,$S$3:$S$168,0)+COUNTIF($S$3:S33,S33)-1)</f>
        <v>19</v>
      </c>
      <c r="X33" s="14">
        <v>603</v>
      </c>
      <c r="Y33" s="14">
        <v>1969</v>
      </c>
      <c r="Z33" s="15">
        <f>IFERROR((X33+Y33)/AR33,"")</f>
        <v>0.88293855132166155</v>
      </c>
      <c r="AA33" s="14">
        <v>99757</v>
      </c>
      <c r="AB33" s="15">
        <f>IFERROR(AA33/F33,"")</f>
        <v>0.2612219353419607</v>
      </c>
      <c r="AC33" s="16">
        <f>IFERROR(AA33*1000/H33,"")</f>
        <v>6788.9614808765482</v>
      </c>
      <c r="AD33" s="17">
        <f>IF(AB33="","",RANK(AB33,$AB$3:$AB$168,0)+COUNTIF($AB$3:AB33,AB33)-1)</f>
        <v>146</v>
      </c>
      <c r="AE33" s="17">
        <f>IF(AA33="","",RANK(AA33,$AA$3:$AA$168,0)+COUNTIF($AA$3:AA33,AA33)-1)</f>
        <v>33</v>
      </c>
      <c r="AF33" s="18">
        <v>70.89</v>
      </c>
      <c r="AG33" s="14">
        <v>132339954.45</v>
      </c>
      <c r="AH33" s="16">
        <f>IFERROR(AG33/AZ33,"")</f>
        <v>7817.352144249513</v>
      </c>
      <c r="AI33" s="14">
        <v>19198</v>
      </c>
      <c r="AJ33" s="15">
        <f>IFERROR(AI33/F33,"")</f>
        <v>5.0271547006174616E-2</v>
      </c>
      <c r="AK33" s="14">
        <v>1095</v>
      </c>
      <c r="AL33" s="14">
        <v>1143</v>
      </c>
      <c r="AM33" s="14">
        <v>1189</v>
      </c>
      <c r="AN33" s="14">
        <v>5455</v>
      </c>
      <c r="AO33" s="14">
        <v>3967</v>
      </c>
      <c r="AP33" s="18">
        <v>1.5</v>
      </c>
      <c r="AQ33" s="19">
        <f>IFERROR(AL33*1000/AZ33,"")</f>
        <v>67.517278043593834</v>
      </c>
      <c r="AR33" s="14">
        <v>2913</v>
      </c>
      <c r="AS33" s="14">
        <v>1478</v>
      </c>
      <c r="AT33" s="14">
        <v>1040</v>
      </c>
      <c r="AU33" s="14">
        <v>140</v>
      </c>
      <c r="AV33" s="14">
        <v>255</v>
      </c>
      <c r="AW33" s="15">
        <f>IFERROR(AS33/AR33,"")</f>
        <v>0.50738070717473394</v>
      </c>
      <c r="AX33" s="14">
        <v>12</v>
      </c>
      <c r="AY33" s="14">
        <v>6</v>
      </c>
      <c r="AZ33" s="14">
        <v>16929</v>
      </c>
      <c r="BA33" s="20">
        <v>102.68</v>
      </c>
      <c r="BB33" s="20">
        <v>164.87</v>
      </c>
      <c r="BC33" s="21">
        <v>0.64500000000000002</v>
      </c>
      <c r="BD33" s="18">
        <v>41.4</v>
      </c>
      <c r="BE33" s="18">
        <v>97.09</v>
      </c>
      <c r="BF33" s="18">
        <v>5</v>
      </c>
      <c r="BG33" s="18">
        <v>4.5999999999999996</v>
      </c>
      <c r="BH33" s="18">
        <v>21.39</v>
      </c>
      <c r="BI33" s="14">
        <v>5455</v>
      </c>
      <c r="BJ33" s="18">
        <v>1.5</v>
      </c>
      <c r="BK33" s="15">
        <f>IFERROR(BI33/AZ33,"")</f>
        <v>0.32222812924567312</v>
      </c>
      <c r="BL33" s="22">
        <f>IFERROR(AI33+K33+S33+AA33-F33,"")</f>
        <v>-1</v>
      </c>
      <c r="BM33" s="22">
        <f>IFERROR(F33+G33-C33,"")</f>
        <v>0</v>
      </c>
      <c r="BN33" s="22">
        <f>IF(I33="","",IFERROR(C33*1000/H33-I33,""))</f>
        <v>2.7784129579231376E-2</v>
      </c>
    </row>
    <row r="34" spans="1:66">
      <c r="A34" s="13" t="s">
        <v>163</v>
      </c>
      <c r="B34" s="13" t="s">
        <v>164</v>
      </c>
      <c r="C34" s="14">
        <v>386631</v>
      </c>
      <c r="D34" s="14">
        <v>440358</v>
      </c>
      <c r="E34" s="14">
        <v>471284</v>
      </c>
      <c r="F34" s="14">
        <v>344142</v>
      </c>
      <c r="G34" s="14">
        <v>42489</v>
      </c>
      <c r="H34" s="14">
        <v>14526</v>
      </c>
      <c r="I34" s="14">
        <v>26616.48</v>
      </c>
      <c r="J34" s="14">
        <v>35565.910000000003</v>
      </c>
      <c r="K34" s="14">
        <v>82343</v>
      </c>
      <c r="L34" s="15">
        <f>IFERROR(K34/F34,"")</f>
        <v>0.23927041744396207</v>
      </c>
      <c r="M34" s="16">
        <f>IFERROR(K34*1000/H34,"")</f>
        <v>5668.6630868787006</v>
      </c>
      <c r="N34" s="17">
        <f>IF(L34="","",RANK(L34,$L$3:$L$168,0)+COUNTIF($L$3:L34,L34)-1)</f>
        <v>31</v>
      </c>
      <c r="O34" s="17">
        <f>IF(K34="","",RANK(K34,$K$3:$K$168,0)+COUNTIF($K$3:K34,K34)-1)</f>
        <v>29</v>
      </c>
      <c r="P34" s="14">
        <v>74</v>
      </c>
      <c r="Q34" s="15">
        <f>IFERROR(P34/AR34,"")</f>
        <v>0.13237924865831843</v>
      </c>
      <c r="R34" s="16">
        <v>2</v>
      </c>
      <c r="S34" s="14">
        <v>74999</v>
      </c>
      <c r="T34" s="15">
        <f>IFERROR(S34/F34,"")</f>
        <v>0.21793038919980706</v>
      </c>
      <c r="U34" s="16">
        <f>IFERROR(S34*1000/H34,"")</f>
        <v>5163.0868787002619</v>
      </c>
      <c r="V34" s="17">
        <f>IF(T34="","",RANK(T34,$T$3:$T$168,0)+COUNTIF($T$3:T34,T34)-1)</f>
        <v>128</v>
      </c>
      <c r="W34" s="17">
        <f>IF(S34="","",RANK(S34,$S$3:$S$168,0)+COUNTIF($S$3:S34,S34)-1)</f>
        <v>38</v>
      </c>
      <c r="X34" s="14">
        <v>188</v>
      </c>
      <c r="Y34" s="14">
        <v>276</v>
      </c>
      <c r="Z34" s="15">
        <f>IFERROR((X34+Y34)/AR34,"")</f>
        <v>0.83005366726296959</v>
      </c>
      <c r="AA34" s="14">
        <v>94452</v>
      </c>
      <c r="AB34" s="15">
        <f>IFERROR(AA34/F34,"")</f>
        <v>0.27445647436232717</v>
      </c>
      <c r="AC34" s="16">
        <f>IFERROR(AA34*1000/H34,"")</f>
        <v>6502.2717885171414</v>
      </c>
      <c r="AD34" s="17">
        <f>IF(AB34="","",RANK(AB34,$AB$3:$AB$168,0)+COUNTIF($AB$3:AB34,AB34)-1)</f>
        <v>143</v>
      </c>
      <c r="AE34" s="17">
        <f>IF(AA34="","",RANK(AA34,$AA$3:$AA$168,0)+COUNTIF($AA$3:AA34,AA34)-1)</f>
        <v>37</v>
      </c>
      <c r="AF34" s="18">
        <v>92.35</v>
      </c>
      <c r="AG34" s="14">
        <v>90110772.390000001</v>
      </c>
      <c r="AH34" s="16">
        <f>IFERROR(AG34/AZ34,"")</f>
        <v>6800.2997803939325</v>
      </c>
      <c r="AI34" s="14">
        <v>92347</v>
      </c>
      <c r="AJ34" s="15">
        <f>IFERROR(AI34/F34,"")</f>
        <v>0.2683398132166373</v>
      </c>
      <c r="AK34" s="14">
        <v>166</v>
      </c>
      <c r="AL34" s="14">
        <v>193</v>
      </c>
      <c r="AM34" s="14">
        <v>198</v>
      </c>
      <c r="AN34" s="14">
        <v>3066</v>
      </c>
      <c r="AO34" s="14">
        <v>2894</v>
      </c>
      <c r="AP34" s="18">
        <v>1.7</v>
      </c>
      <c r="AQ34" s="19">
        <f>IFERROR(AL34*1000/AZ34,"")</f>
        <v>14.564938495207908</v>
      </c>
      <c r="AR34" s="14">
        <v>559</v>
      </c>
      <c r="AS34" s="14">
        <v>336</v>
      </c>
      <c r="AT34" s="14">
        <v>126</v>
      </c>
      <c r="AU34" s="14">
        <v>11</v>
      </c>
      <c r="AV34" s="14">
        <v>86</v>
      </c>
      <c r="AW34" s="15">
        <f>IFERROR(AS34/AR34,"")</f>
        <v>0.60107334525939182</v>
      </c>
      <c r="AX34" s="14">
        <v>15</v>
      </c>
      <c r="AY34" s="14">
        <v>6</v>
      </c>
      <c r="AZ34" s="14">
        <v>13251</v>
      </c>
      <c r="BA34" s="20">
        <v>115.407</v>
      </c>
      <c r="BB34" s="20">
        <v>114.82</v>
      </c>
      <c r="BC34" s="21">
        <v>0.60599999999999998</v>
      </c>
      <c r="BD34" s="18">
        <v>51</v>
      </c>
      <c r="BE34" s="18">
        <v>98.52</v>
      </c>
      <c r="BF34" s="18">
        <v>4.8</v>
      </c>
      <c r="BG34" s="18">
        <v>3.7</v>
      </c>
      <c r="BH34" s="18">
        <v>18.170000000000002</v>
      </c>
      <c r="BI34" s="14">
        <v>3066</v>
      </c>
      <c r="BJ34" s="18">
        <v>1.7</v>
      </c>
      <c r="BK34" s="15">
        <f>IFERROR(BI34/AZ34,"")</f>
        <v>0.23137876386687797</v>
      </c>
      <c r="BL34" s="22">
        <f>IFERROR(AI34+K34+S34+AA34-F34,"")</f>
        <v>-1</v>
      </c>
      <c r="BM34" s="22">
        <f>IFERROR(F34+G34-C34,"")</f>
        <v>0</v>
      </c>
      <c r="BN34" s="22">
        <f>IF(I34="","",IFERROR(C34*1000/H34-I34,""))</f>
        <v>7.9306072075269185E-4</v>
      </c>
    </row>
    <row r="35" spans="1:66">
      <c r="A35" s="13" t="s">
        <v>165</v>
      </c>
      <c r="B35" s="13" t="s">
        <v>166</v>
      </c>
      <c r="C35" s="14">
        <v>386259</v>
      </c>
      <c r="D35" s="14">
        <v>600066</v>
      </c>
      <c r="E35" s="14">
        <v>595842</v>
      </c>
      <c r="F35" s="14">
        <v>367833</v>
      </c>
      <c r="G35" s="14">
        <v>18426</v>
      </c>
      <c r="H35" s="14">
        <v>13115</v>
      </c>
      <c r="I35" s="14">
        <v>29451.69</v>
      </c>
      <c r="J35" s="14">
        <v>49936.49</v>
      </c>
      <c r="K35" s="14">
        <v>171946</v>
      </c>
      <c r="L35" s="15">
        <f>IFERROR(K35/F35,"")</f>
        <v>0.46745669909986326</v>
      </c>
      <c r="M35" s="16">
        <f>IFERROR(K35*1000/H35,"")</f>
        <v>13110.636675562333</v>
      </c>
      <c r="N35" s="17">
        <f>IF(L35="","",RANK(L35,$L$3:$L$168,0)+COUNTIF($L$3:L35,L35)-1)</f>
        <v>15</v>
      </c>
      <c r="O35" s="17">
        <f>IF(K35="","",RANK(K35,$K$3:$K$168,0)+COUNTIF($K$3:K35,K35)-1)</f>
        <v>20</v>
      </c>
      <c r="P35" s="14">
        <v>92</v>
      </c>
      <c r="Q35" s="15">
        <f>IFERROR(P35/AR35,"")</f>
        <v>0.18661257606490872</v>
      </c>
      <c r="R35" s="16">
        <v>17</v>
      </c>
      <c r="S35" s="14">
        <v>80074</v>
      </c>
      <c r="T35" s="15">
        <f>IFERROR(S35/F35,"")</f>
        <v>0.21769118050854599</v>
      </c>
      <c r="U35" s="16">
        <f>IFERROR(S35*1000/H35,"")</f>
        <v>6105.5280213495998</v>
      </c>
      <c r="V35" s="17">
        <f>IF(T35="","",RANK(T35,$T$3:$T$168,0)+COUNTIF($T$3:T35,T35)-1)</f>
        <v>129</v>
      </c>
      <c r="W35" s="17">
        <f>IF(S35="","",RANK(S35,$S$3:$S$168,0)+COUNTIF($S$3:S35,S35)-1)</f>
        <v>35</v>
      </c>
      <c r="X35" s="14">
        <v>187</v>
      </c>
      <c r="Y35" s="14">
        <v>185</v>
      </c>
      <c r="Z35" s="15">
        <f>IFERROR((X35+Y35)/AR35,"")</f>
        <v>0.75456389452332662</v>
      </c>
      <c r="AA35" s="14">
        <v>82795</v>
      </c>
      <c r="AB35" s="15">
        <f>IFERROR(AA35/F35,"")</f>
        <v>0.2250885592102938</v>
      </c>
      <c r="AC35" s="16">
        <f>IFERROR(AA35*1000/H35,"")</f>
        <v>6313.0003812428513</v>
      </c>
      <c r="AD35" s="17">
        <f>IF(AB35="","",RANK(AB35,$AB$3:$AB$168,0)+COUNTIF($AB$3:AB35,AB35)-1)</f>
        <v>152</v>
      </c>
      <c r="AE35" s="17">
        <f>IF(AA35="","",RANK(AA35,$AA$3:$AA$168,0)+COUNTIF($AA$3:AA35,AA35)-1)</f>
        <v>44</v>
      </c>
      <c r="AF35" s="18">
        <v>85.76</v>
      </c>
      <c r="AG35" s="14">
        <v>102389697.54000001</v>
      </c>
      <c r="AH35" s="16">
        <f>IFERROR(AG35/AZ35,"")</f>
        <v>8576.7882007036369</v>
      </c>
      <c r="AI35" s="14">
        <v>33017</v>
      </c>
      <c r="AJ35" s="15">
        <f>IFERROR(AI35/F35,"")</f>
        <v>8.9760842556268747E-2</v>
      </c>
      <c r="AK35" s="14">
        <v>211</v>
      </c>
      <c r="AL35" s="14">
        <v>246</v>
      </c>
      <c r="AM35" s="14">
        <v>252</v>
      </c>
      <c r="AN35" s="14">
        <v>1624</v>
      </c>
      <c r="AO35" s="14">
        <v>1394</v>
      </c>
      <c r="AP35" s="18">
        <v>1.9</v>
      </c>
      <c r="AQ35" s="19">
        <f>IFERROR(AL35*1000/AZ35,"")</f>
        <v>20.606466744848383</v>
      </c>
      <c r="AR35" s="14">
        <v>493</v>
      </c>
      <c r="AS35" s="14">
        <v>189</v>
      </c>
      <c r="AT35" s="14">
        <v>192</v>
      </c>
      <c r="AU35" s="14">
        <v>18</v>
      </c>
      <c r="AV35" s="14">
        <v>94</v>
      </c>
      <c r="AW35" s="15">
        <f>IFERROR(AS35/AR35,"")</f>
        <v>0.38336713995943206</v>
      </c>
      <c r="AX35" s="14">
        <v>15</v>
      </c>
      <c r="AY35" s="14">
        <v>14</v>
      </c>
      <c r="AZ35" s="14">
        <v>11938</v>
      </c>
      <c r="BA35" s="20">
        <v>1109.3599999999999</v>
      </c>
      <c r="BB35" s="20">
        <v>10.57</v>
      </c>
      <c r="BC35" s="21">
        <v>0.59199999999999997</v>
      </c>
      <c r="BD35" s="18">
        <v>51.9</v>
      </c>
      <c r="BE35" s="18">
        <v>98.57</v>
      </c>
      <c r="BF35" s="18">
        <v>5.0999999999999996</v>
      </c>
      <c r="BG35" s="18">
        <v>4.7</v>
      </c>
      <c r="BH35" s="18">
        <v>0.48</v>
      </c>
      <c r="BI35" s="14">
        <v>1624</v>
      </c>
      <c r="BJ35" s="18">
        <v>1.9</v>
      </c>
      <c r="BK35" s="15">
        <f>IFERROR(BI35/AZ35,"")</f>
        <v>0.13603618696599096</v>
      </c>
      <c r="BL35" s="22">
        <f>IFERROR(AI35+K35+S35+AA35-F35,"")</f>
        <v>-1</v>
      </c>
      <c r="BM35" s="22">
        <f>IFERROR(F35+G35-C35,"")</f>
        <v>0</v>
      </c>
      <c r="BN35" s="22">
        <f>IF(I35="","",IFERROR(C35*1000/H35-I35,""))</f>
        <v>6.5306900505675003E-3</v>
      </c>
    </row>
    <row r="36" spans="1:66">
      <c r="A36" s="13" t="s">
        <v>167</v>
      </c>
      <c r="B36" s="13" t="s">
        <v>168</v>
      </c>
      <c r="C36" s="14">
        <v>373657</v>
      </c>
      <c r="D36" s="14">
        <v>538285</v>
      </c>
      <c r="E36" s="14">
        <v>540233</v>
      </c>
      <c r="F36" s="14">
        <v>350488</v>
      </c>
      <c r="G36" s="14">
        <v>23168</v>
      </c>
      <c r="H36" s="14">
        <v>20588</v>
      </c>
      <c r="I36" s="14">
        <v>18149.25</v>
      </c>
      <c r="J36" s="14">
        <v>27543.25</v>
      </c>
      <c r="K36" s="14">
        <v>89197</v>
      </c>
      <c r="L36" s="15">
        <f>IFERROR(K36/F36,"")</f>
        <v>0.2544937344502522</v>
      </c>
      <c r="M36" s="16">
        <f>IFERROR(K36*1000/H36,"")</f>
        <v>4332.4752282883237</v>
      </c>
      <c r="N36" s="17">
        <f>IF(L36="","",RANK(L36,$L$3:$L$168,0)+COUNTIF($L$3:L36,L36)-1)</f>
        <v>30</v>
      </c>
      <c r="O36" s="17">
        <f>IF(K36="","",RANK(K36,$K$3:$K$168,0)+COUNTIF($K$3:K36,K36)-1)</f>
        <v>25</v>
      </c>
      <c r="P36" s="14">
        <v>139</v>
      </c>
      <c r="Q36" s="15">
        <f>IFERROR(P36/AR36,"")</f>
        <v>0.11809685641461343</v>
      </c>
      <c r="R36" s="16">
        <v>23</v>
      </c>
      <c r="S36" s="14">
        <v>114031</v>
      </c>
      <c r="T36" s="15">
        <f>IFERROR(S36/F36,"")</f>
        <v>0.32534922736299104</v>
      </c>
      <c r="U36" s="16">
        <f>IFERROR(S36*1000/H36,"")</f>
        <v>5538.7118709928118</v>
      </c>
      <c r="V36" s="17">
        <f>IF(T36="","",RANK(T36,$T$3:$T$168,0)+COUNTIF($T$3:T36,T36)-1)</f>
        <v>45</v>
      </c>
      <c r="W36" s="17">
        <f>IF(S36="","",RANK(S36,$S$3:$S$168,0)+COUNTIF($S$3:S36,S36)-1)</f>
        <v>29</v>
      </c>
      <c r="X36" s="14">
        <v>470</v>
      </c>
      <c r="Y36" s="14">
        <v>546</v>
      </c>
      <c r="Z36" s="15">
        <f>IFERROR((X36+Y36)/AR36,"")</f>
        <v>0.86321155480033984</v>
      </c>
      <c r="AA36" s="14">
        <v>125133</v>
      </c>
      <c r="AB36" s="15">
        <f>IFERROR(AA36/F36,"")</f>
        <v>0.35702506219899111</v>
      </c>
      <c r="AC36" s="16">
        <f>IFERROR(AA36*1000/H36,"")</f>
        <v>6077.9580338061005</v>
      </c>
      <c r="AD36" s="17">
        <f>IF(AB36="","",RANK(AB36,$AB$3:$AB$168,0)+COUNTIF($AB$3:AB36,AB36)-1)</f>
        <v>128</v>
      </c>
      <c r="AE36" s="17">
        <f>IF(AA36="","",RANK(AA36,$AA$3:$AA$168,0)+COUNTIF($AA$3:AA36,AA36)-1)</f>
        <v>28</v>
      </c>
      <c r="AF36" s="18">
        <v>91.61</v>
      </c>
      <c r="AG36" s="14">
        <v>128350999.09</v>
      </c>
      <c r="AH36" s="16">
        <f>IFERROR(AG36/AZ36,"")</f>
        <v>6506.3617929740967</v>
      </c>
      <c r="AI36" s="14">
        <v>22127</v>
      </c>
      <c r="AJ36" s="15">
        <f>IFERROR(AI36/F36,"")</f>
        <v>6.3131975987765626E-2</v>
      </c>
      <c r="AK36" s="14">
        <v>497</v>
      </c>
      <c r="AL36" s="14">
        <v>549</v>
      </c>
      <c r="AM36" s="14">
        <v>571</v>
      </c>
      <c r="AN36" s="14">
        <v>2096</v>
      </c>
      <c r="AO36" s="14">
        <v>1516</v>
      </c>
      <c r="AP36" s="18">
        <v>2.1</v>
      </c>
      <c r="AQ36" s="19">
        <f>IFERROR(AL36*1000/AZ36,"")</f>
        <v>27.829877832412429</v>
      </c>
      <c r="AR36" s="14">
        <v>1177</v>
      </c>
      <c r="AS36" s="14">
        <v>494</v>
      </c>
      <c r="AT36" s="14">
        <v>391</v>
      </c>
      <c r="AU36" s="14">
        <v>48</v>
      </c>
      <c r="AV36" s="14">
        <v>244</v>
      </c>
      <c r="AW36" s="15">
        <f>IFERROR(AS36/AR36,"")</f>
        <v>0.41971112999150384</v>
      </c>
      <c r="AX36" s="14">
        <v>11</v>
      </c>
      <c r="AY36" s="14">
        <v>11</v>
      </c>
      <c r="AZ36" s="14">
        <v>19727</v>
      </c>
      <c r="BA36" s="20">
        <v>1094.4880000000001</v>
      </c>
      <c r="BB36" s="20">
        <v>18</v>
      </c>
      <c r="BC36" s="21">
        <v>0.63800000000000001</v>
      </c>
      <c r="BD36" s="18">
        <v>49.6</v>
      </c>
      <c r="BE36" s="18">
        <v>98.85</v>
      </c>
      <c r="BF36" s="18">
        <v>5.7</v>
      </c>
      <c r="BG36" s="18">
        <v>4.5999999999999996</v>
      </c>
      <c r="BH36" s="18">
        <v>10.8</v>
      </c>
      <c r="BI36" s="14">
        <v>2096</v>
      </c>
      <c r="BJ36" s="18">
        <v>2.1</v>
      </c>
      <c r="BK36" s="15">
        <f>IFERROR(BI36/AZ36,"")</f>
        <v>0.10625031682465656</v>
      </c>
      <c r="BL36" s="22">
        <f>IFERROR(AI36+K36+S36+AA36-F36,"")</f>
        <v>0</v>
      </c>
      <c r="BM36" s="22">
        <f>IFERROR(F36+G36-C36,"")</f>
        <v>-1</v>
      </c>
      <c r="BN36" s="22">
        <f>IF(I36="","",IFERROR(C36*1000/H36-I36,""))</f>
        <v>1.1705848068231717E-2</v>
      </c>
    </row>
    <row r="37" spans="1:66">
      <c r="A37" s="13" t="s">
        <v>169</v>
      </c>
      <c r="B37" s="13" t="s">
        <v>170</v>
      </c>
      <c r="C37" s="14">
        <v>368924</v>
      </c>
      <c r="D37" s="14">
        <v>423937</v>
      </c>
      <c r="E37" s="14">
        <v>473775</v>
      </c>
      <c r="F37" s="14">
        <v>338469</v>
      </c>
      <c r="G37" s="14">
        <v>30455</v>
      </c>
      <c r="H37" s="14">
        <v>21611</v>
      </c>
      <c r="I37" s="14">
        <v>17071.099999999999</v>
      </c>
      <c r="J37" s="14">
        <v>22037.08</v>
      </c>
      <c r="K37" s="14">
        <v>63401</v>
      </c>
      <c r="L37" s="15">
        <f>IFERROR(K37/F37,"")</f>
        <v>0.18731700687507571</v>
      </c>
      <c r="M37" s="16">
        <f>IFERROR(K37*1000/H37,"")</f>
        <v>2933.7374485215864</v>
      </c>
      <c r="N37" s="17">
        <f>IF(L37="","",RANK(L37,$L$3:$L$168,0)+COUNTIF($L$3:L37,L37)-1)</f>
        <v>37</v>
      </c>
      <c r="O37" s="17">
        <f>IF(K37="","",RANK(K37,$K$3:$K$168,0)+COUNTIF($K$3:K37,K37)-1)</f>
        <v>37</v>
      </c>
      <c r="P37" s="14">
        <v>482</v>
      </c>
      <c r="Q37" s="15">
        <f>IFERROR(P37/AR37,"")</f>
        <v>0.20311841550779605</v>
      </c>
      <c r="R37" s="16">
        <v>46</v>
      </c>
      <c r="S37" s="14">
        <v>137530</v>
      </c>
      <c r="T37" s="15">
        <f>IFERROR(S37/F37,"")</f>
        <v>0.40632967864117542</v>
      </c>
      <c r="U37" s="16">
        <f>IFERROR(S37*1000/H37,"")</f>
        <v>6363.888760353524</v>
      </c>
      <c r="V37" s="17">
        <f>IF(T37="","",RANK(T37,$T$3:$T$168,0)+COUNTIF($T$3:T37,T37)-1)</f>
        <v>24</v>
      </c>
      <c r="W37" s="17">
        <f>IF(S37="","",RANK(S37,$S$3:$S$168,0)+COUNTIF($S$3:S37,S37)-1)</f>
        <v>26</v>
      </c>
      <c r="X37" s="14">
        <v>791</v>
      </c>
      <c r="Y37" s="14">
        <v>1077</v>
      </c>
      <c r="Z37" s="15">
        <f>IFERROR((X37+Y37)/AR37,"")</f>
        <v>0.78718921196797298</v>
      </c>
      <c r="AA37" s="14">
        <v>124957</v>
      </c>
      <c r="AB37" s="15">
        <f>IFERROR(AA37/F37,"")</f>
        <v>0.3691829975566448</v>
      </c>
      <c r="AC37" s="16">
        <f>IFERROR(AA37*1000/H37,"")</f>
        <v>5782.1017074637912</v>
      </c>
      <c r="AD37" s="17">
        <f>IF(AB37="","",RANK(AB37,$AB$3:$AB$168,0)+COUNTIF($AB$3:AB37,AB37)-1)</f>
        <v>124</v>
      </c>
      <c r="AE37" s="17">
        <f>IF(AA37="","",RANK(AA37,$AA$3:$AA$168,0)+COUNTIF($AA$3:AA37,AA37)-1)</f>
        <v>29</v>
      </c>
      <c r="AF37" s="18">
        <v>84.2</v>
      </c>
      <c r="AG37" s="14">
        <v>116822023.70999999</v>
      </c>
      <c r="AH37" s="16">
        <f>IFERROR(AG37/AZ37,"")</f>
        <v>5433.8352346620768</v>
      </c>
      <c r="AI37" s="14">
        <v>12580</v>
      </c>
      <c r="AJ37" s="15">
        <f>IFERROR(AI37/F37,"")</f>
        <v>3.7167362446782426E-2</v>
      </c>
      <c r="AK37" s="14">
        <v>838</v>
      </c>
      <c r="AL37" s="14">
        <v>872</v>
      </c>
      <c r="AM37" s="14">
        <v>933</v>
      </c>
      <c r="AN37" s="14">
        <v>4251</v>
      </c>
      <c r="AO37" s="14">
        <v>3326</v>
      </c>
      <c r="AP37" s="18">
        <v>1.6</v>
      </c>
      <c r="AQ37" s="19">
        <f>IFERROR(AL37*1000/AZ37,"")</f>
        <v>40.560026047723149</v>
      </c>
      <c r="AR37" s="14">
        <v>2373</v>
      </c>
      <c r="AS37" s="14">
        <v>1293</v>
      </c>
      <c r="AT37" s="14">
        <v>825</v>
      </c>
      <c r="AU37" s="14">
        <v>56</v>
      </c>
      <c r="AV37" s="14">
        <v>199</v>
      </c>
      <c r="AW37" s="15">
        <f>IFERROR(AS37/AR37,"")</f>
        <v>0.54487989886219979</v>
      </c>
      <c r="AX37" s="14">
        <v>13</v>
      </c>
      <c r="AY37" s="14">
        <v>10</v>
      </c>
      <c r="AZ37" s="14">
        <v>21499</v>
      </c>
      <c r="BA37" s="20">
        <v>513.50699999999995</v>
      </c>
      <c r="BB37" s="20">
        <v>41.87</v>
      </c>
      <c r="BC37" s="21">
        <v>0.67600000000000005</v>
      </c>
      <c r="BD37" s="18">
        <v>41.7</v>
      </c>
      <c r="BE37" s="18">
        <v>99.28</v>
      </c>
      <c r="BF37" s="18">
        <v>6.3</v>
      </c>
      <c r="BG37" s="18">
        <v>4.8</v>
      </c>
      <c r="BH37" s="18">
        <v>74.33</v>
      </c>
      <c r="BI37" s="14">
        <v>4251</v>
      </c>
      <c r="BJ37" s="18">
        <v>1.6</v>
      </c>
      <c r="BK37" s="15">
        <f>IFERROR(BI37/AZ37,"")</f>
        <v>0.19773012698265036</v>
      </c>
      <c r="BL37" s="22">
        <f>IFERROR(AI37+K37+S37+AA37-F37,"")</f>
        <v>-1</v>
      </c>
      <c r="BM37" s="22">
        <f>IFERROR(F37+G37-C37,"")</f>
        <v>0</v>
      </c>
      <c r="BN37" s="22">
        <f>IF(I37="","",IFERROR(C37*1000/H37-I37,""))</f>
        <v>2.1188283746596426E-2</v>
      </c>
    </row>
    <row r="38" spans="1:66">
      <c r="A38" s="13" t="s">
        <v>171</v>
      </c>
      <c r="B38" s="13" t="s">
        <v>172</v>
      </c>
      <c r="C38" s="14">
        <v>325030</v>
      </c>
      <c r="D38" s="14">
        <v>276105</v>
      </c>
      <c r="E38" s="14">
        <v>335923</v>
      </c>
      <c r="F38" s="14">
        <v>292927</v>
      </c>
      <c r="G38" s="14">
        <v>32104</v>
      </c>
      <c r="H38" s="14">
        <v>9373</v>
      </c>
      <c r="I38" s="14">
        <v>34677.300000000003</v>
      </c>
      <c r="J38" s="14">
        <v>38064.949999999997</v>
      </c>
      <c r="K38" s="14">
        <v>97477</v>
      </c>
      <c r="L38" s="15">
        <f>IFERROR(K38/F38,"")</f>
        <v>0.33276891512219769</v>
      </c>
      <c r="M38" s="16">
        <f>IFERROR(K38*1000/H38,"")</f>
        <v>10399.765283260429</v>
      </c>
      <c r="N38" s="17">
        <f>IF(L38="","",RANK(L38,$L$3:$L$168,0)+COUNTIF($L$3:L38,L38)-1)</f>
        <v>23</v>
      </c>
      <c r="O38" s="17">
        <f>IF(K38="","",RANK(K38,$K$3:$K$168,0)+COUNTIF($K$3:K38,K38)-1)</f>
        <v>24</v>
      </c>
      <c r="P38" s="14">
        <v>112</v>
      </c>
      <c r="Q38" s="15">
        <f>IFERROR(P38/AR38,"")</f>
        <v>0.15384615384615385</v>
      </c>
      <c r="R38" s="16">
        <v>12</v>
      </c>
      <c r="S38" s="14">
        <v>64390</v>
      </c>
      <c r="T38" s="15">
        <f>IFERROR(S38/F38,"")</f>
        <v>0.21981585855861699</v>
      </c>
      <c r="U38" s="16">
        <f>IFERROR(S38*1000/H38,"")</f>
        <v>6869.732209538035</v>
      </c>
      <c r="V38" s="17">
        <f>IF(T38="","",RANK(T38,$T$3:$T$168,0)+COUNTIF($T$3:T38,T38)-1)</f>
        <v>126</v>
      </c>
      <c r="W38" s="17">
        <f>IF(S38="","",RANK(S38,$S$3:$S$168,0)+COUNTIF($S$3:S38,S38)-1)</f>
        <v>43</v>
      </c>
      <c r="X38" s="14">
        <v>208</v>
      </c>
      <c r="Y38" s="14">
        <v>387</v>
      </c>
      <c r="Z38" s="15">
        <f>IFERROR((X38+Y38)/AR38,"")</f>
        <v>0.81730769230769229</v>
      </c>
      <c r="AA38" s="14">
        <v>56159</v>
      </c>
      <c r="AB38" s="15">
        <f>IFERROR(AA38/F38,"")</f>
        <v>0.19171670757560758</v>
      </c>
      <c r="AC38" s="16">
        <f>IFERROR(AA38*1000/H38,"")</f>
        <v>5991.5715352608559</v>
      </c>
      <c r="AD38" s="17">
        <f>IF(AB38="","",RANK(AB38,$AB$3:$AB$168,0)+COUNTIF($AB$3:AB38,AB38)-1)</f>
        <v>154</v>
      </c>
      <c r="AE38" s="17">
        <f>IF(AA38="","",RANK(AA38,$AA$3:$AA$168,0)+COUNTIF($AA$3:AA38,AA38)-1)</f>
        <v>75</v>
      </c>
      <c r="AF38" s="18">
        <v>91.84</v>
      </c>
      <c r="AG38" s="14">
        <v>69834311.650000006</v>
      </c>
      <c r="AH38" s="16">
        <f>IFERROR(AG38/AZ38,"")</f>
        <v>7913.2364475920685</v>
      </c>
      <c r="AI38" s="14">
        <v>74901</v>
      </c>
      <c r="AJ38" s="15">
        <f>IFERROR(AI38/F38,"")</f>
        <v>0.25569851874357774</v>
      </c>
      <c r="AK38" s="14">
        <v>239</v>
      </c>
      <c r="AL38" s="14">
        <v>237</v>
      </c>
      <c r="AM38" s="14">
        <v>244</v>
      </c>
      <c r="AN38" s="14">
        <v>3162</v>
      </c>
      <c r="AO38" s="14">
        <v>2942</v>
      </c>
      <c r="AP38" s="18">
        <v>1.7</v>
      </c>
      <c r="AQ38" s="19">
        <f>IFERROR(AL38*1000/AZ38,"")</f>
        <v>26.855524079320112</v>
      </c>
      <c r="AR38" s="14">
        <v>728</v>
      </c>
      <c r="AS38" s="14">
        <v>400</v>
      </c>
      <c r="AT38" s="14">
        <v>220</v>
      </c>
      <c r="AU38" s="14">
        <v>16</v>
      </c>
      <c r="AV38" s="14">
        <v>92</v>
      </c>
      <c r="AW38" s="15">
        <f>IFERROR(AS38/AR38,"")</f>
        <v>0.5494505494505495</v>
      </c>
      <c r="AX38" s="14">
        <v>16</v>
      </c>
      <c r="AY38" s="14">
        <v>5</v>
      </c>
      <c r="AZ38" s="14">
        <v>8825</v>
      </c>
      <c r="BA38" s="20">
        <v>247.48400000000001</v>
      </c>
      <c r="BB38" s="20">
        <v>35.659999999999997</v>
      </c>
      <c r="BC38" s="21">
        <v>0.60899999999999999</v>
      </c>
      <c r="BD38" s="18">
        <v>47.9</v>
      </c>
      <c r="BE38" s="18">
        <v>98.62</v>
      </c>
      <c r="BF38" s="18">
        <v>5.6</v>
      </c>
      <c r="BG38" s="18">
        <v>4.8</v>
      </c>
      <c r="BH38" s="18">
        <v>4.12</v>
      </c>
      <c r="BI38" s="14">
        <v>3162</v>
      </c>
      <c r="BJ38" s="18">
        <v>1.7</v>
      </c>
      <c r="BK38" s="15">
        <f>IFERROR(BI38/AZ38,"")</f>
        <v>0.35830028328611896</v>
      </c>
      <c r="BL38" s="22">
        <f>IFERROR(AI38+K38+S38+AA38-F38,"")</f>
        <v>0</v>
      </c>
      <c r="BM38" s="22">
        <f>IFERROR(F38+G38-C38,"")</f>
        <v>1</v>
      </c>
      <c r="BN38" s="22">
        <f>IF(I38="","",IFERROR(C38*1000/H38-I38,""))</f>
        <v>-3.5516910276783165E-2</v>
      </c>
    </row>
    <row r="39" spans="1:66">
      <c r="A39" s="13" t="s">
        <v>173</v>
      </c>
      <c r="B39" s="13" t="s">
        <v>174</v>
      </c>
      <c r="C39" s="14">
        <v>319740</v>
      </c>
      <c r="D39" s="14">
        <v>386805</v>
      </c>
      <c r="E39" s="14">
        <v>420064</v>
      </c>
      <c r="F39" s="14">
        <v>286185</v>
      </c>
      <c r="G39" s="14">
        <v>33554</v>
      </c>
      <c r="H39" s="14">
        <v>23789</v>
      </c>
      <c r="I39" s="14">
        <v>13440.66</v>
      </c>
      <c r="J39" s="14">
        <v>17846.95</v>
      </c>
      <c r="K39" s="14">
        <v>8963</v>
      </c>
      <c r="L39" s="15">
        <f>IFERROR(K39/F39,"")</f>
        <v>3.131890210877579E-2</v>
      </c>
      <c r="M39" s="16">
        <f>IFERROR(K39*1000/H39,"")</f>
        <v>376.77077640926478</v>
      </c>
      <c r="N39" s="17">
        <f>IF(L39="","",RANK(L39,$L$3:$L$168,0)+COUNTIF($L$3:L39,L39)-1)</f>
        <v>147</v>
      </c>
      <c r="O39" s="17">
        <f>IF(K39="","",RANK(K39,$K$3:$K$168,0)+COUNTIF($K$3:K39,K39)-1)</f>
        <v>70</v>
      </c>
      <c r="P39" s="14">
        <v>171</v>
      </c>
      <c r="Q39" s="15">
        <f>IFERROR(P39/AR39,"")</f>
        <v>0.11067961165048544</v>
      </c>
      <c r="R39" s="16">
        <v>15</v>
      </c>
      <c r="S39" s="14">
        <v>129482</v>
      </c>
      <c r="T39" s="15">
        <f>IFERROR(S39/F39,"")</f>
        <v>0.45244160245994725</v>
      </c>
      <c r="U39" s="16">
        <f>IFERROR(S39*1000/H39,"")</f>
        <v>5442.9358106687969</v>
      </c>
      <c r="V39" s="17">
        <f>IF(T39="","",RANK(T39,$T$3:$T$168,0)+COUNTIF($T$3:T39,T39)-1)</f>
        <v>13</v>
      </c>
      <c r="W39" s="17">
        <f>IF(S39="","",RANK(S39,$S$3:$S$168,0)+COUNTIF($S$3:S39,S39)-1)</f>
        <v>27</v>
      </c>
      <c r="X39" s="14">
        <v>686</v>
      </c>
      <c r="Y39" s="14">
        <v>670</v>
      </c>
      <c r="Z39" s="15">
        <f>IFERROR((X39+Y39)/AR39,"")</f>
        <v>0.87766990291262137</v>
      </c>
      <c r="AA39" s="14">
        <v>137393</v>
      </c>
      <c r="AB39" s="15">
        <f>IFERROR(AA39/F39,"")</f>
        <v>0.48008456068626937</v>
      </c>
      <c r="AC39" s="16">
        <f>IFERROR(AA39*1000/H39,"")</f>
        <v>5775.4844676110806</v>
      </c>
      <c r="AD39" s="17">
        <f>IF(AB39="","",RANK(AB39,$AB$3:$AB$168,0)+COUNTIF($AB$3:AB39,AB39)-1)</f>
        <v>95</v>
      </c>
      <c r="AE39" s="17">
        <f>IF(AA39="","",RANK(AA39,$AA$3:$AA$168,0)+COUNTIF($AA$3:AA39,AA39)-1)</f>
        <v>26</v>
      </c>
      <c r="AF39" s="18">
        <v>77.319999999999993</v>
      </c>
      <c r="AG39" s="14">
        <v>151014095.62</v>
      </c>
      <c r="AH39" s="16">
        <f>IFERROR(AG39/AZ39,"")</f>
        <v>6416.0298942091176</v>
      </c>
      <c r="AI39" s="14">
        <v>10348</v>
      </c>
      <c r="AJ39" s="15">
        <f>IFERROR(AI39/F39,"")</f>
        <v>3.615842898824187E-2</v>
      </c>
      <c r="AK39" s="14">
        <v>532</v>
      </c>
      <c r="AL39" s="14">
        <v>613</v>
      </c>
      <c r="AM39" s="14">
        <v>632</v>
      </c>
      <c r="AN39" s="14">
        <v>2050</v>
      </c>
      <c r="AO39" s="14">
        <v>1428</v>
      </c>
      <c r="AP39" s="18">
        <v>2.2000000000000002</v>
      </c>
      <c r="AQ39" s="19">
        <f>IFERROR(AL39*1000/AZ39,"")</f>
        <v>26.044100777499256</v>
      </c>
      <c r="AR39" s="14">
        <v>1545</v>
      </c>
      <c r="AS39" s="14">
        <v>712</v>
      </c>
      <c r="AT39" s="14">
        <v>604</v>
      </c>
      <c r="AU39" s="14">
        <v>61</v>
      </c>
      <c r="AV39" s="14">
        <v>168</v>
      </c>
      <c r="AW39" s="15">
        <f>IFERROR(AS39/AR39,"")</f>
        <v>0.46084142394822009</v>
      </c>
      <c r="AX39" s="14">
        <v>6</v>
      </c>
      <c r="AY39" s="14">
        <v>12</v>
      </c>
      <c r="AZ39" s="14">
        <v>23537</v>
      </c>
      <c r="BA39" s="20">
        <v>166.233</v>
      </c>
      <c r="BB39" s="20">
        <v>141.59</v>
      </c>
      <c r="BC39" s="21">
        <v>0.60599999999999998</v>
      </c>
      <c r="BD39" s="18">
        <v>52.1</v>
      </c>
      <c r="BE39" s="18">
        <v>96.15</v>
      </c>
      <c r="BF39" s="18">
        <v>6.2</v>
      </c>
      <c r="BG39" s="18">
        <v>4.4000000000000004</v>
      </c>
      <c r="BH39" s="18">
        <v>7.06</v>
      </c>
      <c r="BI39" s="14">
        <v>2048</v>
      </c>
      <c r="BJ39" s="18">
        <v>2.2000000000000002</v>
      </c>
      <c r="BK39" s="15">
        <f>IFERROR(BI39/AZ39,"")</f>
        <v>8.7011938649785445E-2</v>
      </c>
      <c r="BL39" s="22">
        <f>IFERROR(AI39+K39+S39+AA39-F39,"")</f>
        <v>1</v>
      </c>
      <c r="BM39" s="22">
        <f>IFERROR(F39+G39-C39,"")</f>
        <v>-1</v>
      </c>
      <c r="BN39" s="22">
        <f>IF(I39="","",IFERROR(C39*1000/H39-I39,""))</f>
        <v>5.8539661185932346E-3</v>
      </c>
    </row>
    <row r="40" spans="1:66">
      <c r="A40" s="13" t="s">
        <v>175</v>
      </c>
      <c r="B40" s="13" t="s">
        <v>176</v>
      </c>
      <c r="C40" s="14">
        <v>315838</v>
      </c>
      <c r="D40" s="14">
        <v>391757</v>
      </c>
      <c r="E40" s="14">
        <v>442765</v>
      </c>
      <c r="F40" s="14">
        <v>283565</v>
      </c>
      <c r="G40" s="14">
        <v>32273</v>
      </c>
      <c r="H40" s="14">
        <v>18335</v>
      </c>
      <c r="I40" s="14">
        <v>17225.97</v>
      </c>
      <c r="J40" s="14">
        <v>24884.25</v>
      </c>
      <c r="K40" s="14">
        <v>54305</v>
      </c>
      <c r="L40" s="15">
        <f>IFERROR(K40/F40,"")</f>
        <v>0.19150811983143196</v>
      </c>
      <c r="M40" s="16">
        <f>IFERROR(K40*1000/H40,"")</f>
        <v>2961.8216525770385</v>
      </c>
      <c r="N40" s="17">
        <f>IF(L40="","",RANK(L40,$L$3:$L$168,0)+COUNTIF($L$3:L40,L40)-1)</f>
        <v>36</v>
      </c>
      <c r="O40" s="17">
        <f>IF(K40="","",RANK(K40,$K$3:$K$168,0)+COUNTIF($K$3:K40,K40)-1)</f>
        <v>39</v>
      </c>
      <c r="P40" s="14">
        <v>310</v>
      </c>
      <c r="Q40" s="15">
        <f>IFERROR(P40/AR40,"")</f>
        <v>0.26271186440677968</v>
      </c>
      <c r="R40" s="16">
        <v>32</v>
      </c>
      <c r="S40" s="14">
        <v>87739</v>
      </c>
      <c r="T40" s="15">
        <f>IFERROR(S40/F40,"")</f>
        <v>0.3094140673214254</v>
      </c>
      <c r="U40" s="16">
        <f>IFERROR(S40*1000/H40,"")</f>
        <v>4785.3286064903186</v>
      </c>
      <c r="V40" s="17">
        <f>IF(T40="","",RANK(T40,$T$3:$T$168,0)+COUNTIF($T$3:T40,T40)-1)</f>
        <v>52</v>
      </c>
      <c r="W40" s="17">
        <f>IF(S40="","",RANK(S40,$S$3:$S$168,0)+COUNTIF($S$3:S40,S40)-1)</f>
        <v>32</v>
      </c>
      <c r="X40" s="14">
        <v>368</v>
      </c>
      <c r="Y40" s="14">
        <v>482</v>
      </c>
      <c r="Z40" s="15">
        <f>IFERROR((X40+Y40)/AR40,"")</f>
        <v>0.72033898305084743</v>
      </c>
      <c r="AA40" s="14">
        <v>104650</v>
      </c>
      <c r="AB40" s="15">
        <f>IFERROR(AA40/F40,"")</f>
        <v>0.3690511875584081</v>
      </c>
      <c r="AC40" s="16">
        <f>IFERROR(AA40*1000/H40,"")</f>
        <v>5707.6629397327515</v>
      </c>
      <c r="AD40" s="17">
        <f>IF(AB40="","",RANK(AB40,$AB$3:$AB$168,0)+COUNTIF($AB$3:AB40,AB40)-1)</f>
        <v>125</v>
      </c>
      <c r="AE40" s="17">
        <f>IF(AA40="","",RANK(AA40,$AA$3:$AA$168,0)+COUNTIF($AA$3:AA40,AA40)-1)</f>
        <v>32</v>
      </c>
      <c r="AF40" s="18">
        <v>82.68</v>
      </c>
      <c r="AG40" s="14">
        <v>124598507.20999999</v>
      </c>
      <c r="AH40" s="16">
        <f>IFERROR(AG40/AZ40,"")</f>
        <v>7002.6699943798121</v>
      </c>
      <c r="AI40" s="14">
        <v>36871</v>
      </c>
      <c r="AJ40" s="15">
        <f>IFERROR(AI40/F40,"")</f>
        <v>0.13002662528873452</v>
      </c>
      <c r="AK40" s="14">
        <v>363</v>
      </c>
      <c r="AL40" s="14">
        <v>420</v>
      </c>
      <c r="AM40" s="14">
        <v>450</v>
      </c>
      <c r="AN40" s="14">
        <v>2826</v>
      </c>
      <c r="AO40" s="14">
        <v>2408</v>
      </c>
      <c r="AP40" s="18">
        <v>1.6</v>
      </c>
      <c r="AQ40" s="19">
        <f>IFERROR(AL40*1000/AZ40,"")</f>
        <v>23.604788399932559</v>
      </c>
      <c r="AR40" s="14">
        <v>1180</v>
      </c>
      <c r="AS40" s="14">
        <v>620</v>
      </c>
      <c r="AT40" s="14">
        <v>364</v>
      </c>
      <c r="AU40" s="14">
        <v>70</v>
      </c>
      <c r="AV40" s="14">
        <v>126</v>
      </c>
      <c r="AW40" s="15">
        <f>IFERROR(AS40/AR40,"")</f>
        <v>0.52542372881355937</v>
      </c>
      <c r="AX40" s="14">
        <v>8</v>
      </c>
      <c r="AY40" s="14">
        <v>12</v>
      </c>
      <c r="AZ40" s="14">
        <v>17793</v>
      </c>
      <c r="BA40" s="20">
        <v>933.73</v>
      </c>
      <c r="BB40" s="20">
        <v>19.059999999999999</v>
      </c>
      <c r="BC40" s="21">
        <v>0.60099999999999998</v>
      </c>
      <c r="BD40" s="18">
        <v>48.2</v>
      </c>
      <c r="BE40" s="18">
        <v>99.14</v>
      </c>
      <c r="BF40" s="18">
        <v>5.6</v>
      </c>
      <c r="BG40" s="18">
        <v>4</v>
      </c>
      <c r="BH40" s="18">
        <v>37.880000000000003</v>
      </c>
      <c r="BI40" s="14">
        <v>2825</v>
      </c>
      <c r="BJ40" s="18">
        <v>1.6</v>
      </c>
      <c r="BK40" s="15">
        <f>IFERROR(BI40/AZ40,"")</f>
        <v>0.15877030292811781</v>
      </c>
      <c r="BL40" s="22">
        <f>IFERROR(AI40+K40+S40+AA40-F40,"")</f>
        <v>0</v>
      </c>
      <c r="BM40" s="22">
        <f>IFERROR(F40+G40-C40,"")</f>
        <v>0</v>
      </c>
      <c r="BN40" s="22">
        <f>IF(I40="","",IFERROR(C40*1000/H40-I40,""))</f>
        <v>-8.7237523875955958E-3</v>
      </c>
    </row>
    <row r="41" spans="1:66">
      <c r="A41" s="13" t="s">
        <v>177</v>
      </c>
      <c r="B41" s="13" t="s">
        <v>178</v>
      </c>
      <c r="C41" s="14">
        <v>302533</v>
      </c>
      <c r="D41" s="14">
        <v>328015</v>
      </c>
      <c r="E41" s="14">
        <v>339515</v>
      </c>
      <c r="F41" s="14">
        <v>276421</v>
      </c>
      <c r="G41" s="14">
        <v>26112</v>
      </c>
      <c r="H41" s="14">
        <v>24422</v>
      </c>
      <c r="I41" s="14">
        <v>12387.7</v>
      </c>
      <c r="J41" s="14">
        <v>15309.34</v>
      </c>
      <c r="K41" s="14">
        <v>11342</v>
      </c>
      <c r="L41" s="15">
        <f>IFERROR(K41/F41,"")</f>
        <v>4.1031614819423995E-2</v>
      </c>
      <c r="M41" s="16">
        <f>IFERROR(K41*1000/H41,"")</f>
        <v>464.41732863811319</v>
      </c>
      <c r="N41" s="17">
        <f>IF(L41="","",RANK(L41,$L$3:$L$168,0)+COUNTIF($L$3:L41,L41)-1)</f>
        <v>118</v>
      </c>
      <c r="O41" s="17">
        <f>IF(K41="","",RANK(K41,$K$3:$K$168,0)+COUNTIF($K$3:K41,K41)-1)</f>
        <v>64</v>
      </c>
      <c r="P41" s="14">
        <v>150</v>
      </c>
      <c r="Q41" s="15">
        <f>IFERROR(P41/AR41,"")</f>
        <v>0.11441647597254005</v>
      </c>
      <c r="R41" s="16">
        <v>10</v>
      </c>
      <c r="S41" s="14">
        <v>113420</v>
      </c>
      <c r="T41" s="15">
        <f>IFERROR(S41/F41,"")</f>
        <v>0.41031614819423995</v>
      </c>
      <c r="U41" s="16">
        <f>IFERROR(S41*1000/H41,"")</f>
        <v>4644.1732863811321</v>
      </c>
      <c r="V41" s="17">
        <f>IF(T41="","",RANK(T41,$T$3:$T$168,0)+COUNTIF($T$3:T41,T41)-1)</f>
        <v>21</v>
      </c>
      <c r="W41" s="17">
        <f>IF(S41="","",RANK(S41,$S$3:$S$168,0)+COUNTIF($S$3:S41,S41)-1)</f>
        <v>30</v>
      </c>
      <c r="X41" s="14">
        <v>565</v>
      </c>
      <c r="Y41" s="14">
        <v>582</v>
      </c>
      <c r="Z41" s="15">
        <f>IFERROR((X41+Y41)/AR41,"")</f>
        <v>0.87490465293668951</v>
      </c>
      <c r="AA41" s="14">
        <v>142440</v>
      </c>
      <c r="AB41" s="15">
        <f>IFERROR(AA41/F41,"")</f>
        <v>0.51530093589126735</v>
      </c>
      <c r="AC41" s="16">
        <f>IFERROR(AA41*1000/H41,"")</f>
        <v>5832.4461551060522</v>
      </c>
      <c r="AD41" s="17">
        <f>IF(AB41="","",RANK(AB41,$AB$3:$AB$168,0)+COUNTIF($AB$3:AB41,AB41)-1)</f>
        <v>86</v>
      </c>
      <c r="AE41" s="17">
        <f>IF(AA41="","",RANK(AA41,$AA$3:$AA$168,0)+COUNTIF($AA$3:AA41,AA41)-1)</f>
        <v>25</v>
      </c>
      <c r="AF41" s="18">
        <v>91.53</v>
      </c>
      <c r="AG41" s="14">
        <v>113846524.67</v>
      </c>
      <c r="AH41" s="16">
        <f>IFERROR(AG41/AZ41,"")</f>
        <v>5133.5403647923522</v>
      </c>
      <c r="AI41" s="14">
        <v>9218</v>
      </c>
      <c r="AJ41" s="15">
        <f>IFERROR(AI41/F41,"")</f>
        <v>3.3347683424920685E-2</v>
      </c>
      <c r="AK41" s="14">
        <v>442</v>
      </c>
      <c r="AL41" s="14">
        <v>511</v>
      </c>
      <c r="AM41" s="14">
        <v>540</v>
      </c>
      <c r="AN41" s="14">
        <v>2104</v>
      </c>
      <c r="AO41" s="14">
        <v>1608</v>
      </c>
      <c r="AP41" s="18">
        <v>1.9</v>
      </c>
      <c r="AQ41" s="19">
        <f>IFERROR(AL41*1000/AZ41,"")</f>
        <v>23.041890246651938</v>
      </c>
      <c r="AR41" s="14">
        <v>1311</v>
      </c>
      <c r="AS41" s="14">
        <v>611</v>
      </c>
      <c r="AT41" s="14">
        <v>488</v>
      </c>
      <c r="AU41" s="14">
        <v>52</v>
      </c>
      <c r="AV41" s="14">
        <v>160</v>
      </c>
      <c r="AW41" s="15">
        <f>IFERROR(AS41/AR41,"")</f>
        <v>0.46605644546147978</v>
      </c>
      <c r="AX41" s="14">
        <v>6</v>
      </c>
      <c r="AY41" s="14">
        <v>8</v>
      </c>
      <c r="AZ41" s="14">
        <v>22177</v>
      </c>
      <c r="BA41" s="20">
        <v>301.08199999999999</v>
      </c>
      <c r="BB41" s="20">
        <v>73.66</v>
      </c>
      <c r="BC41" s="21">
        <v>0.62</v>
      </c>
      <c r="BD41" s="18">
        <v>49.8</v>
      </c>
      <c r="BE41" s="18">
        <v>97.65</v>
      </c>
      <c r="BF41" s="18">
        <v>5.3</v>
      </c>
      <c r="BG41" s="18">
        <v>3.9</v>
      </c>
      <c r="BH41" s="18">
        <v>28.29</v>
      </c>
      <c r="BI41" s="14">
        <v>2102</v>
      </c>
      <c r="BJ41" s="18">
        <v>1.9</v>
      </c>
      <c r="BK41" s="15">
        <f>IFERROR(BI41/AZ41,"")</f>
        <v>9.4782883167245341E-2</v>
      </c>
      <c r="BL41" s="22">
        <f>IFERROR(AI41+K41+S41+AA41-F41,"")</f>
        <v>-1</v>
      </c>
      <c r="BM41" s="22">
        <f>IFERROR(F41+G41-C41,"")</f>
        <v>0</v>
      </c>
      <c r="BN41" s="22">
        <f>IF(I41="","",IFERROR(C41*1000/H41-I41,""))</f>
        <v>2.4183113584513194E-2</v>
      </c>
    </row>
    <row r="42" spans="1:66">
      <c r="A42" s="13" t="s">
        <v>179</v>
      </c>
      <c r="B42" s="13" t="s">
        <v>180</v>
      </c>
      <c r="C42" s="14">
        <v>293283</v>
      </c>
      <c r="D42" s="14">
        <v>243846</v>
      </c>
      <c r="E42" s="14">
        <v>325405</v>
      </c>
      <c r="F42" s="14">
        <v>273296</v>
      </c>
      <c r="G42" s="14">
        <v>19986</v>
      </c>
      <c r="H42" s="14">
        <v>3163</v>
      </c>
      <c r="I42" s="14">
        <v>92722.93</v>
      </c>
      <c r="J42" s="14">
        <v>89940.55</v>
      </c>
      <c r="K42" s="14">
        <v>213403</v>
      </c>
      <c r="L42" s="15">
        <f>IFERROR(K42/F42,"")</f>
        <v>0.78084933551899771</v>
      </c>
      <c r="M42" s="16">
        <f>IFERROR(K42*1000/H42,"")</f>
        <v>67468.542522921271</v>
      </c>
      <c r="N42" s="17">
        <f>IF(L42="","",RANK(L42,$L$3:$L$168,0)+COUNTIF($L$3:L42,L42)-1)</f>
        <v>4</v>
      </c>
      <c r="O42" s="17">
        <f>IF(K42="","",RANK(K42,$K$3:$K$168,0)+COUNTIF($K$3:K42,K42)-1)</f>
        <v>18</v>
      </c>
      <c r="P42" s="14">
        <v>43</v>
      </c>
      <c r="Q42" s="15">
        <f>IFERROR(P42/AR42,"")</f>
        <v>0.21827411167512689</v>
      </c>
      <c r="R42" s="16">
        <v>27</v>
      </c>
      <c r="S42" s="14">
        <v>18822</v>
      </c>
      <c r="T42" s="15">
        <f>IFERROR(S42/F42,"")</f>
        <v>6.8870382296118499E-2</v>
      </c>
      <c r="U42" s="16">
        <f>IFERROR(S42*1000/H42,"")</f>
        <v>5950.6797344293391</v>
      </c>
      <c r="V42" s="17">
        <f>IF(T42="","",RANK(T42,$T$3:$T$168,0)+COUNTIF($T$3:T42,T42)-1)</f>
        <v>163</v>
      </c>
      <c r="W42" s="17">
        <f>IF(S42="","",RANK(S42,$S$3:$S$168,0)+COUNTIF($S$3:S42,S42)-1)</f>
        <v>106</v>
      </c>
      <c r="X42" s="14">
        <v>57</v>
      </c>
      <c r="Y42" s="14">
        <v>87</v>
      </c>
      <c r="Z42" s="15">
        <f>IFERROR((X42+Y42)/AR42,"")</f>
        <v>0.73096446700507611</v>
      </c>
      <c r="AA42" s="14">
        <v>33888</v>
      </c>
      <c r="AB42" s="15">
        <f>IFERROR(AA42/F42,"")</f>
        <v>0.12399742403840525</v>
      </c>
      <c r="AC42" s="16">
        <f>IFERROR(AA42*1000/H42,"")</f>
        <v>10713.879228580461</v>
      </c>
      <c r="AD42" s="17">
        <f>IF(AB42="","",RANK(AB42,$AB$3:$AB$168,0)+COUNTIF($AB$3:AB42,AB42)-1)</f>
        <v>161</v>
      </c>
      <c r="AE42" s="17">
        <f>IF(AA42="","",RANK(AA42,$AA$3:$AA$168,0)+COUNTIF($AA$3:AA42,AA42)-1)</f>
        <v>120</v>
      </c>
      <c r="AF42" s="18">
        <v>90.01</v>
      </c>
      <c r="AG42" s="14">
        <v>58690869.030000001</v>
      </c>
      <c r="AH42" s="16">
        <f>IFERROR(AG42/AZ42,"")</f>
        <v>16221.909626865672</v>
      </c>
      <c r="AI42" s="14">
        <v>7183</v>
      </c>
      <c r="AJ42" s="15">
        <f>IFERROR(AI42/F42,"")</f>
        <v>2.6282858146478544E-2</v>
      </c>
      <c r="AK42" s="14">
        <v>88</v>
      </c>
      <c r="AL42" s="14">
        <v>101</v>
      </c>
      <c r="AM42" s="14">
        <v>101</v>
      </c>
      <c r="AN42" s="14">
        <v>438</v>
      </c>
      <c r="AO42" s="14">
        <v>349</v>
      </c>
      <c r="AP42" s="18">
        <v>2.4</v>
      </c>
      <c r="AQ42" s="19">
        <f>IFERROR(AL42*1000/AZ42,"")</f>
        <v>27.915975677169708</v>
      </c>
      <c r="AR42" s="14">
        <v>197</v>
      </c>
      <c r="AS42" s="14">
        <v>69</v>
      </c>
      <c r="AT42" s="14">
        <v>48</v>
      </c>
      <c r="AU42" s="14">
        <v>2</v>
      </c>
      <c r="AV42" s="14">
        <v>78</v>
      </c>
      <c r="AW42" s="15">
        <f>IFERROR(AS42/AR42,"")</f>
        <v>0.35025380710659898</v>
      </c>
      <c r="AX42" s="14">
        <v>3</v>
      </c>
      <c r="AY42" s="14">
        <v>7</v>
      </c>
      <c r="AZ42" s="14">
        <v>3618</v>
      </c>
      <c r="BA42" s="20">
        <v>221.167</v>
      </c>
      <c r="BB42" s="20">
        <v>16.36</v>
      </c>
      <c r="BC42" s="21">
        <v>0.55900000000000005</v>
      </c>
      <c r="BD42" s="18">
        <v>55</v>
      </c>
      <c r="BE42" s="18">
        <v>99.26</v>
      </c>
      <c r="BF42" s="18">
        <v>5</v>
      </c>
      <c r="BG42" s="18">
        <v>4.0999999999999996</v>
      </c>
      <c r="BH42" s="18">
        <v>0.81</v>
      </c>
      <c r="BI42" s="14">
        <v>438</v>
      </c>
      <c r="BJ42" s="18">
        <v>2.4</v>
      </c>
      <c r="BK42" s="15">
        <f>IFERROR(BI42/AZ42,"")</f>
        <v>0.12106135986733002</v>
      </c>
      <c r="BL42" s="22">
        <f>IFERROR(AI42+K42+S42+AA42-F42,"")</f>
        <v>0</v>
      </c>
      <c r="BM42" s="22">
        <f>IFERROR(F42+G42-C42,"")</f>
        <v>-1</v>
      </c>
      <c r="BN42" s="22">
        <f>IF(I42="","",IFERROR(C42*1000/H42-I42,""))</f>
        <v>0.11773948783229571</v>
      </c>
    </row>
    <row r="43" spans="1:66">
      <c r="A43" s="13" t="s">
        <v>181</v>
      </c>
      <c r="B43" s="13" t="s">
        <v>182</v>
      </c>
      <c r="C43" s="14">
        <v>286574</v>
      </c>
      <c r="D43" s="14">
        <v>229572</v>
      </c>
      <c r="E43" s="14">
        <v>240166</v>
      </c>
      <c r="F43" s="14">
        <v>283980</v>
      </c>
      <c r="G43" s="14">
        <v>2593</v>
      </c>
      <c r="H43" s="14">
        <v>2171</v>
      </c>
      <c r="I43" s="14">
        <v>132000.71</v>
      </c>
      <c r="J43" s="14">
        <v>104148.52</v>
      </c>
      <c r="K43" s="14">
        <v>246251</v>
      </c>
      <c r="L43" s="15">
        <f>IFERROR(K43/F43,"")</f>
        <v>0.8671420522572012</v>
      </c>
      <c r="M43" s="16">
        <f>IFERROR(K43*1000/H43,"")</f>
        <v>113427.45278673423</v>
      </c>
      <c r="N43" s="17">
        <f>IF(L43="","",RANK(L43,$L$3:$L$168,0)+COUNTIF($L$3:L43,L43)-1)</f>
        <v>3</v>
      </c>
      <c r="O43" s="17">
        <f>IF(K43="","",RANK(K43,$K$3:$K$168,0)+COUNTIF($K$3:K43,K43)-1)</f>
        <v>16</v>
      </c>
      <c r="P43" s="14">
        <v>37</v>
      </c>
      <c r="Q43" s="15">
        <f>IFERROR(P43/AR43,"")</f>
        <v>0.22424242424242424</v>
      </c>
      <c r="R43" s="16">
        <v>24</v>
      </c>
      <c r="S43" s="14">
        <v>9465</v>
      </c>
      <c r="T43" s="15">
        <f>IFERROR(S43/F43,"")</f>
        <v>3.3329811958588633E-2</v>
      </c>
      <c r="U43" s="16">
        <f>IFERROR(S43*1000/H43,"")</f>
        <v>4359.7420543528324</v>
      </c>
      <c r="V43" s="17">
        <f>IF(T43="","",RANK(T43,$T$3:$T$168,0)+COUNTIF($T$3:T43,T43)-1)</f>
        <v>166</v>
      </c>
      <c r="W43" s="17">
        <f>IF(S43="","",RANK(S43,$S$3:$S$168,0)+COUNTIF($S$3:S43,S43)-1)</f>
        <v>149</v>
      </c>
      <c r="X43" s="14">
        <v>32</v>
      </c>
      <c r="Y43" s="14">
        <v>89</v>
      </c>
      <c r="Z43" s="15">
        <f>IFERROR((X43+Y43)/AR43,"")</f>
        <v>0.73333333333333328</v>
      </c>
      <c r="AA43" s="14">
        <v>24181</v>
      </c>
      <c r="AB43" s="15">
        <f>IFERROR(AA43/F43,"")</f>
        <v>8.5150362701598703E-2</v>
      </c>
      <c r="AC43" s="16">
        <f>IFERROR(AA43*1000/H43,"")</f>
        <v>11138.185168125288</v>
      </c>
      <c r="AD43" s="17">
        <f>IF(AB43="","",RANK(AB43,$AB$3:$AB$168,0)+COUNTIF($AB$3:AB43,AB43)-1)</f>
        <v>164</v>
      </c>
      <c r="AE43" s="17">
        <f>IF(AA43="","",RANK(AA43,$AA$3:$AA$168,0)+COUNTIF($AA$3:AA43,AA43)-1)</f>
        <v>153</v>
      </c>
      <c r="AF43" s="18">
        <v>69.91</v>
      </c>
      <c r="AG43" s="14">
        <v>53841631.130000003</v>
      </c>
      <c r="AH43" s="16">
        <f>IFERROR(AG43/AZ43,"")</f>
        <v>23348.495719861232</v>
      </c>
      <c r="AI43" s="14">
        <v>4083</v>
      </c>
      <c r="AJ43" s="15">
        <f>IFERROR(AI43/F43,"")</f>
        <v>1.4377773082611452E-2</v>
      </c>
      <c r="AK43" s="14">
        <v>77</v>
      </c>
      <c r="AL43" s="14">
        <v>120</v>
      </c>
      <c r="AM43" s="14">
        <v>123</v>
      </c>
      <c r="AN43" s="14">
        <v>353</v>
      </c>
      <c r="AO43" s="14">
        <v>257</v>
      </c>
      <c r="AP43" s="18">
        <v>2.1</v>
      </c>
      <c r="AQ43" s="19">
        <f>IFERROR(AL43*1000/AZ43,"")</f>
        <v>52.038161318300084</v>
      </c>
      <c r="AR43" s="14">
        <v>165</v>
      </c>
      <c r="AS43" s="14">
        <v>55</v>
      </c>
      <c r="AT43" s="14">
        <v>21</v>
      </c>
      <c r="AU43" s="14">
        <v>6</v>
      </c>
      <c r="AV43" s="14">
        <v>83</v>
      </c>
      <c r="AW43" s="15">
        <f>IFERROR(AS43/AR43,"")</f>
        <v>0.33333333333333331</v>
      </c>
      <c r="AX43" s="14">
        <v>1</v>
      </c>
      <c r="AY43" s="14">
        <v>6</v>
      </c>
      <c r="AZ43" s="14">
        <v>2306</v>
      </c>
      <c r="BA43" s="20">
        <v>253.51900000000001</v>
      </c>
      <c r="BB43" s="20">
        <v>9.1</v>
      </c>
      <c r="BC43" s="21">
        <v>0.629</v>
      </c>
      <c r="BD43" s="18">
        <v>52.4</v>
      </c>
      <c r="BE43" s="18">
        <v>99</v>
      </c>
      <c r="BF43" s="18">
        <v>5.3</v>
      </c>
      <c r="BG43" s="18"/>
      <c r="BH43" s="18">
        <v>8.93</v>
      </c>
      <c r="BI43" s="14">
        <v>353</v>
      </c>
      <c r="BJ43" s="18">
        <v>2.1</v>
      </c>
      <c r="BK43" s="15">
        <f>IFERROR(BI43/AZ43,"")</f>
        <v>0.1530789245446661</v>
      </c>
      <c r="BL43" s="22">
        <f>IFERROR(AI43+K43+S43+AA43-F43,"")</f>
        <v>0</v>
      </c>
      <c r="BM43" s="22">
        <f>IFERROR(F43+G43-C43,"")</f>
        <v>-1</v>
      </c>
      <c r="BN43" s="22">
        <f>IF(I43="","",IFERROR(C43*1000/H43-I43,""))</f>
        <v>0.21123445418197662</v>
      </c>
    </row>
    <row r="44" spans="1:66">
      <c r="A44" s="13" t="s">
        <v>183</v>
      </c>
      <c r="B44" s="13" t="s">
        <v>184</v>
      </c>
      <c r="C44" s="14">
        <v>271451</v>
      </c>
      <c r="D44" s="14">
        <v>325278</v>
      </c>
      <c r="E44" s="14">
        <v>348751</v>
      </c>
      <c r="F44" s="14">
        <v>252958</v>
      </c>
      <c r="G44" s="14">
        <v>18493</v>
      </c>
      <c r="H44" s="14">
        <v>22698</v>
      </c>
      <c r="I44" s="14">
        <v>11959.26</v>
      </c>
      <c r="J44" s="14">
        <v>15142.66</v>
      </c>
      <c r="K44" s="14">
        <v>23674</v>
      </c>
      <c r="L44" s="15">
        <f>IFERROR(K44/F44,"")</f>
        <v>9.3588658986867385E-2</v>
      </c>
      <c r="M44" s="16">
        <f>IFERROR(K44*1000/H44,"")</f>
        <v>1042.9993832055688</v>
      </c>
      <c r="N44" s="17">
        <f>IF(L44="","",RANK(L44,$L$3:$L$168,0)+COUNTIF($L$3:L44,L44)-1)</f>
        <v>61</v>
      </c>
      <c r="O44" s="17">
        <f>IF(K44="","",RANK(K44,$K$3:$K$168,0)+COUNTIF($K$3:K44,K44)-1)</f>
        <v>53</v>
      </c>
      <c r="P44" s="14">
        <v>169</v>
      </c>
      <c r="Q44" s="15">
        <f>IFERROR(P44/AR44,"")</f>
        <v>0.15943396226415094</v>
      </c>
      <c r="R44" s="16">
        <v>22</v>
      </c>
      <c r="S44" s="14">
        <v>78453</v>
      </c>
      <c r="T44" s="15">
        <f>IFERROR(S44/F44,"")</f>
        <v>0.31014239518022757</v>
      </c>
      <c r="U44" s="16">
        <f>IFERROR(S44*1000/H44,"")</f>
        <v>3456.3838223632038</v>
      </c>
      <c r="V44" s="17">
        <f>IF(T44="","",RANK(T44,$T$3:$T$168,0)+COUNTIF($T$3:T44,T44)-1)</f>
        <v>51</v>
      </c>
      <c r="W44" s="17">
        <f>IF(S44="","",RANK(S44,$S$3:$S$168,0)+COUNTIF($S$3:S44,S44)-1)</f>
        <v>36</v>
      </c>
      <c r="X44" s="14">
        <v>385</v>
      </c>
      <c r="Y44" s="14">
        <v>473</v>
      </c>
      <c r="Z44" s="15">
        <f>IFERROR((X44+Y44)/AR44,"")</f>
        <v>0.80943396226415099</v>
      </c>
      <c r="AA44" s="14">
        <v>136183</v>
      </c>
      <c r="AB44" s="15">
        <f>IFERROR(AA44/F44,"")</f>
        <v>0.53836209963709392</v>
      </c>
      <c r="AC44" s="16">
        <f>IFERROR(AA44*1000/H44,"")</f>
        <v>5999.7797162745619</v>
      </c>
      <c r="AD44" s="17">
        <f>IF(AB44="","",RANK(AB44,$AB$3:$AB$168,0)+COUNTIF($AB$3:AB44,AB44)-1)</f>
        <v>75</v>
      </c>
      <c r="AE44" s="17">
        <f>IF(AA44="","",RANK(AA44,$AA$3:$AA$168,0)+COUNTIF($AA$3:AA44,AA44)-1)</f>
        <v>27</v>
      </c>
      <c r="AF44" s="18">
        <v>85.02</v>
      </c>
      <c r="AG44" s="14">
        <v>154963554.56999999</v>
      </c>
      <c r="AH44" s="16">
        <f>IFERROR(AG44/AZ44,"")</f>
        <v>6728.4770339976549</v>
      </c>
      <c r="AI44" s="14">
        <v>14648</v>
      </c>
      <c r="AJ44" s="15">
        <f>IFERROR(AI44/F44,"")</f>
        <v>5.7906846195811164E-2</v>
      </c>
      <c r="AK44" s="14">
        <v>328</v>
      </c>
      <c r="AL44" s="14">
        <v>374</v>
      </c>
      <c r="AM44" s="14">
        <v>389</v>
      </c>
      <c r="AN44" s="14">
        <v>2136</v>
      </c>
      <c r="AO44" s="14">
        <v>1754</v>
      </c>
      <c r="AP44" s="18">
        <v>1.9</v>
      </c>
      <c r="AQ44" s="19">
        <f>IFERROR(AL44*1000/AZ44,"")</f>
        <v>16.238982241326909</v>
      </c>
      <c r="AR44" s="14">
        <v>1060</v>
      </c>
      <c r="AS44" s="14">
        <v>538</v>
      </c>
      <c r="AT44" s="14">
        <v>352</v>
      </c>
      <c r="AU44" s="14">
        <v>40</v>
      </c>
      <c r="AV44" s="14">
        <v>130</v>
      </c>
      <c r="AW44" s="15">
        <f>IFERROR(AS44/AR44,"")</f>
        <v>0.50754716981132075</v>
      </c>
      <c r="AX44" s="14">
        <v>22</v>
      </c>
      <c r="AY44" s="14">
        <v>11</v>
      </c>
      <c r="AZ44" s="14">
        <v>23031</v>
      </c>
      <c r="BA44" s="20">
        <v>211.25899999999999</v>
      </c>
      <c r="BB44" s="20">
        <v>109.02</v>
      </c>
      <c r="BC44" s="21">
        <v>0.60899999999999999</v>
      </c>
      <c r="BD44" s="18">
        <v>50.6</v>
      </c>
      <c r="BE44" s="18">
        <v>97.97</v>
      </c>
      <c r="BF44" s="18">
        <v>5</v>
      </c>
      <c r="BG44" s="18">
        <v>4.5999999999999996</v>
      </c>
      <c r="BH44" s="18">
        <v>10.3</v>
      </c>
      <c r="BI44" s="14">
        <v>2136</v>
      </c>
      <c r="BJ44" s="18">
        <v>1.9</v>
      </c>
      <c r="BK44" s="15">
        <f>IFERROR(BI44/AZ44,"")</f>
        <v>9.2744561677738702E-2</v>
      </c>
      <c r="BL44" s="22">
        <f>IFERROR(AI44+K44+S44+AA44-F44,"")</f>
        <v>0</v>
      </c>
      <c r="BM44" s="22">
        <f>IFERROR(F44+G44-C44,"")</f>
        <v>0</v>
      </c>
      <c r="BN44" s="22">
        <f>IF(I44="","",IFERROR(C44*1000/H44-I44,""))</f>
        <v>-1.2489206097598071E-2</v>
      </c>
    </row>
    <row r="45" spans="1:66">
      <c r="A45" s="13" t="s">
        <v>185</v>
      </c>
      <c r="B45" s="13" t="s">
        <v>186</v>
      </c>
      <c r="C45" s="14">
        <v>269032</v>
      </c>
      <c r="D45" s="14">
        <v>291874</v>
      </c>
      <c r="E45" s="14">
        <v>326107</v>
      </c>
      <c r="F45" s="14">
        <v>236730</v>
      </c>
      <c r="G45" s="14">
        <v>32302</v>
      </c>
      <c r="H45" s="14">
        <v>15880</v>
      </c>
      <c r="I45" s="14">
        <v>16941.59</v>
      </c>
      <c r="J45" s="14">
        <v>20940.54</v>
      </c>
      <c r="K45" s="14">
        <v>77170</v>
      </c>
      <c r="L45" s="15">
        <f>IFERROR(K45/F45,"")</f>
        <v>0.32598318759768513</v>
      </c>
      <c r="M45" s="16">
        <f>IFERROR(K45*1000/H45,"")</f>
        <v>4859.5717884130981</v>
      </c>
      <c r="N45" s="17">
        <f>IF(L45="","",RANK(L45,$L$3:$L$168,0)+COUNTIF($L$3:L45,L45)-1)</f>
        <v>24</v>
      </c>
      <c r="O45" s="17">
        <f>IF(K45="","",RANK(K45,$K$3:$K$168,0)+COUNTIF($K$3:K45,K45)-1)</f>
        <v>34</v>
      </c>
      <c r="P45" s="14">
        <v>200</v>
      </c>
      <c r="Q45" s="15">
        <f>IFERROR(P45/AR45,"")</f>
        <v>0.18709073900841908</v>
      </c>
      <c r="R45" s="16">
        <v>75</v>
      </c>
      <c r="S45" s="14">
        <v>47028</v>
      </c>
      <c r="T45" s="15">
        <f>IFERROR(S45/F45,"")</f>
        <v>0.19865669750348497</v>
      </c>
      <c r="U45" s="16">
        <f>IFERROR(S45*1000/H45,"")</f>
        <v>2961.4609571788415</v>
      </c>
      <c r="V45" s="17">
        <f>IF(T45="","",RANK(T45,$T$3:$T$168,0)+COUNTIF($T$3:T45,T45)-1)</f>
        <v>144</v>
      </c>
      <c r="W45" s="17">
        <f>IF(S45="","",RANK(S45,$S$3:$S$168,0)+COUNTIF($S$3:S45,S45)-1)</f>
        <v>51</v>
      </c>
      <c r="X45" s="14">
        <v>420</v>
      </c>
      <c r="Y45" s="14">
        <v>433</v>
      </c>
      <c r="Z45" s="15">
        <f>IFERROR((X45+Y45)/AR45,"")</f>
        <v>0.79794200187090736</v>
      </c>
      <c r="AA45" s="14">
        <v>97120</v>
      </c>
      <c r="AB45" s="15">
        <f>IFERROR(AA45/F45,"")</f>
        <v>0.41025641025641024</v>
      </c>
      <c r="AC45" s="16">
        <f>IFERROR(AA45*1000/H45,"")</f>
        <v>6115.8690176322416</v>
      </c>
      <c r="AD45" s="17">
        <f>IF(AB45="","",RANK(AB45,$AB$3:$AB$168,0)+COUNTIF($AB$3:AB45,AB45)-1)</f>
        <v>116</v>
      </c>
      <c r="AE45" s="17">
        <f>IF(AA45="","",RANK(AA45,$AA$3:$AA$168,0)+COUNTIF($AA$3:AA45,AA45)-1)</f>
        <v>36</v>
      </c>
      <c r="AF45" s="18">
        <v>91.86</v>
      </c>
      <c r="AG45" s="14">
        <v>102294288.45999999</v>
      </c>
      <c r="AH45" s="16">
        <f>IFERROR(AG45/AZ45,"")</f>
        <v>6568.6950786617863</v>
      </c>
      <c r="AI45" s="14">
        <v>15412</v>
      </c>
      <c r="AJ45" s="15">
        <f>IFERROR(AI45/F45,"")</f>
        <v>6.510370464241963E-2</v>
      </c>
      <c r="AK45" s="14">
        <v>378</v>
      </c>
      <c r="AL45" s="14">
        <v>440</v>
      </c>
      <c r="AM45" s="14">
        <v>459</v>
      </c>
      <c r="AN45" s="14">
        <v>2003</v>
      </c>
      <c r="AO45" s="14">
        <v>1493</v>
      </c>
      <c r="AP45" s="18">
        <v>1.8</v>
      </c>
      <c r="AQ45" s="19">
        <f>IFERROR(AL45*1000/AZ45,"")</f>
        <v>28.254029409876068</v>
      </c>
      <c r="AR45" s="14">
        <v>1069</v>
      </c>
      <c r="AS45" s="14">
        <v>483</v>
      </c>
      <c r="AT45" s="14">
        <v>346</v>
      </c>
      <c r="AU45" s="14">
        <v>41</v>
      </c>
      <c r="AV45" s="14">
        <v>199</v>
      </c>
      <c r="AW45" s="15">
        <f>IFERROR(AS45/AR45,"")</f>
        <v>0.45182413470533206</v>
      </c>
      <c r="AX45" s="14">
        <v>8</v>
      </c>
      <c r="AY45" s="14">
        <v>8</v>
      </c>
      <c r="AZ45" s="14">
        <v>15573</v>
      </c>
      <c r="BA45" s="20">
        <v>176.30199999999999</v>
      </c>
      <c r="BB45" s="20">
        <v>88.33</v>
      </c>
      <c r="BC45" s="21">
        <v>0.58499999999999996</v>
      </c>
      <c r="BD45" s="18">
        <v>54.9</v>
      </c>
      <c r="BE45" s="18">
        <v>99.36</v>
      </c>
      <c r="BF45" s="18">
        <v>5.3</v>
      </c>
      <c r="BG45" s="18">
        <v>4.4000000000000004</v>
      </c>
      <c r="BH45" s="18">
        <v>22.75</v>
      </c>
      <c r="BI45" s="14">
        <v>2003</v>
      </c>
      <c r="BJ45" s="18">
        <v>1.8</v>
      </c>
      <c r="BK45" s="15">
        <f>IFERROR(BI45/AZ45,"")</f>
        <v>0.12862004751814038</v>
      </c>
      <c r="BL45" s="22">
        <f>IFERROR(AI45+K45+S45+AA45-F45,"")</f>
        <v>0</v>
      </c>
      <c r="BM45" s="22">
        <f>IFERROR(F45+G45-C45,"")</f>
        <v>0</v>
      </c>
      <c r="BN45" s="22">
        <f>IF(I45="","",IFERROR(C45*1000/H45-I45,""))</f>
        <v>-2.8287153651035624E-2</v>
      </c>
    </row>
    <row r="46" spans="1:66">
      <c r="A46" s="13" t="s">
        <v>187</v>
      </c>
      <c r="B46" s="13" t="s">
        <v>188</v>
      </c>
      <c r="C46" s="14">
        <v>231552</v>
      </c>
      <c r="D46" s="14">
        <v>273442</v>
      </c>
      <c r="E46" s="14">
        <v>290640</v>
      </c>
      <c r="F46" s="14">
        <v>212966</v>
      </c>
      <c r="G46" s="14">
        <v>18586</v>
      </c>
      <c r="H46" s="14">
        <v>17858</v>
      </c>
      <c r="I46" s="14">
        <v>12966.29</v>
      </c>
      <c r="J46" s="14">
        <v>17314.45</v>
      </c>
      <c r="K46" s="14">
        <v>13377</v>
      </c>
      <c r="L46" s="15">
        <f>IFERROR(K46/F46,"")</f>
        <v>6.2812843364668539E-2</v>
      </c>
      <c r="M46" s="16">
        <f>IFERROR(K46*1000/H46,"")</f>
        <v>749.07604434987115</v>
      </c>
      <c r="N46" s="17">
        <f>IF(L46="","",RANK(L46,$L$3:$L$168,0)+COUNTIF($L$3:L46,L46)-1)</f>
        <v>77</v>
      </c>
      <c r="O46" s="17">
        <f>IF(K46="","",RANK(K46,$K$3:$K$168,0)+COUNTIF($K$3:K46,K46)-1)</f>
        <v>61</v>
      </c>
      <c r="P46" s="14">
        <v>188</v>
      </c>
      <c r="Q46" s="15">
        <f>IFERROR(P46/AR46,"")</f>
        <v>0.13642960812772134</v>
      </c>
      <c r="R46" s="16">
        <v>11</v>
      </c>
      <c r="S46" s="14">
        <v>86723</v>
      </c>
      <c r="T46" s="15">
        <f>IFERROR(S46/F46,"")</f>
        <v>0.40721523623489198</v>
      </c>
      <c r="U46" s="16">
        <f>IFERROR(S46*1000/H46,"")</f>
        <v>4856.2548997648109</v>
      </c>
      <c r="V46" s="17">
        <f>IF(T46="","",RANK(T46,$T$3:$T$168,0)+COUNTIF($T$3:T46,T46)-1)</f>
        <v>23</v>
      </c>
      <c r="W46" s="17">
        <f>IF(S46="","",RANK(S46,$S$3:$S$168,0)+COUNTIF($S$3:S46,S46)-1)</f>
        <v>33</v>
      </c>
      <c r="X46" s="14">
        <v>499</v>
      </c>
      <c r="Y46" s="14">
        <v>679</v>
      </c>
      <c r="Z46" s="15">
        <f>IFERROR((X46+Y46)/AR46,"")</f>
        <v>0.85486211901306242</v>
      </c>
      <c r="AA46" s="14">
        <v>105894</v>
      </c>
      <c r="AB46" s="15">
        <f>IFERROR(AA46/F46,"")</f>
        <v>0.49723430031084775</v>
      </c>
      <c r="AC46" s="16">
        <f>IFERROR(AA46*1000/H46,"")</f>
        <v>5929.7793705902113</v>
      </c>
      <c r="AD46" s="17">
        <f>IF(AB46="","",RANK(AB46,$AB$3:$AB$168,0)+COUNTIF($AB$3:AB46,AB46)-1)</f>
        <v>89</v>
      </c>
      <c r="AE46" s="17">
        <f>IF(AA46="","",RANK(AA46,$AA$3:$AA$168,0)+COUNTIF($AA$3:AA46,AA46)-1)</f>
        <v>31</v>
      </c>
      <c r="AF46" s="18">
        <v>88.84</v>
      </c>
      <c r="AG46" s="14">
        <v>114903392.28</v>
      </c>
      <c r="AH46" s="16">
        <f>IFERROR(AG46/AZ46,"")</f>
        <v>6845.1919623495769</v>
      </c>
      <c r="AI46" s="14">
        <v>6972</v>
      </c>
      <c r="AJ46" s="15">
        <f>IFERROR(AI46/F46,"")</f>
        <v>3.2737620089591767E-2</v>
      </c>
      <c r="AK46" s="14">
        <v>358</v>
      </c>
      <c r="AL46" s="14">
        <v>393</v>
      </c>
      <c r="AM46" s="14">
        <v>413</v>
      </c>
      <c r="AN46" s="14">
        <v>2007</v>
      </c>
      <c r="AO46" s="14">
        <v>1620</v>
      </c>
      <c r="AP46" s="18">
        <v>1.6</v>
      </c>
      <c r="AQ46" s="19">
        <f>IFERROR(AL46*1000/AZ46,"")</f>
        <v>23.412367449064696</v>
      </c>
      <c r="AR46" s="14">
        <v>1378</v>
      </c>
      <c r="AS46" s="14">
        <v>809</v>
      </c>
      <c r="AT46" s="14">
        <v>425</v>
      </c>
      <c r="AU46" s="14">
        <v>30</v>
      </c>
      <c r="AV46" s="14">
        <v>114</v>
      </c>
      <c r="AW46" s="15">
        <f>IFERROR(AS46/AR46,"")</f>
        <v>0.58708272859216259</v>
      </c>
      <c r="AX46" s="14">
        <v>5</v>
      </c>
      <c r="AY46" s="14">
        <v>7</v>
      </c>
      <c r="AZ46" s="14">
        <v>16786</v>
      </c>
      <c r="BA46" s="20">
        <v>240.42500000000001</v>
      </c>
      <c r="BB46" s="20">
        <v>69.819999999999993</v>
      </c>
      <c r="BC46" s="21">
        <v>0.622</v>
      </c>
      <c r="BD46" s="18">
        <v>47.7</v>
      </c>
      <c r="BE46" s="18">
        <v>100</v>
      </c>
      <c r="BF46" s="18">
        <v>4.7</v>
      </c>
      <c r="BG46" s="18">
        <v>3.7</v>
      </c>
      <c r="BH46" s="18">
        <v>55.12</v>
      </c>
      <c r="BI46" s="14">
        <v>2007</v>
      </c>
      <c r="BJ46" s="18">
        <v>1.6</v>
      </c>
      <c r="BK46" s="15">
        <f>IFERROR(BI46/AZ46,"")</f>
        <v>0.11956392231621589</v>
      </c>
      <c r="BL46" s="22">
        <f>IFERROR(AI46+K46+S46+AA46-F46,"")</f>
        <v>0</v>
      </c>
      <c r="BM46" s="22">
        <f>IFERROR(F46+G46-C46,"")</f>
        <v>0</v>
      </c>
      <c r="BN46" s="22">
        <f>IF(I46="","",IFERROR(C46*1000/H46-I46,""))</f>
        <v>-3.8190166924323421E-4</v>
      </c>
    </row>
    <row r="47" spans="1:66">
      <c r="A47" s="13" t="s">
        <v>189</v>
      </c>
      <c r="B47" s="13" t="s">
        <v>190</v>
      </c>
      <c r="C47" s="14">
        <v>214152</v>
      </c>
      <c r="D47" s="14">
        <v>330523</v>
      </c>
      <c r="E47" s="14">
        <v>370220</v>
      </c>
      <c r="F47" s="14">
        <v>201496</v>
      </c>
      <c r="G47" s="14">
        <v>12656</v>
      </c>
      <c r="H47" s="14">
        <v>14937</v>
      </c>
      <c r="I47" s="14">
        <v>14337.04</v>
      </c>
      <c r="J47" s="14">
        <v>27268.15</v>
      </c>
      <c r="K47" s="14">
        <v>40968</v>
      </c>
      <c r="L47" s="15">
        <f>IFERROR(K47/F47,"")</f>
        <v>0.20331917258903404</v>
      </c>
      <c r="M47" s="16">
        <f>IFERROR(K47*1000/H47,"")</f>
        <v>2742.7194215705963</v>
      </c>
      <c r="N47" s="17">
        <f>IF(L47="","",RANK(L47,$L$3:$L$168,0)+COUNTIF($L$3:L47,L47)-1)</f>
        <v>34</v>
      </c>
      <c r="O47" s="17">
        <f>IF(K47="","",RANK(K47,$K$3:$K$168,0)+COUNTIF($K$3:K47,K47)-1)</f>
        <v>41</v>
      </c>
      <c r="P47" s="14">
        <v>110</v>
      </c>
      <c r="Q47" s="15">
        <f>IFERROR(P47/AR47,"")</f>
        <v>0.15942028985507245</v>
      </c>
      <c r="R47" s="16">
        <v>14</v>
      </c>
      <c r="S47" s="14">
        <v>55723</v>
      </c>
      <c r="T47" s="15">
        <f>IFERROR(S47/F47,"")</f>
        <v>0.27654643268352724</v>
      </c>
      <c r="U47" s="16">
        <f>IFERROR(S47*1000/H47,"")</f>
        <v>3730.5349133025375</v>
      </c>
      <c r="V47" s="17">
        <f>IF(T47="","",RANK(T47,$T$3:$T$168,0)+COUNTIF($T$3:T47,T47)-1)</f>
        <v>69</v>
      </c>
      <c r="W47" s="17">
        <f>IF(S47="","",RANK(S47,$S$3:$S$168,0)+COUNTIF($S$3:S47,S47)-1)</f>
        <v>48</v>
      </c>
      <c r="X47" s="14">
        <v>273</v>
      </c>
      <c r="Y47" s="14">
        <v>285</v>
      </c>
      <c r="Z47" s="15">
        <f>IFERROR((X47+Y47)/AR47,"")</f>
        <v>0.80869565217391304</v>
      </c>
      <c r="AA47" s="14">
        <v>91275</v>
      </c>
      <c r="AB47" s="15">
        <f>IFERROR(AA47/F47,"")</f>
        <v>0.45298665978480962</v>
      </c>
      <c r="AC47" s="16">
        <f>IFERROR(AA47*1000/H47,"")</f>
        <v>6110.6647921269332</v>
      </c>
      <c r="AD47" s="17">
        <f>IF(AB47="","",RANK(AB47,$AB$3:$AB$168,0)+COUNTIF($AB$3:AB47,AB47)-1)</f>
        <v>104</v>
      </c>
      <c r="AE47" s="17">
        <f>IF(AA47="","",RANK(AA47,$AA$3:$AA$168,0)+COUNTIF($AA$3:AA47,AA47)-1)</f>
        <v>39</v>
      </c>
      <c r="AF47" s="18">
        <v>89.91</v>
      </c>
      <c r="AG47" s="14">
        <v>91993352.769999996</v>
      </c>
      <c r="AH47" s="16">
        <f>IFERROR(AG47/AZ47,"")</f>
        <v>6775.6759792295788</v>
      </c>
      <c r="AI47" s="14">
        <v>13530</v>
      </c>
      <c r="AJ47" s="15">
        <f>IFERROR(AI47/F47,"")</f>
        <v>6.7147734942629128E-2</v>
      </c>
      <c r="AK47" s="14">
        <v>263</v>
      </c>
      <c r="AL47" s="14">
        <v>284</v>
      </c>
      <c r="AM47" s="14">
        <v>290</v>
      </c>
      <c r="AN47" s="14">
        <v>1647</v>
      </c>
      <c r="AO47" s="14">
        <v>1356</v>
      </c>
      <c r="AP47" s="18">
        <v>2</v>
      </c>
      <c r="AQ47" s="19">
        <f>IFERROR(AL47*1000/AZ47,"")</f>
        <v>20.917728511453191</v>
      </c>
      <c r="AR47" s="14">
        <v>690</v>
      </c>
      <c r="AS47" s="14">
        <v>335</v>
      </c>
      <c r="AT47" s="14">
        <v>214</v>
      </c>
      <c r="AU47" s="14">
        <v>41</v>
      </c>
      <c r="AV47" s="14">
        <v>100</v>
      </c>
      <c r="AW47" s="15">
        <f>IFERROR(AS47/AR47,"")</f>
        <v>0.48550724637681159</v>
      </c>
      <c r="AX47" s="14">
        <v>13</v>
      </c>
      <c r="AY47" s="14">
        <v>9</v>
      </c>
      <c r="AZ47" s="14">
        <v>13577</v>
      </c>
      <c r="BA47" s="20">
        <v>873.14</v>
      </c>
      <c r="BB47" s="20">
        <v>15.55</v>
      </c>
      <c r="BC47" s="21">
        <v>0.59599999999999997</v>
      </c>
      <c r="BD47" s="18">
        <v>55.4</v>
      </c>
      <c r="BE47" s="18">
        <v>99.53</v>
      </c>
      <c r="BF47" s="18">
        <v>5.2</v>
      </c>
      <c r="BG47" s="18">
        <v>4.8</v>
      </c>
      <c r="BH47" s="18">
        <v>17.48</v>
      </c>
      <c r="BI47" s="14">
        <v>1647</v>
      </c>
      <c r="BJ47" s="18">
        <v>2</v>
      </c>
      <c r="BK47" s="15">
        <f>IFERROR(BI47/AZ47,"")</f>
        <v>0.12130809457170215</v>
      </c>
      <c r="BL47" s="22">
        <f>IFERROR(AI47+K47+S47+AA47-F47,"")</f>
        <v>0</v>
      </c>
      <c r="BM47" s="22">
        <f>IFERROR(F47+G47-C47,"")</f>
        <v>0</v>
      </c>
      <c r="BN47" s="22">
        <f>IF(I47="","",IFERROR(C47*1000/H47-I47,""))</f>
        <v>-2.4535047199606197E-2</v>
      </c>
    </row>
    <row r="48" spans="1:66">
      <c r="A48" s="13" t="s">
        <v>191</v>
      </c>
      <c r="B48" s="13" t="s">
        <v>192</v>
      </c>
      <c r="C48" s="14">
        <v>213313</v>
      </c>
      <c r="D48" s="14">
        <v>243966</v>
      </c>
      <c r="E48" s="14">
        <v>276161</v>
      </c>
      <c r="F48" s="14">
        <v>196355</v>
      </c>
      <c r="G48" s="14">
        <v>16959</v>
      </c>
      <c r="H48" s="14">
        <v>15044</v>
      </c>
      <c r="I48" s="14">
        <v>14179.29</v>
      </c>
      <c r="J48" s="14">
        <v>19758.23</v>
      </c>
      <c r="K48" s="14">
        <v>21275</v>
      </c>
      <c r="L48" s="15">
        <f>IFERROR(K48/F48,"")</f>
        <v>0.1083496727865346</v>
      </c>
      <c r="M48" s="16">
        <f>IFERROR(K48*1000/H48,"")</f>
        <v>1414.1850571656473</v>
      </c>
      <c r="N48" s="17">
        <f>IF(L48="","",RANK(L48,$L$3:$L$168,0)+COUNTIF($L$3:L48,L48)-1)</f>
        <v>56</v>
      </c>
      <c r="O48" s="17">
        <f>IF(K48="","",RANK(K48,$K$3:$K$168,0)+COUNTIF($K$3:K48,K48)-1)</f>
        <v>55</v>
      </c>
      <c r="P48" s="14">
        <v>193</v>
      </c>
      <c r="Q48" s="15">
        <f>IFERROR(P48/AR48,"")</f>
        <v>0.24871134020618557</v>
      </c>
      <c r="R48" s="16">
        <v>18</v>
      </c>
      <c r="S48" s="14">
        <v>65103</v>
      </c>
      <c r="T48" s="15">
        <f>IFERROR(S48/F48,"")</f>
        <v>0.33155763795166915</v>
      </c>
      <c r="U48" s="16">
        <f>IFERROR(S48*1000/H48,"")</f>
        <v>4327.5059824514756</v>
      </c>
      <c r="V48" s="17">
        <f>IF(T48="","",RANK(T48,$T$3:$T$168,0)+COUNTIF($T$3:T48,T48)-1)</f>
        <v>42</v>
      </c>
      <c r="W48" s="17">
        <f>IF(S48="","",RANK(S48,$S$3:$S$168,0)+COUNTIF($S$3:S48,S48)-1)</f>
        <v>40</v>
      </c>
      <c r="X48" s="14">
        <v>341</v>
      </c>
      <c r="Y48" s="14">
        <v>232</v>
      </c>
      <c r="Z48" s="15">
        <f>IFERROR((X48+Y48)/AR48,"")</f>
        <v>0.73840206185567014</v>
      </c>
      <c r="AA48" s="14">
        <v>89061</v>
      </c>
      <c r="AB48" s="15">
        <f>IFERROR(AA48/F48,"")</f>
        <v>0.45357133762827534</v>
      </c>
      <c r="AC48" s="16">
        <f>IFERROR(AA48*1000/H48,"")</f>
        <v>5920.034565275193</v>
      </c>
      <c r="AD48" s="17">
        <f>IF(AB48="","",RANK(AB48,$AB$3:$AB$168,0)+COUNTIF($AB$3:AB48,AB48)-1)</f>
        <v>103</v>
      </c>
      <c r="AE48" s="17">
        <f>IF(AA48="","",RANK(AA48,$AA$3:$AA$168,0)+COUNTIF($AA$3:AA48,AA48)-1)</f>
        <v>40</v>
      </c>
      <c r="AF48" s="18">
        <v>91.65</v>
      </c>
      <c r="AG48" s="14">
        <v>88953553.599999994</v>
      </c>
      <c r="AH48" s="16">
        <f>IFERROR(AG48/AZ48,"")</f>
        <v>6364.2808614151818</v>
      </c>
      <c r="AI48" s="14">
        <v>20915</v>
      </c>
      <c r="AJ48" s="15">
        <f>IFERROR(AI48/F48,"")</f>
        <v>0.10651625881693871</v>
      </c>
      <c r="AK48" s="14">
        <v>308</v>
      </c>
      <c r="AL48" s="14">
        <v>333</v>
      </c>
      <c r="AM48" s="14">
        <v>351</v>
      </c>
      <c r="AN48" s="14">
        <v>1853</v>
      </c>
      <c r="AO48" s="14">
        <v>1529</v>
      </c>
      <c r="AP48" s="18">
        <v>1.8</v>
      </c>
      <c r="AQ48" s="19">
        <f>IFERROR(AL48*1000/AZ48,"")</f>
        <v>23.824855119124276</v>
      </c>
      <c r="AR48" s="14">
        <v>776</v>
      </c>
      <c r="AS48" s="14">
        <v>332</v>
      </c>
      <c r="AT48" s="14">
        <v>327</v>
      </c>
      <c r="AU48" s="14">
        <v>30</v>
      </c>
      <c r="AV48" s="14">
        <v>87</v>
      </c>
      <c r="AW48" s="15">
        <f>IFERROR(AS48/AR48,"")</f>
        <v>0.42783505154639173</v>
      </c>
      <c r="AX48" s="14">
        <v>2</v>
      </c>
      <c r="AY48" s="14">
        <v>8</v>
      </c>
      <c r="AZ48" s="14">
        <v>13977</v>
      </c>
      <c r="BA48" s="20">
        <v>330.53</v>
      </c>
      <c r="BB48" s="20">
        <v>42.29</v>
      </c>
      <c r="BC48" s="21">
        <v>0.60299999999999998</v>
      </c>
      <c r="BD48" s="18">
        <v>44.6</v>
      </c>
      <c r="BE48" s="18">
        <v>98.75</v>
      </c>
      <c r="BF48" s="18">
        <v>5.0999999999999996</v>
      </c>
      <c r="BG48" s="18">
        <v>4.9000000000000004</v>
      </c>
      <c r="BH48" s="18">
        <v>25.96</v>
      </c>
      <c r="BI48" s="14">
        <v>1853</v>
      </c>
      <c r="BJ48" s="18">
        <v>1.8</v>
      </c>
      <c r="BK48" s="15">
        <f>IFERROR(BI48/AZ48,"")</f>
        <v>0.13257494455176361</v>
      </c>
      <c r="BL48" s="22">
        <f>IFERROR(AI48+K48+S48+AA48-F48,"")</f>
        <v>-1</v>
      </c>
      <c r="BM48" s="22">
        <f>IFERROR(F48+G48-C48,"")</f>
        <v>1</v>
      </c>
      <c r="BN48" s="22">
        <f>IF(I48="","",IFERROR(C48*1000/H48-I48,""))</f>
        <v>-1.5870779048782424E-2</v>
      </c>
    </row>
    <row r="49" spans="1:66">
      <c r="A49" s="13" t="s">
        <v>193</v>
      </c>
      <c r="B49" s="13" t="s">
        <v>194</v>
      </c>
      <c r="C49" s="14">
        <v>210948</v>
      </c>
      <c r="D49" s="14">
        <v>302478</v>
      </c>
      <c r="E49" s="14">
        <v>231816</v>
      </c>
      <c r="F49" s="14">
        <v>203394</v>
      </c>
      <c r="G49" s="14">
        <v>7554</v>
      </c>
      <c r="H49" s="14">
        <v>10972</v>
      </c>
      <c r="I49" s="14">
        <v>19226.04</v>
      </c>
      <c r="J49" s="14">
        <v>23864.16</v>
      </c>
      <c r="K49" s="14">
        <v>74994</v>
      </c>
      <c r="L49" s="15">
        <f>IFERROR(K49/F49,"")</f>
        <v>0.36871294138470162</v>
      </c>
      <c r="M49" s="16">
        <f>IFERROR(K49*1000/H49,"")</f>
        <v>6835.0346336128323</v>
      </c>
      <c r="N49" s="17">
        <f>IF(L49="","",RANK(L49,$L$3:$L$168,0)+COUNTIF($L$3:L49,L49)-1)</f>
        <v>20</v>
      </c>
      <c r="O49" s="17">
        <f>IF(K49="","",RANK(K49,$K$3:$K$168,0)+COUNTIF($K$3:K49,K49)-1)</f>
        <v>36</v>
      </c>
      <c r="P49" s="14">
        <v>64</v>
      </c>
      <c r="Q49" s="15">
        <f>IFERROR(P49/AR49,"")</f>
        <v>0.1170018281535649</v>
      </c>
      <c r="R49" s="16">
        <v>11</v>
      </c>
      <c r="S49" s="14">
        <v>47258</v>
      </c>
      <c r="T49" s="15">
        <f>IFERROR(S49/F49,"")</f>
        <v>0.23234707021839385</v>
      </c>
      <c r="U49" s="16">
        <f>IFERROR(S49*1000/H49,"")</f>
        <v>4307.1454611738973</v>
      </c>
      <c r="V49" s="17">
        <f>IF(T49="","",RANK(T49,$T$3:$T$168,0)+COUNTIF($T$3:T49,T49)-1)</f>
        <v>109</v>
      </c>
      <c r="W49" s="17">
        <f>IF(S49="","",RANK(S49,$S$3:$S$168,0)+COUNTIF($S$3:S49,S49)-1)</f>
        <v>50</v>
      </c>
      <c r="X49" s="14">
        <v>194</v>
      </c>
      <c r="Y49" s="14">
        <v>255</v>
      </c>
      <c r="Z49" s="15">
        <f>IFERROR((X49+Y49)/AR49,"")</f>
        <v>0.82084095063985374</v>
      </c>
      <c r="AA49" s="14">
        <v>69035</v>
      </c>
      <c r="AB49" s="15">
        <f>IFERROR(AA49/F49,"")</f>
        <v>0.33941512532326423</v>
      </c>
      <c r="AC49" s="16">
        <f>IFERROR(AA49*1000/H49,"")</f>
        <v>6291.9248997448049</v>
      </c>
      <c r="AD49" s="17">
        <f>IF(AB49="","",RANK(AB49,$AB$3:$AB$168,0)+COUNTIF($AB$3:AB49,AB49)-1)</f>
        <v>133</v>
      </c>
      <c r="AE49" s="17">
        <f>IF(AA49="","",RANK(AA49,$AA$3:$AA$168,0)+COUNTIF($AA$3:AA49,AA49)-1)</f>
        <v>63</v>
      </c>
      <c r="AF49" s="18">
        <v>94.29</v>
      </c>
      <c r="AG49" s="14">
        <v>81673307.459999993</v>
      </c>
      <c r="AH49" s="16">
        <f>IFERROR(AG49/AZ49,"")</f>
        <v>8407.7936442248301</v>
      </c>
      <c r="AI49" s="14">
        <v>12107</v>
      </c>
      <c r="AJ49" s="15">
        <f>IFERROR(AI49/F49,"")</f>
        <v>5.952486307364032E-2</v>
      </c>
      <c r="AK49" s="14">
        <v>218</v>
      </c>
      <c r="AL49" s="14">
        <v>241</v>
      </c>
      <c r="AM49" s="14">
        <v>252</v>
      </c>
      <c r="AN49" s="14">
        <v>1028</v>
      </c>
      <c r="AO49" s="14">
        <v>827</v>
      </c>
      <c r="AP49" s="18">
        <v>1.9</v>
      </c>
      <c r="AQ49" s="19">
        <f>IFERROR(AL49*1000/AZ49,"")</f>
        <v>24.809553222153593</v>
      </c>
      <c r="AR49" s="14">
        <v>547</v>
      </c>
      <c r="AS49" s="14">
        <v>245</v>
      </c>
      <c r="AT49" s="14">
        <v>171</v>
      </c>
      <c r="AU49" s="14">
        <v>32</v>
      </c>
      <c r="AV49" s="14">
        <v>99</v>
      </c>
      <c r="AW49" s="15">
        <f>IFERROR(AS49/AR49,"")</f>
        <v>0.44789762340036565</v>
      </c>
      <c r="AX49" s="14">
        <v>25</v>
      </c>
      <c r="AY49" s="14">
        <v>9</v>
      </c>
      <c r="AZ49" s="14">
        <v>9714</v>
      </c>
      <c r="BA49" s="20">
        <v>517.73699999999997</v>
      </c>
      <c r="BB49" s="20">
        <v>18.760000000000002</v>
      </c>
      <c r="BC49" s="21">
        <v>0.58899999999999997</v>
      </c>
      <c r="BD49" s="18">
        <v>50.7</v>
      </c>
      <c r="BE49" s="18">
        <v>99.36</v>
      </c>
      <c r="BF49" s="18">
        <v>5.4</v>
      </c>
      <c r="BG49" s="18">
        <v>5</v>
      </c>
      <c r="BH49" s="18">
        <v>26.52</v>
      </c>
      <c r="BI49" s="14">
        <v>1028</v>
      </c>
      <c r="BJ49" s="18">
        <v>1.9</v>
      </c>
      <c r="BK49" s="15">
        <f>IFERROR(BI49/AZ49,"")</f>
        <v>0.10582664196005764</v>
      </c>
      <c r="BL49" s="22">
        <f>IFERROR(AI49+K49+S49+AA49-F49,"")</f>
        <v>0</v>
      </c>
      <c r="BM49" s="22">
        <f>IFERROR(F49+G49-C49,"")</f>
        <v>0</v>
      </c>
      <c r="BN49" s="22">
        <f>IF(I49="","",IFERROR(C49*1000/H49-I49,""))</f>
        <v>-1.0105723660672083E-2</v>
      </c>
    </row>
    <row r="50" spans="1:66">
      <c r="A50" s="13" t="s">
        <v>195</v>
      </c>
      <c r="B50" s="13" t="s">
        <v>196</v>
      </c>
      <c r="C50" s="14">
        <v>207991</v>
      </c>
      <c r="D50" s="14">
        <v>237956</v>
      </c>
      <c r="E50" s="14">
        <v>244663</v>
      </c>
      <c r="F50" s="14">
        <v>187190</v>
      </c>
      <c r="G50" s="14">
        <v>20801</v>
      </c>
      <c r="H50" s="14">
        <v>12397</v>
      </c>
      <c r="I50" s="14">
        <v>16777.53</v>
      </c>
      <c r="J50" s="14">
        <v>20992.11</v>
      </c>
      <c r="K50" s="14">
        <v>30304</v>
      </c>
      <c r="L50" s="15">
        <f>IFERROR(K50/F50,"")</f>
        <v>0.16188898979646349</v>
      </c>
      <c r="M50" s="16">
        <f>IFERROR(K50*1000/H50,"")</f>
        <v>2444.4623699282083</v>
      </c>
      <c r="N50" s="17">
        <f>IF(L50="","",RANK(L50,$L$3:$L$168,0)+COUNTIF($L$3:L50,L50)-1)</f>
        <v>43</v>
      </c>
      <c r="O50" s="17">
        <f>IF(K50="","",RANK(K50,$K$3:$K$168,0)+COUNTIF($K$3:K50,K50)-1)</f>
        <v>47</v>
      </c>
      <c r="P50" s="14">
        <v>218</v>
      </c>
      <c r="Q50" s="15">
        <f>IFERROR(P50/AR50,"")</f>
        <v>0.19516562220232767</v>
      </c>
      <c r="R50" s="16">
        <v>21</v>
      </c>
      <c r="S50" s="14">
        <v>68528</v>
      </c>
      <c r="T50" s="15">
        <f>IFERROR(S50/F50,"")</f>
        <v>0.36608793204765211</v>
      </c>
      <c r="U50" s="16">
        <f>IFERROR(S50*1000/H50,"")</f>
        <v>5527.7889812051299</v>
      </c>
      <c r="V50" s="17">
        <f>IF(T50="","",RANK(T50,$T$3:$T$168,0)+COUNTIF($T$3:T50,T50)-1)</f>
        <v>32</v>
      </c>
      <c r="W50" s="17">
        <f>IF(S50="","",RANK(S50,$S$3:$S$168,0)+COUNTIF($S$3:S50,S50)-1)</f>
        <v>39</v>
      </c>
      <c r="X50" s="14">
        <v>420</v>
      </c>
      <c r="Y50" s="14">
        <v>466</v>
      </c>
      <c r="Z50" s="15">
        <f>IFERROR((X50+Y50)/AR50,"")</f>
        <v>0.79319606087735006</v>
      </c>
      <c r="AA50" s="14">
        <v>71059</v>
      </c>
      <c r="AB50" s="15">
        <f>IFERROR(AA50/F50,"")</f>
        <v>0.37960895346973661</v>
      </c>
      <c r="AC50" s="16">
        <f>IFERROR(AA50*1000/H50,"")</f>
        <v>5731.9512785351299</v>
      </c>
      <c r="AD50" s="17">
        <f>IF(AB50="","",RANK(AB50,$AB$3:$AB$168,0)+COUNTIF($AB$3:AB50,AB50)-1)</f>
        <v>121</v>
      </c>
      <c r="AE50" s="17">
        <f>IF(AA50="","",RANK(AA50,$AA$3:$AA$168,0)+COUNTIF($AA$3:AA50,AA50)-1)</f>
        <v>59</v>
      </c>
      <c r="AF50" s="18">
        <v>83.65</v>
      </c>
      <c r="AG50" s="14">
        <v>71432891.340000004</v>
      </c>
      <c r="AH50" s="16">
        <f>IFERROR(AG50/AZ50,"")</f>
        <v>6128.9482059202064</v>
      </c>
      <c r="AI50" s="14">
        <v>17299</v>
      </c>
      <c r="AJ50" s="15">
        <f>IFERROR(AI50/F50,"")</f>
        <v>9.2414124686147764E-2</v>
      </c>
      <c r="AK50" s="14">
        <v>393</v>
      </c>
      <c r="AL50" s="14">
        <v>433</v>
      </c>
      <c r="AM50" s="14">
        <v>462</v>
      </c>
      <c r="AN50" s="14">
        <v>2048</v>
      </c>
      <c r="AO50" s="14">
        <v>1586</v>
      </c>
      <c r="AP50" s="18">
        <v>1.6</v>
      </c>
      <c r="AQ50" s="19">
        <f>IFERROR(AL50*1000/AZ50,"")</f>
        <v>37.15143715143715</v>
      </c>
      <c r="AR50" s="14">
        <v>1117</v>
      </c>
      <c r="AS50" s="14">
        <v>593</v>
      </c>
      <c r="AT50" s="14">
        <v>364</v>
      </c>
      <c r="AU50" s="14">
        <v>51</v>
      </c>
      <c r="AV50" s="14">
        <v>109</v>
      </c>
      <c r="AW50" s="15">
        <f>IFERROR(AS50/AR50,"")</f>
        <v>0.53088630259623992</v>
      </c>
      <c r="AX50" s="14">
        <v>3</v>
      </c>
      <c r="AY50" s="14">
        <v>10</v>
      </c>
      <c r="AZ50" s="14">
        <v>11655</v>
      </c>
      <c r="BA50" s="20">
        <v>367.64499999999998</v>
      </c>
      <c r="BB50" s="20">
        <v>31.7</v>
      </c>
      <c r="BC50" s="21">
        <v>0.66300000000000003</v>
      </c>
      <c r="BD50" s="18">
        <v>41.3</v>
      </c>
      <c r="BE50" s="18">
        <v>100</v>
      </c>
      <c r="BF50" s="18">
        <v>6.3</v>
      </c>
      <c r="BG50" s="18">
        <v>5.4</v>
      </c>
      <c r="BH50" s="18">
        <v>71.88</v>
      </c>
      <c r="BI50" s="14">
        <v>2048</v>
      </c>
      <c r="BJ50" s="18">
        <v>1.6</v>
      </c>
      <c r="BK50" s="15">
        <f>IFERROR(BI50/AZ50,"")</f>
        <v>0.17571857571857571</v>
      </c>
      <c r="BL50" s="22">
        <f>IFERROR(AI50+K50+S50+AA50-F50,"")</f>
        <v>0</v>
      </c>
      <c r="BM50" s="22">
        <f>IFERROR(F50+G50-C50,"")</f>
        <v>0</v>
      </c>
      <c r="BN50" s="22">
        <f>IF(I50="","",IFERROR(C50*1000/H50-I50,""))</f>
        <v>-3.1789949171070475E-3</v>
      </c>
    </row>
    <row r="51" spans="1:66">
      <c r="A51" s="13" t="s">
        <v>197</v>
      </c>
      <c r="B51" s="13" t="s">
        <v>198</v>
      </c>
      <c r="C51" s="14">
        <v>201782</v>
      </c>
      <c r="D51" s="14">
        <v>213678</v>
      </c>
      <c r="E51" s="14">
        <v>225000</v>
      </c>
      <c r="F51" s="14">
        <v>182311</v>
      </c>
      <c r="G51" s="14">
        <v>19471</v>
      </c>
      <c r="H51" s="14">
        <v>16008</v>
      </c>
      <c r="I51" s="14">
        <v>12605.08</v>
      </c>
      <c r="J51" s="14">
        <v>16941.5</v>
      </c>
      <c r="K51" s="14">
        <v>18673</v>
      </c>
      <c r="L51" s="15">
        <f>IFERROR(K51/F51,"")</f>
        <v>0.10242388007306197</v>
      </c>
      <c r="M51" s="16">
        <f>IFERROR(K51*1000/H51,"")</f>
        <v>1166.4792603698152</v>
      </c>
      <c r="N51" s="17">
        <f>IF(L51="","",RANK(L51,$L$3:$L$168,0)+COUNTIF($L$3:L51,L51)-1)</f>
        <v>57</v>
      </c>
      <c r="O51" s="17">
        <f>IF(K51="","",RANK(K51,$K$3:$K$168,0)+COUNTIF($K$3:K51,K51)-1)</f>
        <v>57</v>
      </c>
      <c r="P51" s="14">
        <v>96</v>
      </c>
      <c r="Q51" s="15">
        <f>IFERROR(P51/AR51,"")</f>
        <v>0.10946408209806158</v>
      </c>
      <c r="R51" s="16">
        <v>14</v>
      </c>
      <c r="S51" s="14">
        <v>64277</v>
      </c>
      <c r="T51" s="15">
        <f>IFERROR(S51/F51,"")</f>
        <v>0.35256786480245295</v>
      </c>
      <c r="U51" s="16">
        <f>IFERROR(S51*1000/H51,"")</f>
        <v>4015.3048475762121</v>
      </c>
      <c r="V51" s="17">
        <f>IF(T51="","",RANK(T51,$T$3:$T$168,0)+COUNTIF($T$3:T51,T51)-1)</f>
        <v>36</v>
      </c>
      <c r="W51" s="17">
        <f>IF(S51="","",RANK(S51,$S$3:$S$168,0)+COUNTIF($S$3:S51,S51)-1)</f>
        <v>44</v>
      </c>
      <c r="X51" s="14">
        <v>400</v>
      </c>
      <c r="Y51" s="14">
        <v>368</v>
      </c>
      <c r="Z51" s="15">
        <f>IFERROR((X51+Y51)/AR51,"")</f>
        <v>0.87571265678449262</v>
      </c>
      <c r="AA51" s="14">
        <v>94105</v>
      </c>
      <c r="AB51" s="15">
        <f>IFERROR(AA51/F51,"")</f>
        <v>0.51617839845099855</v>
      </c>
      <c r="AC51" s="16">
        <f>IFERROR(AA51*1000/H51,"")</f>
        <v>5878.623188405797</v>
      </c>
      <c r="AD51" s="17">
        <f>IF(AB51="","",RANK(AB51,$AB$3:$AB$168,0)+COUNTIF($AB$3:AB51,AB51)-1)</f>
        <v>85</v>
      </c>
      <c r="AE51" s="17">
        <f>IF(AA51="","",RANK(AA51,$AA$3:$AA$168,0)+COUNTIF($AA$3:AA51,AA51)-1)</f>
        <v>38</v>
      </c>
      <c r="AF51" s="18">
        <v>88.69</v>
      </c>
      <c r="AG51" s="14">
        <v>91171163.849999994</v>
      </c>
      <c r="AH51" s="16">
        <f>IFERROR(AG51/AZ51,"")</f>
        <v>6864.7815563587073</v>
      </c>
      <c r="AI51" s="14">
        <v>5256</v>
      </c>
      <c r="AJ51" s="15">
        <f>IFERROR(AI51/F51,"")</f>
        <v>2.8829856673486514E-2</v>
      </c>
      <c r="AK51" s="14">
        <v>281</v>
      </c>
      <c r="AL51" s="14">
        <v>320</v>
      </c>
      <c r="AM51" s="14">
        <v>324</v>
      </c>
      <c r="AN51" s="14">
        <v>1449</v>
      </c>
      <c r="AO51" s="14">
        <v>1148</v>
      </c>
      <c r="AP51" s="18">
        <v>2.1</v>
      </c>
      <c r="AQ51" s="19">
        <f>IFERROR(AL51*1000/AZ51,"")</f>
        <v>24.094571191928317</v>
      </c>
      <c r="AR51" s="14">
        <v>877</v>
      </c>
      <c r="AS51" s="14">
        <v>477</v>
      </c>
      <c r="AT51" s="14">
        <v>274</v>
      </c>
      <c r="AU51" s="14">
        <v>35</v>
      </c>
      <c r="AV51" s="14">
        <v>91</v>
      </c>
      <c r="AW51" s="15">
        <f>IFERROR(AS51/AR51,"")</f>
        <v>0.54389965792474348</v>
      </c>
      <c r="AX51" s="14">
        <v>6</v>
      </c>
      <c r="AY51" s="14">
        <v>6</v>
      </c>
      <c r="AZ51" s="14">
        <v>13281</v>
      </c>
      <c r="BA51" s="20">
        <v>339.48399999999998</v>
      </c>
      <c r="BB51" s="20">
        <v>39.119999999999997</v>
      </c>
      <c r="BC51" s="21">
        <v>0.60799999999999998</v>
      </c>
      <c r="BD51" s="18">
        <v>51.1</v>
      </c>
      <c r="BE51" s="18">
        <v>99.58</v>
      </c>
      <c r="BF51" s="18">
        <v>4.4000000000000004</v>
      </c>
      <c r="BG51" s="18">
        <v>4.3</v>
      </c>
      <c r="BH51" s="18">
        <v>53.25</v>
      </c>
      <c r="BI51" s="14">
        <v>1449</v>
      </c>
      <c r="BJ51" s="18">
        <v>2.1</v>
      </c>
      <c r="BK51" s="15">
        <f>IFERROR(BI51/AZ51,"")</f>
        <v>0.10910323017845042</v>
      </c>
      <c r="BL51" s="22">
        <f>IFERROR(AI51+K51+S51+AA51-F51,"")</f>
        <v>0</v>
      </c>
      <c r="BM51" s="22">
        <f>IFERROR(F51+G51-C51,"")</f>
        <v>0</v>
      </c>
      <c r="BN51" s="22">
        <f>IF(I51="","",IFERROR(C51*1000/H51-I51,""))</f>
        <v>-7.5362318839324871E-3</v>
      </c>
    </row>
    <row r="52" spans="1:66">
      <c r="A52" s="13" t="s">
        <v>199</v>
      </c>
      <c r="B52" s="13" t="s">
        <v>200</v>
      </c>
      <c r="C52" s="14">
        <v>196498</v>
      </c>
      <c r="D52" s="14">
        <v>215667</v>
      </c>
      <c r="E52" s="14">
        <v>263825</v>
      </c>
      <c r="F52" s="14">
        <v>183123</v>
      </c>
      <c r="G52" s="14">
        <v>13375</v>
      </c>
      <c r="H52" s="14">
        <v>15759</v>
      </c>
      <c r="I52" s="14">
        <v>12468.96</v>
      </c>
      <c r="J52" s="14">
        <v>18669.939999999999</v>
      </c>
      <c r="K52" s="14">
        <v>7935</v>
      </c>
      <c r="L52" s="15">
        <f>IFERROR(K52/F52,"")</f>
        <v>4.3331531265870478E-2</v>
      </c>
      <c r="M52" s="16">
        <f>IFERROR(K52*1000/H52,"")</f>
        <v>503.52179706834193</v>
      </c>
      <c r="N52" s="17">
        <f>IF(L52="","",RANK(L52,$L$3:$L$168,0)+COUNTIF($L$3:L52,L52)-1)</f>
        <v>107</v>
      </c>
      <c r="O52" s="17">
        <f>IF(K52="","",RANK(K52,$K$3:$K$168,0)+COUNTIF($K$3:K52,K52)-1)</f>
        <v>73</v>
      </c>
      <c r="P52" s="14">
        <v>79</v>
      </c>
      <c r="Q52" s="15">
        <f>IFERROR(P52/AR52,"")</f>
        <v>0.13210702341137123</v>
      </c>
      <c r="R52" s="16">
        <v>7</v>
      </c>
      <c r="S52" s="14">
        <v>40826</v>
      </c>
      <c r="T52" s="15">
        <f>IFERROR(S52/F52,"")</f>
        <v>0.22294304920736335</v>
      </c>
      <c r="U52" s="16">
        <f>IFERROR(S52*1000/H52,"")</f>
        <v>2590.646614632908</v>
      </c>
      <c r="V52" s="17">
        <f>IF(T52="","",RANK(T52,$T$3:$T$168,0)+COUNTIF($T$3:T52,T52)-1)</f>
        <v>120</v>
      </c>
      <c r="W52" s="17">
        <f>IF(S52="","",RANK(S52,$S$3:$S$168,0)+COUNTIF($S$3:S52,S52)-1)</f>
        <v>60</v>
      </c>
      <c r="X52" s="14">
        <v>216</v>
      </c>
      <c r="Y52" s="14">
        <v>272</v>
      </c>
      <c r="Z52" s="15">
        <f>IFERROR((X52+Y52)/AR52,"")</f>
        <v>0.81605351170568563</v>
      </c>
      <c r="AA52" s="14">
        <v>86022</v>
      </c>
      <c r="AB52" s="15">
        <f>IFERROR(AA52/F52,"")</f>
        <v>0.46974984027129307</v>
      </c>
      <c r="AC52" s="16">
        <f>IFERROR(AA52*1000/H52,"")</f>
        <v>5458.5950885208449</v>
      </c>
      <c r="AD52" s="17">
        <f>IF(AB52="","",RANK(AB52,$AB$3:$AB$168,0)+COUNTIF($AB$3:AB52,AB52)-1)</f>
        <v>97</v>
      </c>
      <c r="AE52" s="17">
        <f>IF(AA52="","",RANK(AA52,$AA$3:$AA$168,0)+COUNTIF($AA$3:AA52,AA52)-1)</f>
        <v>42</v>
      </c>
      <c r="AF52" s="18">
        <v>94.32</v>
      </c>
      <c r="AG52" s="14">
        <v>83407397.859999999</v>
      </c>
      <c r="AH52" s="16">
        <f>IFERROR(AG52/AZ52,"")</f>
        <v>5902.44128936381</v>
      </c>
      <c r="AI52" s="14">
        <v>48341</v>
      </c>
      <c r="AJ52" s="15">
        <f>IFERROR(AI52/F52,"")</f>
        <v>0.26398104006596657</v>
      </c>
      <c r="AK52" s="14">
        <v>297</v>
      </c>
      <c r="AL52" s="14">
        <v>369</v>
      </c>
      <c r="AM52" s="14">
        <v>376</v>
      </c>
      <c r="AN52" s="14">
        <v>1904</v>
      </c>
      <c r="AO52" s="14">
        <v>1563</v>
      </c>
      <c r="AP52" s="18">
        <v>1.6</v>
      </c>
      <c r="AQ52" s="19">
        <f>IFERROR(AL52*1000/AZ52,"")</f>
        <v>26.112801641780482</v>
      </c>
      <c r="AR52" s="14">
        <v>598</v>
      </c>
      <c r="AS52" s="14">
        <v>223</v>
      </c>
      <c r="AT52" s="14">
        <v>222</v>
      </c>
      <c r="AU52" s="14">
        <v>22</v>
      </c>
      <c r="AV52" s="14">
        <v>131</v>
      </c>
      <c r="AW52" s="15">
        <f>IFERROR(AS52/AR52,"")</f>
        <v>0.37290969899665549</v>
      </c>
      <c r="AX52" s="14">
        <v>24</v>
      </c>
      <c r="AY52" s="14">
        <v>7</v>
      </c>
      <c r="AZ52" s="14">
        <v>14131</v>
      </c>
      <c r="BA52" s="20">
        <v>374.245</v>
      </c>
      <c r="BB52" s="20">
        <v>37.76</v>
      </c>
      <c r="BC52" s="21">
        <v>0.60299999999999998</v>
      </c>
      <c r="BD52" s="18">
        <v>47.1</v>
      </c>
      <c r="BE52" s="18">
        <v>98.28</v>
      </c>
      <c r="BF52" s="18">
        <v>5.3</v>
      </c>
      <c r="BG52" s="18">
        <v>3.8</v>
      </c>
      <c r="BH52" s="18">
        <v>0.96</v>
      </c>
      <c r="BI52" s="14">
        <v>1904</v>
      </c>
      <c r="BJ52" s="18">
        <v>1.6</v>
      </c>
      <c r="BK52" s="15">
        <f>IFERROR(BI52/AZ52,"")</f>
        <v>0.13473922581558276</v>
      </c>
      <c r="BL52" s="22">
        <f>IFERROR(AI52+K52+S52+AA52-F52,"")</f>
        <v>1</v>
      </c>
      <c r="BM52" s="22">
        <f>IFERROR(F52+G52-C52,"")</f>
        <v>0</v>
      </c>
      <c r="BN52" s="22">
        <f>IF(I52="","",IFERROR(C52*1000/H52-I52,""))</f>
        <v>-2.1615584744722582E-2</v>
      </c>
    </row>
    <row r="53" spans="1:66">
      <c r="A53" s="13" t="s">
        <v>201</v>
      </c>
      <c r="B53" s="13" t="s">
        <v>202</v>
      </c>
      <c r="C53" s="14">
        <v>192156</v>
      </c>
      <c r="D53" s="14">
        <v>345300</v>
      </c>
      <c r="E53" s="14">
        <v>319931</v>
      </c>
      <c r="F53" s="14">
        <v>180300</v>
      </c>
      <c r="G53" s="14">
        <v>11856</v>
      </c>
      <c r="H53" s="14">
        <v>8310</v>
      </c>
      <c r="I53" s="14">
        <v>23123.45</v>
      </c>
      <c r="J53" s="14">
        <v>43298.29</v>
      </c>
      <c r="K53" s="14">
        <v>84834</v>
      </c>
      <c r="L53" s="15">
        <f>IFERROR(K53/F53,"")</f>
        <v>0.47051580698835277</v>
      </c>
      <c r="M53" s="16">
        <f>IFERROR(K53*1000/H53,"")</f>
        <v>10208.664259927798</v>
      </c>
      <c r="N53" s="17">
        <f>IF(L53="","",RANK(L53,$L$3:$L$168,0)+COUNTIF($L$3:L53,L53)-1)</f>
        <v>14</v>
      </c>
      <c r="O53" s="17">
        <f>IF(K53="","",RANK(K53,$K$3:$K$168,0)+COUNTIF($K$3:K53,K53)-1)</f>
        <v>26</v>
      </c>
      <c r="P53" s="14">
        <v>43</v>
      </c>
      <c r="Q53" s="15">
        <f>IFERROR(P53/AR53,"")</f>
        <v>0.13230769230769232</v>
      </c>
      <c r="R53" s="16">
        <v>10</v>
      </c>
      <c r="S53" s="14">
        <v>39733</v>
      </c>
      <c r="T53" s="15">
        <f>IFERROR(S53/F53,"")</f>
        <v>0.22037160288408209</v>
      </c>
      <c r="U53" s="16">
        <f>IFERROR(S53*1000/H53,"")</f>
        <v>4781.3477737665462</v>
      </c>
      <c r="V53" s="17">
        <f>IF(T53="","",RANK(T53,$T$3:$T$168,0)+COUNTIF($T$3:T53,T53)-1)</f>
        <v>124</v>
      </c>
      <c r="W53" s="17">
        <f>IF(S53="","",RANK(S53,$S$3:$S$168,0)+COUNTIF($S$3:S53,S53)-1)</f>
        <v>64</v>
      </c>
      <c r="X53" s="14">
        <v>134</v>
      </c>
      <c r="Y53" s="14">
        <v>136</v>
      </c>
      <c r="Z53" s="15">
        <f>IFERROR((X53+Y53)/AR53,"")</f>
        <v>0.83076923076923082</v>
      </c>
      <c r="AA53" s="14">
        <v>53625</v>
      </c>
      <c r="AB53" s="15">
        <f>IFERROR(AA53/F53,"")</f>
        <v>0.29742096505823629</v>
      </c>
      <c r="AC53" s="16">
        <f>IFERROR(AA53*1000/H53,"")</f>
        <v>6453.0685920577616</v>
      </c>
      <c r="AD53" s="17">
        <f>IF(AB53="","",RANK(AB53,$AB$3:$AB$168,0)+COUNTIF($AB$3:AB53,AB53)-1)</f>
        <v>137</v>
      </c>
      <c r="AE53" s="17">
        <f>IF(AA53="","",RANK(AA53,$AA$3:$AA$168,0)+COUNTIF($AA$3:AA53,AA53)-1)</f>
        <v>80</v>
      </c>
      <c r="AF53" s="18">
        <v>81.42</v>
      </c>
      <c r="AG53" s="14">
        <v>82118223.099999994</v>
      </c>
      <c r="AH53" s="16">
        <f>IFERROR(AG53/AZ53,"")</f>
        <v>11113.577358235214</v>
      </c>
      <c r="AI53" s="14">
        <v>2108</v>
      </c>
      <c r="AJ53" s="15">
        <f>IFERROR(AI53/F53,"")</f>
        <v>1.1691625069328896E-2</v>
      </c>
      <c r="AK53" s="14">
        <v>127</v>
      </c>
      <c r="AL53" s="14">
        <v>131</v>
      </c>
      <c r="AM53" s="14">
        <v>133</v>
      </c>
      <c r="AN53" s="14">
        <v>817</v>
      </c>
      <c r="AO53" s="14">
        <v>713</v>
      </c>
      <c r="AP53" s="18">
        <v>2</v>
      </c>
      <c r="AQ53" s="19">
        <f>IFERROR(AL53*1000/AZ53,"")</f>
        <v>17.729056705914196</v>
      </c>
      <c r="AR53" s="14">
        <v>325</v>
      </c>
      <c r="AS53" s="14">
        <v>149</v>
      </c>
      <c r="AT53" s="14">
        <v>109</v>
      </c>
      <c r="AU53" s="14">
        <v>4</v>
      </c>
      <c r="AV53" s="14">
        <v>63</v>
      </c>
      <c r="AW53" s="15">
        <f>IFERROR(AS53/AR53,"")</f>
        <v>0.45846153846153848</v>
      </c>
      <c r="AX53" s="14">
        <v>3</v>
      </c>
      <c r="AY53" s="14">
        <v>9</v>
      </c>
      <c r="AZ53" s="14">
        <v>7389</v>
      </c>
      <c r="BA53" s="20">
        <v>262.88</v>
      </c>
      <c r="BB53" s="20">
        <v>28.11</v>
      </c>
      <c r="BC53" s="21">
        <v>0.59199999999999997</v>
      </c>
      <c r="BD53" s="18">
        <v>51.5</v>
      </c>
      <c r="BE53" s="18">
        <v>99.52</v>
      </c>
      <c r="BF53" s="18">
        <v>4.7</v>
      </c>
      <c r="BG53" s="18">
        <v>4.0999999999999996</v>
      </c>
      <c r="BH53" s="18">
        <v>52.04</v>
      </c>
      <c r="BI53" s="14">
        <v>817</v>
      </c>
      <c r="BJ53" s="18">
        <v>2</v>
      </c>
      <c r="BK53" s="15">
        <f>IFERROR(BI53/AZ53,"")</f>
        <v>0.11056976586818243</v>
      </c>
      <c r="BL53" s="22">
        <f>IFERROR(AI53+K53+S53+AA53-F53,"")</f>
        <v>0</v>
      </c>
      <c r="BM53" s="22">
        <f>IFERROR(F53+G53-C53,"")</f>
        <v>0</v>
      </c>
      <c r="BN53" s="22">
        <f>IF(I53="","",IFERROR(C53*1000/H53-I53,""))</f>
        <v>1.5703971119364724E-2</v>
      </c>
    </row>
    <row r="54" spans="1:66">
      <c r="A54" s="13" t="s">
        <v>203</v>
      </c>
      <c r="B54" s="13" t="s">
        <v>204</v>
      </c>
      <c r="C54" s="14">
        <v>185590</v>
      </c>
      <c r="D54" s="14">
        <v>211825</v>
      </c>
      <c r="E54" s="14">
        <v>207249</v>
      </c>
      <c r="F54" s="14">
        <v>176112</v>
      </c>
      <c r="G54" s="14">
        <v>9478</v>
      </c>
      <c r="H54" s="14">
        <v>10961</v>
      </c>
      <c r="I54" s="14">
        <v>16931.82</v>
      </c>
      <c r="J54" s="14">
        <v>20022.14</v>
      </c>
      <c r="K54" s="14">
        <v>31176</v>
      </c>
      <c r="L54" s="15">
        <f>IFERROR(K54/F54,"")</f>
        <v>0.17702371218315618</v>
      </c>
      <c r="M54" s="16">
        <f>IFERROR(K54*1000/H54,"")</f>
        <v>2844.2660341209744</v>
      </c>
      <c r="N54" s="17">
        <f>IF(L54="","",RANK(L54,$L$3:$L$168,0)+COUNTIF($L$3:L54,L54)-1)</f>
        <v>39</v>
      </c>
      <c r="O54" s="17">
        <f>IF(K54="","",RANK(K54,$K$3:$K$168,0)+COUNTIF($K$3:K54,K54)-1)</f>
        <v>46</v>
      </c>
      <c r="P54" s="14">
        <v>54</v>
      </c>
      <c r="Q54" s="15">
        <f>IFERROR(P54/AR54,"")</f>
        <v>9.8540145985401464E-2</v>
      </c>
      <c r="R54" s="16">
        <v>8</v>
      </c>
      <c r="S54" s="14">
        <v>35592</v>
      </c>
      <c r="T54" s="15">
        <f>IFERROR(S54/F54,"")</f>
        <v>0.20209866448623603</v>
      </c>
      <c r="U54" s="16">
        <f>IFERROR(S54*1000/H54,"")</f>
        <v>3247.1489827570476</v>
      </c>
      <c r="V54" s="17">
        <f>IF(T54="","",RANK(T54,$T$3:$T$168,0)+COUNTIF($T$3:T54,T54)-1)</f>
        <v>140</v>
      </c>
      <c r="W54" s="17">
        <f>IF(S54="","",RANK(S54,$S$3:$S$168,0)+COUNTIF($S$3:S54,S54)-1)</f>
        <v>66</v>
      </c>
      <c r="X54" s="14">
        <v>187</v>
      </c>
      <c r="Y54" s="14">
        <v>262</v>
      </c>
      <c r="Z54" s="15">
        <f>IFERROR((X54+Y54)/AR54,"")</f>
        <v>0.81934306569343063</v>
      </c>
      <c r="AA54" s="14">
        <v>76527</v>
      </c>
      <c r="AB54" s="15">
        <f>IFERROR(AA54/F54,"")</f>
        <v>0.43453597710547831</v>
      </c>
      <c r="AC54" s="16">
        <f>IFERROR(AA54*1000/H54,"")</f>
        <v>6981.7534896451052</v>
      </c>
      <c r="AD54" s="17">
        <f>IF(AB54="","",RANK(AB54,$AB$3:$AB$168,0)+COUNTIF($AB$3:AB54,AB54)-1)</f>
        <v>111</v>
      </c>
      <c r="AE54" s="17">
        <f>IF(AA54="","",RANK(AA54,$AA$3:$AA$168,0)+COUNTIF($AA$3:AA54,AA54)-1)</f>
        <v>49</v>
      </c>
      <c r="AF54" s="18">
        <v>89.28</v>
      </c>
      <c r="AG54" s="14">
        <v>86654245.709999993</v>
      </c>
      <c r="AH54" s="16">
        <f>IFERROR(AG54/AZ54,"")</f>
        <v>8371.5820413486617</v>
      </c>
      <c r="AI54" s="14">
        <v>32817</v>
      </c>
      <c r="AJ54" s="15">
        <f>IFERROR(AI54/F54,"")</f>
        <v>0.18634164622512947</v>
      </c>
      <c r="AK54" s="14">
        <v>204</v>
      </c>
      <c r="AL54" s="14">
        <v>209</v>
      </c>
      <c r="AM54" s="14">
        <v>210</v>
      </c>
      <c r="AN54" s="14">
        <v>817</v>
      </c>
      <c r="AO54" s="14">
        <v>619</v>
      </c>
      <c r="AP54" s="18">
        <v>1.3</v>
      </c>
      <c r="AQ54" s="19">
        <f>IFERROR(AL54*1000/AZ54,"")</f>
        <v>20.191285866099893</v>
      </c>
      <c r="AR54" s="14">
        <v>548</v>
      </c>
      <c r="AS54" s="14">
        <v>259</v>
      </c>
      <c r="AT54" s="14">
        <v>188</v>
      </c>
      <c r="AU54" s="14">
        <v>7</v>
      </c>
      <c r="AV54" s="14">
        <v>94</v>
      </c>
      <c r="AW54" s="15">
        <f>IFERROR(AS54/AR54,"")</f>
        <v>0.47262773722627738</v>
      </c>
      <c r="AX54" s="14">
        <v>40</v>
      </c>
      <c r="AY54" s="14">
        <v>5</v>
      </c>
      <c r="AZ54" s="14">
        <v>10351</v>
      </c>
      <c r="BA54" s="20">
        <v>151.09700000000001</v>
      </c>
      <c r="BB54" s="20">
        <v>68.510000000000005</v>
      </c>
      <c r="BC54" s="21">
        <v>0.56899999999999995</v>
      </c>
      <c r="BD54" s="18">
        <v>51.8</v>
      </c>
      <c r="BE54" s="18">
        <v>99.18</v>
      </c>
      <c r="BF54" s="18">
        <v>4.5</v>
      </c>
      <c r="BG54" s="18">
        <v>4.3</v>
      </c>
      <c r="BH54" s="18">
        <v>1.99</v>
      </c>
      <c r="BI54" s="14">
        <v>817</v>
      </c>
      <c r="BJ54" s="18">
        <v>1.9</v>
      </c>
      <c r="BK54" s="15">
        <f>IFERROR(BI54/AZ54,"")</f>
        <v>7.8929572022026856E-2</v>
      </c>
      <c r="BL54" s="22">
        <f>IFERROR(AI54+K54+S54+AA54-F54,"")</f>
        <v>0</v>
      </c>
      <c r="BM54" s="22">
        <f>IFERROR(F54+G54-C54,"")</f>
        <v>0</v>
      </c>
      <c r="BN54" s="22">
        <f>IF(I54="","",IFERROR(C54*1000/H54-I54,""))</f>
        <v>2.9283824467711383E-2</v>
      </c>
    </row>
    <row r="55" spans="1:66">
      <c r="A55" s="13" t="s">
        <v>205</v>
      </c>
      <c r="B55" s="13" t="s">
        <v>206</v>
      </c>
      <c r="C55" s="14">
        <v>180163</v>
      </c>
      <c r="D55" s="14">
        <v>214393</v>
      </c>
      <c r="E55" s="14">
        <v>257919</v>
      </c>
      <c r="F55" s="14">
        <v>163136</v>
      </c>
      <c r="G55" s="14">
        <v>17027</v>
      </c>
      <c r="H55" s="14">
        <v>11695</v>
      </c>
      <c r="I55" s="14">
        <v>15405.14</v>
      </c>
      <c r="J55" s="14">
        <v>22173.27</v>
      </c>
      <c r="K55" s="14">
        <v>6847</v>
      </c>
      <c r="L55" s="15">
        <f>IFERROR(K55/F55,"")</f>
        <v>4.1971116123970184E-2</v>
      </c>
      <c r="M55" s="16">
        <f>IFERROR(K55*1000/H55,"")</f>
        <v>585.46387345019241</v>
      </c>
      <c r="N55" s="17">
        <f>IF(L55="","",RANK(L55,$L$3:$L$168,0)+COUNTIF($L$3:L55,L55)-1)</f>
        <v>113</v>
      </c>
      <c r="O55" s="17">
        <f>IF(K55="","",RANK(K55,$K$3:$K$168,0)+COUNTIF($K$3:K55,K55)-1)</f>
        <v>79</v>
      </c>
      <c r="P55" s="14">
        <v>120</v>
      </c>
      <c r="Q55" s="15">
        <f>IFERROR(P55/AR55,"")</f>
        <v>0.13172338090010977</v>
      </c>
      <c r="R55" s="16">
        <v>13</v>
      </c>
      <c r="S55" s="14">
        <v>78364</v>
      </c>
      <c r="T55" s="15">
        <f>IFERROR(S55/F55,"")</f>
        <v>0.48035994507650059</v>
      </c>
      <c r="U55" s="16">
        <f>IFERROR(S55*1000/H55,"")</f>
        <v>6700.6412997007264</v>
      </c>
      <c r="V55" s="17">
        <f>IF(T55="","",RANK(T55,$T$3:$T$168,0)+COUNTIF($T$3:T55,T55)-1)</f>
        <v>11</v>
      </c>
      <c r="W55" s="17">
        <f>IF(S55="","",RANK(S55,$S$3:$S$168,0)+COUNTIF($S$3:S55,S55)-1)</f>
        <v>37</v>
      </c>
      <c r="X55" s="14">
        <v>347</v>
      </c>
      <c r="Y55" s="14">
        <v>426</v>
      </c>
      <c r="Z55" s="15">
        <f>IFERROR((X55+Y55)/AR55,"")</f>
        <v>0.84851811196487381</v>
      </c>
      <c r="AA55" s="14">
        <v>71611</v>
      </c>
      <c r="AB55" s="15">
        <f>IFERROR(AA55/F55,"")</f>
        <v>0.43896503530796388</v>
      </c>
      <c r="AC55" s="16">
        <f>IFERROR(AA55*1000/H55,"")</f>
        <v>6123.2150491663106</v>
      </c>
      <c r="AD55" s="17">
        <f>IF(AB55="","",RANK(AB55,$AB$3:$AB$168,0)+COUNTIF($AB$3:AB55,AB55)-1)</f>
        <v>109</v>
      </c>
      <c r="AE55" s="17">
        <f>IF(AA55="","",RANK(AA55,$AA$3:$AA$168,0)+COUNTIF($AA$3:AA55,AA55)-1)</f>
        <v>58</v>
      </c>
      <c r="AF55" s="18">
        <v>92.34</v>
      </c>
      <c r="AG55" s="14">
        <v>64460124.170000002</v>
      </c>
      <c r="AH55" s="16">
        <f>IFERROR(AG55/AZ55,"")</f>
        <v>5541.6200283700136</v>
      </c>
      <c r="AI55" s="14">
        <v>6314</v>
      </c>
      <c r="AJ55" s="15">
        <f>IFERROR(AI55/F55,"")</f>
        <v>3.8703903491565321E-2</v>
      </c>
      <c r="AK55" s="14">
        <v>397</v>
      </c>
      <c r="AL55" s="14">
        <v>457</v>
      </c>
      <c r="AM55" s="14">
        <v>470</v>
      </c>
      <c r="AN55" s="14">
        <v>1394</v>
      </c>
      <c r="AO55" s="14">
        <v>926</v>
      </c>
      <c r="AP55" s="18">
        <v>1.6</v>
      </c>
      <c r="AQ55" s="19">
        <f>IFERROR(AL55*1000/AZ55,"")</f>
        <v>39.288170563961486</v>
      </c>
      <c r="AR55" s="14">
        <v>911</v>
      </c>
      <c r="AS55" s="14">
        <v>388</v>
      </c>
      <c r="AT55" s="14">
        <v>363</v>
      </c>
      <c r="AU55" s="14">
        <v>37</v>
      </c>
      <c r="AV55" s="14">
        <v>123</v>
      </c>
      <c r="AW55" s="15">
        <f>IFERROR(AS55/AR55,"")</f>
        <v>0.42590559824368823</v>
      </c>
      <c r="AX55" s="14">
        <v>10</v>
      </c>
      <c r="AY55" s="14">
        <v>8</v>
      </c>
      <c r="AZ55" s="14">
        <v>11632</v>
      </c>
      <c r="BA55" s="20">
        <v>741.58199999999999</v>
      </c>
      <c r="BB55" s="20">
        <v>15.69</v>
      </c>
      <c r="BC55" s="21">
        <v>0.624</v>
      </c>
      <c r="BD55" s="18">
        <v>49.2</v>
      </c>
      <c r="BE55" s="18">
        <v>98.65</v>
      </c>
      <c r="BF55" s="18">
        <v>4.9000000000000004</v>
      </c>
      <c r="BG55" s="18">
        <v>4.8</v>
      </c>
      <c r="BH55" s="18">
        <v>13.33</v>
      </c>
      <c r="BI55" s="14">
        <v>1394</v>
      </c>
      <c r="BJ55" s="18">
        <v>1.6</v>
      </c>
      <c r="BK55" s="15">
        <f>IFERROR(BI55/AZ55,"")</f>
        <v>0.11984181568088033</v>
      </c>
      <c r="BL55" s="22">
        <f>IFERROR(AI55+K55+S55+AA55-F55,"")</f>
        <v>0</v>
      </c>
      <c r="BM55" s="22">
        <f>IFERROR(F55+G55-C55,"")</f>
        <v>0</v>
      </c>
      <c r="BN55" s="22">
        <f>IF(I55="","",IFERROR(C55*1000/H55-I55,""))</f>
        <v>-9.6023941841849592E-3</v>
      </c>
    </row>
    <row r="56" spans="1:66">
      <c r="A56" s="13" t="s">
        <v>207</v>
      </c>
      <c r="B56" s="13" t="s">
        <v>208</v>
      </c>
      <c r="C56" s="14">
        <v>173825</v>
      </c>
      <c r="D56" s="14">
        <v>396782</v>
      </c>
      <c r="E56" s="14">
        <v>302413</v>
      </c>
      <c r="F56" s="14">
        <v>169805</v>
      </c>
      <c r="G56" s="14">
        <v>4019</v>
      </c>
      <c r="H56" s="14">
        <v>6009</v>
      </c>
      <c r="I56" s="14">
        <v>28927.42</v>
      </c>
      <c r="J56" s="14">
        <v>48316.51</v>
      </c>
      <c r="K56" s="14">
        <v>81301</v>
      </c>
      <c r="L56" s="15">
        <f>IFERROR(K56/F56,"")</f>
        <v>0.47879037719737344</v>
      </c>
      <c r="M56" s="16">
        <f>IFERROR(K56*1000/H56,"")</f>
        <v>13529.871858878349</v>
      </c>
      <c r="N56" s="17">
        <f>IF(L56="","",RANK(L56,$L$3:$L$168,0)+COUNTIF($L$3:L56,L56)-1)</f>
        <v>13</v>
      </c>
      <c r="O56" s="17">
        <f>IF(K56="","",RANK(K56,$K$3:$K$168,0)+COUNTIF($K$3:K56,K56)-1)</f>
        <v>30</v>
      </c>
      <c r="P56" s="14">
        <v>54</v>
      </c>
      <c r="Q56" s="15">
        <f>IFERROR(P56/AR56,"")</f>
        <v>0.1447721179624665</v>
      </c>
      <c r="R56" s="16">
        <v>2</v>
      </c>
      <c r="S56" s="14">
        <v>40754</v>
      </c>
      <c r="T56" s="15">
        <f>IFERROR(S56/F56,"")</f>
        <v>0.24000471128647566</v>
      </c>
      <c r="U56" s="16">
        <f>IFERROR(S56*1000/H56,"")</f>
        <v>6782.1600931935427</v>
      </c>
      <c r="V56" s="17">
        <f>IF(T56="","",RANK(T56,$T$3:$T$168,0)+COUNTIF($T$3:T56,T56)-1)</f>
        <v>103</v>
      </c>
      <c r="W56" s="17">
        <f>IF(S56="","",RANK(S56,$S$3:$S$168,0)+COUNTIF($S$3:S56,S56)-1)</f>
        <v>61</v>
      </c>
      <c r="X56" s="14">
        <v>136</v>
      </c>
      <c r="Y56" s="14">
        <v>170</v>
      </c>
      <c r="Z56" s="15">
        <f>IFERROR((X56+Y56)/AR56,"")</f>
        <v>0.82037533512064342</v>
      </c>
      <c r="AA56" s="14">
        <v>42662</v>
      </c>
      <c r="AB56" s="15">
        <f>IFERROR(AA56/F56,"")</f>
        <v>0.25124112953093253</v>
      </c>
      <c r="AC56" s="16">
        <f>IFERROR(AA56*1000/H56,"")</f>
        <v>7099.6838076219001</v>
      </c>
      <c r="AD56" s="17">
        <f>IF(AB56="","",RANK(AB56,$AB$3:$AB$168,0)+COUNTIF($AB$3:AB56,AB56)-1)</f>
        <v>147</v>
      </c>
      <c r="AE56" s="17">
        <f>IF(AA56="","",RANK(AA56,$AA$3:$AA$168,0)+COUNTIF($AA$3:AA56,AA56)-1)</f>
        <v>99</v>
      </c>
      <c r="AF56" s="18">
        <v>92.81</v>
      </c>
      <c r="AG56" s="14">
        <v>83978445.480000004</v>
      </c>
      <c r="AH56" s="16">
        <f>IFERROR(AG56/AZ56,"")</f>
        <v>14128.271446837147</v>
      </c>
      <c r="AI56" s="14">
        <v>5087</v>
      </c>
      <c r="AJ56" s="15">
        <f>IFERROR(AI56/F56,"")</f>
        <v>2.9957892877123759E-2</v>
      </c>
      <c r="AK56" s="14">
        <v>148</v>
      </c>
      <c r="AL56" s="14">
        <v>168</v>
      </c>
      <c r="AM56" s="14">
        <v>170</v>
      </c>
      <c r="AN56" s="14">
        <v>706</v>
      </c>
      <c r="AO56" s="14">
        <v>560</v>
      </c>
      <c r="AP56" s="18">
        <v>2</v>
      </c>
      <c r="AQ56" s="19">
        <f>IFERROR(AL56*1000/AZ56,"")</f>
        <v>28.263795423956932</v>
      </c>
      <c r="AR56" s="14">
        <v>373</v>
      </c>
      <c r="AS56" s="14">
        <v>159</v>
      </c>
      <c r="AT56" s="14">
        <v>122</v>
      </c>
      <c r="AU56" s="14">
        <v>12</v>
      </c>
      <c r="AV56" s="14">
        <v>80</v>
      </c>
      <c r="AW56" s="15">
        <f>IFERROR(AS56/AR56,"")</f>
        <v>0.42627345844504022</v>
      </c>
      <c r="AX56" s="14">
        <v>3</v>
      </c>
      <c r="AY56" s="14">
        <v>10</v>
      </c>
      <c r="AZ56" s="14">
        <v>5944</v>
      </c>
      <c r="BA56" s="20">
        <v>292.17700000000002</v>
      </c>
      <c r="BB56" s="20">
        <v>22.13</v>
      </c>
      <c r="BC56" s="21">
        <v>0.63600000000000001</v>
      </c>
      <c r="BD56" s="18">
        <v>49.3</v>
      </c>
      <c r="BE56" s="18">
        <v>98.85</v>
      </c>
      <c r="BF56" s="18">
        <v>5.8</v>
      </c>
      <c r="BG56" s="18">
        <v>4.9000000000000004</v>
      </c>
      <c r="BH56" s="18">
        <v>0.86</v>
      </c>
      <c r="BI56" s="14">
        <v>706</v>
      </c>
      <c r="BJ56" s="18">
        <v>2</v>
      </c>
      <c r="BK56" s="15">
        <f>IFERROR(BI56/AZ56,"")</f>
        <v>0.11877523553162854</v>
      </c>
      <c r="BL56" s="22">
        <f>IFERROR(AI56+K56+S56+AA56-F56,"")</f>
        <v>-1</v>
      </c>
      <c r="BM56" s="22">
        <f>IFERROR(F56+G56-C56,"")</f>
        <v>-1</v>
      </c>
      <c r="BN56" s="22">
        <f>IF(I56="","",IFERROR(C56*1000/H56-I56,""))</f>
        <v>2.2170078216731781E-2</v>
      </c>
    </row>
    <row r="57" spans="1:66">
      <c r="A57" s="13" t="s">
        <v>209</v>
      </c>
      <c r="B57" s="13" t="s">
        <v>210</v>
      </c>
      <c r="C57" s="14">
        <v>173615</v>
      </c>
      <c r="D57" s="14">
        <v>178730</v>
      </c>
      <c r="E57" s="14">
        <v>200896</v>
      </c>
      <c r="F57" s="14">
        <v>164936</v>
      </c>
      <c r="G57" s="14">
        <v>8679</v>
      </c>
      <c r="H57" s="14">
        <v>14881</v>
      </c>
      <c r="I57" s="14">
        <v>11666.9</v>
      </c>
      <c r="J57" s="14">
        <v>14532.43</v>
      </c>
      <c r="K57" s="14">
        <v>6916</v>
      </c>
      <c r="L57" s="15">
        <f>IFERROR(K57/F57,"")</f>
        <v>4.1931415821894552E-2</v>
      </c>
      <c r="M57" s="16">
        <f>IFERROR(K57*1000/H57,"")</f>
        <v>464.75371278811906</v>
      </c>
      <c r="N57" s="17">
        <f>IF(L57="","",RANK(L57,$L$3:$L$168,0)+COUNTIF($L$3:L57,L57)-1)</f>
        <v>114</v>
      </c>
      <c r="O57" s="17">
        <f>IF(K57="","",RANK(K57,$K$3:$K$168,0)+COUNTIF($K$3:K57,K57)-1)</f>
        <v>78</v>
      </c>
      <c r="P57" s="14">
        <v>76</v>
      </c>
      <c r="Q57" s="15">
        <f>IFERROR(P57/AR57,"")</f>
        <v>0.13499111900532859</v>
      </c>
      <c r="R57" s="16">
        <v>15</v>
      </c>
      <c r="S57" s="14">
        <v>41799</v>
      </c>
      <c r="T57" s="15">
        <f>IFERROR(S57/F57,"")</f>
        <v>0.25342557113062036</v>
      </c>
      <c r="U57" s="16">
        <f>IFERROR(S57*1000/H57,"")</f>
        <v>2808.8838115718031</v>
      </c>
      <c r="V57" s="17">
        <f>IF(T57="","",RANK(T57,$T$3:$T$168,0)+COUNTIF($T$3:T57,T57)-1)</f>
        <v>90</v>
      </c>
      <c r="W57" s="17">
        <f>IF(S57="","",RANK(S57,$S$3:$S$168,0)+COUNTIF($S$3:S57,S57)-1)</f>
        <v>57</v>
      </c>
      <c r="X57" s="14">
        <v>192</v>
      </c>
      <c r="Y57" s="14">
        <v>279</v>
      </c>
      <c r="Z57" s="15">
        <f>IFERROR((X57+Y57)/AR57,"")</f>
        <v>0.83658969804618122</v>
      </c>
      <c r="AA57" s="14">
        <v>99185</v>
      </c>
      <c r="AB57" s="15">
        <f>IFERROR(AA57/F57,"")</f>
        <v>0.60135446476208954</v>
      </c>
      <c r="AC57" s="16">
        <f>IFERROR(AA57*1000/H57,"")</f>
        <v>6665.2106713258518</v>
      </c>
      <c r="AD57" s="17">
        <f>IF(AB57="","",RANK(AB57,$AB$3:$AB$168,0)+COUNTIF($AB$3:AB57,AB57)-1)</f>
        <v>51</v>
      </c>
      <c r="AE57" s="17">
        <f>IF(AA57="","",RANK(AA57,$AA$3:$AA$168,0)+COUNTIF($AA$3:AA57,AA57)-1)</f>
        <v>34</v>
      </c>
      <c r="AF57" s="18">
        <v>95.22</v>
      </c>
      <c r="AG57" s="14">
        <v>91415249.150000006</v>
      </c>
      <c r="AH57" s="16">
        <f>IFERROR(AG57/AZ57,"")</f>
        <v>6612.7929072627321</v>
      </c>
      <c r="AI57" s="14">
        <v>17036</v>
      </c>
      <c r="AJ57" s="15">
        <f>IFERROR(AI57/F57,"")</f>
        <v>0.10328854828539555</v>
      </c>
      <c r="AK57" s="14">
        <v>191</v>
      </c>
      <c r="AL57" s="14">
        <v>232</v>
      </c>
      <c r="AM57" s="14">
        <v>237</v>
      </c>
      <c r="AN57" s="14">
        <v>1029</v>
      </c>
      <c r="AO57" s="14">
        <v>833</v>
      </c>
      <c r="AP57" s="18">
        <v>2.2000000000000002</v>
      </c>
      <c r="AQ57" s="19">
        <f>IFERROR(AL57*1000/AZ57,"")</f>
        <v>16.782407407407408</v>
      </c>
      <c r="AR57" s="14">
        <v>563</v>
      </c>
      <c r="AS57" s="14">
        <v>266</v>
      </c>
      <c r="AT57" s="14">
        <v>171</v>
      </c>
      <c r="AU57" s="14">
        <v>21</v>
      </c>
      <c r="AV57" s="14">
        <v>105</v>
      </c>
      <c r="AW57" s="15">
        <f>IFERROR(AS57/AR57,"")</f>
        <v>0.47246891651865008</v>
      </c>
      <c r="AX57" s="14">
        <v>10</v>
      </c>
      <c r="AY57" s="14">
        <v>6</v>
      </c>
      <c r="AZ57" s="14">
        <v>13824</v>
      </c>
      <c r="BA57" s="20">
        <v>192.708</v>
      </c>
      <c r="BB57" s="20">
        <v>71.739999999999995</v>
      </c>
      <c r="BC57" s="21">
        <v>0.56799999999999995</v>
      </c>
      <c r="BD57" s="18">
        <v>50.9</v>
      </c>
      <c r="BE57" s="18">
        <v>99.41</v>
      </c>
      <c r="BF57" s="18">
        <v>4.3</v>
      </c>
      <c r="BG57" s="18">
        <v>3.6</v>
      </c>
      <c r="BH57" s="18">
        <v>35.35</v>
      </c>
      <c r="BI57" s="14">
        <v>1029</v>
      </c>
      <c r="BJ57" s="18">
        <v>2.2000000000000002</v>
      </c>
      <c r="BK57" s="15">
        <f>IFERROR(BI57/AZ57,"")</f>
        <v>7.4435763888888895E-2</v>
      </c>
      <c r="BL57" s="22">
        <f>IFERROR(AI57+K57+S57+AA57-F57,"")</f>
        <v>0</v>
      </c>
      <c r="BM57" s="22">
        <f>IFERROR(F57+G57-C57,"")</f>
        <v>0</v>
      </c>
      <c r="BN57" s="22">
        <f>IF(I57="","",IFERROR(C57*1000/H57-I57,""))</f>
        <v>-9.3340501298371237E-3</v>
      </c>
    </row>
    <row r="58" spans="1:66">
      <c r="A58" s="13" t="s">
        <v>211</v>
      </c>
      <c r="B58" s="13" t="s">
        <v>212</v>
      </c>
      <c r="C58" s="14">
        <v>169428</v>
      </c>
      <c r="D58" s="14">
        <v>136764</v>
      </c>
      <c r="E58" s="14">
        <v>182889</v>
      </c>
      <c r="F58" s="14">
        <v>159003</v>
      </c>
      <c r="G58" s="14">
        <v>10425</v>
      </c>
      <c r="H58" s="14">
        <v>9825</v>
      </c>
      <c r="I58" s="14">
        <v>17244.599999999999</v>
      </c>
      <c r="J58" s="14">
        <v>19535.22</v>
      </c>
      <c r="K58" s="14">
        <v>4920</v>
      </c>
      <c r="L58" s="15">
        <f>IFERROR(K58/F58,"")</f>
        <v>3.0942812399766043E-2</v>
      </c>
      <c r="M58" s="16">
        <f>IFERROR(K58*1000/H58,"")</f>
        <v>500.76335877862596</v>
      </c>
      <c r="N58" s="17">
        <f>IF(L58="","",RANK(L58,$L$3:$L$168,0)+COUNTIF($L$3:L58,L58)-1)</f>
        <v>150</v>
      </c>
      <c r="O58" s="17">
        <f>IF(K58="","",RANK(K58,$K$3:$K$168,0)+COUNTIF($K$3:K58,K58)-1)</f>
        <v>95</v>
      </c>
      <c r="P58" s="14">
        <v>49</v>
      </c>
      <c r="Q58" s="15">
        <f>IFERROR(P58/AR58,"")</f>
        <v>0.12280701754385964</v>
      </c>
      <c r="R58" s="16">
        <v>15</v>
      </c>
      <c r="S58" s="14">
        <v>24359</v>
      </c>
      <c r="T58" s="15">
        <f>IFERROR(S58/F58,"")</f>
        <v>0.15319836732640266</v>
      </c>
      <c r="U58" s="16">
        <f>IFERROR(S58*1000/H58,"")</f>
        <v>2479.2875318066158</v>
      </c>
      <c r="V58" s="17">
        <f>IF(T58="","",RANK(T58,$T$3:$T$168,0)+COUNTIF($T$3:T58,T58)-1)</f>
        <v>153</v>
      </c>
      <c r="W58" s="17">
        <f>IF(S58="","",RANK(S58,$S$3:$S$168,0)+COUNTIF($S$3:S58,S58)-1)</f>
        <v>86</v>
      </c>
      <c r="X58" s="14">
        <v>118</v>
      </c>
      <c r="Y58" s="14">
        <v>204</v>
      </c>
      <c r="Z58" s="15">
        <f>IFERROR((X58+Y58)/AR58,"")</f>
        <v>0.80701754385964908</v>
      </c>
      <c r="AA58" s="14">
        <v>63397</v>
      </c>
      <c r="AB58" s="15">
        <f>IFERROR(AA58/F58,"")</f>
        <v>0.39871574750161948</v>
      </c>
      <c r="AC58" s="16">
        <f>IFERROR(AA58*1000/H58,"")</f>
        <v>6452.6208651399493</v>
      </c>
      <c r="AD58" s="17">
        <f>IF(AB58="","",RANK(AB58,$AB$3:$AB$168,0)+COUNTIF($AB$3:AB58,AB58)-1)</f>
        <v>119</v>
      </c>
      <c r="AE58" s="17">
        <f>IF(AA58="","",RANK(AA58,$AA$3:$AA$168,0)+COUNTIF($AA$3:AA58,AA58)-1)</f>
        <v>68</v>
      </c>
      <c r="AF58" s="18">
        <v>90.7</v>
      </c>
      <c r="AG58" s="14">
        <v>66337347.490000002</v>
      </c>
      <c r="AH58" s="16">
        <f>IFERROR(AG58/AZ58,"")</f>
        <v>7085.8093879512926</v>
      </c>
      <c r="AI58" s="14">
        <v>66327</v>
      </c>
      <c r="AJ58" s="15">
        <f>IFERROR(AI58/F58,"")</f>
        <v>0.41714307277221185</v>
      </c>
      <c r="AK58" s="14">
        <v>124</v>
      </c>
      <c r="AL58" s="14">
        <v>134</v>
      </c>
      <c r="AM58" s="14">
        <v>135</v>
      </c>
      <c r="AN58" s="14">
        <v>1055</v>
      </c>
      <c r="AO58" s="14">
        <v>926</v>
      </c>
      <c r="AP58" s="18">
        <v>1.4</v>
      </c>
      <c r="AQ58" s="19">
        <f>IFERROR(AL58*1000/AZ58,"")</f>
        <v>14.313180944242683</v>
      </c>
      <c r="AR58" s="14">
        <v>399</v>
      </c>
      <c r="AS58" s="14">
        <v>216</v>
      </c>
      <c r="AT58" s="14">
        <v>87</v>
      </c>
      <c r="AU58" s="14">
        <v>16</v>
      </c>
      <c r="AV58" s="14">
        <v>80</v>
      </c>
      <c r="AW58" s="15">
        <f>IFERROR(AS58/AR58,"")</f>
        <v>0.54135338345864659</v>
      </c>
      <c r="AX58" s="14">
        <v>23</v>
      </c>
      <c r="AY58" s="14">
        <v>5</v>
      </c>
      <c r="AZ58" s="14">
        <v>9362</v>
      </c>
      <c r="BA58" s="20">
        <v>504.29399999999998</v>
      </c>
      <c r="BB58" s="20">
        <v>18.559999999999999</v>
      </c>
      <c r="BC58" s="21">
        <v>0.56699999999999995</v>
      </c>
      <c r="BD58" s="18">
        <v>53.9</v>
      </c>
      <c r="BE58" s="18">
        <v>99.75</v>
      </c>
      <c r="BF58" s="18">
        <v>4.9000000000000004</v>
      </c>
      <c r="BG58" s="18">
        <v>4.2</v>
      </c>
      <c r="BH58" s="18">
        <v>3.02</v>
      </c>
      <c r="BI58" s="14">
        <v>1055</v>
      </c>
      <c r="BJ58" s="18">
        <v>1.4</v>
      </c>
      <c r="BK58" s="15">
        <f>IFERROR(BI58/AZ58,"")</f>
        <v>0.11268959624011964</v>
      </c>
      <c r="BL58" s="22">
        <f>IFERROR(AI58+K58+S58+AA58-F58,"")</f>
        <v>0</v>
      </c>
      <c r="BM58" s="22">
        <f>IFERROR(F58+G58-C58,"")</f>
        <v>0</v>
      </c>
      <c r="BN58" s="22">
        <f>IF(I58="","",IFERROR(C58*1000/H58-I58,""))</f>
        <v>-1.9847328243486118E-2</v>
      </c>
    </row>
    <row r="59" spans="1:66">
      <c r="A59" s="13" t="s">
        <v>213</v>
      </c>
      <c r="B59" s="13" t="s">
        <v>214</v>
      </c>
      <c r="C59" s="14">
        <v>165928</v>
      </c>
      <c r="D59" s="14">
        <v>230309</v>
      </c>
      <c r="E59" s="14">
        <v>632670</v>
      </c>
      <c r="F59" s="14">
        <v>144384</v>
      </c>
      <c r="G59" s="14">
        <v>21543</v>
      </c>
      <c r="H59" s="14">
        <v>11410</v>
      </c>
      <c r="I59" s="14">
        <v>14542.3</v>
      </c>
      <c r="J59" s="14">
        <v>64126.26</v>
      </c>
      <c r="K59" s="14">
        <v>10585</v>
      </c>
      <c r="L59" s="15">
        <f>IFERROR(K59/F59,"")</f>
        <v>7.3311447251773049E-2</v>
      </c>
      <c r="M59" s="16">
        <f>IFERROR(K59*1000/H59,"")</f>
        <v>927.69500438212094</v>
      </c>
      <c r="N59" s="17">
        <f>IF(L59="","",RANK(L59,$L$3:$L$168,0)+COUNTIF($L$3:L59,L59)-1)</f>
        <v>67</v>
      </c>
      <c r="O59" s="17">
        <f>IF(K59="","",RANK(K59,$K$3:$K$168,0)+COUNTIF($K$3:K59,K59)-1)</f>
        <v>65</v>
      </c>
      <c r="P59" s="14">
        <v>124</v>
      </c>
      <c r="Q59" s="15">
        <f>IFERROR(P59/AR59,"")</f>
        <v>0.15877080665813059</v>
      </c>
      <c r="R59" s="16">
        <v>62</v>
      </c>
      <c r="S59" s="14">
        <v>63549</v>
      </c>
      <c r="T59" s="15">
        <f>IFERROR(S59/F59,"")</f>
        <v>0.44013879654255317</v>
      </c>
      <c r="U59" s="16">
        <f>IFERROR(S59*1000/H59,"")</f>
        <v>5569.5880806310252</v>
      </c>
      <c r="V59" s="17">
        <f>IF(T59="","",RANK(T59,$T$3:$T$168,0)+COUNTIF($T$3:T59,T59)-1)</f>
        <v>16</v>
      </c>
      <c r="W59" s="17">
        <f>IF(S59="","",RANK(S59,$S$3:$S$168,0)+COUNTIF($S$3:S59,S59)-1)</f>
        <v>45</v>
      </c>
      <c r="X59" s="14">
        <v>258</v>
      </c>
      <c r="Y59" s="14">
        <v>377</v>
      </c>
      <c r="Z59" s="15">
        <f>IFERROR((X59+Y59)/AR59,"")</f>
        <v>0.8130601792573624</v>
      </c>
      <c r="AA59" s="14">
        <v>66485</v>
      </c>
      <c r="AB59" s="15">
        <f>IFERROR(AA59/F59,"")</f>
        <v>0.46047345966312059</v>
      </c>
      <c r="AC59" s="16">
        <f>IFERROR(AA59*1000/H59,"")</f>
        <v>5826.9062226117439</v>
      </c>
      <c r="AD59" s="17">
        <f>IF(AB59="","",RANK(AB59,$AB$3:$AB$168,0)+COUNTIF($AB$3:AB59,AB59)-1)</f>
        <v>101</v>
      </c>
      <c r="AE59" s="17">
        <f>IF(AA59="","",RANK(AA59,$AA$3:$AA$168,0)+COUNTIF($AA$3:AA59,AA59)-1)</f>
        <v>66</v>
      </c>
      <c r="AF59" s="18">
        <v>82.45</v>
      </c>
      <c r="AG59" s="14">
        <v>108294539.92</v>
      </c>
      <c r="AH59" s="16">
        <f>IFERROR(AG59/AZ59,"")</f>
        <v>10976.539622947497</v>
      </c>
      <c r="AI59" s="14">
        <v>3765</v>
      </c>
      <c r="AJ59" s="15">
        <f>IFERROR(AI59/F59,"")</f>
        <v>2.6076296542553192E-2</v>
      </c>
      <c r="AK59" s="14">
        <v>287</v>
      </c>
      <c r="AL59" s="14">
        <v>337</v>
      </c>
      <c r="AM59" s="14">
        <v>344</v>
      </c>
      <c r="AN59" s="14">
        <v>1507</v>
      </c>
      <c r="AO59" s="14">
        <v>1191</v>
      </c>
      <c r="AP59" s="18">
        <v>2.2000000000000002</v>
      </c>
      <c r="AQ59" s="19">
        <f>IFERROR(AL59*1000/AZ59,"")</f>
        <v>34.157713359010742</v>
      </c>
      <c r="AR59" s="14">
        <v>781</v>
      </c>
      <c r="AS59" s="14">
        <v>377</v>
      </c>
      <c r="AT59" s="14">
        <v>209</v>
      </c>
      <c r="AU59" s="14">
        <v>28</v>
      </c>
      <c r="AV59" s="14">
        <v>167</v>
      </c>
      <c r="AW59" s="15">
        <f>IFERROR(AS59/AR59,"")</f>
        <v>0.48271446862996159</v>
      </c>
      <c r="AX59" s="14">
        <v>14</v>
      </c>
      <c r="AY59" s="14">
        <v>8</v>
      </c>
      <c r="AZ59" s="14">
        <v>9866</v>
      </c>
      <c r="BA59" s="20">
        <v>676.62699999999995</v>
      </c>
      <c r="BB59" s="20">
        <v>14.58</v>
      </c>
      <c r="BC59" s="21">
        <v>0.624</v>
      </c>
      <c r="BD59" s="18">
        <v>49.9</v>
      </c>
      <c r="BE59" s="18">
        <v>100</v>
      </c>
      <c r="BF59" s="18">
        <v>5.3</v>
      </c>
      <c r="BG59" s="18">
        <v>4.3</v>
      </c>
      <c r="BH59" s="18">
        <v>57.18</v>
      </c>
      <c r="BI59" s="14">
        <v>1507</v>
      </c>
      <c r="BJ59" s="18">
        <v>2.2999999999999998</v>
      </c>
      <c r="BK59" s="15">
        <f>IFERROR(BI59/AZ59,"")</f>
        <v>0.15274680721670383</v>
      </c>
      <c r="BL59" s="22">
        <f>IFERROR(AI59+K59+S59+AA59-F59,"")</f>
        <v>0</v>
      </c>
      <c r="BM59" s="22">
        <f>IFERROR(F59+G59-C59,"")</f>
        <v>-1</v>
      </c>
      <c r="BN59" s="22">
        <f>IF(I59="","",IFERROR(C59*1000/H59-I59,""))</f>
        <v>3.1288343558117049E-2</v>
      </c>
    </row>
    <row r="60" spans="1:66">
      <c r="A60" s="13" t="s">
        <v>215</v>
      </c>
      <c r="B60" s="13" t="s">
        <v>216</v>
      </c>
      <c r="C60" s="14">
        <v>162616</v>
      </c>
      <c r="D60" s="14">
        <v>124332</v>
      </c>
      <c r="E60" s="14">
        <v>165672</v>
      </c>
      <c r="F60" s="14">
        <v>153592</v>
      </c>
      <c r="G60" s="14">
        <v>9024</v>
      </c>
      <c r="H60" s="14">
        <v>2903</v>
      </c>
      <c r="I60" s="14">
        <v>56016.480000000003</v>
      </c>
      <c r="J60" s="14">
        <v>78741.62</v>
      </c>
      <c r="K60" s="14">
        <v>78754</v>
      </c>
      <c r="L60" s="15">
        <f>IFERROR(K60/F60,"")</f>
        <v>0.512748059794781</v>
      </c>
      <c r="M60" s="16">
        <f>IFERROR(K60*1000/H60,"")</f>
        <v>27128.487771271099</v>
      </c>
      <c r="N60" s="17">
        <f>IF(L60="","",RANK(L60,$L$3:$L$168,0)+COUNTIF($L$3:L60,L60)-1)</f>
        <v>12</v>
      </c>
      <c r="O60" s="17">
        <f>IF(K60="","",RANK(K60,$K$3:$K$168,0)+COUNTIF($K$3:K60,K60)-1)</f>
        <v>33</v>
      </c>
      <c r="P60" s="14">
        <v>32</v>
      </c>
      <c r="Q60" s="15">
        <f>IFERROR(P60/AR60,"")</f>
        <v>0.11764705882352941</v>
      </c>
      <c r="R60" s="16">
        <v>4</v>
      </c>
      <c r="S60" s="14">
        <v>19906</v>
      </c>
      <c r="T60" s="15">
        <f>IFERROR(S60/F60,"")</f>
        <v>0.12960310432835043</v>
      </c>
      <c r="U60" s="16">
        <f>IFERROR(S60*1000/H60,"")</f>
        <v>6857.0444367895279</v>
      </c>
      <c r="V60" s="17">
        <f>IF(T60="","",RANK(T60,$T$3:$T$168,0)+COUNTIF($T$3:T60,T60)-1)</f>
        <v>157</v>
      </c>
      <c r="W60" s="17">
        <f>IF(S60="","",RANK(S60,$S$3:$S$168,0)+COUNTIF($S$3:S60,S60)-1)</f>
        <v>99</v>
      </c>
      <c r="X60" s="14">
        <v>55</v>
      </c>
      <c r="Y60" s="14">
        <v>174</v>
      </c>
      <c r="Z60" s="15">
        <f>IFERROR((X60+Y60)/AR60,"")</f>
        <v>0.84191176470588236</v>
      </c>
      <c r="AA60" s="14">
        <v>26292</v>
      </c>
      <c r="AB60" s="15">
        <f>IFERROR(AA60/F60,"")</f>
        <v>0.17118079066618053</v>
      </c>
      <c r="AC60" s="16">
        <f>IFERROR(AA60*1000/H60,"")</f>
        <v>9056.8377540475376</v>
      </c>
      <c r="AD60" s="17">
        <f>IF(AB60="","",RANK(AB60,$AB$3:$AB$168,0)+COUNTIF($AB$3:AB60,AB60)-1)</f>
        <v>158</v>
      </c>
      <c r="AE60" s="17">
        <f>IF(AA60="","",RANK(AA60,$AA$3:$AA$168,0)+COUNTIF($AA$3:AA60,AA60)-1)</f>
        <v>144</v>
      </c>
      <c r="AF60" s="18">
        <v>96.32</v>
      </c>
      <c r="AG60" s="14">
        <v>55420622.82</v>
      </c>
      <c r="AH60" s="16">
        <f>IFERROR(AG60/AZ60,"")</f>
        <v>26340.600199619774</v>
      </c>
      <c r="AI60" s="14">
        <v>28640</v>
      </c>
      <c r="AJ60" s="15">
        <f>IFERROR(AI60/F60,"")</f>
        <v>0.18646804521068805</v>
      </c>
      <c r="AK60" s="14">
        <v>64</v>
      </c>
      <c r="AL60" s="14">
        <v>79</v>
      </c>
      <c r="AM60" s="14">
        <v>80</v>
      </c>
      <c r="AN60" s="14">
        <v>1181</v>
      </c>
      <c r="AO60" s="14">
        <v>1104</v>
      </c>
      <c r="AP60" s="18">
        <v>1.7</v>
      </c>
      <c r="AQ60" s="19">
        <f>IFERROR(AL60*1000/AZ60,"")</f>
        <v>37.547528517110266</v>
      </c>
      <c r="AR60" s="14">
        <v>272</v>
      </c>
      <c r="AS60" s="14">
        <v>145</v>
      </c>
      <c r="AT60" s="14">
        <v>65</v>
      </c>
      <c r="AU60" s="14">
        <v>5</v>
      </c>
      <c r="AV60" s="14">
        <v>57</v>
      </c>
      <c r="AW60" s="15">
        <f>IFERROR(AS60/AR60,"")</f>
        <v>0.53308823529411764</v>
      </c>
      <c r="AX60" s="14">
        <v>6</v>
      </c>
      <c r="AY60" s="14">
        <v>5</v>
      </c>
      <c r="AZ60" s="14">
        <v>2104</v>
      </c>
      <c r="BA60" s="20">
        <v>340.76900000000001</v>
      </c>
      <c r="BB60" s="20">
        <v>6.17</v>
      </c>
      <c r="BC60" s="21">
        <v>0.56399999999999995</v>
      </c>
      <c r="BD60" s="18">
        <v>48.8</v>
      </c>
      <c r="BE60" s="18">
        <v>97.97</v>
      </c>
      <c r="BF60" s="18">
        <v>5.0999999999999996</v>
      </c>
      <c r="BG60" s="18">
        <v>3.8</v>
      </c>
      <c r="BH60" s="18">
        <v>1.57</v>
      </c>
      <c r="BI60" s="14">
        <v>1181</v>
      </c>
      <c r="BJ60" s="18">
        <v>1.7</v>
      </c>
      <c r="BK60" s="15">
        <f>IFERROR(BI60/AZ60,"")</f>
        <v>0.56131178707224338</v>
      </c>
      <c r="BL60" s="22">
        <f>IFERROR(AI60+K60+S60+AA60-F60,"")</f>
        <v>0</v>
      </c>
      <c r="BM60" s="22">
        <f>IFERROR(F60+G60-C60,"")</f>
        <v>0</v>
      </c>
      <c r="BN60" s="22">
        <f>IF(I60="","",IFERROR(C60*1000/H60-I60,""))</f>
        <v>5.4619359281787183E-2</v>
      </c>
    </row>
    <row r="61" spans="1:66">
      <c r="A61" s="13" t="s">
        <v>217</v>
      </c>
      <c r="B61" s="13" t="s">
        <v>218</v>
      </c>
      <c r="C61" s="14">
        <v>160912</v>
      </c>
      <c r="D61" s="14">
        <v>182565</v>
      </c>
      <c r="E61" s="14">
        <v>198146</v>
      </c>
      <c r="F61" s="14">
        <v>146943</v>
      </c>
      <c r="G61" s="14">
        <v>13969</v>
      </c>
      <c r="H61" s="14">
        <v>12861</v>
      </c>
      <c r="I61" s="14">
        <v>12511.61</v>
      </c>
      <c r="J61" s="14">
        <v>18001.79</v>
      </c>
      <c r="K61" s="14">
        <v>6372</v>
      </c>
      <c r="L61" s="15">
        <f>IFERROR(K61/F61,"")</f>
        <v>4.3363753292092855E-2</v>
      </c>
      <c r="M61" s="16">
        <f>IFERROR(K61*1000/H61,"")</f>
        <v>495.4513645906228</v>
      </c>
      <c r="N61" s="17">
        <f>IF(L61="","",RANK(L61,$L$3:$L$168,0)+COUNTIF($L$3:L61,L61)-1)</f>
        <v>106</v>
      </c>
      <c r="O61" s="17">
        <f>IF(K61="","",RANK(K61,$K$3:$K$168,0)+COUNTIF($K$3:K61,K61)-1)</f>
        <v>82</v>
      </c>
      <c r="P61" s="14">
        <v>73</v>
      </c>
      <c r="Q61" s="15">
        <f>IFERROR(P61/AR61,"")</f>
        <v>0.1130030959752322</v>
      </c>
      <c r="R61" s="16">
        <v>9</v>
      </c>
      <c r="S61" s="14">
        <v>64954</v>
      </c>
      <c r="T61" s="15">
        <f>IFERROR(S61/F61,"")</f>
        <v>0.44203534703932817</v>
      </c>
      <c r="U61" s="16">
        <f>IFERROR(S61*1000/H61,"")</f>
        <v>5050.4626389860823</v>
      </c>
      <c r="V61" s="17">
        <f>IF(T61="","",RANK(T61,$T$3:$T$168,0)+COUNTIF($T$3:T61,T61)-1)</f>
        <v>15</v>
      </c>
      <c r="W61" s="17">
        <f>IF(S61="","",RANK(S61,$S$3:$S$168,0)+COUNTIF($S$3:S61,S61)-1)</f>
        <v>41</v>
      </c>
      <c r="X61" s="14">
        <v>275</v>
      </c>
      <c r="Y61" s="14">
        <v>288</v>
      </c>
      <c r="Z61" s="15">
        <f>IFERROR((X61+Y61)/AR61,"")</f>
        <v>0.87151702786377705</v>
      </c>
      <c r="AA61" s="14">
        <v>70134</v>
      </c>
      <c r="AB61" s="15">
        <f>IFERROR(AA61/F61,"")</f>
        <v>0.47728711132888263</v>
      </c>
      <c r="AC61" s="16">
        <f>IFERROR(AA61*1000/H61,"")</f>
        <v>5453.2306974574294</v>
      </c>
      <c r="AD61" s="17">
        <f>IF(AB61="","",RANK(AB61,$AB$3:$AB$168,0)+COUNTIF($AB$3:AB61,AB61)-1)</f>
        <v>96</v>
      </c>
      <c r="AE61" s="17">
        <f>IF(AA61="","",RANK(AA61,$AA$3:$AA$168,0)+COUNTIF($AA$3:AA61,AA61)-1)</f>
        <v>60</v>
      </c>
      <c r="AF61" s="18">
        <v>90.4</v>
      </c>
      <c r="AG61" s="14">
        <v>60312591.060000002</v>
      </c>
      <c r="AH61" s="16">
        <f>IFERROR(AG61/AZ61,"")</f>
        <v>5479.4758844371763</v>
      </c>
      <c r="AI61" s="14">
        <v>5482</v>
      </c>
      <c r="AJ61" s="15">
        <f>IFERROR(AI61/F61,"")</f>
        <v>3.7306982979794887E-2</v>
      </c>
      <c r="AK61" s="14">
        <v>295</v>
      </c>
      <c r="AL61" s="14">
        <v>300</v>
      </c>
      <c r="AM61" s="14">
        <v>310</v>
      </c>
      <c r="AN61" s="14">
        <v>1368</v>
      </c>
      <c r="AO61" s="14">
        <v>1098</v>
      </c>
      <c r="AP61" s="18">
        <v>1.5</v>
      </c>
      <c r="AQ61" s="19">
        <f>IFERROR(AL61*1000/AZ61,"")</f>
        <v>27.255382938130282</v>
      </c>
      <c r="AR61" s="14">
        <v>646</v>
      </c>
      <c r="AS61" s="14">
        <v>263</v>
      </c>
      <c r="AT61" s="14">
        <v>235</v>
      </c>
      <c r="AU61" s="14">
        <v>41</v>
      </c>
      <c r="AV61" s="14">
        <v>107</v>
      </c>
      <c r="AW61" s="15">
        <f>IFERROR(AS61/AR61,"")</f>
        <v>0.40712074303405571</v>
      </c>
      <c r="AX61" s="14">
        <v>1</v>
      </c>
      <c r="AY61" s="14">
        <v>9</v>
      </c>
      <c r="AZ61" s="14">
        <v>11007</v>
      </c>
      <c r="BA61" s="20">
        <v>319.13600000000002</v>
      </c>
      <c r="BB61" s="20">
        <v>34.49</v>
      </c>
      <c r="BC61" s="21">
        <v>0.61799999999999999</v>
      </c>
      <c r="BD61" s="18">
        <v>49.3</v>
      </c>
      <c r="BE61" s="18">
        <v>99.62</v>
      </c>
      <c r="BF61" s="18">
        <v>5.5</v>
      </c>
      <c r="BG61" s="18">
        <v>4.4000000000000004</v>
      </c>
      <c r="BH61" s="18">
        <v>16.13</v>
      </c>
      <c r="BI61" s="14">
        <v>1363</v>
      </c>
      <c r="BJ61" s="18">
        <v>1.5</v>
      </c>
      <c r="BK61" s="15">
        <f>IFERROR(BI61/AZ61,"")</f>
        <v>0.12383028981557191</v>
      </c>
      <c r="BL61" s="22">
        <f>IFERROR(AI61+K61+S61+AA61-F61,"")</f>
        <v>-1</v>
      </c>
      <c r="BM61" s="22">
        <f>IFERROR(F61+G61-C61,"")</f>
        <v>0</v>
      </c>
      <c r="BN61" s="22">
        <f>IF(I61="","",IFERROR(C61*1000/H61-I61,""))</f>
        <v>1.4290490629718988E-2</v>
      </c>
    </row>
    <row r="62" spans="1:66">
      <c r="A62" s="13" t="s">
        <v>219</v>
      </c>
      <c r="B62" s="13" t="s">
        <v>220</v>
      </c>
      <c r="C62" s="14">
        <v>158308</v>
      </c>
      <c r="D62" s="14">
        <v>164488</v>
      </c>
      <c r="E62" s="14">
        <v>185921</v>
      </c>
      <c r="F62" s="14">
        <v>145673</v>
      </c>
      <c r="G62" s="14">
        <v>12635</v>
      </c>
      <c r="H62" s="14">
        <v>10541</v>
      </c>
      <c r="I62" s="14">
        <v>15018.31</v>
      </c>
      <c r="J62" s="14">
        <v>18734.490000000002</v>
      </c>
      <c r="K62" s="14">
        <v>28640</v>
      </c>
      <c r="L62" s="15">
        <f>IFERROR(K62/F62,"")</f>
        <v>0.19660472427972239</v>
      </c>
      <c r="M62" s="16">
        <f>IFERROR(K62*1000/H62,"")</f>
        <v>2717.0097713689402</v>
      </c>
      <c r="N62" s="17">
        <f>IF(L62="","",RANK(L62,$L$3:$L$168,0)+COUNTIF($L$3:L62,L62)-1)</f>
        <v>35</v>
      </c>
      <c r="O62" s="17">
        <f>IF(K62="","",RANK(K62,$K$3:$K$168,0)+COUNTIF($K$3:K62,K62)-1)</f>
        <v>48</v>
      </c>
      <c r="P62" s="14">
        <v>115</v>
      </c>
      <c r="Q62" s="15">
        <f>IFERROR(P62/AR62,"")</f>
        <v>0.18578352180936994</v>
      </c>
      <c r="R62" s="16">
        <v>30</v>
      </c>
      <c r="S62" s="14">
        <v>45728</v>
      </c>
      <c r="T62" s="15">
        <f>IFERROR(S62/F62,"")</f>
        <v>0.31390854859857353</v>
      </c>
      <c r="U62" s="16">
        <f>IFERROR(S62*1000/H62,"")</f>
        <v>4338.1083388672805</v>
      </c>
      <c r="V62" s="17">
        <f>IF(T62="","",RANK(T62,$T$3:$T$168,0)+COUNTIF($T$3:T62,T62)-1)</f>
        <v>49</v>
      </c>
      <c r="W62" s="17">
        <f>IF(S62="","",RANK(S62,$S$3:$S$168,0)+COUNTIF($S$3:S62,S62)-1)</f>
        <v>52</v>
      </c>
      <c r="X62" s="14">
        <v>242</v>
      </c>
      <c r="Y62" s="14">
        <v>251</v>
      </c>
      <c r="Z62" s="15">
        <f>IFERROR((X62+Y62)/AR62,"")</f>
        <v>0.79644588045234244</v>
      </c>
      <c r="AA62" s="14">
        <v>67523</v>
      </c>
      <c r="AB62" s="15">
        <f>IFERROR(AA62/F62,"")</f>
        <v>0.46352446918783852</v>
      </c>
      <c r="AC62" s="16">
        <f>IFERROR(AA62*1000/H62,"")</f>
        <v>6405.7489801726588</v>
      </c>
      <c r="AD62" s="17">
        <f>IF(AB62="","",RANK(AB62,$AB$3:$AB$168,0)+COUNTIF($AB$3:AB62,AB62)-1)</f>
        <v>99</v>
      </c>
      <c r="AE62" s="17">
        <f>IF(AA62="","",RANK(AA62,$AA$3:$AA$168,0)+COUNTIF($AA$3:AA62,AA62)-1)</f>
        <v>64</v>
      </c>
      <c r="AF62" s="18">
        <v>96.46</v>
      </c>
      <c r="AG62" s="14">
        <v>137072832.21000001</v>
      </c>
      <c r="AH62" s="16">
        <f>IFERROR(AG62/AZ62,"")</f>
        <v>13812.256369407498</v>
      </c>
      <c r="AI62" s="14">
        <v>3782</v>
      </c>
      <c r="AJ62" s="15">
        <f>IFERROR(AI62/F62,"")</f>
        <v>2.5962257933865574E-2</v>
      </c>
      <c r="AK62" s="14">
        <v>236</v>
      </c>
      <c r="AL62" s="14">
        <v>288</v>
      </c>
      <c r="AM62" s="14">
        <v>296</v>
      </c>
      <c r="AN62" s="14">
        <v>1390</v>
      </c>
      <c r="AO62" s="14">
        <v>1107</v>
      </c>
      <c r="AP62" s="18">
        <v>1.1000000000000001</v>
      </c>
      <c r="AQ62" s="19">
        <f>IFERROR(AL62*1000/AZ62,"")</f>
        <v>29.020556227327692</v>
      </c>
      <c r="AR62" s="14">
        <v>619</v>
      </c>
      <c r="AS62" s="14">
        <v>279</v>
      </c>
      <c r="AT62" s="14">
        <v>205</v>
      </c>
      <c r="AU62" s="14">
        <v>30</v>
      </c>
      <c r="AV62" s="14">
        <v>105</v>
      </c>
      <c r="AW62" s="15">
        <f>IFERROR(AS62/AR62,"")</f>
        <v>0.45072697899838449</v>
      </c>
      <c r="AX62" s="14">
        <v>4</v>
      </c>
      <c r="AY62" s="14">
        <v>7</v>
      </c>
      <c r="AZ62" s="14">
        <v>9924</v>
      </c>
      <c r="BA62" s="20">
        <v>124.538</v>
      </c>
      <c r="BB62" s="20">
        <v>79.69</v>
      </c>
      <c r="BC62" s="21">
        <v>0.66400000000000003</v>
      </c>
      <c r="BD62" s="18">
        <v>48.4</v>
      </c>
      <c r="BE62" s="18">
        <v>98.6</v>
      </c>
      <c r="BF62" s="18">
        <v>5.9</v>
      </c>
      <c r="BG62" s="18">
        <v>4.7</v>
      </c>
      <c r="BH62" s="18">
        <v>1.28</v>
      </c>
      <c r="BI62" s="14">
        <v>1390</v>
      </c>
      <c r="BJ62" s="18">
        <v>1.1000000000000001</v>
      </c>
      <c r="BK62" s="15">
        <f>IFERROR(BI62/AZ62,"")</f>
        <v>0.14006449012494962</v>
      </c>
      <c r="BL62" s="22">
        <f>IFERROR(AI62+K62+S62+AA62-F62,"")</f>
        <v>0</v>
      </c>
      <c r="BM62" s="22">
        <f>IFERROR(F62+G62-C62,"")</f>
        <v>0</v>
      </c>
      <c r="BN62" s="22">
        <f>IF(I62="","",IFERROR(C62*1000/H62-I62,""))</f>
        <v>-5.4169433678907808E-4</v>
      </c>
    </row>
    <row r="63" spans="1:66">
      <c r="A63" s="13" t="s">
        <v>221</v>
      </c>
      <c r="B63" s="13" t="s">
        <v>222</v>
      </c>
      <c r="C63" s="14">
        <v>155197</v>
      </c>
      <c r="D63" s="14">
        <v>174535</v>
      </c>
      <c r="E63" s="14">
        <v>184091</v>
      </c>
      <c r="F63" s="14">
        <v>145244</v>
      </c>
      <c r="G63" s="14">
        <v>9953</v>
      </c>
      <c r="H63" s="14">
        <v>12314</v>
      </c>
      <c r="I63" s="14">
        <v>12603.31</v>
      </c>
      <c r="J63" s="14">
        <v>16117.22</v>
      </c>
      <c r="K63" s="14">
        <v>8996</v>
      </c>
      <c r="L63" s="15">
        <f>IFERROR(K63/F63,"")</f>
        <v>6.1937154030459088E-2</v>
      </c>
      <c r="M63" s="16">
        <f>IFERROR(K63*1000/H63,"")</f>
        <v>730.55059282117918</v>
      </c>
      <c r="N63" s="17">
        <f>IF(L63="","",RANK(L63,$L$3:$L$168,0)+COUNTIF($L$3:L63,L63)-1)</f>
        <v>78</v>
      </c>
      <c r="O63" s="17">
        <f>IF(K63="","",RANK(K63,$K$3:$K$168,0)+COUNTIF($K$3:K63,K63)-1)</f>
        <v>69</v>
      </c>
      <c r="P63" s="14">
        <v>39</v>
      </c>
      <c r="Q63" s="15">
        <f>IFERROR(P63/AR63,"")</f>
        <v>0.12540192926045016</v>
      </c>
      <c r="R63" s="16">
        <v>4</v>
      </c>
      <c r="S63" s="14">
        <v>26351</v>
      </c>
      <c r="T63" s="15">
        <f>IFERROR(S63/F63,"")</f>
        <v>0.18142573875685053</v>
      </c>
      <c r="U63" s="16">
        <f>IFERROR(S63*1000/H63,"")</f>
        <v>2139.9220399545234</v>
      </c>
      <c r="V63" s="17">
        <f>IF(T63="","",RANK(T63,$T$3:$T$168,0)+COUNTIF($T$3:T63,T63)-1)</f>
        <v>152</v>
      </c>
      <c r="W63" s="17">
        <f>IF(S63="","",RANK(S63,$S$3:$S$168,0)+COUNTIF($S$3:S63,S63)-1)</f>
        <v>82</v>
      </c>
      <c r="X63" s="14">
        <v>125</v>
      </c>
      <c r="Y63" s="14">
        <v>133</v>
      </c>
      <c r="Z63" s="15">
        <f>IFERROR((X63+Y63)/AR63,"")</f>
        <v>0.82958199356913187</v>
      </c>
      <c r="AA63" s="14">
        <v>71871</v>
      </c>
      <c r="AB63" s="15">
        <f>IFERROR(AA63/F63,"")</f>
        <v>0.49482939054281072</v>
      </c>
      <c r="AC63" s="16">
        <f>IFERROR(AA63*1000/H63,"")</f>
        <v>5836.5275296410591</v>
      </c>
      <c r="AD63" s="17">
        <f>IF(AB63="","",RANK(AB63,$AB$3:$AB$168,0)+COUNTIF($AB$3:AB63,AB63)-1)</f>
        <v>91</v>
      </c>
      <c r="AE63" s="17">
        <f>IF(AA63="","",RANK(AA63,$AA$3:$AA$168,0)+COUNTIF($AA$3:AA63,AA63)-1)</f>
        <v>57</v>
      </c>
      <c r="AF63" s="18">
        <v>88.14</v>
      </c>
      <c r="AG63" s="14">
        <v>68639125.439999998</v>
      </c>
      <c r="AH63" s="16">
        <f>IFERROR(AG63/AZ63,"")</f>
        <v>6009.3788688495879</v>
      </c>
      <c r="AI63" s="14">
        <v>38026</v>
      </c>
      <c r="AJ63" s="15">
        <f>IFERROR(AI63/F63,"")</f>
        <v>0.26180771666987968</v>
      </c>
      <c r="AK63" s="14">
        <v>100</v>
      </c>
      <c r="AL63" s="14">
        <v>115</v>
      </c>
      <c r="AM63" s="14">
        <v>118</v>
      </c>
      <c r="AN63" s="14">
        <v>1019</v>
      </c>
      <c r="AO63" s="14">
        <v>918</v>
      </c>
      <c r="AP63" s="18">
        <v>1.6</v>
      </c>
      <c r="AQ63" s="19">
        <f>IFERROR(AL63*1000/AZ63,"")</f>
        <v>10.068289266328138</v>
      </c>
      <c r="AR63" s="14">
        <v>311</v>
      </c>
      <c r="AS63" s="14">
        <v>171</v>
      </c>
      <c r="AT63" s="14">
        <v>66</v>
      </c>
      <c r="AU63" s="14">
        <v>11</v>
      </c>
      <c r="AV63" s="14">
        <v>63</v>
      </c>
      <c r="AW63" s="15">
        <f>IFERROR(AS63/AR63,"")</f>
        <v>0.54983922829581988</v>
      </c>
      <c r="AX63" s="14">
        <v>10</v>
      </c>
      <c r="AY63" s="14">
        <v>4</v>
      </c>
      <c r="AZ63" s="14">
        <v>11422</v>
      </c>
      <c r="BA63" s="20">
        <v>352.81799999999998</v>
      </c>
      <c r="BB63" s="20">
        <v>32.369999999999997</v>
      </c>
      <c r="BC63" s="21">
        <v>0.56899999999999995</v>
      </c>
      <c r="BD63" s="18">
        <v>50</v>
      </c>
      <c r="BE63" s="18">
        <v>97.05</v>
      </c>
      <c r="BF63" s="18">
        <v>4.7</v>
      </c>
      <c r="BG63" s="18">
        <v>3.3</v>
      </c>
      <c r="BH63" s="18">
        <v>17.43</v>
      </c>
      <c r="BI63" s="14">
        <v>1016</v>
      </c>
      <c r="BJ63" s="18">
        <v>1.6</v>
      </c>
      <c r="BK63" s="15">
        <f>IFERROR(BI63/AZ63,"")</f>
        <v>8.895114690947295E-2</v>
      </c>
      <c r="BL63" s="22">
        <f>IFERROR(AI63+K63+S63+AA63-F63,"")</f>
        <v>0</v>
      </c>
      <c r="BM63" s="22">
        <f>IFERROR(F63+G63-C63,"")</f>
        <v>0</v>
      </c>
      <c r="BN63" s="22">
        <f>IF(I63="","",IFERROR(C63*1000/H63-I63,""))</f>
        <v>-1.2939743381139124E-2</v>
      </c>
    </row>
    <row r="64" spans="1:66">
      <c r="A64" s="13" t="s">
        <v>223</v>
      </c>
      <c r="B64" s="13" t="s">
        <v>224</v>
      </c>
      <c r="C64" s="14">
        <v>152322</v>
      </c>
      <c r="D64" s="14">
        <v>171299</v>
      </c>
      <c r="E64" s="14">
        <v>179582</v>
      </c>
      <c r="F64" s="14">
        <v>141236</v>
      </c>
      <c r="G64" s="14">
        <v>11086</v>
      </c>
      <c r="H64" s="14">
        <v>13667</v>
      </c>
      <c r="I64" s="14">
        <v>11145.22</v>
      </c>
      <c r="J64" s="14">
        <v>16175.64</v>
      </c>
      <c r="K64" s="14">
        <v>7012</v>
      </c>
      <c r="L64" s="15">
        <f>IFERROR(K64/F64,"")</f>
        <v>4.9647398680223172E-2</v>
      </c>
      <c r="M64" s="16">
        <f>IFERROR(K64*1000/H64,"")</f>
        <v>513.06065705714491</v>
      </c>
      <c r="N64" s="17">
        <f>IF(L64="","",RANK(L64,$L$3:$L$168,0)+COUNTIF($L$3:L64,L64)-1)</f>
        <v>89</v>
      </c>
      <c r="O64" s="17">
        <f>IF(K64="","",RANK(K64,$K$3:$K$168,0)+COUNTIF($K$3:K64,K64)-1)</f>
        <v>76</v>
      </c>
      <c r="P64" s="14">
        <v>82</v>
      </c>
      <c r="Q64" s="15">
        <f>IFERROR(P64/AR64,"")</f>
        <v>0.11647727272727272</v>
      </c>
      <c r="R64" s="16">
        <v>9</v>
      </c>
      <c r="S64" s="14">
        <v>49064</v>
      </c>
      <c r="T64" s="15">
        <f>IFERROR(S64/F64,"")</f>
        <v>0.34739018380582853</v>
      </c>
      <c r="U64" s="16">
        <f>IFERROR(S64*1000/H64,"")</f>
        <v>3589.9612204580376</v>
      </c>
      <c r="V64" s="17">
        <f>IF(T64="","",RANK(T64,$T$3:$T$168,0)+COUNTIF($T$3:T64,T64)-1)</f>
        <v>39</v>
      </c>
      <c r="W64" s="17">
        <f>IF(S64="","",RANK(S64,$S$3:$S$168,0)+COUNTIF($S$3:S64,S64)-1)</f>
        <v>49</v>
      </c>
      <c r="X64" s="14">
        <v>357</v>
      </c>
      <c r="Y64" s="14">
        <v>255</v>
      </c>
      <c r="Z64" s="15">
        <f>IFERROR((X64+Y64)/AR64,"")</f>
        <v>0.86931818181818177</v>
      </c>
      <c r="AA64" s="14">
        <v>82094</v>
      </c>
      <c r="AB64" s="15">
        <f>IFERROR(AA64/F64,"")</f>
        <v>0.5812540711999773</v>
      </c>
      <c r="AC64" s="16">
        <f>IFERROR(AA64*1000/H64,"")</f>
        <v>6006.7315431330944</v>
      </c>
      <c r="AD64" s="17">
        <f>IF(AB64="","",RANK(AB64,$AB$3:$AB$168,0)+COUNTIF($AB$3:AB64,AB64)-1)</f>
        <v>63</v>
      </c>
      <c r="AE64" s="17">
        <f>IF(AA64="","",RANK(AA64,$AA$3:$AA$168,0)+COUNTIF($AA$3:AA64,AA64)-1)</f>
        <v>45</v>
      </c>
      <c r="AF64" s="18">
        <v>89.96</v>
      </c>
      <c r="AG64" s="14">
        <v>98944420.519999996</v>
      </c>
      <c r="AH64" s="16">
        <f>IFERROR(AG64/AZ64,"")</f>
        <v>9080.8021769456682</v>
      </c>
      <c r="AI64" s="14">
        <v>3065</v>
      </c>
      <c r="AJ64" s="15">
        <f>IFERROR(AI64/F64,"")</f>
        <v>2.1701265966184258E-2</v>
      </c>
      <c r="AK64" s="14">
        <v>237</v>
      </c>
      <c r="AL64" s="14">
        <v>253</v>
      </c>
      <c r="AM64" s="14">
        <v>261</v>
      </c>
      <c r="AN64" s="14">
        <v>1653</v>
      </c>
      <c r="AO64" s="14">
        <v>1416</v>
      </c>
      <c r="AP64" s="18">
        <v>1.4</v>
      </c>
      <c r="AQ64" s="19">
        <f>IFERROR(AL64*1000/AZ64,"")</f>
        <v>23.219530102790014</v>
      </c>
      <c r="AR64" s="14">
        <v>704</v>
      </c>
      <c r="AS64" s="14">
        <v>331</v>
      </c>
      <c r="AT64" s="14">
        <v>266</v>
      </c>
      <c r="AU64" s="14">
        <v>37</v>
      </c>
      <c r="AV64" s="14">
        <v>70</v>
      </c>
      <c r="AW64" s="15">
        <f>IFERROR(AS64/AR64,"")</f>
        <v>0.47017045454545453</v>
      </c>
      <c r="AX64" s="14">
        <v>1</v>
      </c>
      <c r="AY64" s="14">
        <v>9</v>
      </c>
      <c r="AZ64" s="14">
        <v>10896</v>
      </c>
      <c r="BA64" s="20">
        <v>44.104999999999997</v>
      </c>
      <c r="BB64" s="20">
        <v>258.58999999999997</v>
      </c>
      <c r="BC64" s="21">
        <v>0.60599999999999998</v>
      </c>
      <c r="BD64" s="18">
        <v>50.8</v>
      </c>
      <c r="BE64" s="18">
        <v>99.03</v>
      </c>
      <c r="BF64" s="18">
        <v>4.9000000000000004</v>
      </c>
      <c r="BG64" s="18">
        <v>4.5</v>
      </c>
      <c r="BH64" s="18">
        <v>53.55</v>
      </c>
      <c r="BI64" s="14">
        <v>1653</v>
      </c>
      <c r="BJ64" s="18">
        <v>1.4</v>
      </c>
      <c r="BK64" s="15">
        <f>IFERROR(BI64/AZ64,"")</f>
        <v>0.15170704845814978</v>
      </c>
      <c r="BL64" s="22">
        <f>IFERROR(AI64+K64+S64+AA64-F64,"")</f>
        <v>-1</v>
      </c>
      <c r="BM64" s="22">
        <f>IFERROR(F64+G64-C64,"")</f>
        <v>0</v>
      </c>
      <c r="BN64" s="22">
        <f>IF(I64="","",IFERROR(C64*1000/H64-I64,""))</f>
        <v>2.0359991220175289E-2</v>
      </c>
    </row>
    <row r="65" spans="1:66">
      <c r="A65" s="13" t="s">
        <v>225</v>
      </c>
      <c r="B65" s="13" t="s">
        <v>226</v>
      </c>
      <c r="C65" s="14">
        <v>151205</v>
      </c>
      <c r="D65" s="14">
        <v>167034</v>
      </c>
      <c r="E65" s="14">
        <v>167072</v>
      </c>
      <c r="F65" s="14">
        <v>138367</v>
      </c>
      <c r="G65" s="14">
        <v>12838</v>
      </c>
      <c r="H65" s="14">
        <v>10485</v>
      </c>
      <c r="I65" s="14">
        <v>14421.11</v>
      </c>
      <c r="J65" s="14">
        <v>16577.89</v>
      </c>
      <c r="K65" s="14">
        <v>5764</v>
      </c>
      <c r="L65" s="15">
        <f>IFERROR(K65/F65,"")</f>
        <v>4.1657331589179503E-2</v>
      </c>
      <c r="M65" s="16">
        <f>IFERROR(K65*1000/H65,"")</f>
        <v>549.73772055317124</v>
      </c>
      <c r="N65" s="17">
        <f>IF(L65="","",RANK(L65,$L$3:$L$168,0)+COUNTIF($L$3:L65,L65)-1)</f>
        <v>115</v>
      </c>
      <c r="O65" s="17">
        <f>IF(K65="","",RANK(K65,$K$3:$K$168,0)+COUNTIF($K$3:K65,K65)-1)</f>
        <v>86</v>
      </c>
      <c r="P65" s="14">
        <v>107</v>
      </c>
      <c r="Q65" s="15">
        <f>IFERROR(P65/AR65,"")</f>
        <v>0.14247669773635152</v>
      </c>
      <c r="R65" s="16">
        <v>14</v>
      </c>
      <c r="S65" s="14">
        <v>61441</v>
      </c>
      <c r="T65" s="15">
        <f>IFERROR(S65/F65,"")</f>
        <v>0.44404373875273728</v>
      </c>
      <c r="U65" s="16">
        <f>IFERROR(S65*1000/H65,"")</f>
        <v>5859.8950882212685</v>
      </c>
      <c r="V65" s="17">
        <f>IF(T65="","",RANK(T65,$T$3:$T$168,0)+COUNTIF($T$3:T65,T65)-1)</f>
        <v>14</v>
      </c>
      <c r="W65" s="17">
        <f>IF(S65="","",RANK(S65,$S$3:$S$168,0)+COUNTIF($S$3:S65,S65)-1)</f>
        <v>46</v>
      </c>
      <c r="X65" s="14">
        <v>284</v>
      </c>
      <c r="Y65" s="14">
        <v>349</v>
      </c>
      <c r="Z65" s="15">
        <f>IFERROR((X65+Y65)/AR65,"")</f>
        <v>0.84287616511318242</v>
      </c>
      <c r="AA65" s="14">
        <v>62538</v>
      </c>
      <c r="AB65" s="15">
        <f>IFERROR(AA65/F65,"")</f>
        <v>0.45197192972312761</v>
      </c>
      <c r="AC65" s="16">
        <f>IFERROR(AA65*1000/H65,"")</f>
        <v>5964.5207439198857</v>
      </c>
      <c r="AD65" s="17">
        <f>IF(AB65="","",RANK(AB65,$AB$3:$AB$168,0)+COUNTIF($AB$3:AB65,AB65)-1)</f>
        <v>105</v>
      </c>
      <c r="AE65" s="17">
        <f>IF(AA65="","",RANK(AA65,$AA$3:$AA$168,0)+COUNTIF($AA$3:AA65,AA65)-1)</f>
        <v>70</v>
      </c>
      <c r="AF65" s="18">
        <v>87.16</v>
      </c>
      <c r="AG65" s="14">
        <v>61634428.299999997</v>
      </c>
      <c r="AH65" s="16">
        <f>IFERROR(AG65/AZ65,"")</f>
        <v>6115.740057551101</v>
      </c>
      <c r="AI65" s="14">
        <v>8624</v>
      </c>
      <c r="AJ65" s="15">
        <f>IFERROR(AI65/F65,"")</f>
        <v>6.2326999934955586E-2</v>
      </c>
      <c r="AK65" s="14">
        <v>336</v>
      </c>
      <c r="AL65" s="14">
        <v>352</v>
      </c>
      <c r="AM65" s="14">
        <v>366</v>
      </c>
      <c r="AN65" s="14">
        <v>1024</v>
      </c>
      <c r="AO65" s="14">
        <v>682</v>
      </c>
      <c r="AP65" s="18">
        <v>2.2999999999999998</v>
      </c>
      <c r="AQ65" s="19">
        <f>IFERROR(AL65*1000/AZ65,"")</f>
        <v>34.927564993054176</v>
      </c>
      <c r="AR65" s="14">
        <v>751</v>
      </c>
      <c r="AS65" s="14">
        <v>334</v>
      </c>
      <c r="AT65" s="14">
        <v>245</v>
      </c>
      <c r="AU65" s="14">
        <v>26</v>
      </c>
      <c r="AV65" s="14">
        <v>146</v>
      </c>
      <c r="AW65" s="15">
        <f>IFERROR(AS65/AR65,"")</f>
        <v>0.44474034620505992</v>
      </c>
      <c r="AX65" s="14">
        <v>6</v>
      </c>
      <c r="AY65" s="14">
        <v>5</v>
      </c>
      <c r="AZ65" s="14">
        <v>10078</v>
      </c>
      <c r="BA65" s="20">
        <v>249.61</v>
      </c>
      <c r="BB65" s="20">
        <v>47.19</v>
      </c>
      <c r="BC65" s="21">
        <v>0.61799999999999999</v>
      </c>
      <c r="BD65" s="18">
        <v>49.6</v>
      </c>
      <c r="BE65" s="18">
        <v>100</v>
      </c>
      <c r="BF65" s="18">
        <v>6</v>
      </c>
      <c r="BG65" s="18">
        <v>4.2</v>
      </c>
      <c r="BH65" s="18">
        <v>4.82</v>
      </c>
      <c r="BI65" s="14">
        <v>1024</v>
      </c>
      <c r="BJ65" s="18">
        <v>2.2999999999999998</v>
      </c>
      <c r="BK65" s="15">
        <f>IFERROR(BI65/AZ65,"")</f>
        <v>0.10160746179797579</v>
      </c>
      <c r="BL65" s="22">
        <f>IFERROR(AI65+K65+S65+AA65-F65,"")</f>
        <v>0</v>
      </c>
      <c r="BM65" s="22">
        <f>IFERROR(F65+G65-C65,"")</f>
        <v>0</v>
      </c>
      <c r="BN65" s="22">
        <f>IF(I65="","",IFERROR(C65*1000/H65-I65,""))</f>
        <v>-3.2269909395836294E-2</v>
      </c>
    </row>
    <row r="66" spans="1:66">
      <c r="A66" s="13" t="s">
        <v>227</v>
      </c>
      <c r="B66" s="13" t="s">
        <v>228</v>
      </c>
      <c r="C66" s="14">
        <v>150789</v>
      </c>
      <c r="D66" s="14">
        <v>178559</v>
      </c>
      <c r="E66" s="14">
        <v>209117</v>
      </c>
      <c r="F66" s="14">
        <v>140719</v>
      </c>
      <c r="G66" s="14">
        <v>10070</v>
      </c>
      <c r="H66" s="14">
        <v>13529</v>
      </c>
      <c r="I66" s="14">
        <v>11145.58</v>
      </c>
      <c r="J66" s="14">
        <v>15331.16</v>
      </c>
      <c r="K66" s="14">
        <v>3027</v>
      </c>
      <c r="L66" s="15">
        <f>IFERROR(K66/F66,"")</f>
        <v>2.1510954455332968E-2</v>
      </c>
      <c r="M66" s="16">
        <f>IFERROR(K66*1000/H66,"")</f>
        <v>223.74159213541282</v>
      </c>
      <c r="N66" s="17">
        <f>IF(L66="","",RANK(L66,$L$3:$L$168,0)+COUNTIF($L$3:L66,L66)-1)</f>
        <v>161</v>
      </c>
      <c r="O66" s="17">
        <f>IF(K66="","",RANK(K66,$K$3:$K$168,0)+COUNTIF($K$3:K66,K66)-1)</f>
        <v>116</v>
      </c>
      <c r="P66" s="14">
        <v>68</v>
      </c>
      <c r="Q66" s="15">
        <f>IFERROR(P66/AR66,"")</f>
        <v>9.4444444444444442E-2</v>
      </c>
      <c r="R66" s="16">
        <v>5</v>
      </c>
      <c r="S66" s="14">
        <v>58180</v>
      </c>
      <c r="T66" s="15">
        <f>IFERROR(S66/F66,"")</f>
        <v>0.41344807737405753</v>
      </c>
      <c r="U66" s="16">
        <f>IFERROR(S66*1000/H66,"")</f>
        <v>4300.3917510532929</v>
      </c>
      <c r="V66" s="17">
        <f>IF(T66="","",RANK(T66,$T$3:$T$168,0)+COUNTIF($T$3:T66,T66)-1)</f>
        <v>19</v>
      </c>
      <c r="W66" s="17">
        <f>IF(S66="","",RANK(S66,$S$3:$S$168,0)+COUNTIF($S$3:S66,S66)-1)</f>
        <v>47</v>
      </c>
      <c r="X66" s="14">
        <v>343</v>
      </c>
      <c r="Y66" s="14">
        <v>289</v>
      </c>
      <c r="Z66" s="15">
        <f>IFERROR((X66+Y66)/AR66,"")</f>
        <v>0.87777777777777777</v>
      </c>
      <c r="AA66" s="14">
        <v>72752</v>
      </c>
      <c r="AB66" s="15">
        <f>IFERROR(AA66/F66,"")</f>
        <v>0.51700196846197033</v>
      </c>
      <c r="AC66" s="16">
        <f>IFERROR(AA66*1000/H66,"")</f>
        <v>5377.4854017296175</v>
      </c>
      <c r="AD66" s="17">
        <f>IF(AB66="","",RANK(AB66,$AB$3:$AB$168,0)+COUNTIF($AB$3:AB66,AB66)-1)</f>
        <v>83</v>
      </c>
      <c r="AE66" s="17">
        <f>IF(AA66="","",RANK(AA66,$AA$3:$AA$168,0)+COUNTIF($AA$3:AA66,AA66)-1)</f>
        <v>56</v>
      </c>
      <c r="AF66" s="18">
        <v>83.15</v>
      </c>
      <c r="AG66" s="14">
        <v>103671632.73</v>
      </c>
      <c r="AH66" s="16">
        <f>IFERROR(AG66/AZ66,"")</f>
        <v>7600.5595843108504</v>
      </c>
      <c r="AI66" s="14">
        <v>6760</v>
      </c>
      <c r="AJ66" s="15">
        <f>IFERROR(AI66/F66,"")</f>
        <v>4.8038999708639202E-2</v>
      </c>
      <c r="AK66" s="14">
        <v>320</v>
      </c>
      <c r="AL66" s="14">
        <v>353</v>
      </c>
      <c r="AM66" s="14">
        <v>360</v>
      </c>
      <c r="AN66" s="14">
        <v>1348</v>
      </c>
      <c r="AO66" s="14">
        <v>998</v>
      </c>
      <c r="AP66" s="18">
        <v>1.5</v>
      </c>
      <c r="AQ66" s="19">
        <f>IFERROR(AL66*1000/AZ66,"")</f>
        <v>25.879765395894427</v>
      </c>
      <c r="AR66" s="14">
        <v>720</v>
      </c>
      <c r="AS66" s="14">
        <v>288</v>
      </c>
      <c r="AT66" s="14">
        <v>283</v>
      </c>
      <c r="AU66" s="14">
        <v>30</v>
      </c>
      <c r="AV66" s="14">
        <v>119</v>
      </c>
      <c r="AW66" s="15">
        <f>IFERROR(AS66/AR66,"")</f>
        <v>0.4</v>
      </c>
      <c r="AX66" s="14">
        <v>9</v>
      </c>
      <c r="AY66" s="14">
        <v>11</v>
      </c>
      <c r="AZ66" s="14">
        <v>13640</v>
      </c>
      <c r="BA66" s="20">
        <v>381.20499999999998</v>
      </c>
      <c r="BB66" s="20">
        <v>35.78</v>
      </c>
      <c r="BC66" s="21">
        <v>0.60599999999999998</v>
      </c>
      <c r="BD66" s="18">
        <v>50.4</v>
      </c>
      <c r="BE66" s="18">
        <v>99.32</v>
      </c>
      <c r="BF66" s="18">
        <v>5.4</v>
      </c>
      <c r="BG66" s="18">
        <v>4.3</v>
      </c>
      <c r="BH66" s="18">
        <v>62.74</v>
      </c>
      <c r="BI66" s="14">
        <v>1348</v>
      </c>
      <c r="BJ66" s="18">
        <v>1.5</v>
      </c>
      <c r="BK66" s="15">
        <f>IFERROR(BI66/AZ66,"")</f>
        <v>9.8826979472140766E-2</v>
      </c>
      <c r="BL66" s="22">
        <f>IFERROR(AI66+K66+S66+AA66-F66,"")</f>
        <v>0</v>
      </c>
      <c r="BM66" s="22">
        <f>IFERROR(F66+G66-C66,"")</f>
        <v>0</v>
      </c>
      <c r="BN66" s="22">
        <f>IF(I66="","",IFERROR(C66*1000/H66-I66,""))</f>
        <v>3.3127356049590162E-2</v>
      </c>
    </row>
    <row r="67" spans="1:66">
      <c r="A67" s="13" t="s">
        <v>229</v>
      </c>
      <c r="B67" s="13" t="s">
        <v>230</v>
      </c>
      <c r="C67" s="14">
        <v>149471</v>
      </c>
      <c r="D67" s="14">
        <v>172748</v>
      </c>
      <c r="E67" s="14">
        <v>170409</v>
      </c>
      <c r="F67" s="14">
        <v>142925</v>
      </c>
      <c r="G67" s="14">
        <v>6546</v>
      </c>
      <c r="H67" s="14">
        <v>6605</v>
      </c>
      <c r="I67" s="14">
        <v>22630</v>
      </c>
      <c r="J67" s="14">
        <v>32595.41</v>
      </c>
      <c r="K67" s="14">
        <v>59725</v>
      </c>
      <c r="L67" s="15">
        <f>IFERROR(K67/F67,"")</f>
        <v>0.41787650865838727</v>
      </c>
      <c r="M67" s="16">
        <f>IFERROR(K67*1000/H67,"")</f>
        <v>9042.3921271763811</v>
      </c>
      <c r="N67" s="17">
        <f>IF(L67="","",RANK(L67,$L$3:$L$168,0)+COUNTIF($L$3:L67,L67)-1)</f>
        <v>18</v>
      </c>
      <c r="O67" s="17">
        <f>IF(K67="","",RANK(K67,$K$3:$K$168,0)+COUNTIF($K$3:K67,K67)-1)</f>
        <v>38</v>
      </c>
      <c r="P67" s="14">
        <v>49</v>
      </c>
      <c r="Q67" s="15">
        <f>IFERROR(P67/AR67,"")</f>
        <v>0.18014705882352941</v>
      </c>
      <c r="R67" s="16">
        <v>12</v>
      </c>
      <c r="S67" s="14">
        <v>31046</v>
      </c>
      <c r="T67" s="15">
        <f>IFERROR(S67/F67,"")</f>
        <v>0.21721882105999651</v>
      </c>
      <c r="U67" s="16">
        <f>IFERROR(S67*1000/H67,"")</f>
        <v>4700.378501135503</v>
      </c>
      <c r="V67" s="17">
        <f>IF(T67="","",RANK(T67,$T$3:$T$168,0)+COUNTIF($T$3:T67,T67)-1)</f>
        <v>130</v>
      </c>
      <c r="W67" s="17">
        <f>IF(S67="","",RANK(S67,$S$3:$S$168,0)+COUNTIF($S$3:S67,S67)-1)</f>
        <v>75</v>
      </c>
      <c r="X67" s="14">
        <v>95</v>
      </c>
      <c r="Y67" s="14">
        <v>113</v>
      </c>
      <c r="Z67" s="15">
        <f>IFERROR((X67+Y67)/AR67,"")</f>
        <v>0.76470588235294112</v>
      </c>
      <c r="AA67" s="14">
        <v>44488</v>
      </c>
      <c r="AB67" s="15">
        <f>IFERROR(AA67/F67,"")</f>
        <v>0.31126814762987581</v>
      </c>
      <c r="AC67" s="16">
        <f>IFERROR(AA67*1000/H67,"")</f>
        <v>6735.50340651022</v>
      </c>
      <c r="AD67" s="17">
        <f>IF(AB67="","",RANK(AB67,$AB$3:$AB$168,0)+COUNTIF($AB$3:AB67,AB67)-1)</f>
        <v>135</v>
      </c>
      <c r="AE67" s="17">
        <f>IF(AA67="","",RANK(AA67,$AA$3:$AA$168,0)+COUNTIF($AA$3:AA67,AA67)-1)</f>
        <v>94</v>
      </c>
      <c r="AF67" s="18">
        <v>97.08</v>
      </c>
      <c r="AG67" s="14">
        <v>59235765.140000001</v>
      </c>
      <c r="AH67" s="16">
        <f>IFERROR(AG67/AZ67,"")</f>
        <v>11330.483003060444</v>
      </c>
      <c r="AI67" s="14">
        <v>7666</v>
      </c>
      <c r="AJ67" s="15">
        <f>IFERROR(AI67/F67,"")</f>
        <v>5.3636522651740424E-2</v>
      </c>
      <c r="AK67" s="14">
        <v>113</v>
      </c>
      <c r="AL67" s="14">
        <v>124</v>
      </c>
      <c r="AM67" s="14">
        <v>127</v>
      </c>
      <c r="AN67" s="14">
        <v>1015</v>
      </c>
      <c r="AO67" s="14">
        <v>913</v>
      </c>
      <c r="AP67" s="18">
        <v>1.8</v>
      </c>
      <c r="AQ67" s="19">
        <f>IFERROR(AL67*1000/AZ67,"")</f>
        <v>23.718439173680185</v>
      </c>
      <c r="AR67" s="14">
        <v>272</v>
      </c>
      <c r="AS67" s="14">
        <v>111</v>
      </c>
      <c r="AT67" s="14">
        <v>88</v>
      </c>
      <c r="AU67" s="14">
        <v>7</v>
      </c>
      <c r="AV67" s="14">
        <v>66</v>
      </c>
      <c r="AW67" s="15">
        <f>IFERROR(AS67/AR67,"")</f>
        <v>0.40808823529411764</v>
      </c>
      <c r="AX67" s="14">
        <v>7</v>
      </c>
      <c r="AY67" s="14">
        <v>8</v>
      </c>
      <c r="AZ67" s="14">
        <v>5228</v>
      </c>
      <c r="BA67" s="20">
        <v>361.23700000000002</v>
      </c>
      <c r="BB67" s="20">
        <v>14.47</v>
      </c>
      <c r="BC67" s="21">
        <v>0.59</v>
      </c>
      <c r="BD67" s="18">
        <v>54.3</v>
      </c>
      <c r="BE67" s="18">
        <v>99.19</v>
      </c>
      <c r="BF67" s="18">
        <v>5</v>
      </c>
      <c r="BG67" s="18">
        <v>4.3</v>
      </c>
      <c r="BH67" s="18">
        <v>1.94</v>
      </c>
      <c r="BI67" s="14">
        <v>1015</v>
      </c>
      <c r="BJ67" s="18">
        <v>1.8</v>
      </c>
      <c r="BK67" s="15">
        <f>IFERROR(BI67/AZ67,"")</f>
        <v>0.1941469013006886</v>
      </c>
      <c r="BL67" s="22">
        <f>IFERROR(AI67+K67+S67+AA67-F67,"")</f>
        <v>0</v>
      </c>
      <c r="BM67" s="22">
        <f>IFERROR(F67+G67-C67,"")</f>
        <v>0</v>
      </c>
      <c r="BN67" s="22">
        <f>IF(I67="","",IFERROR(C67*1000/H67-I67,""))</f>
        <v>-2.2710068129526917E-2</v>
      </c>
    </row>
    <row r="68" spans="1:66">
      <c r="A68" s="13" t="s">
        <v>231</v>
      </c>
      <c r="B68" s="13" t="s">
        <v>232</v>
      </c>
      <c r="C68" s="14">
        <v>147037</v>
      </c>
      <c r="D68" s="14">
        <v>179803</v>
      </c>
      <c r="E68" s="14">
        <v>207088</v>
      </c>
      <c r="F68" s="14">
        <v>136257</v>
      </c>
      <c r="G68" s="14">
        <v>10780</v>
      </c>
      <c r="H68" s="14">
        <v>11808</v>
      </c>
      <c r="I68" s="14">
        <v>12452.34</v>
      </c>
      <c r="J68" s="14">
        <v>16625.53</v>
      </c>
      <c r="K68" s="14">
        <v>5192</v>
      </c>
      <c r="L68" s="15">
        <f>IFERROR(K68/F68,"")</f>
        <v>3.8104464357794465E-2</v>
      </c>
      <c r="M68" s="16">
        <f>IFERROR(K68*1000/H68,"")</f>
        <v>439.70189701897021</v>
      </c>
      <c r="N68" s="17">
        <f>IF(L68="","",RANK(L68,$L$3:$L$168,0)+COUNTIF($L$3:L68,L68)-1)</f>
        <v>131</v>
      </c>
      <c r="O68" s="17">
        <f>IF(K68="","",RANK(K68,$K$3:$K$168,0)+COUNTIF($K$3:K68,K68)-1)</f>
        <v>91</v>
      </c>
      <c r="P68" s="14">
        <v>75</v>
      </c>
      <c r="Q68" s="15">
        <f>IFERROR(P68/AR68,"")</f>
        <v>0.10431154381084839</v>
      </c>
      <c r="R68" s="16">
        <v>22</v>
      </c>
      <c r="S68" s="14">
        <v>40083</v>
      </c>
      <c r="T68" s="15">
        <f>IFERROR(S68/F68,"")</f>
        <v>0.29417204253726414</v>
      </c>
      <c r="U68" s="16">
        <f>IFERROR(S68*1000/H68,"")</f>
        <v>3394.5630081300815</v>
      </c>
      <c r="V68" s="17">
        <f>IF(T68="","",RANK(T68,$T$3:$T$168,0)+COUNTIF($T$3:T68,T68)-1)</f>
        <v>57</v>
      </c>
      <c r="W68" s="17">
        <f>IF(S68="","",RANK(S68,$S$3:$S$168,0)+COUNTIF($S$3:S68,S68)-1)</f>
        <v>63</v>
      </c>
      <c r="X68" s="14">
        <v>270</v>
      </c>
      <c r="Y68" s="14">
        <v>364</v>
      </c>
      <c r="Z68" s="15">
        <f>IFERROR((X68+Y68)/AR68,"")</f>
        <v>0.88178025034770513</v>
      </c>
      <c r="AA68" s="14">
        <v>75868</v>
      </c>
      <c r="AB68" s="15">
        <f>IFERROR(AA68/F68,"")</f>
        <v>0.55680075152102282</v>
      </c>
      <c r="AC68" s="16">
        <f>IFERROR(AA68*1000/H68,"")</f>
        <v>6425.1355013550137</v>
      </c>
      <c r="AD68" s="17">
        <f>IF(AB68="","",RANK(AB68,$AB$3:$AB$168,0)+COUNTIF($AB$3:AB68,AB68)-1)</f>
        <v>72</v>
      </c>
      <c r="AE68" s="17">
        <f>IF(AA68="","",RANK(AA68,$AA$3:$AA$168,0)+COUNTIF($AA$3:AA68,AA68)-1)</f>
        <v>50</v>
      </c>
      <c r="AF68" s="18">
        <v>90.54</v>
      </c>
      <c r="AG68" s="14">
        <v>72693242.129999995</v>
      </c>
      <c r="AH68" s="16">
        <f>IFERROR(AG68/AZ68,"")</f>
        <v>5836.0020977841996</v>
      </c>
      <c r="AI68" s="14">
        <v>15114</v>
      </c>
      <c r="AJ68" s="15">
        <f>IFERROR(AI68/F68,"")</f>
        <v>0.11092274158391863</v>
      </c>
      <c r="AK68" s="14">
        <v>333</v>
      </c>
      <c r="AL68" s="14">
        <v>375</v>
      </c>
      <c r="AM68" s="14">
        <v>387</v>
      </c>
      <c r="AN68" s="14">
        <v>1407</v>
      </c>
      <c r="AO68" s="14">
        <v>1014</v>
      </c>
      <c r="AP68" s="18">
        <v>1.8</v>
      </c>
      <c r="AQ68" s="19">
        <f>IFERROR(AL68*1000/AZ68,"")</f>
        <v>30.105973025048169</v>
      </c>
      <c r="AR68" s="14">
        <v>719</v>
      </c>
      <c r="AS68" s="14">
        <v>249</v>
      </c>
      <c r="AT68" s="14">
        <v>251</v>
      </c>
      <c r="AU68" s="14">
        <v>104</v>
      </c>
      <c r="AV68" s="14">
        <v>115</v>
      </c>
      <c r="AW68" s="15">
        <f>IFERROR(AS68/AR68,"")</f>
        <v>0.34631432545201668</v>
      </c>
      <c r="AX68" s="14">
        <v>4</v>
      </c>
      <c r="AY68" s="14">
        <v>6</v>
      </c>
      <c r="AZ68" s="14">
        <v>12456</v>
      </c>
      <c r="BA68" s="20">
        <v>1422.268</v>
      </c>
      <c r="BB68" s="20">
        <v>8.76</v>
      </c>
      <c r="BC68" s="21">
        <v>0.59099999999999997</v>
      </c>
      <c r="BD68" s="18">
        <v>55</v>
      </c>
      <c r="BE68" s="18">
        <v>98.07</v>
      </c>
      <c r="BF68" s="18">
        <v>5.2</v>
      </c>
      <c r="BG68" s="18">
        <v>4.8</v>
      </c>
      <c r="BH68" s="18">
        <v>47.76</v>
      </c>
      <c r="BI68" s="14">
        <v>1407</v>
      </c>
      <c r="BJ68" s="18">
        <v>1.8</v>
      </c>
      <c r="BK68" s="15">
        <f>IFERROR(BI68/AZ68,"")</f>
        <v>0.11295761078998073</v>
      </c>
      <c r="BL68" s="22">
        <f>IFERROR(AI68+K68+S68+AA68-F68,"")</f>
        <v>0</v>
      </c>
      <c r="BM68" s="22">
        <f>IFERROR(F68+G68-C68,"")</f>
        <v>0</v>
      </c>
      <c r="BN68" s="22">
        <f>IF(I68="","",IFERROR(C68*1000/H68-I68,""))</f>
        <v>-1.9539295393769862E-2</v>
      </c>
    </row>
    <row r="69" spans="1:66">
      <c r="A69" s="13" t="s">
        <v>233</v>
      </c>
      <c r="B69" s="13" t="s">
        <v>234</v>
      </c>
      <c r="C69" s="14">
        <v>141992</v>
      </c>
      <c r="D69" s="14">
        <v>173700</v>
      </c>
      <c r="E69" s="14">
        <v>195828</v>
      </c>
      <c r="F69" s="14">
        <v>130775</v>
      </c>
      <c r="G69" s="14">
        <v>11217</v>
      </c>
      <c r="H69" s="14">
        <v>11106</v>
      </c>
      <c r="I69" s="14">
        <v>12785.15</v>
      </c>
      <c r="J69" s="14">
        <v>18479.580000000002</v>
      </c>
      <c r="K69" s="14">
        <v>8762</v>
      </c>
      <c r="L69" s="15">
        <f>IFERROR(K69/F69,"")</f>
        <v>6.7000573504110109E-2</v>
      </c>
      <c r="M69" s="16">
        <f>IFERROR(K69*1000/H69,"")</f>
        <v>788.94291374032059</v>
      </c>
      <c r="N69" s="17">
        <f>IF(L69="","",RANK(L69,$L$3:$L$168,0)+COUNTIF($L$3:L69,L69)-1)</f>
        <v>72</v>
      </c>
      <c r="O69" s="17">
        <f>IF(K69="","",RANK(K69,$K$3:$K$168,0)+COUNTIF($K$3:K69,K69)-1)</f>
        <v>71</v>
      </c>
      <c r="P69" s="14">
        <v>218</v>
      </c>
      <c r="Q69" s="15">
        <f>IFERROR(P69/AR69,"")</f>
        <v>0.22684703433922998</v>
      </c>
      <c r="R69" s="16">
        <v>18</v>
      </c>
      <c r="S69" s="14">
        <v>41690</v>
      </c>
      <c r="T69" s="15">
        <f>IFERROR(S69/F69,"")</f>
        <v>0.31879181800802908</v>
      </c>
      <c r="U69" s="16">
        <f>IFERROR(S69*1000/H69,"")</f>
        <v>3753.8267603097424</v>
      </c>
      <c r="V69" s="17">
        <f>IF(T69="","",RANK(T69,$T$3:$T$168,0)+COUNTIF($T$3:T69,T69)-1)</f>
        <v>48</v>
      </c>
      <c r="W69" s="17">
        <f>IF(S69="","",RANK(S69,$S$3:$S$168,0)+COUNTIF($S$3:S69,S69)-1)</f>
        <v>59</v>
      </c>
      <c r="X69" s="14">
        <v>272</v>
      </c>
      <c r="Y69" s="14">
        <v>452</v>
      </c>
      <c r="Z69" s="15">
        <f>IFERROR((X69+Y69)/AR69,"")</f>
        <v>0.75338189386056187</v>
      </c>
      <c r="AA69" s="14">
        <v>63154</v>
      </c>
      <c r="AB69" s="15">
        <f>IFERROR(AA69/F69,"")</f>
        <v>0.48292104760084115</v>
      </c>
      <c r="AC69" s="16">
        <f>IFERROR(AA69*1000/H69,"")</f>
        <v>5686.4757788582747</v>
      </c>
      <c r="AD69" s="17">
        <f>IF(AB69="","",RANK(AB69,$AB$3:$AB$168,0)+COUNTIF($AB$3:AB69,AB69)-1)</f>
        <v>94</v>
      </c>
      <c r="AE69" s="17">
        <f>IF(AA69="","",RANK(AA69,$AA$3:$AA$168,0)+COUNTIF($AA$3:AA69,AA69)-1)</f>
        <v>69</v>
      </c>
      <c r="AF69" s="18">
        <v>84.68</v>
      </c>
      <c r="AG69" s="14">
        <v>67718543.040000007</v>
      </c>
      <c r="AH69" s="16">
        <f>IFERROR(AG69/AZ69,"")</f>
        <v>6390.3503859582906</v>
      </c>
      <c r="AI69" s="14">
        <v>17169</v>
      </c>
      <c r="AJ69" s="15">
        <f>IFERROR(AI69/F69,"")</f>
        <v>0.13128656088701968</v>
      </c>
      <c r="AK69" s="14">
        <v>261</v>
      </c>
      <c r="AL69" s="14">
        <v>301</v>
      </c>
      <c r="AM69" s="14">
        <v>313</v>
      </c>
      <c r="AN69" s="14">
        <v>1596</v>
      </c>
      <c r="AO69" s="14">
        <v>1316</v>
      </c>
      <c r="AP69" s="18">
        <v>1.5</v>
      </c>
      <c r="AQ69" s="19">
        <f>IFERROR(AL69*1000/AZ69,"")</f>
        <v>28.404265358120224</v>
      </c>
      <c r="AR69" s="14">
        <v>961</v>
      </c>
      <c r="AS69" s="14">
        <v>582</v>
      </c>
      <c r="AT69" s="14">
        <v>256</v>
      </c>
      <c r="AU69" s="14">
        <v>28</v>
      </c>
      <c r="AV69" s="14">
        <v>95</v>
      </c>
      <c r="AW69" s="15">
        <f>IFERROR(AS69/AR69,"")</f>
        <v>0.60561914672216444</v>
      </c>
      <c r="AX69" s="14">
        <v>12</v>
      </c>
      <c r="AY69" s="14">
        <v>7</v>
      </c>
      <c r="AZ69" s="14">
        <v>10597</v>
      </c>
      <c r="BA69" s="20">
        <v>608.46600000000001</v>
      </c>
      <c r="BB69" s="20">
        <v>17.420000000000002</v>
      </c>
      <c r="BC69" s="21">
        <v>0.67900000000000005</v>
      </c>
      <c r="BD69" s="18">
        <v>43.5</v>
      </c>
      <c r="BE69" s="18">
        <v>100</v>
      </c>
      <c r="BF69" s="18">
        <v>6.4</v>
      </c>
      <c r="BG69" s="18">
        <v>4.8</v>
      </c>
      <c r="BH69" s="18">
        <v>83.87</v>
      </c>
      <c r="BI69" s="14">
        <v>1596</v>
      </c>
      <c r="BJ69" s="18">
        <v>1.5</v>
      </c>
      <c r="BK69" s="15">
        <f>IFERROR(BI69/AZ69,"")</f>
        <v>0.15060866282910257</v>
      </c>
      <c r="BL69" s="22">
        <f>IFERROR(AI69+K69+S69+AA69-F69,"")</f>
        <v>0</v>
      </c>
      <c r="BM69" s="22">
        <f>IFERROR(F69+G69-C69,"")</f>
        <v>0</v>
      </c>
      <c r="BN69" s="22">
        <f>IF(I69="","",IFERROR(C69*1000/H69-I69,""))</f>
        <v>1.1174140105140395E-2</v>
      </c>
    </row>
    <row r="70" spans="1:66">
      <c r="A70" s="13" t="s">
        <v>235</v>
      </c>
      <c r="B70" s="13" t="s">
        <v>236</v>
      </c>
      <c r="C70" s="14">
        <v>140718</v>
      </c>
      <c r="D70" s="14">
        <v>157088</v>
      </c>
      <c r="E70" s="14">
        <v>168954</v>
      </c>
      <c r="F70" s="14">
        <v>133975</v>
      </c>
      <c r="G70" s="14">
        <v>6744</v>
      </c>
      <c r="H70" s="14">
        <v>14033</v>
      </c>
      <c r="I70" s="14">
        <v>10027.68</v>
      </c>
      <c r="J70" s="14">
        <v>14546.22</v>
      </c>
      <c r="K70" s="14">
        <v>2968</v>
      </c>
      <c r="L70" s="15">
        <f>IFERROR(K70/F70,"")</f>
        <v>2.2153386825900356E-2</v>
      </c>
      <c r="M70" s="16">
        <f>IFERROR(K70*1000/H70,"")</f>
        <v>211.5014608423003</v>
      </c>
      <c r="N70" s="17">
        <f>IF(L70="","",RANK(L70,$L$3:$L$168,0)+COUNTIF($L$3:L70,L70)-1)</f>
        <v>160</v>
      </c>
      <c r="O70" s="17">
        <f>IF(K70="","",RANK(K70,$K$3:$K$168,0)+COUNTIF($K$3:K70,K70)-1)</f>
        <v>118</v>
      </c>
      <c r="P70" s="14">
        <v>38</v>
      </c>
      <c r="Q70" s="15">
        <f>IFERROR(P70/AR70,"")</f>
        <v>0.11046511627906977</v>
      </c>
      <c r="R70" s="16">
        <v>6</v>
      </c>
      <c r="S70" s="14">
        <v>28023</v>
      </c>
      <c r="T70" s="15">
        <f>IFERROR(S70/F70,"")</f>
        <v>0.20916588915842507</v>
      </c>
      <c r="U70" s="16">
        <f>IFERROR(S70*1000/H70,"")</f>
        <v>1996.9357941993871</v>
      </c>
      <c r="V70" s="17">
        <f>IF(T70="","",RANK(T70,$T$3:$T$168,0)+COUNTIF($T$3:T70,T70)-1)</f>
        <v>138</v>
      </c>
      <c r="W70" s="17">
        <f>IF(S70="","",RANK(S70,$S$3:$S$168,0)+COUNTIF($S$3:S70,S70)-1)</f>
        <v>79</v>
      </c>
      <c r="X70" s="14">
        <v>127</v>
      </c>
      <c r="Y70" s="14">
        <v>163</v>
      </c>
      <c r="Z70" s="15">
        <f>IFERROR((X70+Y70)/AR70,"")</f>
        <v>0.84302325581395354</v>
      </c>
      <c r="AA70" s="14">
        <v>86470</v>
      </c>
      <c r="AB70" s="15">
        <f>IFERROR(AA70/F70,"")</f>
        <v>0.64541892144056723</v>
      </c>
      <c r="AC70" s="16">
        <f>IFERROR(AA70*1000/H70,"")</f>
        <v>6161.9040832323808</v>
      </c>
      <c r="AD70" s="17">
        <f>IF(AB70="","",RANK(AB70,$AB$3:$AB$168,0)+COUNTIF($AB$3:AB70,AB70)-1)</f>
        <v>31</v>
      </c>
      <c r="AE70" s="17">
        <f>IF(AA70="","",RANK(AA70,$AA$3:$AA$168,0)+COUNTIF($AA$3:AA70,AA70)-1)</f>
        <v>41</v>
      </c>
      <c r="AF70" s="18">
        <v>93.25</v>
      </c>
      <c r="AG70" s="14">
        <v>99424651.180000007</v>
      </c>
      <c r="AH70" s="16">
        <f>IFERROR(AG70/AZ70,"")</f>
        <v>8560.021625484289</v>
      </c>
      <c r="AI70" s="14">
        <v>16513</v>
      </c>
      <c r="AJ70" s="15">
        <f>IFERROR(AI70/F70,"")</f>
        <v>0.12325433849598806</v>
      </c>
      <c r="AK70" s="14">
        <v>103</v>
      </c>
      <c r="AL70" s="14">
        <v>119</v>
      </c>
      <c r="AM70" s="14">
        <v>123</v>
      </c>
      <c r="AN70" s="14">
        <v>705</v>
      </c>
      <c r="AO70" s="14">
        <v>617</v>
      </c>
      <c r="AP70" s="18">
        <v>1.8</v>
      </c>
      <c r="AQ70" s="19">
        <f>IFERROR(AL70*1000/AZ70,"")</f>
        <v>10.245372363323289</v>
      </c>
      <c r="AR70" s="14">
        <v>344</v>
      </c>
      <c r="AS70" s="14">
        <v>171</v>
      </c>
      <c r="AT70" s="14">
        <v>75</v>
      </c>
      <c r="AU70" s="14">
        <v>12</v>
      </c>
      <c r="AV70" s="14">
        <v>86</v>
      </c>
      <c r="AW70" s="15">
        <f>IFERROR(AS70/AR70,"")</f>
        <v>0.49709302325581395</v>
      </c>
      <c r="AX70" s="14">
        <v>7</v>
      </c>
      <c r="AY70" s="14">
        <v>9</v>
      </c>
      <c r="AZ70" s="14">
        <v>11615</v>
      </c>
      <c r="BA70" s="20">
        <v>312.02800000000002</v>
      </c>
      <c r="BB70" s="20">
        <v>37.22</v>
      </c>
      <c r="BC70" s="21">
        <v>0.55000000000000004</v>
      </c>
      <c r="BD70" s="18">
        <v>53.3</v>
      </c>
      <c r="BE70" s="18">
        <v>98.46</v>
      </c>
      <c r="BF70" s="18">
        <v>4.0999999999999996</v>
      </c>
      <c r="BG70" s="18">
        <v>3.8</v>
      </c>
      <c r="BH70" s="18">
        <v>12.58</v>
      </c>
      <c r="BI70" s="14">
        <v>705</v>
      </c>
      <c r="BJ70" s="18">
        <v>1.8</v>
      </c>
      <c r="BK70" s="15">
        <f>IFERROR(BI70/AZ70,"")</f>
        <v>6.0697374085234609E-2</v>
      </c>
      <c r="BL70" s="22">
        <f>IFERROR(AI70+K70+S70+AA70-F70,"")</f>
        <v>-1</v>
      </c>
      <c r="BM70" s="22">
        <f>IFERROR(F70+G70-C70,"")</f>
        <v>1</v>
      </c>
      <c r="BN70" s="22">
        <f>IF(I70="","",IFERROR(C70*1000/H70-I70,""))</f>
        <v>-3.0887194470778923E-2</v>
      </c>
    </row>
    <row r="71" spans="1:66">
      <c r="A71" s="13" t="s">
        <v>237</v>
      </c>
      <c r="B71" s="13" t="s">
        <v>238</v>
      </c>
      <c r="C71" s="14">
        <v>140410</v>
      </c>
      <c r="D71" s="14">
        <v>171108</v>
      </c>
      <c r="E71" s="14">
        <v>225342</v>
      </c>
      <c r="F71" s="14">
        <v>129026</v>
      </c>
      <c r="G71" s="14">
        <v>11384</v>
      </c>
      <c r="H71" s="14">
        <v>11182</v>
      </c>
      <c r="I71" s="14">
        <v>12556.79</v>
      </c>
      <c r="J71" s="14">
        <v>20485.650000000001</v>
      </c>
      <c r="K71" s="14">
        <v>5741</v>
      </c>
      <c r="L71" s="15">
        <f>IFERROR(K71/F71,"")</f>
        <v>4.4494908003038146E-2</v>
      </c>
      <c r="M71" s="16">
        <f>IFERROR(K71*1000/H71,"")</f>
        <v>513.41441602575571</v>
      </c>
      <c r="N71" s="17">
        <f>IF(L71="","",RANK(L71,$L$3:$L$168,0)+COUNTIF($L$3:L71,L71)-1)</f>
        <v>102</v>
      </c>
      <c r="O71" s="17">
        <f>IF(K71="","",RANK(K71,$K$3:$K$168,0)+COUNTIF($K$3:K71,K71)-1)</f>
        <v>87</v>
      </c>
      <c r="P71" s="14">
        <v>110</v>
      </c>
      <c r="Q71" s="15">
        <f>IFERROR(P71/AR71,"")</f>
        <v>0.15691868758915833</v>
      </c>
      <c r="R71" s="16">
        <v>14</v>
      </c>
      <c r="S71" s="14">
        <v>31221</v>
      </c>
      <c r="T71" s="15">
        <f>IFERROR(S71/F71,"")</f>
        <v>0.24197448576255948</v>
      </c>
      <c r="U71" s="16">
        <f>IFERROR(S71*1000/H71,"")</f>
        <v>2792.0765516007868</v>
      </c>
      <c r="V71" s="17">
        <f>IF(T71="","",RANK(T71,$T$3:$T$168,0)+COUNTIF($T$3:T71,T71)-1)</f>
        <v>101</v>
      </c>
      <c r="W71" s="17">
        <f>IF(S71="","",RANK(S71,$S$3:$S$168,0)+COUNTIF($S$3:S71,S71)-1)</f>
        <v>74</v>
      </c>
      <c r="X71" s="14">
        <v>286</v>
      </c>
      <c r="Y71" s="14">
        <v>292</v>
      </c>
      <c r="Z71" s="15">
        <f>IFERROR((X71+Y71)/AR71,"")</f>
        <v>0.82453637660485024</v>
      </c>
      <c r="AA71" s="14">
        <v>69139</v>
      </c>
      <c r="AB71" s="15">
        <f>IFERROR(AA71/F71,"")</f>
        <v>0.5358532388820858</v>
      </c>
      <c r="AC71" s="16">
        <f>IFERROR(AA71*1000/H71,"")</f>
        <v>6183.0620640314792</v>
      </c>
      <c r="AD71" s="17">
        <f>IF(AB71="","",RANK(AB71,$AB$3:$AB$168,0)+COUNTIF($AB$3:AB71,AB71)-1)</f>
        <v>76</v>
      </c>
      <c r="AE71" s="17">
        <f>IF(AA71="","",RANK(AA71,$AA$3:$AA$168,0)+COUNTIF($AA$3:AA71,AA71)-1)</f>
        <v>62</v>
      </c>
      <c r="AF71" s="18">
        <v>92.25</v>
      </c>
      <c r="AG71" s="14">
        <v>70205587.569999993</v>
      </c>
      <c r="AH71" s="16">
        <f>IFERROR(AG71/AZ71,"")</f>
        <v>6382.3261427272719</v>
      </c>
      <c r="AI71" s="14">
        <v>22925</v>
      </c>
      <c r="AJ71" s="15">
        <f>IFERROR(AI71/F71,"")</f>
        <v>0.1776773673523166</v>
      </c>
      <c r="AK71" s="14">
        <v>231</v>
      </c>
      <c r="AL71" s="14">
        <v>244</v>
      </c>
      <c r="AM71" s="14">
        <v>254</v>
      </c>
      <c r="AN71" s="14">
        <v>985</v>
      </c>
      <c r="AO71" s="14">
        <v>738</v>
      </c>
      <c r="AP71" s="18">
        <v>2.1</v>
      </c>
      <c r="AQ71" s="19">
        <f>IFERROR(AL71*1000/AZ71,"")</f>
        <v>22.181818181818183</v>
      </c>
      <c r="AR71" s="14">
        <v>701</v>
      </c>
      <c r="AS71" s="14">
        <v>375</v>
      </c>
      <c r="AT71" s="14">
        <v>215</v>
      </c>
      <c r="AU71" s="14">
        <v>19</v>
      </c>
      <c r="AV71" s="14">
        <v>92</v>
      </c>
      <c r="AW71" s="15">
        <f>IFERROR(AS71/AR71,"")</f>
        <v>0.53495007132667616</v>
      </c>
      <c r="AX71" s="14">
        <v>7</v>
      </c>
      <c r="AY71" s="14">
        <v>6</v>
      </c>
      <c r="AZ71" s="14">
        <v>11000</v>
      </c>
      <c r="BA71" s="20">
        <v>393.57299999999998</v>
      </c>
      <c r="BB71" s="20">
        <v>27.95</v>
      </c>
      <c r="BC71" s="21">
        <v>0.60699999999999998</v>
      </c>
      <c r="BD71" s="18">
        <v>51.2</v>
      </c>
      <c r="BE71" s="18">
        <v>100</v>
      </c>
      <c r="BF71" s="18">
        <v>5.2</v>
      </c>
      <c r="BG71" s="18">
        <v>4.5999999999999996</v>
      </c>
      <c r="BH71" s="18">
        <v>22.83</v>
      </c>
      <c r="BI71" s="14">
        <v>985</v>
      </c>
      <c r="BJ71" s="18">
        <v>2.1</v>
      </c>
      <c r="BK71" s="15">
        <f>IFERROR(BI71/AZ71,"")</f>
        <v>8.9545454545454539E-2</v>
      </c>
      <c r="BL71" s="22">
        <f>IFERROR(AI71+K71+S71+AA71-F71,"")</f>
        <v>0</v>
      </c>
      <c r="BM71" s="22">
        <f>IFERROR(F71+G71-C71,"")</f>
        <v>0</v>
      </c>
      <c r="BN71" s="22">
        <f>IF(I71="","",IFERROR(C71*1000/H71-I71,""))</f>
        <v>-2.3054909688653424E-3</v>
      </c>
    </row>
    <row r="72" spans="1:66">
      <c r="A72" s="13" t="s">
        <v>239</v>
      </c>
      <c r="B72" s="13" t="s">
        <v>240</v>
      </c>
      <c r="C72" s="14">
        <v>139463</v>
      </c>
      <c r="D72" s="14">
        <v>165970</v>
      </c>
      <c r="E72" s="14">
        <v>168163</v>
      </c>
      <c r="F72" s="14">
        <v>128823</v>
      </c>
      <c r="G72" s="14">
        <v>10640</v>
      </c>
      <c r="H72" s="14">
        <v>12873</v>
      </c>
      <c r="I72" s="14">
        <v>10833.8</v>
      </c>
      <c r="J72" s="14">
        <v>13781.63</v>
      </c>
      <c r="K72" s="14">
        <v>5022</v>
      </c>
      <c r="L72" s="15">
        <f>IFERROR(K72/F72,"")</f>
        <v>3.8983721850911715E-2</v>
      </c>
      <c r="M72" s="16">
        <f>IFERROR(K72*1000/H72,"")</f>
        <v>390.11885341412255</v>
      </c>
      <c r="N72" s="17">
        <f>IF(L72="","",RANK(L72,$L$3:$L$168,0)+COUNTIF($L$3:L72,L72)-1)</f>
        <v>128</v>
      </c>
      <c r="O72" s="17">
        <f>IF(K72="","",RANK(K72,$K$3:$K$168,0)+COUNTIF($K$3:K72,K72)-1)</f>
        <v>94</v>
      </c>
      <c r="P72" s="14">
        <v>149</v>
      </c>
      <c r="Q72" s="15">
        <f>IFERROR(P72/AR72,"")</f>
        <v>0.17185697808535177</v>
      </c>
      <c r="R72" s="16">
        <v>8</v>
      </c>
      <c r="S72" s="14">
        <v>45048</v>
      </c>
      <c r="T72" s="15">
        <f>IFERROR(S72/F72,"")</f>
        <v>0.34968910831140404</v>
      </c>
      <c r="U72" s="16">
        <f>IFERROR(S72*1000/H72,"")</f>
        <v>3499.4173852248891</v>
      </c>
      <c r="V72" s="17">
        <f>IF(T72="","",RANK(T72,$T$3:$T$168,0)+COUNTIF($T$3:T72,T72)-1)</f>
        <v>38</v>
      </c>
      <c r="W72" s="17">
        <f>IF(S72="","",RANK(S72,$S$3:$S$168,0)+COUNTIF($S$3:S72,S72)-1)</f>
        <v>53</v>
      </c>
      <c r="X72" s="14">
        <v>316</v>
      </c>
      <c r="Y72" s="14">
        <v>391</v>
      </c>
      <c r="Z72" s="15">
        <f>IFERROR((X72+Y72)/AR72,"")</f>
        <v>0.81545559400230683</v>
      </c>
      <c r="AA72" s="14">
        <v>74582</v>
      </c>
      <c r="AB72" s="15">
        <f>IFERROR(AA72/F72,"")</f>
        <v>0.578949411207626</v>
      </c>
      <c r="AC72" s="16">
        <f>IFERROR(AA72*1000/H72,"")</f>
        <v>5793.6766876407983</v>
      </c>
      <c r="AD72" s="17">
        <f>IF(AB72="","",RANK(AB72,$AB$3:$AB$168,0)+COUNTIF($AB$3:AB72,AB72)-1)</f>
        <v>65</v>
      </c>
      <c r="AE72" s="17">
        <f>IF(AA72="","",RANK(AA72,$AA$3:$AA$168,0)+COUNTIF($AA$3:AA72,AA72)-1)</f>
        <v>53</v>
      </c>
      <c r="AF72" s="18">
        <v>93.9</v>
      </c>
      <c r="AG72" s="14">
        <v>68314727.010000005</v>
      </c>
      <c r="AH72" s="16">
        <f>IFERROR(AG72/AZ72,"")</f>
        <v>5598.6499762334051</v>
      </c>
      <c r="AI72" s="14">
        <v>4170</v>
      </c>
      <c r="AJ72" s="15">
        <f>IFERROR(AI72/F72,"")</f>
        <v>3.2369996041079624E-2</v>
      </c>
      <c r="AK72" s="14">
        <v>217</v>
      </c>
      <c r="AL72" s="14">
        <v>235</v>
      </c>
      <c r="AM72" s="14">
        <v>245</v>
      </c>
      <c r="AN72" s="14">
        <v>1298</v>
      </c>
      <c r="AO72" s="14">
        <v>1093</v>
      </c>
      <c r="AP72" s="18">
        <v>1.3</v>
      </c>
      <c r="AQ72" s="19">
        <f>IFERROR(AL72*1000/AZ72,"")</f>
        <v>19.259137846254713</v>
      </c>
      <c r="AR72" s="14">
        <v>867</v>
      </c>
      <c r="AS72" s="14">
        <v>564</v>
      </c>
      <c r="AT72" s="14">
        <v>209</v>
      </c>
      <c r="AU72" s="14">
        <v>12</v>
      </c>
      <c r="AV72" s="14">
        <v>82</v>
      </c>
      <c r="AW72" s="15">
        <f>IFERROR(AS72/AR72,"")</f>
        <v>0.65051903114186849</v>
      </c>
      <c r="AX72" s="14">
        <v>6</v>
      </c>
      <c r="AY72" s="14">
        <v>5</v>
      </c>
      <c r="AZ72" s="14">
        <v>12202</v>
      </c>
      <c r="BA72" s="20">
        <v>61.558999999999997</v>
      </c>
      <c r="BB72" s="20">
        <v>198.22</v>
      </c>
      <c r="BC72" s="21">
        <v>0.59199999999999997</v>
      </c>
      <c r="BD72" s="18">
        <v>46.2</v>
      </c>
      <c r="BE72" s="18">
        <v>99.75</v>
      </c>
      <c r="BF72" s="18">
        <v>5.0999999999999996</v>
      </c>
      <c r="BG72" s="18">
        <v>4.2</v>
      </c>
      <c r="BH72" s="18">
        <v>27</v>
      </c>
      <c r="BI72" s="14">
        <v>1298</v>
      </c>
      <c r="BJ72" s="18">
        <v>1.3</v>
      </c>
      <c r="BK72" s="15">
        <f>IFERROR(BI72/AZ72,"")</f>
        <v>0.10637600393378134</v>
      </c>
      <c r="BL72" s="22">
        <f>IFERROR(AI72+K72+S72+AA72-F72,"")</f>
        <v>-1</v>
      </c>
      <c r="BM72" s="22">
        <f>IFERROR(F72+G72-C72,"")</f>
        <v>0</v>
      </c>
      <c r="BN72" s="22">
        <f>IF(I72="","",IFERROR(C72*1000/H72-I72,""))</f>
        <v>-3.9415831584847183E-2</v>
      </c>
    </row>
    <row r="73" spans="1:66">
      <c r="A73" s="13" t="s">
        <v>241</v>
      </c>
      <c r="B73" s="13" t="s">
        <v>242</v>
      </c>
      <c r="C73" s="14">
        <v>138262</v>
      </c>
      <c r="D73" s="14">
        <v>193263</v>
      </c>
      <c r="E73" s="14">
        <v>160921</v>
      </c>
      <c r="F73" s="14">
        <v>132004</v>
      </c>
      <c r="G73" s="14">
        <v>6258</v>
      </c>
      <c r="H73" s="14">
        <v>11024</v>
      </c>
      <c r="I73" s="14">
        <v>12541.91</v>
      </c>
      <c r="J73" s="14">
        <v>14846.49</v>
      </c>
      <c r="K73" s="14">
        <v>21455</v>
      </c>
      <c r="L73" s="15">
        <f>IFERROR(K73/F73,"")</f>
        <v>0.16253295354686223</v>
      </c>
      <c r="M73" s="16">
        <f>IFERROR(K73*1000/H73,"")</f>
        <v>1946.2082728592163</v>
      </c>
      <c r="N73" s="17">
        <f>IF(L73="","",RANK(L73,$L$3:$L$168,0)+COUNTIF($L$3:L73,L73)-1)</f>
        <v>42</v>
      </c>
      <c r="O73" s="17">
        <f>IF(K73="","",RANK(K73,$K$3:$K$168,0)+COUNTIF($K$3:K73,K73)-1)</f>
        <v>54</v>
      </c>
      <c r="P73" s="14">
        <v>56</v>
      </c>
      <c r="Q73" s="15">
        <f>IFERROR(P73/AR73,"")</f>
        <v>0.10831721470019343</v>
      </c>
      <c r="R73" s="16">
        <v>12</v>
      </c>
      <c r="S73" s="14">
        <v>28612</v>
      </c>
      <c r="T73" s="15">
        <f>IFERROR(S73/F73,"")</f>
        <v>0.21675100754522592</v>
      </c>
      <c r="U73" s="16">
        <f>IFERROR(S73*1000/H73,"")</f>
        <v>2595.4281567489115</v>
      </c>
      <c r="V73" s="17">
        <f>IF(T73="","",RANK(T73,$T$3:$T$168,0)+COUNTIF($T$3:T73,T73)-1)</f>
        <v>132</v>
      </c>
      <c r="W73" s="17">
        <f>IF(S73="","",RANK(S73,$S$3:$S$168,0)+COUNTIF($S$3:S73,S73)-1)</f>
        <v>78</v>
      </c>
      <c r="X73" s="14">
        <v>174</v>
      </c>
      <c r="Y73" s="14">
        <v>259</v>
      </c>
      <c r="Z73" s="15">
        <f>IFERROR((X73+Y73)/AR73,"")</f>
        <v>0.8375241779497099</v>
      </c>
      <c r="AA73" s="14">
        <v>73059</v>
      </c>
      <c r="AB73" s="15">
        <f>IFERROR(AA73/F73,"")</f>
        <v>0.55346050119693346</v>
      </c>
      <c r="AC73" s="16">
        <f>IFERROR(AA73*1000/H73,"")</f>
        <v>6627.2677793904213</v>
      </c>
      <c r="AD73" s="17">
        <f>IF(AB73="","",RANK(AB73,$AB$3:$AB$168,0)+COUNTIF($AB$3:AB73,AB73)-1)</f>
        <v>73</v>
      </c>
      <c r="AE73" s="17">
        <f>IF(AA73="","",RANK(AA73,$AA$3:$AA$168,0)+COUNTIF($AA$3:AA73,AA73)-1)</f>
        <v>55</v>
      </c>
      <c r="AF73" s="18">
        <v>94.97</v>
      </c>
      <c r="AG73" s="14">
        <v>73580851.689999998</v>
      </c>
      <c r="AH73" s="16">
        <f>IFERROR(AG73/AZ73,"")</f>
        <v>6788.5276953593502</v>
      </c>
      <c r="AI73" s="14">
        <v>8878</v>
      </c>
      <c r="AJ73" s="15">
        <f>IFERROR(AI73/F73,"")</f>
        <v>6.7255537710978461E-2</v>
      </c>
      <c r="AK73" s="14">
        <v>195</v>
      </c>
      <c r="AL73" s="14">
        <v>208</v>
      </c>
      <c r="AM73" s="14">
        <v>211</v>
      </c>
      <c r="AN73" s="14">
        <v>1042</v>
      </c>
      <c r="AO73" s="14">
        <v>858</v>
      </c>
      <c r="AP73" s="18">
        <v>1.5</v>
      </c>
      <c r="AQ73" s="19">
        <f>IFERROR(AL73*1000/AZ73,"")</f>
        <v>19.189962173632253</v>
      </c>
      <c r="AR73" s="14">
        <v>517</v>
      </c>
      <c r="AS73" s="14">
        <v>242</v>
      </c>
      <c r="AT73" s="14">
        <v>165</v>
      </c>
      <c r="AU73" s="14">
        <v>14</v>
      </c>
      <c r="AV73" s="14">
        <v>96</v>
      </c>
      <c r="AW73" s="15">
        <f>IFERROR(AS73/AR73,"")</f>
        <v>0.46808510638297873</v>
      </c>
      <c r="AX73" s="14">
        <v>17</v>
      </c>
      <c r="AY73" s="14">
        <v>11</v>
      </c>
      <c r="AZ73" s="14">
        <v>10839</v>
      </c>
      <c r="BA73" s="20">
        <v>576.17899999999997</v>
      </c>
      <c r="BB73" s="20">
        <v>18.809999999999999</v>
      </c>
      <c r="BC73" s="21">
        <v>0.58499999999999996</v>
      </c>
      <c r="BD73" s="18">
        <v>51.5</v>
      </c>
      <c r="BE73" s="18">
        <v>99.07</v>
      </c>
      <c r="BF73" s="18">
        <v>4.5</v>
      </c>
      <c r="BG73" s="18">
        <v>4.2</v>
      </c>
      <c r="BH73" s="18">
        <v>36.299999999999997</v>
      </c>
      <c r="BI73" s="14">
        <v>1042</v>
      </c>
      <c r="BJ73" s="18">
        <v>1.5</v>
      </c>
      <c r="BK73" s="15">
        <f>IFERROR(BI73/AZ73,"")</f>
        <v>9.6134329735215421E-2</v>
      </c>
      <c r="BL73" s="22">
        <f>IFERROR(AI73+K73+S73+AA73-F73,"")</f>
        <v>0</v>
      </c>
      <c r="BM73" s="22">
        <f>IFERROR(F73+G73-C73,"")</f>
        <v>0</v>
      </c>
      <c r="BN73" s="22">
        <f>IF(I73="","",IFERROR(C73*1000/H73-I73,""))</f>
        <v>-1.4368650208780309E-3</v>
      </c>
    </row>
    <row r="74" spans="1:66">
      <c r="A74" s="13" t="s">
        <v>243</v>
      </c>
      <c r="B74" s="13" t="s">
        <v>244</v>
      </c>
      <c r="C74" s="14">
        <v>134892</v>
      </c>
      <c r="D74" s="14">
        <v>145542</v>
      </c>
      <c r="E74" s="14">
        <v>165454</v>
      </c>
      <c r="F74" s="14">
        <v>127113</v>
      </c>
      <c r="G74" s="14">
        <v>7779</v>
      </c>
      <c r="H74" s="14">
        <v>12714</v>
      </c>
      <c r="I74" s="14">
        <v>10609.73</v>
      </c>
      <c r="J74" s="14">
        <v>16133.95</v>
      </c>
      <c r="K74" s="14">
        <v>5242</v>
      </c>
      <c r="L74" s="15">
        <f>IFERROR(K74/F74,"")</f>
        <v>4.1238897673723379E-2</v>
      </c>
      <c r="M74" s="16">
        <f>IFERROR(K74*1000/H74,"")</f>
        <v>412.30140003146136</v>
      </c>
      <c r="N74" s="17">
        <f>IF(L74="","",RANK(L74,$L$3:$L$168,0)+COUNTIF($L$3:L74,L74)-1)</f>
        <v>116</v>
      </c>
      <c r="O74" s="17">
        <f>IF(K74="","",RANK(K74,$K$3:$K$168,0)+COUNTIF($K$3:K74,K74)-1)</f>
        <v>90</v>
      </c>
      <c r="P74" s="14">
        <v>54</v>
      </c>
      <c r="Q74" s="15">
        <f>IFERROR(P74/AR74,"")</f>
        <v>9.6774193548387094E-2</v>
      </c>
      <c r="R74" s="16">
        <v>3</v>
      </c>
      <c r="S74" s="14">
        <v>32076</v>
      </c>
      <c r="T74" s="15">
        <f>IFERROR(S74/F74,"")</f>
        <v>0.25234240400273772</v>
      </c>
      <c r="U74" s="16">
        <f>IFERROR(S74*1000/H74,"")</f>
        <v>2522.8881547899955</v>
      </c>
      <c r="V74" s="17">
        <f>IF(T74="","",RANK(T74,$T$3:$T$168,0)+COUNTIF($T$3:T74,T74)-1)</f>
        <v>91</v>
      </c>
      <c r="W74" s="17">
        <f>IF(S74="","",RANK(S74,$S$3:$S$168,0)+COUNTIF($S$3:S74,S74)-1)</f>
        <v>72</v>
      </c>
      <c r="X74" s="14">
        <v>174</v>
      </c>
      <c r="Y74" s="14">
        <v>302</v>
      </c>
      <c r="Z74" s="15">
        <f>IFERROR((X74+Y74)/AR74,"")</f>
        <v>0.8530465949820788</v>
      </c>
      <c r="AA74" s="14">
        <v>74779</v>
      </c>
      <c r="AB74" s="15">
        <f>IFERROR(AA74/F74,"")</f>
        <v>0.58828758663551328</v>
      </c>
      <c r="AC74" s="16">
        <f>IFERROR(AA74*1000/H74,"")</f>
        <v>5881.6265534056947</v>
      </c>
      <c r="AD74" s="17">
        <f>IF(AB74="","",RANK(AB74,$AB$3:$AB$168,0)+COUNTIF($AB$3:AB74,AB74)-1)</f>
        <v>59</v>
      </c>
      <c r="AE74" s="17">
        <f>IF(AA74="","",RANK(AA74,$AA$3:$AA$168,0)+COUNTIF($AA$3:AA74,AA74)-1)</f>
        <v>52</v>
      </c>
      <c r="AF74" s="18">
        <v>86.8</v>
      </c>
      <c r="AG74" s="14">
        <v>72970201.260000005</v>
      </c>
      <c r="AH74" s="16">
        <f>IFERROR(AG74/AZ74,"")</f>
        <v>7115.5730141394451</v>
      </c>
      <c r="AI74" s="14">
        <v>15016</v>
      </c>
      <c r="AJ74" s="15">
        <f>IFERROR(AI74/F74,"")</f>
        <v>0.11813111168802562</v>
      </c>
      <c r="AK74" s="14">
        <v>199</v>
      </c>
      <c r="AL74" s="14">
        <v>229</v>
      </c>
      <c r="AM74" s="14">
        <v>230</v>
      </c>
      <c r="AN74" s="14">
        <v>934</v>
      </c>
      <c r="AO74" s="14">
        <v>710</v>
      </c>
      <c r="AP74" s="18">
        <v>1.7</v>
      </c>
      <c r="AQ74" s="19">
        <f>IFERROR(AL74*1000/AZ74,"")</f>
        <v>22.330570453437346</v>
      </c>
      <c r="AR74" s="14">
        <v>558</v>
      </c>
      <c r="AS74" s="14">
        <v>272</v>
      </c>
      <c r="AT74" s="14">
        <v>180</v>
      </c>
      <c r="AU74" s="14">
        <v>13</v>
      </c>
      <c r="AV74" s="14">
        <v>93</v>
      </c>
      <c r="AW74" s="15">
        <f>IFERROR(AS74/AR74,"")</f>
        <v>0.48745519713261648</v>
      </c>
      <c r="AX74" s="14">
        <v>20</v>
      </c>
      <c r="AY74" s="14">
        <v>8</v>
      </c>
      <c r="AZ74" s="14">
        <v>10255</v>
      </c>
      <c r="BA74" s="20">
        <v>132.12899999999999</v>
      </c>
      <c r="BB74" s="20">
        <v>77.61</v>
      </c>
      <c r="BC74" s="21">
        <v>0.60799999999999998</v>
      </c>
      <c r="BD74" s="18">
        <v>46.3</v>
      </c>
      <c r="BE74" s="18">
        <v>98.88</v>
      </c>
      <c r="BF74" s="18">
        <v>4.5</v>
      </c>
      <c r="BG74" s="18">
        <v>3.6</v>
      </c>
      <c r="BH74" s="18">
        <v>1.1000000000000001</v>
      </c>
      <c r="BI74" s="14">
        <v>934</v>
      </c>
      <c r="BJ74" s="18">
        <v>1.7</v>
      </c>
      <c r="BK74" s="15">
        <f>IFERROR(BI74/AZ74,"")</f>
        <v>9.1077523159434418E-2</v>
      </c>
      <c r="BL74" s="22">
        <f>IFERROR(AI74+K74+S74+AA74-F74,"")</f>
        <v>0</v>
      </c>
      <c r="BM74" s="22">
        <f>IFERROR(F74+G74-C74,"")</f>
        <v>0</v>
      </c>
      <c r="BN74" s="22">
        <f>IF(I74="","",IFERROR(C74*1000/H74-I74,""))</f>
        <v>-8.4332232181623112E-3</v>
      </c>
    </row>
    <row r="75" spans="1:66">
      <c r="A75" s="13" t="s">
        <v>245</v>
      </c>
      <c r="B75" s="13" t="s">
        <v>246</v>
      </c>
      <c r="C75" s="14">
        <v>133469</v>
      </c>
      <c r="D75" s="14">
        <v>149591</v>
      </c>
      <c r="E75" s="14">
        <v>167326</v>
      </c>
      <c r="F75" s="14">
        <v>124849</v>
      </c>
      <c r="G75" s="14">
        <v>8620</v>
      </c>
      <c r="H75" s="14">
        <v>12789</v>
      </c>
      <c r="I75" s="14">
        <v>10436.24</v>
      </c>
      <c r="J75" s="14">
        <v>15586.96</v>
      </c>
      <c r="K75" s="14">
        <v>6328</v>
      </c>
      <c r="L75" s="15">
        <f>IFERROR(K75/F75,"")</f>
        <v>5.0685227755128195E-2</v>
      </c>
      <c r="M75" s="16">
        <f>IFERROR(K75*1000/H75,"")</f>
        <v>494.80021893814995</v>
      </c>
      <c r="N75" s="17">
        <f>IF(L75="","",RANK(L75,$L$3:$L$168,0)+COUNTIF($L$3:L75,L75)-1)</f>
        <v>86</v>
      </c>
      <c r="O75" s="17">
        <f>IF(K75="","",RANK(K75,$K$3:$K$168,0)+COUNTIF($K$3:K75,K75)-1)</f>
        <v>83</v>
      </c>
      <c r="P75" s="14">
        <v>121</v>
      </c>
      <c r="Q75" s="15">
        <f>IFERROR(P75/AR75,"")</f>
        <v>0.17310443490701002</v>
      </c>
      <c r="R75" s="16">
        <v>14</v>
      </c>
      <c r="S75" s="14">
        <v>34880</v>
      </c>
      <c r="T75" s="15">
        <f>IFERROR(S75/F75,"")</f>
        <v>0.27937748800551065</v>
      </c>
      <c r="U75" s="16">
        <f>IFERROR(S75*1000/H75,"")</f>
        <v>2727.3438110876536</v>
      </c>
      <c r="V75" s="17">
        <f>IF(T75="","",RANK(T75,$T$3:$T$168,0)+COUNTIF($T$3:T75,T75)-1)</f>
        <v>68</v>
      </c>
      <c r="W75" s="17">
        <f>IF(S75="","",RANK(S75,$S$3:$S$168,0)+COUNTIF($S$3:S75,S75)-1)</f>
        <v>67</v>
      </c>
      <c r="X75" s="14">
        <v>260</v>
      </c>
      <c r="Y75" s="14">
        <v>299</v>
      </c>
      <c r="Z75" s="15">
        <f>IFERROR((X75+Y75)/AR75,"")</f>
        <v>0.79971387696709584</v>
      </c>
      <c r="AA75" s="14">
        <v>75508</v>
      </c>
      <c r="AB75" s="15">
        <f>IFERROR(AA75/F75,"")</f>
        <v>0.60479459186697526</v>
      </c>
      <c r="AC75" s="16">
        <f>IFERROR(AA75*1000/H75,"")</f>
        <v>5904.1363671905547</v>
      </c>
      <c r="AD75" s="17">
        <f>IF(AB75="","",RANK(AB75,$AB$3:$AB$168,0)+COUNTIF($AB$3:AB75,AB75)-1)</f>
        <v>49</v>
      </c>
      <c r="AE75" s="17">
        <f>IF(AA75="","",RANK(AA75,$AA$3:$AA$168,0)+COUNTIF($AA$3:AA75,AA75)-1)</f>
        <v>51</v>
      </c>
      <c r="AF75" s="18">
        <v>86.7</v>
      </c>
      <c r="AG75" s="14">
        <v>92786944.069999993</v>
      </c>
      <c r="AH75" s="16">
        <f>IFERROR(AG75/AZ75,"")</f>
        <v>8643.4041984163941</v>
      </c>
      <c r="AI75" s="14">
        <v>8133</v>
      </c>
      <c r="AJ75" s="15">
        <f>IFERROR(AI75/F75,"")</f>
        <v>6.5142692372385846E-2</v>
      </c>
      <c r="AK75" s="14">
        <v>200</v>
      </c>
      <c r="AL75" s="14">
        <v>242</v>
      </c>
      <c r="AM75" s="14">
        <v>253</v>
      </c>
      <c r="AN75" s="14">
        <v>969</v>
      </c>
      <c r="AO75" s="14">
        <v>739</v>
      </c>
      <c r="AP75" s="18">
        <v>2</v>
      </c>
      <c r="AQ75" s="19">
        <f>IFERROR(AL75*1000/AZ75,"")</f>
        <v>22.543083372147183</v>
      </c>
      <c r="AR75" s="14">
        <v>699</v>
      </c>
      <c r="AS75" s="14">
        <v>384</v>
      </c>
      <c r="AT75" s="14">
        <v>218</v>
      </c>
      <c r="AU75" s="14">
        <v>24</v>
      </c>
      <c r="AV75" s="14">
        <v>73</v>
      </c>
      <c r="AW75" s="15">
        <f>IFERROR(AS75/AR75,"")</f>
        <v>0.54935622317596566</v>
      </c>
      <c r="AX75" s="14">
        <v>12</v>
      </c>
      <c r="AY75" s="14">
        <v>7</v>
      </c>
      <c r="AZ75" s="14">
        <v>10735</v>
      </c>
      <c r="BA75" s="20">
        <v>84.126999999999995</v>
      </c>
      <c r="BB75" s="20">
        <v>127.6</v>
      </c>
      <c r="BC75" s="21">
        <v>0.58699999999999997</v>
      </c>
      <c r="BD75" s="18">
        <v>47.7</v>
      </c>
      <c r="BE75" s="18">
        <v>99.64</v>
      </c>
      <c r="BF75" s="18">
        <v>5.0999999999999996</v>
      </c>
      <c r="BG75" s="18">
        <v>4</v>
      </c>
      <c r="BH75" s="18">
        <v>2.34</v>
      </c>
      <c r="BI75" s="14">
        <v>969</v>
      </c>
      <c r="BJ75" s="18">
        <v>2</v>
      </c>
      <c r="BK75" s="15">
        <f>IFERROR(BI75/AZ75,"")</f>
        <v>9.0265486725663716E-2</v>
      </c>
      <c r="BL75" s="22">
        <f>IFERROR(AI75+K75+S75+AA75-F75,"")</f>
        <v>0</v>
      </c>
      <c r="BM75" s="22">
        <f>IFERROR(F75+G75-C75,"")</f>
        <v>0</v>
      </c>
      <c r="BN75" s="22">
        <f>IF(I75="","",IFERROR(C75*1000/H75-I75,""))</f>
        <v>-5.7361795297765639E-3</v>
      </c>
    </row>
    <row r="76" spans="1:66">
      <c r="A76" s="13" t="s">
        <v>247</v>
      </c>
      <c r="B76" s="13" t="s">
        <v>248</v>
      </c>
      <c r="C76" s="14">
        <v>131859</v>
      </c>
      <c r="D76" s="14">
        <v>143411</v>
      </c>
      <c r="E76" s="14">
        <v>161103</v>
      </c>
      <c r="F76" s="14">
        <v>127015</v>
      </c>
      <c r="G76" s="14">
        <v>4844</v>
      </c>
      <c r="H76" s="14">
        <v>15646</v>
      </c>
      <c r="I76" s="14">
        <v>8427.67</v>
      </c>
      <c r="J76" s="14">
        <v>13002.67</v>
      </c>
      <c r="K76" s="14">
        <v>5353</v>
      </c>
      <c r="L76" s="15">
        <f>IFERROR(K76/F76,"")</f>
        <v>4.2144628587174743E-2</v>
      </c>
      <c r="M76" s="16">
        <f>IFERROR(K76*1000/H76,"")</f>
        <v>342.1321743576633</v>
      </c>
      <c r="N76" s="17">
        <f>IF(L76="","",RANK(L76,$L$3:$L$168,0)+COUNTIF($L$3:L76,L76)-1)</f>
        <v>112</v>
      </c>
      <c r="O76" s="17">
        <f>IF(K76="","",RANK(K76,$K$3:$K$168,0)+COUNTIF($K$3:K76,K76)-1)</f>
        <v>89</v>
      </c>
      <c r="P76" s="14">
        <v>79</v>
      </c>
      <c r="Q76" s="15">
        <f>IFERROR(P76/AR76,"")</f>
        <v>0.16701902748414377</v>
      </c>
      <c r="R76" s="16">
        <v>7</v>
      </c>
      <c r="S76" s="14">
        <v>23998</v>
      </c>
      <c r="T76" s="15">
        <f>IFERROR(S76/F76,"")</f>
        <v>0.18893831437231823</v>
      </c>
      <c r="U76" s="16">
        <f>IFERROR(S76*1000/H76,"")</f>
        <v>1533.8105586092292</v>
      </c>
      <c r="V76" s="17">
        <f>IF(T76="","",RANK(T76,$T$3:$T$168,0)+COUNTIF($T$3:T76,T76)-1)</f>
        <v>149</v>
      </c>
      <c r="W76" s="17">
        <f>IF(S76="","",RANK(S76,$S$3:$S$168,0)+COUNTIF($S$3:S76,S76)-1)</f>
        <v>87</v>
      </c>
      <c r="X76" s="14">
        <v>168</v>
      </c>
      <c r="Y76" s="14">
        <v>212</v>
      </c>
      <c r="Z76" s="15">
        <f>IFERROR((X76+Y76)/AR76,"")</f>
        <v>0.80338266384778012</v>
      </c>
      <c r="AA76" s="14">
        <v>85973</v>
      </c>
      <c r="AB76" s="15">
        <f>IFERROR(AA76/F76,"")</f>
        <v>0.67687281029799629</v>
      </c>
      <c r="AC76" s="16">
        <f>IFERROR(AA76*1000/H76,"")</f>
        <v>5494.8868720439732</v>
      </c>
      <c r="AD76" s="17">
        <f>IF(AB76="","",RANK(AB76,$AB$3:$AB$168,0)+COUNTIF($AB$3:AB76,AB76)-1)</f>
        <v>18</v>
      </c>
      <c r="AE76" s="17">
        <f>IF(AA76="","",RANK(AA76,$AA$3:$AA$168,0)+COUNTIF($AA$3:AA76,AA76)-1)</f>
        <v>43</v>
      </c>
      <c r="AF76" s="18">
        <v>93.45</v>
      </c>
      <c r="AG76" s="14">
        <v>73690822.549999997</v>
      </c>
      <c r="AH76" s="16">
        <f>IFERROR(AG76/AZ76,"")</f>
        <v>5947.604725585149</v>
      </c>
      <c r="AI76" s="14">
        <v>11691</v>
      </c>
      <c r="AJ76" s="15">
        <f>IFERROR(AI76/F76,"")</f>
        <v>9.204424674251073E-2</v>
      </c>
      <c r="AK76" s="14">
        <v>117</v>
      </c>
      <c r="AL76" s="14">
        <v>148</v>
      </c>
      <c r="AM76" s="14">
        <v>152</v>
      </c>
      <c r="AN76" s="14">
        <v>673</v>
      </c>
      <c r="AO76" s="14">
        <v>549</v>
      </c>
      <c r="AP76" s="18">
        <v>2</v>
      </c>
      <c r="AQ76" s="19">
        <f>IFERROR(AL76*1000/AZ76,"")</f>
        <v>11.945117029862793</v>
      </c>
      <c r="AR76" s="14">
        <v>473</v>
      </c>
      <c r="AS76" s="14">
        <v>259</v>
      </c>
      <c r="AT76" s="14">
        <v>131</v>
      </c>
      <c r="AU76" s="14">
        <v>8</v>
      </c>
      <c r="AV76" s="14">
        <v>75</v>
      </c>
      <c r="AW76" s="15">
        <f>IFERROR(AS76/AR76,"")</f>
        <v>0.54756871035940802</v>
      </c>
      <c r="AX76" s="14">
        <v>8</v>
      </c>
      <c r="AY76" s="14">
        <v>6</v>
      </c>
      <c r="AZ76" s="14">
        <v>12390</v>
      </c>
      <c r="BA76" s="20">
        <v>230.40100000000001</v>
      </c>
      <c r="BB76" s="20">
        <v>53.78</v>
      </c>
      <c r="BC76" s="21">
        <v>0.58699999999999997</v>
      </c>
      <c r="BD76" s="18">
        <v>50.7</v>
      </c>
      <c r="BE76" s="18">
        <v>98.45</v>
      </c>
      <c r="BF76" s="18">
        <v>3.9</v>
      </c>
      <c r="BG76" s="18">
        <v>3.7</v>
      </c>
      <c r="BH76" s="18">
        <v>14.67</v>
      </c>
      <c r="BI76" s="14">
        <v>673</v>
      </c>
      <c r="BJ76" s="18">
        <v>2</v>
      </c>
      <c r="BK76" s="15">
        <f>IFERROR(BI76/AZ76,"")</f>
        <v>5.4317998385794999E-2</v>
      </c>
      <c r="BL76" s="22">
        <f>IFERROR(AI76+K76+S76+AA76-F76,"")</f>
        <v>0</v>
      </c>
      <c r="BM76" s="22">
        <f>IFERROR(F76+G76-C76,"")</f>
        <v>0</v>
      </c>
      <c r="BN76" s="22">
        <f>IF(I76="","",IFERROR(C76*1000/H76-I76,""))</f>
        <v>-2.0760577783221379E-2</v>
      </c>
    </row>
    <row r="77" spans="1:66">
      <c r="A77" s="13" t="s">
        <v>249</v>
      </c>
      <c r="B77" s="13" t="s">
        <v>250</v>
      </c>
      <c r="C77" s="14">
        <v>130282</v>
      </c>
      <c r="D77" s="14">
        <v>151806</v>
      </c>
      <c r="E77" s="14">
        <v>158962</v>
      </c>
      <c r="F77" s="14">
        <v>119450</v>
      </c>
      <c r="G77" s="14">
        <v>10832</v>
      </c>
      <c r="H77" s="14">
        <v>11166</v>
      </c>
      <c r="I77" s="14">
        <v>11667.77</v>
      </c>
      <c r="J77" s="14">
        <v>13890.43</v>
      </c>
      <c r="K77" s="14">
        <v>4756</v>
      </c>
      <c r="L77" s="15">
        <f>IFERROR(K77/F77,"")</f>
        <v>3.9815822519882797E-2</v>
      </c>
      <c r="M77" s="16">
        <f>IFERROR(K77*1000/H77,"")</f>
        <v>425.93587676876234</v>
      </c>
      <c r="N77" s="17">
        <f>IF(L77="","",RANK(L77,$L$3:$L$168,0)+COUNTIF($L$3:L77,L77)-1)</f>
        <v>124</v>
      </c>
      <c r="O77" s="17">
        <f>IF(K77="","",RANK(K77,$K$3:$K$168,0)+COUNTIF($K$3:K77,K77)-1)</f>
        <v>97</v>
      </c>
      <c r="P77" s="14">
        <v>61</v>
      </c>
      <c r="Q77" s="15">
        <f>IFERROR(P77/AR77,"")</f>
        <v>0.12474437627811862</v>
      </c>
      <c r="R77" s="16">
        <v>2</v>
      </c>
      <c r="S77" s="14">
        <v>42404</v>
      </c>
      <c r="T77" s="15">
        <f>IFERROR(S77/F77,"")</f>
        <v>0.35499372122226874</v>
      </c>
      <c r="U77" s="16">
        <f>IFERROR(S77*1000/H77,"")</f>
        <v>3797.5998567078632</v>
      </c>
      <c r="V77" s="17">
        <f>IF(T77="","",RANK(T77,$T$3:$T$168,0)+COUNTIF($T$3:T77,T77)-1)</f>
        <v>34</v>
      </c>
      <c r="W77" s="17">
        <f>IF(S77="","",RANK(S77,$S$3:$S$168,0)+COUNTIF($S$3:S77,S77)-1)</f>
        <v>55</v>
      </c>
      <c r="X77" s="14">
        <v>232</v>
      </c>
      <c r="Y77" s="14">
        <v>187</v>
      </c>
      <c r="Z77" s="15">
        <f>IFERROR((X77+Y77)/AR77,"")</f>
        <v>0.85685071574642124</v>
      </c>
      <c r="AA77" s="14">
        <v>67507</v>
      </c>
      <c r="AB77" s="15">
        <f>IFERROR(AA77/F77,"")</f>
        <v>0.56514859773963999</v>
      </c>
      <c r="AC77" s="16">
        <f>IFERROR(AA77*1000/H77,"")</f>
        <v>6045.7639262045495</v>
      </c>
      <c r="AD77" s="17">
        <f>IF(AB77="","",RANK(AB77,$AB$3:$AB$168,0)+COUNTIF($AB$3:AB77,AB77)-1)</f>
        <v>69</v>
      </c>
      <c r="AE77" s="17">
        <f>IF(AA77="","",RANK(AA77,$AA$3:$AA$168,0)+COUNTIF($AA$3:AA77,AA77)-1)</f>
        <v>65</v>
      </c>
      <c r="AF77" s="18">
        <v>94.38</v>
      </c>
      <c r="AG77" s="14">
        <v>64192494.200000003</v>
      </c>
      <c r="AH77" s="16">
        <f>IFERROR(AG77/AZ77,"")</f>
        <v>5609.2707270185256</v>
      </c>
      <c r="AI77" s="14">
        <v>4784</v>
      </c>
      <c r="AJ77" s="15">
        <f>IFERROR(AI77/F77,"")</f>
        <v>4.0050230221850149E-2</v>
      </c>
      <c r="AK77" s="14">
        <v>119</v>
      </c>
      <c r="AL77" s="14">
        <v>155</v>
      </c>
      <c r="AM77" s="14">
        <v>158</v>
      </c>
      <c r="AN77" s="14">
        <v>968</v>
      </c>
      <c r="AO77" s="14">
        <v>853</v>
      </c>
      <c r="AP77" s="18">
        <v>1.8</v>
      </c>
      <c r="AQ77" s="19">
        <f>IFERROR(AL77*1000/AZ77,"")</f>
        <v>13.544215309332401</v>
      </c>
      <c r="AR77" s="14">
        <v>489</v>
      </c>
      <c r="AS77" s="14">
        <v>267</v>
      </c>
      <c r="AT77" s="14">
        <v>145</v>
      </c>
      <c r="AU77" s="14">
        <v>7</v>
      </c>
      <c r="AV77" s="14">
        <v>70</v>
      </c>
      <c r="AW77" s="15">
        <f>IFERROR(AS77/AR77,"")</f>
        <v>0.54601226993865026</v>
      </c>
      <c r="AX77" s="14">
        <v>1</v>
      </c>
      <c r="AY77" s="14">
        <v>8</v>
      </c>
      <c r="AZ77" s="14">
        <v>11444</v>
      </c>
      <c r="BA77" s="20">
        <v>82.213999999999999</v>
      </c>
      <c r="BB77" s="20">
        <v>139.19999999999999</v>
      </c>
      <c r="BC77" s="21">
        <v>0.55700000000000005</v>
      </c>
      <c r="BD77" s="18">
        <v>51.4</v>
      </c>
      <c r="BE77" s="18">
        <v>98.83</v>
      </c>
      <c r="BF77" s="18">
        <v>5.4</v>
      </c>
      <c r="BG77" s="18">
        <v>4.0999999999999996</v>
      </c>
      <c r="BH77" s="18">
        <v>0.94</v>
      </c>
      <c r="BI77" s="14">
        <v>968</v>
      </c>
      <c r="BJ77" s="18">
        <v>1.8</v>
      </c>
      <c r="BK77" s="15">
        <f>IFERROR(BI77/AZ77,"")</f>
        <v>8.4585809157637193E-2</v>
      </c>
      <c r="BL77" s="22">
        <f>IFERROR(AI77+K77+S77+AA77-F77,"")</f>
        <v>1</v>
      </c>
      <c r="BM77" s="22">
        <f>IFERROR(F77+G77-C77,"")</f>
        <v>0</v>
      </c>
      <c r="BN77" s="22">
        <f>IF(I77="","",IFERROR(C77*1000/H77-I77,""))</f>
        <v>-2.8642307004702161E-2</v>
      </c>
    </row>
    <row r="78" spans="1:66">
      <c r="A78" s="13" t="s">
        <v>251</v>
      </c>
      <c r="B78" s="13" t="s">
        <v>252</v>
      </c>
      <c r="C78" s="14">
        <v>126772</v>
      </c>
      <c r="D78" s="14">
        <v>203594</v>
      </c>
      <c r="E78" s="14">
        <v>218239</v>
      </c>
      <c r="F78" s="14">
        <v>124116</v>
      </c>
      <c r="G78" s="14">
        <v>2656</v>
      </c>
      <c r="H78" s="14">
        <v>3584</v>
      </c>
      <c r="I78" s="14">
        <v>35371.660000000003</v>
      </c>
      <c r="J78" s="14">
        <v>68072.02</v>
      </c>
      <c r="K78" s="14">
        <v>84829</v>
      </c>
      <c r="L78" s="15">
        <f>IFERROR(K78/F78,"")</f>
        <v>0.68346546778819817</v>
      </c>
      <c r="M78" s="16">
        <f>IFERROR(K78*1000/H78,"")</f>
        <v>23668.805803571428</v>
      </c>
      <c r="N78" s="17">
        <f>IF(L78="","",RANK(L78,$L$3:$L$168,0)+COUNTIF($L$3:L78,L78)-1)</f>
        <v>7</v>
      </c>
      <c r="O78" s="17">
        <f>IF(K78="","",RANK(K78,$K$3:$K$168,0)+COUNTIF($K$3:K78,K78)-1)</f>
        <v>27</v>
      </c>
      <c r="P78" s="14">
        <v>13</v>
      </c>
      <c r="Q78" s="15">
        <f>IFERROR(P78/AR78,"")</f>
        <v>8.1250000000000003E-2</v>
      </c>
      <c r="R78" s="16">
        <v>5</v>
      </c>
      <c r="S78" s="14">
        <v>8647</v>
      </c>
      <c r="T78" s="15">
        <f>IFERROR(S78/F78,"")</f>
        <v>6.9668697025363366E-2</v>
      </c>
      <c r="U78" s="16">
        <f>IFERROR(S78*1000/H78,"")</f>
        <v>2412.6674107142858</v>
      </c>
      <c r="V78" s="17">
        <f>IF(T78="","",RANK(T78,$T$3:$T$168,0)+COUNTIF($T$3:T78,T78)-1)</f>
        <v>162</v>
      </c>
      <c r="W78" s="17">
        <f>IF(S78="","",RANK(S78,$S$3:$S$168,0)+COUNTIF($S$3:S78,S78)-1)</f>
        <v>153</v>
      </c>
      <c r="X78" s="14">
        <v>63</v>
      </c>
      <c r="Y78" s="14">
        <v>78</v>
      </c>
      <c r="Z78" s="15">
        <f>IFERROR((X78+Y78)/AR78,"")</f>
        <v>0.88124999999999998</v>
      </c>
      <c r="AA78" s="14">
        <v>28489</v>
      </c>
      <c r="AB78" s="15">
        <f>IFERROR(AA78/F78,"")</f>
        <v>0.22953527345386573</v>
      </c>
      <c r="AC78" s="16">
        <f>IFERROR(AA78*1000/H78,"")</f>
        <v>7948.9397321428569</v>
      </c>
      <c r="AD78" s="17">
        <f>IF(AB78="","",RANK(AB78,$AB$3:$AB$168,0)+COUNTIF($AB$3:AB78,AB78)-1)</f>
        <v>151</v>
      </c>
      <c r="AE78" s="17">
        <f>IF(AA78="","",RANK(AA78,$AA$3:$AA$168,0)+COUNTIF($AA$3:AA78,AA78)-1)</f>
        <v>137</v>
      </c>
      <c r="AF78" s="18">
        <v>92.05</v>
      </c>
      <c r="AG78" s="14">
        <v>47872053.229999997</v>
      </c>
      <c r="AH78" s="16">
        <f>IFERROR(AG78/AZ78,"")</f>
        <v>14932.01909856519</v>
      </c>
      <c r="AI78" s="14">
        <v>2151</v>
      </c>
      <c r="AJ78" s="15">
        <f>IFERROR(AI78/F78,"")</f>
        <v>1.7330561732572754E-2</v>
      </c>
      <c r="AK78" s="14">
        <v>52</v>
      </c>
      <c r="AL78" s="14">
        <v>60</v>
      </c>
      <c r="AM78" s="14">
        <v>60</v>
      </c>
      <c r="AN78" s="14">
        <v>362</v>
      </c>
      <c r="AO78" s="14">
        <v>336</v>
      </c>
      <c r="AP78" s="18">
        <v>2.1</v>
      </c>
      <c r="AQ78" s="19">
        <f>IFERROR(AL78*1000/AZ78,"")</f>
        <v>18.714909544603866</v>
      </c>
      <c r="AR78" s="14">
        <v>160</v>
      </c>
      <c r="AS78" s="14">
        <v>77</v>
      </c>
      <c r="AT78" s="14">
        <v>35</v>
      </c>
      <c r="AU78" s="14">
        <v>2</v>
      </c>
      <c r="AV78" s="14">
        <v>46</v>
      </c>
      <c r="AW78" s="15">
        <f>IFERROR(AS78/AR78,"")</f>
        <v>0.48125000000000001</v>
      </c>
      <c r="AX78" s="14">
        <v>0</v>
      </c>
      <c r="AY78" s="14">
        <v>6</v>
      </c>
      <c r="AZ78" s="14">
        <v>3206</v>
      </c>
      <c r="BA78" s="20">
        <v>125.816</v>
      </c>
      <c r="BB78" s="20">
        <v>25.48</v>
      </c>
      <c r="BC78" s="21">
        <v>0.60499999999999998</v>
      </c>
      <c r="BD78" s="18">
        <v>52.1</v>
      </c>
      <c r="BE78" s="18">
        <v>97.76</v>
      </c>
      <c r="BF78" s="18">
        <v>6.4</v>
      </c>
      <c r="BG78" s="18">
        <v>4.7</v>
      </c>
      <c r="BH78" s="18">
        <v>1.07</v>
      </c>
      <c r="BI78" s="14">
        <v>362</v>
      </c>
      <c r="BJ78" s="18">
        <v>2.1</v>
      </c>
      <c r="BK78" s="15">
        <f>IFERROR(BI78/AZ78,"")</f>
        <v>0.11291328758577666</v>
      </c>
      <c r="BL78" s="22">
        <f>IFERROR(AI78+K78+S78+AA78-F78,"")</f>
        <v>0</v>
      </c>
      <c r="BM78" s="22">
        <f>IFERROR(F78+G78-C78,"")</f>
        <v>0</v>
      </c>
      <c r="BN78" s="22">
        <f>IF(I78="","",IFERROR(C78*1000/H78-I78,""))</f>
        <v>-8.2142857208964415E-3</v>
      </c>
    </row>
    <row r="79" spans="1:66">
      <c r="A79" s="13" t="s">
        <v>253</v>
      </c>
      <c r="B79" s="13" t="s">
        <v>254</v>
      </c>
      <c r="C79" s="14">
        <v>125090</v>
      </c>
      <c r="D79" s="14">
        <v>141196</v>
      </c>
      <c r="E79" s="14">
        <v>165230</v>
      </c>
      <c r="F79" s="14">
        <v>119492</v>
      </c>
      <c r="G79" s="14">
        <v>5597</v>
      </c>
      <c r="H79" s="14">
        <v>12901</v>
      </c>
      <c r="I79" s="14">
        <v>9696.14</v>
      </c>
      <c r="J79" s="14">
        <v>14857.46</v>
      </c>
      <c r="K79" s="14">
        <v>5058</v>
      </c>
      <c r="L79" s="15">
        <f>IFERROR(K79/F79,"")</f>
        <v>4.23291935861815E-2</v>
      </c>
      <c r="M79" s="16">
        <f>IFERROR(K79*1000/H79,"")</f>
        <v>392.06263080381365</v>
      </c>
      <c r="N79" s="17">
        <f>IF(L79="","",RANK(L79,$L$3:$L$168,0)+COUNTIF($L$3:L79,L79)-1)</f>
        <v>110</v>
      </c>
      <c r="O79" s="17">
        <f>IF(K79="","",RANK(K79,$K$3:$K$168,0)+COUNTIF($K$3:K79,K79)-1)</f>
        <v>93</v>
      </c>
      <c r="P79" s="14">
        <v>81</v>
      </c>
      <c r="Q79" s="15">
        <f>IFERROR(P79/AR79,"")</f>
        <v>0.14387211367673181</v>
      </c>
      <c r="R79" s="16">
        <v>20</v>
      </c>
      <c r="S79" s="14">
        <v>31292</v>
      </c>
      <c r="T79" s="15">
        <f>IFERROR(S79/F79,"")</f>
        <v>0.26187527198473537</v>
      </c>
      <c r="U79" s="16">
        <f>IFERROR(S79*1000/H79,"")</f>
        <v>2425.5484071002247</v>
      </c>
      <c r="V79" s="17">
        <f>IF(T79="","",RANK(T79,$T$3:$T$168,0)+COUNTIF($T$3:T79,T79)-1)</f>
        <v>86</v>
      </c>
      <c r="W79" s="17">
        <f>IF(S79="","",RANK(S79,$S$3:$S$168,0)+COUNTIF($S$3:S79,S79)-1)</f>
        <v>73</v>
      </c>
      <c r="X79" s="14">
        <v>224</v>
      </c>
      <c r="Y79" s="14">
        <v>250</v>
      </c>
      <c r="Z79" s="15">
        <f>IFERROR((X79+Y79)/AR79,"")</f>
        <v>0.84191829484902314</v>
      </c>
      <c r="AA79" s="14">
        <v>79426</v>
      </c>
      <c r="AB79" s="15">
        <f>IFERROR(AA79/F79,"")</f>
        <v>0.66469721822381411</v>
      </c>
      <c r="AC79" s="16">
        <f>IFERROR(AA79*1000/H79,"")</f>
        <v>6156.577009534145</v>
      </c>
      <c r="AD79" s="17">
        <f>IF(AB79="","",RANK(AB79,$AB$3:$AB$168,0)+COUNTIF($AB$3:AB79,AB79)-1)</f>
        <v>25</v>
      </c>
      <c r="AE79" s="17">
        <f>IF(AA79="","",RANK(AA79,$AA$3:$AA$168,0)+COUNTIF($AA$3:AA79,AA79)-1)</f>
        <v>47</v>
      </c>
      <c r="AF79" s="18">
        <v>93.38</v>
      </c>
      <c r="AG79" s="14">
        <v>77533099.469999999</v>
      </c>
      <c r="AH79" s="16">
        <f>IFERROR(AG79/AZ79,"")</f>
        <v>6971.7740733746969</v>
      </c>
      <c r="AI79" s="14">
        <v>3717</v>
      </c>
      <c r="AJ79" s="15">
        <f>IFERROR(AI79/F79,"")</f>
        <v>3.110668496635758E-2</v>
      </c>
      <c r="AK79" s="14">
        <v>194</v>
      </c>
      <c r="AL79" s="14">
        <v>224</v>
      </c>
      <c r="AM79" s="14">
        <v>227</v>
      </c>
      <c r="AN79" s="14">
        <v>678</v>
      </c>
      <c r="AO79" s="14">
        <v>474</v>
      </c>
      <c r="AP79" s="18">
        <v>1.6</v>
      </c>
      <c r="AQ79" s="19">
        <f>IFERROR(AL79*1000/AZ79,"")</f>
        <v>20.142073554536463</v>
      </c>
      <c r="AR79" s="14">
        <v>563</v>
      </c>
      <c r="AS79" s="14">
        <v>257</v>
      </c>
      <c r="AT79" s="14">
        <v>200</v>
      </c>
      <c r="AU79" s="14">
        <v>12</v>
      </c>
      <c r="AV79" s="14">
        <v>94</v>
      </c>
      <c r="AW79" s="15">
        <f>IFERROR(AS79/AR79,"")</f>
        <v>0.45648312611012432</v>
      </c>
      <c r="AX79" s="14">
        <v>3</v>
      </c>
      <c r="AY79" s="14">
        <v>5</v>
      </c>
      <c r="AZ79" s="14">
        <v>11121</v>
      </c>
      <c r="BA79" s="20">
        <v>341.11500000000001</v>
      </c>
      <c r="BB79" s="20">
        <v>32.6</v>
      </c>
      <c r="BC79" s="21">
        <v>0.61499999999999999</v>
      </c>
      <c r="BD79" s="18">
        <v>51.2</v>
      </c>
      <c r="BE79" s="18">
        <v>99.1</v>
      </c>
      <c r="BF79" s="18">
        <v>4.8</v>
      </c>
      <c r="BG79" s="18">
        <v>3.8</v>
      </c>
      <c r="BH79" s="18">
        <v>27.93</v>
      </c>
      <c r="BI79" s="14">
        <v>678</v>
      </c>
      <c r="BJ79" s="18">
        <v>1.6</v>
      </c>
      <c r="BK79" s="15">
        <f>IFERROR(BI79/AZ79,"")</f>
        <v>6.0965740490963045E-2</v>
      </c>
      <c r="BL79" s="22">
        <f>IFERROR(AI79+K79+S79+AA79-F79,"")</f>
        <v>1</v>
      </c>
      <c r="BM79" s="22">
        <f>IFERROR(F79+G79-C79,"")</f>
        <v>-1</v>
      </c>
      <c r="BN79" s="22">
        <f>IF(I79="","",IFERROR(C79*1000/H79-I79,""))</f>
        <v>7.5854584920307389E-3</v>
      </c>
    </row>
    <row r="80" spans="1:66">
      <c r="A80" s="13" t="s">
        <v>255</v>
      </c>
      <c r="B80" s="13" t="s">
        <v>256</v>
      </c>
      <c r="C80" s="14">
        <v>123141</v>
      </c>
      <c r="D80" s="14">
        <v>141940</v>
      </c>
      <c r="E80" s="14">
        <v>154742</v>
      </c>
      <c r="F80" s="14">
        <v>111950</v>
      </c>
      <c r="G80" s="14">
        <v>11191</v>
      </c>
      <c r="H80" s="14">
        <v>7968</v>
      </c>
      <c r="I80" s="14">
        <v>15454.41</v>
      </c>
      <c r="J80" s="14">
        <v>19330.66</v>
      </c>
      <c r="K80" s="14">
        <v>7914</v>
      </c>
      <c r="L80" s="15">
        <f>IFERROR(K80/F80,"")</f>
        <v>7.0692273336310854E-2</v>
      </c>
      <c r="M80" s="16">
        <f>IFERROR(K80*1000/H80,"")</f>
        <v>993.22289156626505</v>
      </c>
      <c r="N80" s="17">
        <f>IF(L80="","",RANK(L80,$L$3:$L$168,0)+COUNTIF($L$3:L80,L80)-1)</f>
        <v>70</v>
      </c>
      <c r="O80" s="17">
        <f>IF(K80="","",RANK(K80,$K$3:$K$168,0)+COUNTIF($K$3:K80,K80)-1)</f>
        <v>74</v>
      </c>
      <c r="P80" s="14">
        <v>127</v>
      </c>
      <c r="Q80" s="15">
        <f>IFERROR(P80/AR80,"")</f>
        <v>0.18247126436781611</v>
      </c>
      <c r="R80" s="16">
        <v>8</v>
      </c>
      <c r="S80" s="14">
        <v>36105</v>
      </c>
      <c r="T80" s="15">
        <f>IFERROR(S80/F80,"")</f>
        <v>0.32251004912907549</v>
      </c>
      <c r="U80" s="16">
        <f>IFERROR(S80*1000/H80,"")</f>
        <v>4531.25</v>
      </c>
      <c r="V80" s="17">
        <f>IF(T80="","",RANK(T80,$T$3:$T$168,0)+COUNTIF($T$3:T80,T80)-1)</f>
        <v>46</v>
      </c>
      <c r="W80" s="17">
        <f>IF(S80="","",RANK(S80,$S$3:$S$168,0)+COUNTIF($S$3:S80,S80)-1)</f>
        <v>65</v>
      </c>
      <c r="X80" s="14">
        <v>265</v>
      </c>
      <c r="Y80" s="14">
        <v>291</v>
      </c>
      <c r="Z80" s="15">
        <f>IFERROR((X80+Y80)/AR80,"")</f>
        <v>0.79885057471264365</v>
      </c>
      <c r="AA80" s="14">
        <v>48024</v>
      </c>
      <c r="AB80" s="15">
        <f>IFERROR(AA80/F80,"")</f>
        <v>0.4289772219740956</v>
      </c>
      <c r="AC80" s="16">
        <f>IFERROR(AA80*1000/H80,"")</f>
        <v>6027.1084337349394</v>
      </c>
      <c r="AD80" s="17">
        <f>IF(AB80="","",RANK(AB80,$AB$3:$AB$168,0)+COUNTIF($AB$3:AB80,AB80)-1)</f>
        <v>113</v>
      </c>
      <c r="AE80" s="17">
        <f>IF(AA80="","",RANK(AA80,$AA$3:$AA$168,0)+COUNTIF($AA$3:AA80,AA80)-1)</f>
        <v>86</v>
      </c>
      <c r="AF80" s="18">
        <v>83.36</v>
      </c>
      <c r="AG80" s="14">
        <v>66200315.200000003</v>
      </c>
      <c r="AH80" s="16">
        <f>IFERROR(AG80/AZ80,"")</f>
        <v>8269.8707307932546</v>
      </c>
      <c r="AI80" s="14">
        <v>19906</v>
      </c>
      <c r="AJ80" s="15">
        <f>IFERROR(AI80/F80,"")</f>
        <v>0.17781152300133987</v>
      </c>
      <c r="AK80" s="14">
        <v>196</v>
      </c>
      <c r="AL80" s="14">
        <v>218</v>
      </c>
      <c r="AM80" s="14">
        <v>231</v>
      </c>
      <c r="AN80" s="14">
        <v>1301</v>
      </c>
      <c r="AO80" s="14">
        <v>1100</v>
      </c>
      <c r="AP80" s="18">
        <v>1.3</v>
      </c>
      <c r="AQ80" s="19">
        <f>IFERROR(AL80*1000/AZ80,"")</f>
        <v>27.232979387882573</v>
      </c>
      <c r="AR80" s="14">
        <v>696</v>
      </c>
      <c r="AS80" s="14">
        <v>410</v>
      </c>
      <c r="AT80" s="14">
        <v>192</v>
      </c>
      <c r="AU80" s="14">
        <v>24</v>
      </c>
      <c r="AV80" s="14">
        <v>70</v>
      </c>
      <c r="AW80" s="15">
        <f>IFERROR(AS80/AR80,"")</f>
        <v>0.58908045977011492</v>
      </c>
      <c r="AX80" s="14">
        <v>4</v>
      </c>
      <c r="AY80" s="14">
        <v>9</v>
      </c>
      <c r="AZ80" s="14">
        <v>8005</v>
      </c>
      <c r="BA80" s="20">
        <v>295.83</v>
      </c>
      <c r="BB80" s="20">
        <v>27.06</v>
      </c>
      <c r="BC80" s="21">
        <v>0.65400000000000003</v>
      </c>
      <c r="BD80" s="18">
        <v>42.8</v>
      </c>
      <c r="BE80" s="18">
        <v>99.33</v>
      </c>
      <c r="BF80" s="18">
        <v>6.9</v>
      </c>
      <c r="BG80" s="18">
        <v>5.4</v>
      </c>
      <c r="BH80" s="18">
        <v>71.930000000000007</v>
      </c>
      <c r="BI80" s="14">
        <v>1448</v>
      </c>
      <c r="BJ80" s="18">
        <v>1.1000000000000001</v>
      </c>
      <c r="BK80" s="15">
        <f>IFERROR(BI80/AZ80,"")</f>
        <v>0.18088694565896316</v>
      </c>
      <c r="BL80" s="22">
        <f>IFERROR(AI80+K80+S80+AA80-F80,"")</f>
        <v>-1</v>
      </c>
      <c r="BM80" s="22">
        <f>IFERROR(F80+G80-C80,"")</f>
        <v>0</v>
      </c>
      <c r="BN80" s="22">
        <f>IF(I80="","",IFERROR(C80*1000/H80-I80,""))</f>
        <v>3.2771084337582579E-2</v>
      </c>
    </row>
    <row r="81" spans="1:66">
      <c r="A81" s="13" t="s">
        <v>257</v>
      </c>
      <c r="B81" s="13" t="s">
        <v>258</v>
      </c>
      <c r="C81" s="14">
        <v>120492</v>
      </c>
      <c r="D81" s="14">
        <v>137719</v>
      </c>
      <c r="E81" s="14">
        <v>152502</v>
      </c>
      <c r="F81" s="14">
        <v>112104</v>
      </c>
      <c r="G81" s="14">
        <v>8387</v>
      </c>
      <c r="H81" s="14">
        <v>9772</v>
      </c>
      <c r="I81" s="14">
        <v>12330.3</v>
      </c>
      <c r="J81" s="14">
        <v>14957.08</v>
      </c>
      <c r="K81" s="14">
        <v>10285</v>
      </c>
      <c r="L81" s="15">
        <f>IFERROR(K81/F81,"")</f>
        <v>9.174516520373939E-2</v>
      </c>
      <c r="M81" s="16">
        <f>IFERROR(K81*1000/H81,"")</f>
        <v>1052.4969300040934</v>
      </c>
      <c r="N81" s="17">
        <f>IF(L81="","",RANK(L81,$L$3:$L$168,0)+COUNTIF($L$3:L81,L81)-1)</f>
        <v>62</v>
      </c>
      <c r="O81" s="17">
        <f>IF(K81="","",RANK(K81,$K$3:$K$168,0)+COUNTIF($K$3:K81,K81)-1)</f>
        <v>66</v>
      </c>
      <c r="P81" s="14">
        <v>93</v>
      </c>
      <c r="Q81" s="15">
        <f>IFERROR(P81/AR81,"")</f>
        <v>0.13798219584569732</v>
      </c>
      <c r="R81" s="16">
        <v>8</v>
      </c>
      <c r="S81" s="14">
        <v>32503</v>
      </c>
      <c r="T81" s="15">
        <f>IFERROR(S81/F81,"")</f>
        <v>0.28993613073574537</v>
      </c>
      <c r="U81" s="16">
        <f>IFERROR(S81*1000/H81,"")</f>
        <v>3326.1358984854687</v>
      </c>
      <c r="V81" s="17">
        <f>IF(T81="","",RANK(T81,$T$3:$T$168,0)+COUNTIF($T$3:T81,T81)-1)</f>
        <v>60</v>
      </c>
      <c r="W81" s="17">
        <f>IF(S81="","",RANK(S81,$S$3:$S$168,0)+COUNTIF($S$3:S81,S81)-1)</f>
        <v>70</v>
      </c>
      <c r="X81" s="14">
        <v>256</v>
      </c>
      <c r="Y81" s="14">
        <v>311</v>
      </c>
      <c r="Z81" s="15">
        <f>IFERROR((X81+Y81)/AR81,"")</f>
        <v>0.84124629080118696</v>
      </c>
      <c r="AA81" s="14">
        <v>56103</v>
      </c>
      <c r="AB81" s="15">
        <f>IFERROR(AA81/F81,"")</f>
        <v>0.50045493470348956</v>
      </c>
      <c r="AC81" s="16">
        <f>IFERROR(AA81*1000/H81,"")</f>
        <v>5741.19934506754</v>
      </c>
      <c r="AD81" s="17">
        <f>IF(AB81="","",RANK(AB81,$AB$3:$AB$168,0)+COUNTIF($AB$3:AB81,AB81)-1)</f>
        <v>88</v>
      </c>
      <c r="AE81" s="17">
        <f>IF(AA81="","",RANK(AA81,$AA$3:$AA$168,0)+COUNTIF($AA$3:AA81,AA81)-1)</f>
        <v>76</v>
      </c>
      <c r="AF81" s="18">
        <v>87.78</v>
      </c>
      <c r="AG81" s="14">
        <v>65905287.549999997</v>
      </c>
      <c r="AH81" s="16">
        <f>IFERROR(AG81/AZ81,"")</f>
        <v>6463.8375392310709</v>
      </c>
      <c r="AI81" s="14">
        <v>13214</v>
      </c>
      <c r="AJ81" s="15">
        <f>IFERROR(AI81/F81,"")</f>
        <v>0.11787268964532933</v>
      </c>
      <c r="AK81" s="14">
        <v>214</v>
      </c>
      <c r="AL81" s="14">
        <v>238</v>
      </c>
      <c r="AM81" s="14">
        <v>249</v>
      </c>
      <c r="AN81" s="14">
        <v>1120</v>
      </c>
      <c r="AO81" s="14">
        <v>878</v>
      </c>
      <c r="AP81" s="18">
        <v>1.7</v>
      </c>
      <c r="AQ81" s="19">
        <f>IFERROR(AL81*1000/AZ81,"")</f>
        <v>23.342487249901922</v>
      </c>
      <c r="AR81" s="14">
        <v>674</v>
      </c>
      <c r="AS81" s="14">
        <v>354</v>
      </c>
      <c r="AT81" s="14">
        <v>188</v>
      </c>
      <c r="AU81" s="14">
        <v>18</v>
      </c>
      <c r="AV81" s="14">
        <v>114</v>
      </c>
      <c r="AW81" s="15">
        <f>IFERROR(AS81/AR81,"")</f>
        <v>0.52522255192878342</v>
      </c>
      <c r="AX81" s="14">
        <v>6</v>
      </c>
      <c r="AY81" s="14">
        <v>8</v>
      </c>
      <c r="AZ81" s="14">
        <v>10196</v>
      </c>
      <c r="BA81" s="20">
        <v>507.892</v>
      </c>
      <c r="BB81" s="20">
        <v>20.079999999999998</v>
      </c>
      <c r="BC81" s="21">
        <v>0.64200000000000002</v>
      </c>
      <c r="BD81" s="18">
        <v>48.2</v>
      </c>
      <c r="BE81" s="18">
        <v>100</v>
      </c>
      <c r="BF81" s="18">
        <v>5.3</v>
      </c>
      <c r="BG81" s="18">
        <v>4.9000000000000004</v>
      </c>
      <c r="BH81" s="18">
        <v>61.71</v>
      </c>
      <c r="BI81" s="14">
        <v>1120</v>
      </c>
      <c r="BJ81" s="18">
        <v>1.7</v>
      </c>
      <c r="BK81" s="15">
        <f>IFERROR(BI81/AZ81,"")</f>
        <v>0.10984699882306787</v>
      </c>
      <c r="BL81" s="22">
        <f>IFERROR(AI81+K81+S81+AA81-F81,"")</f>
        <v>1</v>
      </c>
      <c r="BM81" s="22">
        <f>IFERROR(F81+G81-C81,"")</f>
        <v>-1</v>
      </c>
      <c r="BN81" s="22">
        <f>IF(I81="","",IFERROR(C81*1000/H81-I81,""))</f>
        <v>3.1559557921355008E-2</v>
      </c>
    </row>
    <row r="82" spans="1:66">
      <c r="A82" s="13" t="s">
        <v>259</v>
      </c>
      <c r="B82" s="13" t="s">
        <v>260</v>
      </c>
      <c r="C82" s="14">
        <v>118874</v>
      </c>
      <c r="D82" s="14">
        <v>134900</v>
      </c>
      <c r="E82" s="14">
        <v>162339</v>
      </c>
      <c r="F82" s="14">
        <v>111030</v>
      </c>
      <c r="G82" s="14">
        <v>7844</v>
      </c>
      <c r="H82" s="14">
        <v>8105</v>
      </c>
      <c r="I82" s="14">
        <v>14666.79</v>
      </c>
      <c r="J82" s="14">
        <v>21368.799999999999</v>
      </c>
      <c r="K82" s="14">
        <v>6653</v>
      </c>
      <c r="L82" s="15">
        <f>IFERROR(K82/F82,"")</f>
        <v>5.9920742141763489E-2</v>
      </c>
      <c r="M82" s="16">
        <f>IFERROR(K82*1000/H82,"")</f>
        <v>820.85132634176432</v>
      </c>
      <c r="N82" s="17">
        <f>IF(L82="","",RANK(L82,$L$3:$L$168,0)+COUNTIF($L$3:L82,L82)-1)</f>
        <v>79</v>
      </c>
      <c r="O82" s="17">
        <f>IF(K82="","",RANK(K82,$K$3:$K$168,0)+COUNTIF($K$3:K82,K82)-1)</f>
        <v>80</v>
      </c>
      <c r="P82" s="14">
        <v>151</v>
      </c>
      <c r="Q82" s="15">
        <f>IFERROR(P82/AR82,"")</f>
        <v>0.23854660347551343</v>
      </c>
      <c r="R82" s="16">
        <v>8</v>
      </c>
      <c r="S82" s="14">
        <v>41904</v>
      </c>
      <c r="T82" s="15">
        <f>IFERROR(S82/F82,"")</f>
        <v>0.37741151040259391</v>
      </c>
      <c r="U82" s="16">
        <f>IFERROR(S82*1000/H82,"")</f>
        <v>5170.1418877236274</v>
      </c>
      <c r="V82" s="17">
        <f>IF(T82="","",RANK(T82,$T$3:$T$168,0)+COUNTIF($T$3:T82,T82)-1)</f>
        <v>31</v>
      </c>
      <c r="W82" s="17">
        <f>IF(S82="","",RANK(S82,$S$3:$S$168,0)+COUNTIF($S$3:S82,S82)-1)</f>
        <v>56</v>
      </c>
      <c r="X82" s="14">
        <v>315</v>
      </c>
      <c r="Y82" s="14">
        <v>156</v>
      </c>
      <c r="Z82" s="15">
        <f>IFERROR((X82+Y82)/AR82,"")</f>
        <v>0.74407582938388628</v>
      </c>
      <c r="AA82" s="14">
        <v>46063</v>
      </c>
      <c r="AB82" s="15">
        <f>IFERROR(AA82/F82,"")</f>
        <v>0.41486985499414575</v>
      </c>
      <c r="AC82" s="16">
        <f>IFERROR(AA82*1000/H82,"")</f>
        <v>5683.2819247378166</v>
      </c>
      <c r="AD82" s="17">
        <f>IF(AB82="","",RANK(AB82,$AB$3:$AB$168,0)+COUNTIF($AB$3:AB82,AB82)-1)</f>
        <v>115</v>
      </c>
      <c r="AE82" s="17">
        <f>IF(AA82="","",RANK(AA82,$AA$3:$AA$168,0)+COUNTIF($AA$3:AA82,AA82)-1)</f>
        <v>91</v>
      </c>
      <c r="AF82" s="18">
        <v>87.13</v>
      </c>
      <c r="AG82" s="14">
        <v>54292091.649999999</v>
      </c>
      <c r="AH82" s="16">
        <f>IFERROR(AG82/AZ82,"")</f>
        <v>7146.5172633934444</v>
      </c>
      <c r="AI82" s="14">
        <v>16410</v>
      </c>
      <c r="AJ82" s="15">
        <f>IFERROR(AI82/F82,"")</f>
        <v>0.14779789246149688</v>
      </c>
      <c r="AK82" s="14">
        <v>217</v>
      </c>
      <c r="AL82" s="14">
        <v>243</v>
      </c>
      <c r="AM82" s="14">
        <v>249</v>
      </c>
      <c r="AN82" s="14">
        <v>1438</v>
      </c>
      <c r="AO82" s="14">
        <v>1222</v>
      </c>
      <c r="AP82" s="18">
        <v>1.4</v>
      </c>
      <c r="AQ82" s="19">
        <f>IFERROR(AL82*1000/AZ82,"")</f>
        <v>31.986310385678557</v>
      </c>
      <c r="AR82" s="14">
        <v>633</v>
      </c>
      <c r="AS82" s="14">
        <v>272</v>
      </c>
      <c r="AT82" s="14">
        <v>262</v>
      </c>
      <c r="AU82" s="14">
        <v>28</v>
      </c>
      <c r="AV82" s="14">
        <v>71</v>
      </c>
      <c r="AW82" s="15">
        <f>IFERROR(AS82/AR82,"")</f>
        <v>0.42969984202211692</v>
      </c>
      <c r="AX82" s="14">
        <v>1</v>
      </c>
      <c r="AY82" s="14">
        <v>10</v>
      </c>
      <c r="AZ82" s="14">
        <v>7597</v>
      </c>
      <c r="BA82" s="20">
        <v>562.39599999999996</v>
      </c>
      <c r="BB82" s="20">
        <v>13.51</v>
      </c>
      <c r="BC82" s="21">
        <v>0.59699999999999998</v>
      </c>
      <c r="BD82" s="18">
        <v>46.3</v>
      </c>
      <c r="BE82" s="18">
        <v>100</v>
      </c>
      <c r="BF82" s="18">
        <v>5</v>
      </c>
      <c r="BG82" s="18">
        <v>4</v>
      </c>
      <c r="BH82" s="18">
        <v>71.010000000000005</v>
      </c>
      <c r="BI82" s="14">
        <v>1438</v>
      </c>
      <c r="BJ82" s="18">
        <v>1.4</v>
      </c>
      <c r="BK82" s="15">
        <f>IFERROR(BI82/AZ82,"")</f>
        <v>0.18928524417533238</v>
      </c>
      <c r="BL82" s="22">
        <f>IFERROR(AI82+K82+S82+AA82-F82,"")</f>
        <v>0</v>
      </c>
      <c r="BM82" s="22">
        <f>IFERROR(F82+G82-C82,"")</f>
        <v>0</v>
      </c>
      <c r="BN82" s="22">
        <f>IF(I82="","",IFERROR(C82*1000/H82-I82,""))</f>
        <v>-4.1079580507357605E-2</v>
      </c>
    </row>
    <row r="83" spans="1:66">
      <c r="A83" s="13" t="s">
        <v>261</v>
      </c>
      <c r="B83" s="13" t="s">
        <v>262</v>
      </c>
      <c r="C83" s="14">
        <v>118372</v>
      </c>
      <c r="D83" s="14">
        <v>142820</v>
      </c>
      <c r="E83" s="14">
        <v>150902</v>
      </c>
      <c r="F83" s="14">
        <v>107209</v>
      </c>
      <c r="G83" s="14">
        <v>11163</v>
      </c>
      <c r="H83" s="14">
        <v>8297</v>
      </c>
      <c r="I83" s="14">
        <v>14266.82</v>
      </c>
      <c r="J83" s="14">
        <v>18881.59</v>
      </c>
      <c r="K83" s="14">
        <v>12552</v>
      </c>
      <c r="L83" s="15">
        <f>IFERROR(K83/F83,"")</f>
        <v>0.11707972278446772</v>
      </c>
      <c r="M83" s="16">
        <f>IFERROR(K83*1000/H83,"")</f>
        <v>1512.8359648065566</v>
      </c>
      <c r="N83" s="17">
        <f>IF(L83="","",RANK(L83,$L$3:$L$168,0)+COUNTIF($L$3:L83,L83)-1)</f>
        <v>53</v>
      </c>
      <c r="O83" s="17">
        <f>IF(K83="","",RANK(K83,$K$3:$K$168,0)+COUNTIF($K$3:K83,K83)-1)</f>
        <v>62</v>
      </c>
      <c r="P83" s="14">
        <v>168</v>
      </c>
      <c r="Q83" s="15">
        <f>IFERROR(P83/AR83,"")</f>
        <v>0.20973782771535582</v>
      </c>
      <c r="R83" s="16">
        <v>26</v>
      </c>
      <c r="S83" s="14">
        <v>41702</v>
      </c>
      <c r="T83" s="15">
        <f>IFERROR(S83/F83,"")</f>
        <v>0.38897853724967119</v>
      </c>
      <c r="U83" s="16">
        <f>IFERROR(S83*1000/H83,"")</f>
        <v>5026.1540315776783</v>
      </c>
      <c r="V83" s="17">
        <f>IF(T83="","",RANK(T83,$T$3:$T$168,0)+COUNTIF($T$3:T83,T83)-1)</f>
        <v>28</v>
      </c>
      <c r="W83" s="17">
        <f>IF(S83="","",RANK(S83,$S$3:$S$168,0)+COUNTIF($S$3:S83,S83)-1)</f>
        <v>58</v>
      </c>
      <c r="X83" s="14">
        <v>271</v>
      </c>
      <c r="Y83" s="14">
        <v>353</v>
      </c>
      <c r="Z83" s="15">
        <f>IFERROR((X83+Y83)/AR83,"")</f>
        <v>0.77902621722846443</v>
      </c>
      <c r="AA83" s="14">
        <v>49044</v>
      </c>
      <c r="AB83" s="15">
        <f>IFERROR(AA83/F83,"")</f>
        <v>0.45746159370948336</v>
      </c>
      <c r="AC83" s="16">
        <f>IFERROR(AA83*1000/H83,"")</f>
        <v>5911.0521875376644</v>
      </c>
      <c r="AD83" s="17">
        <f>IF(AB83="","",RANK(AB83,$AB$3:$AB$168,0)+COUNTIF($AB$3:AB83,AB83)-1)</f>
        <v>102</v>
      </c>
      <c r="AE83" s="17">
        <f>IF(AA83="","",RANK(AA83,$AA$3:$AA$168,0)+COUNTIF($AA$3:AA83,AA83)-1)</f>
        <v>84</v>
      </c>
      <c r="AF83" s="18">
        <v>91.77</v>
      </c>
      <c r="AG83" s="14">
        <v>52772030.289999999</v>
      </c>
      <c r="AH83" s="16">
        <f>IFERROR(AG83/AZ83,"")</f>
        <v>6603.1068931431428</v>
      </c>
      <c r="AI83" s="14">
        <v>3912</v>
      </c>
      <c r="AJ83" s="15">
        <f>IFERROR(AI83/F83,"")</f>
        <v>3.6489473831488026E-2</v>
      </c>
      <c r="AK83" s="14">
        <v>254</v>
      </c>
      <c r="AL83" s="14">
        <v>280</v>
      </c>
      <c r="AM83" s="14">
        <v>291</v>
      </c>
      <c r="AN83" s="14">
        <v>1598</v>
      </c>
      <c r="AO83" s="14">
        <v>1306</v>
      </c>
      <c r="AP83" s="18">
        <v>1.3</v>
      </c>
      <c r="AQ83" s="19">
        <f>IFERROR(AL83*1000/AZ83,"")</f>
        <v>35.035035035035037</v>
      </c>
      <c r="AR83" s="14">
        <v>801</v>
      </c>
      <c r="AS83" s="14">
        <v>432</v>
      </c>
      <c r="AT83" s="14">
        <v>260</v>
      </c>
      <c r="AU83" s="14">
        <v>38</v>
      </c>
      <c r="AV83" s="14">
        <v>71</v>
      </c>
      <c r="AW83" s="15">
        <f>IFERROR(AS83/AR83,"")</f>
        <v>0.5393258426966292</v>
      </c>
      <c r="AX83" s="14">
        <v>1</v>
      </c>
      <c r="AY83" s="14">
        <v>8</v>
      </c>
      <c r="AZ83" s="14">
        <v>7992</v>
      </c>
      <c r="BA83" s="20">
        <v>246.30799999999999</v>
      </c>
      <c r="BB83" s="20">
        <v>32.450000000000003</v>
      </c>
      <c r="BC83" s="21">
        <v>0.65900000000000003</v>
      </c>
      <c r="BD83" s="18">
        <v>38.200000000000003</v>
      </c>
      <c r="BE83" s="18">
        <v>100</v>
      </c>
      <c r="BF83" s="18">
        <v>6.2</v>
      </c>
      <c r="BG83" s="18">
        <v>5.2</v>
      </c>
      <c r="BH83" s="18">
        <v>41.69</v>
      </c>
      <c r="BI83" s="14">
        <v>1598</v>
      </c>
      <c r="BJ83" s="18">
        <v>1.3</v>
      </c>
      <c r="BK83" s="15">
        <f>IFERROR(BI83/AZ83,"")</f>
        <v>0.19994994994994994</v>
      </c>
      <c r="BL83" s="22">
        <f>IFERROR(AI83+K83+S83+AA83-F83,"")</f>
        <v>1</v>
      </c>
      <c r="BM83" s="22">
        <f>IFERROR(F83+G83-C83,"")</f>
        <v>0</v>
      </c>
      <c r="BN83" s="22">
        <f>IF(I83="","",IFERROR(C83*1000/H83-I83,""))</f>
        <v>2.3437387008016231E-2</v>
      </c>
    </row>
    <row r="84" spans="1:66">
      <c r="A84" s="13" t="s">
        <v>263</v>
      </c>
      <c r="B84" s="13" t="s">
        <v>264</v>
      </c>
      <c r="C84" s="14">
        <v>116486</v>
      </c>
      <c r="D84" s="14">
        <v>105581</v>
      </c>
      <c r="E84" s="14">
        <v>114536</v>
      </c>
      <c r="F84" s="14">
        <v>108717</v>
      </c>
      <c r="G84" s="14">
        <v>7769</v>
      </c>
      <c r="H84" s="14">
        <v>4527</v>
      </c>
      <c r="I84" s="14">
        <v>25731.34</v>
      </c>
      <c r="J84" s="14">
        <v>28176.06</v>
      </c>
      <c r="K84" s="14">
        <v>1754</v>
      </c>
      <c r="L84" s="15">
        <f>IFERROR(K84/F84,"")</f>
        <v>1.6133631354801916E-2</v>
      </c>
      <c r="M84" s="16">
        <f>IFERROR(K84*1000/H84,"")</f>
        <v>387.45305942125026</v>
      </c>
      <c r="N84" s="17">
        <f>IF(L84="","",RANK(L84,$L$3:$L$168,0)+COUNTIF($L$3:L84,L84)-1)</f>
        <v>166</v>
      </c>
      <c r="O84" s="17">
        <f>IF(K84="","",RANK(K84,$K$3:$K$168,0)+COUNTIF($K$3:K84,K84)-1)</f>
        <v>146</v>
      </c>
      <c r="P84" s="14">
        <v>25</v>
      </c>
      <c r="Q84" s="15">
        <f>IFERROR(P84/AR84,"")</f>
        <v>0.12376237623762376</v>
      </c>
      <c r="R84" s="16">
        <v>2</v>
      </c>
      <c r="S84" s="14">
        <v>10249</v>
      </c>
      <c r="T84" s="15">
        <f>IFERROR(S84/F84,"")</f>
        <v>9.4272284923241079E-2</v>
      </c>
      <c r="U84" s="16">
        <f>IFERROR(S84*1000/H84,"")</f>
        <v>2263.9717252043297</v>
      </c>
      <c r="V84" s="17">
        <f>IF(T84="","",RANK(T84,$T$3:$T$168,0)+COUNTIF($T$3:T84,T84)-1)</f>
        <v>161</v>
      </c>
      <c r="W84" s="17">
        <f>IF(S84="","",RANK(S84,$S$3:$S$168,0)+COUNTIF($S$3:S84,S84)-1)</f>
        <v>143</v>
      </c>
      <c r="X84" s="14">
        <v>65</v>
      </c>
      <c r="Y84" s="14">
        <v>100</v>
      </c>
      <c r="Z84" s="15">
        <f>IFERROR((X84+Y84)/AR84,"")</f>
        <v>0.81683168316831678</v>
      </c>
      <c r="AA84" s="14">
        <v>31285</v>
      </c>
      <c r="AB84" s="15">
        <f>IFERROR(AA84/F84,"")</f>
        <v>0.28776548285916648</v>
      </c>
      <c r="AC84" s="16">
        <f>IFERROR(AA84*1000/H84,"")</f>
        <v>6910.7576761652308</v>
      </c>
      <c r="AD84" s="17">
        <f>IF(AB84="","",RANK(AB84,$AB$3:$AB$168,0)+COUNTIF($AB$3:AB84,AB84)-1)</f>
        <v>139</v>
      </c>
      <c r="AE84" s="17">
        <f>IF(AA84="","",RANK(AA84,$AA$3:$AA$168,0)+COUNTIF($AA$3:AA84,AA84)-1)</f>
        <v>123</v>
      </c>
      <c r="AF84" s="18">
        <v>94.07</v>
      </c>
      <c r="AG84" s="14">
        <v>42161856.899999999</v>
      </c>
      <c r="AH84" s="16">
        <f>IFERROR(AG84/AZ84,"")</f>
        <v>10371.920516605165</v>
      </c>
      <c r="AI84" s="14">
        <v>65429</v>
      </c>
      <c r="AJ84" s="15">
        <f>IFERROR(AI84/F84,"")</f>
        <v>0.60182860086279055</v>
      </c>
      <c r="AK84" s="14">
        <v>63</v>
      </c>
      <c r="AL84" s="14">
        <v>71</v>
      </c>
      <c r="AM84" s="14">
        <v>73</v>
      </c>
      <c r="AN84" s="14">
        <v>395</v>
      </c>
      <c r="AO84" s="14">
        <v>340</v>
      </c>
      <c r="AP84" s="18">
        <v>2</v>
      </c>
      <c r="AQ84" s="19">
        <f>IFERROR(AL84*1000/AZ84,"")</f>
        <v>17.466174661746617</v>
      </c>
      <c r="AR84" s="14">
        <v>202</v>
      </c>
      <c r="AS84" s="14">
        <v>104</v>
      </c>
      <c r="AT84" s="14">
        <v>52</v>
      </c>
      <c r="AU84" s="14">
        <v>9</v>
      </c>
      <c r="AV84" s="14">
        <v>37</v>
      </c>
      <c r="AW84" s="15">
        <f>IFERROR(AS84/AR84,"")</f>
        <v>0.51485148514851486</v>
      </c>
      <c r="AX84" s="14">
        <v>6</v>
      </c>
      <c r="AY84" s="14">
        <v>6</v>
      </c>
      <c r="AZ84" s="14">
        <v>4065</v>
      </c>
      <c r="BA84" s="20">
        <v>26.1</v>
      </c>
      <c r="BB84" s="20">
        <v>155.75</v>
      </c>
      <c r="BC84" s="21">
        <v>0.56999999999999995</v>
      </c>
      <c r="BD84" s="18">
        <v>48</v>
      </c>
      <c r="BE84" s="18">
        <v>99.1</v>
      </c>
      <c r="BF84" s="18">
        <v>5</v>
      </c>
      <c r="BG84" s="18">
        <v>3.9</v>
      </c>
      <c r="BH84" s="18">
        <v>1.63</v>
      </c>
      <c r="BI84" s="14">
        <v>393</v>
      </c>
      <c r="BJ84" s="18">
        <v>2</v>
      </c>
      <c r="BK84" s="15">
        <f>IFERROR(BI84/AZ84,"")</f>
        <v>9.6678966789667892E-2</v>
      </c>
      <c r="BL84" s="22">
        <f>IFERROR(AI84+K84+S84+AA84-F84,"")</f>
        <v>0</v>
      </c>
      <c r="BM84" s="22">
        <f>IFERROR(F84+G84-C84,"")</f>
        <v>0</v>
      </c>
      <c r="BN84" s="22">
        <f>IF(I84="","",IFERROR(C84*1000/H84-I84,""))</f>
        <v>4.9441130991908722E-2</v>
      </c>
    </row>
    <row r="85" spans="1:66">
      <c r="A85" s="13" t="s">
        <v>265</v>
      </c>
      <c r="B85" s="13" t="s">
        <v>266</v>
      </c>
      <c r="C85" s="14">
        <v>115022</v>
      </c>
      <c r="D85" s="14">
        <v>137774</v>
      </c>
      <c r="E85" s="14">
        <v>155095</v>
      </c>
      <c r="F85" s="14">
        <v>103326</v>
      </c>
      <c r="G85" s="14">
        <v>11696</v>
      </c>
      <c r="H85" s="14">
        <v>4173</v>
      </c>
      <c r="I85" s="14">
        <v>27563.45</v>
      </c>
      <c r="J85" s="14">
        <v>28817.27</v>
      </c>
      <c r="K85" s="14">
        <v>6620</v>
      </c>
      <c r="L85" s="15">
        <f>IFERROR(K85/F85,"")</f>
        <v>6.4069062965758858E-2</v>
      </c>
      <c r="M85" s="16">
        <f>IFERROR(K85*1000/H85,"")</f>
        <v>1586.3886891924276</v>
      </c>
      <c r="N85" s="17">
        <f>IF(L85="","",RANK(L85,$L$3:$L$168,0)+COUNTIF($L$3:L85,L85)-1)</f>
        <v>75</v>
      </c>
      <c r="O85" s="17">
        <f>IF(K85="","",RANK(K85,$K$3:$K$168,0)+COUNTIF($K$3:K85,K85)-1)</f>
        <v>81</v>
      </c>
      <c r="P85" s="14">
        <v>132</v>
      </c>
      <c r="Q85" s="15">
        <f>IFERROR(P85/AR85,"")</f>
        <v>8.943089430894309E-2</v>
      </c>
      <c r="R85" s="16">
        <v>31</v>
      </c>
      <c r="S85" s="14">
        <v>43278</v>
      </c>
      <c r="T85" s="15">
        <f>IFERROR(S85/F85,"")</f>
        <v>0.41884907961210149</v>
      </c>
      <c r="U85" s="16">
        <f>IFERROR(S85*1000/H85,"")</f>
        <v>10370.956146657081</v>
      </c>
      <c r="V85" s="17">
        <f>IF(T85="","",RANK(T85,$T$3:$T$168,0)+COUNTIF($T$3:T85,T85)-1)</f>
        <v>18</v>
      </c>
      <c r="W85" s="17">
        <f>IF(S85="","",RANK(S85,$S$3:$S$168,0)+COUNTIF($S$3:S85,S85)-1)</f>
        <v>54</v>
      </c>
      <c r="X85" s="14">
        <v>235</v>
      </c>
      <c r="Y85" s="14">
        <v>1098</v>
      </c>
      <c r="Z85" s="15">
        <f>IFERROR((X85+Y85)/AR85,"")</f>
        <v>0.90311653116531165</v>
      </c>
      <c r="AA85" s="14">
        <v>36367</v>
      </c>
      <c r="AB85" s="15">
        <f>IFERROR(AA85/F85,"")</f>
        <v>0.35196368774558195</v>
      </c>
      <c r="AC85" s="16">
        <f>IFERROR(AA85*1000/H85,"")</f>
        <v>8714.8334531512101</v>
      </c>
      <c r="AD85" s="17">
        <f>IF(AB85="","",RANK(AB85,$AB$3:$AB$168,0)+COUNTIF($AB$3:AB85,AB85)-1)</f>
        <v>131</v>
      </c>
      <c r="AE85" s="17">
        <f>IF(AA85="","",RANK(AA85,$AA$3:$AA$168,0)+COUNTIF($AA$3:AA85,AA85)-1)</f>
        <v>110</v>
      </c>
      <c r="AF85" s="18">
        <v>88.26</v>
      </c>
      <c r="AG85" s="14">
        <v>75027016.870000005</v>
      </c>
      <c r="AH85" s="16">
        <f>IFERROR(AG85/AZ85,"")</f>
        <v>13940.359879227053</v>
      </c>
      <c r="AI85" s="14">
        <v>17060</v>
      </c>
      <c r="AJ85" s="15">
        <f>IFERROR(AI85/F85,"")</f>
        <v>0.1651084915703695</v>
      </c>
      <c r="AK85" s="14">
        <v>421</v>
      </c>
      <c r="AL85" s="14">
        <v>764</v>
      </c>
      <c r="AM85" s="14">
        <v>772</v>
      </c>
      <c r="AN85" s="14">
        <v>1431</v>
      </c>
      <c r="AO85" s="14">
        <v>739</v>
      </c>
      <c r="AP85" s="18">
        <v>1.7</v>
      </c>
      <c r="AQ85" s="19">
        <f>IFERROR(AL85*1000/AZ85,"")</f>
        <v>141.95466369379412</v>
      </c>
      <c r="AR85" s="14">
        <v>1476</v>
      </c>
      <c r="AS85" s="14">
        <v>372</v>
      </c>
      <c r="AT85" s="14">
        <v>203</v>
      </c>
      <c r="AU85" s="14">
        <v>30</v>
      </c>
      <c r="AV85" s="14">
        <v>871</v>
      </c>
      <c r="AW85" s="15">
        <f>IFERROR(AS85/AR85,"")</f>
        <v>0.25203252032520324</v>
      </c>
      <c r="AX85" s="14">
        <v>6</v>
      </c>
      <c r="AY85" s="14">
        <v>5</v>
      </c>
      <c r="AZ85" s="14">
        <v>5382</v>
      </c>
      <c r="BA85" s="20">
        <v>169.36600000000001</v>
      </c>
      <c r="BB85" s="20">
        <v>31.78</v>
      </c>
      <c r="BC85" s="21">
        <v>0.63500000000000001</v>
      </c>
      <c r="BD85" s="18">
        <v>44.6</v>
      </c>
      <c r="BE85" s="18">
        <v>99.64</v>
      </c>
      <c r="BF85" s="18">
        <v>5.3</v>
      </c>
      <c r="BG85" s="18">
        <v>4.0999999999999996</v>
      </c>
      <c r="BH85" s="18">
        <v>4.2</v>
      </c>
      <c r="BI85" s="14">
        <v>1431</v>
      </c>
      <c r="BJ85" s="18">
        <v>1.7</v>
      </c>
      <c r="BK85" s="15">
        <f>IFERROR(BI85/AZ85,"")</f>
        <v>0.26588628762541805</v>
      </c>
      <c r="BL85" s="22">
        <f>IFERROR(AI85+K85+S85+AA85-F85,"")</f>
        <v>-1</v>
      </c>
      <c r="BM85" s="22">
        <f>IFERROR(F85+G85-C85,"")</f>
        <v>0</v>
      </c>
      <c r="BN85" s="22">
        <f>IF(I85="","",IFERROR(C85*1000/H85-I85,""))</f>
        <v>-6.6343158399831736E-2</v>
      </c>
    </row>
    <row r="86" spans="1:66">
      <c r="A86" s="13" t="s">
        <v>267</v>
      </c>
      <c r="B86" s="13" t="s">
        <v>268</v>
      </c>
      <c r="C86" s="14">
        <v>113586</v>
      </c>
      <c r="D86" s="14">
        <v>128347</v>
      </c>
      <c r="E86" s="14">
        <v>142795</v>
      </c>
      <c r="F86" s="14">
        <v>107575</v>
      </c>
      <c r="G86" s="14">
        <v>6010</v>
      </c>
      <c r="H86" s="14">
        <v>10923</v>
      </c>
      <c r="I86" s="14">
        <v>10398.780000000001</v>
      </c>
      <c r="J86" s="14">
        <v>13914.9</v>
      </c>
      <c r="K86" s="14">
        <v>4534</v>
      </c>
      <c r="L86" s="15">
        <f>IFERROR(K86/F86,"")</f>
        <v>4.214733906576807E-2</v>
      </c>
      <c r="M86" s="16">
        <f>IFERROR(K86*1000/H86,"")</f>
        <v>415.08743019317035</v>
      </c>
      <c r="N86" s="17">
        <f>IF(L86="","",RANK(L86,$L$3:$L$168,0)+COUNTIF($L$3:L86,L86)-1)</f>
        <v>111</v>
      </c>
      <c r="O86" s="17">
        <f>IF(K86="","",RANK(K86,$K$3:$K$168,0)+COUNTIF($K$3:K86,K86)-1)</f>
        <v>100</v>
      </c>
      <c r="P86" s="14">
        <v>36</v>
      </c>
      <c r="Q86" s="15">
        <f>IFERROR(P86/AR86,"")</f>
        <v>7.792207792207792E-2</v>
      </c>
      <c r="R86" s="16">
        <v>8</v>
      </c>
      <c r="S86" s="14">
        <v>32517</v>
      </c>
      <c r="T86" s="15">
        <f>IFERROR(S86/F86,"")</f>
        <v>0.30227283290727397</v>
      </c>
      <c r="U86" s="16">
        <f>IFERROR(S86*1000/H86,"")</f>
        <v>2976.9294149958801</v>
      </c>
      <c r="V86" s="17">
        <f>IF(T86="","",RANK(T86,$T$3:$T$168,0)+COUNTIF($T$3:T86,T86)-1)</f>
        <v>53</v>
      </c>
      <c r="W86" s="17">
        <f>IF(S86="","",RANK(S86,$S$3:$S$168,0)+COUNTIF($S$3:S86,S86)-1)</f>
        <v>69</v>
      </c>
      <c r="X86" s="14">
        <v>263</v>
      </c>
      <c r="Y86" s="14">
        <v>155</v>
      </c>
      <c r="Z86" s="15">
        <f>IFERROR((X86+Y86)/AR86,"")</f>
        <v>0.90476190476190477</v>
      </c>
      <c r="AA86" s="14">
        <v>65178</v>
      </c>
      <c r="AB86" s="15">
        <f>IFERROR(AA86/F86,"")</f>
        <v>0.60588426679061125</v>
      </c>
      <c r="AC86" s="16">
        <f>IFERROR(AA86*1000/H86,"")</f>
        <v>5967.042021422686</v>
      </c>
      <c r="AD86" s="17">
        <f>IF(AB86="","",RANK(AB86,$AB$3:$AB$168,0)+COUNTIF($AB$3:AB86,AB86)-1)</f>
        <v>48</v>
      </c>
      <c r="AE86" s="17">
        <f>IF(AA86="","",RANK(AA86,$AA$3:$AA$168,0)+COUNTIF($AA$3:AA86,AA86)-1)</f>
        <v>67</v>
      </c>
      <c r="AF86" s="18">
        <v>87.44</v>
      </c>
      <c r="AG86" s="14">
        <v>79118343.390000001</v>
      </c>
      <c r="AH86" s="16">
        <f>IFERROR(AG86/AZ86,"")</f>
        <v>7709.8366195673361</v>
      </c>
      <c r="AI86" s="14">
        <v>5346</v>
      </c>
      <c r="AJ86" s="15">
        <f>IFERROR(AI86/F86,"")</f>
        <v>4.9695561236346733E-2</v>
      </c>
      <c r="AK86" s="14">
        <v>210</v>
      </c>
      <c r="AL86" s="14">
        <v>233</v>
      </c>
      <c r="AM86" s="14">
        <v>239</v>
      </c>
      <c r="AN86" s="14">
        <v>774</v>
      </c>
      <c r="AO86" s="14">
        <v>547</v>
      </c>
      <c r="AP86" s="18">
        <v>1.6</v>
      </c>
      <c r="AQ86" s="19">
        <f>IFERROR(AL86*1000/AZ86,"")</f>
        <v>22.705125706489962</v>
      </c>
      <c r="AR86" s="14">
        <v>462</v>
      </c>
      <c r="AS86" s="14">
        <v>197</v>
      </c>
      <c r="AT86" s="14">
        <v>163</v>
      </c>
      <c r="AU86" s="14">
        <v>33</v>
      </c>
      <c r="AV86" s="14">
        <v>69</v>
      </c>
      <c r="AW86" s="15">
        <f>IFERROR(AS86/AR86,"")</f>
        <v>0.4264069264069264</v>
      </c>
      <c r="AX86" s="14">
        <v>1</v>
      </c>
      <c r="AY86" s="14">
        <v>7</v>
      </c>
      <c r="AZ86" s="14">
        <v>10262</v>
      </c>
      <c r="BA86" s="20">
        <v>223.67099999999999</v>
      </c>
      <c r="BB86" s="20">
        <v>45.88</v>
      </c>
      <c r="BC86" s="21">
        <v>0.59199999999999997</v>
      </c>
      <c r="BD86" s="18">
        <v>50.4</v>
      </c>
      <c r="BE86" s="18">
        <v>98.58</v>
      </c>
      <c r="BF86" s="18">
        <v>6.5</v>
      </c>
      <c r="BG86" s="18">
        <v>5</v>
      </c>
      <c r="BH86" s="18">
        <v>30.27</v>
      </c>
      <c r="BI86" s="14">
        <v>774</v>
      </c>
      <c r="BJ86" s="18">
        <v>1.6</v>
      </c>
      <c r="BK86" s="15">
        <f>IFERROR(BI86/AZ86,"")</f>
        <v>7.5423893977782111E-2</v>
      </c>
      <c r="BL86" s="22">
        <f>IFERROR(AI86+K86+S86+AA86-F86,"")</f>
        <v>0</v>
      </c>
      <c r="BM86" s="22">
        <f>IFERROR(F86+G86-C86,"")</f>
        <v>-1</v>
      </c>
      <c r="BN86" s="22">
        <f>IF(I86="","",IFERROR(C86*1000/H86-I86,""))</f>
        <v>1.1540785497345496E-2</v>
      </c>
    </row>
    <row r="87" spans="1:66">
      <c r="A87" s="13" t="s">
        <v>269</v>
      </c>
      <c r="B87" s="13" t="s">
        <v>270</v>
      </c>
      <c r="C87" s="14">
        <v>112176</v>
      </c>
      <c r="D87" s="14">
        <v>115655</v>
      </c>
      <c r="E87" s="14">
        <v>119611</v>
      </c>
      <c r="F87" s="14">
        <v>101944</v>
      </c>
      <c r="G87" s="14">
        <v>10232</v>
      </c>
      <c r="H87" s="14">
        <v>6572</v>
      </c>
      <c r="I87" s="14">
        <v>17068.79</v>
      </c>
      <c r="J87" s="14">
        <v>19006.95</v>
      </c>
      <c r="K87" s="14">
        <v>17591</v>
      </c>
      <c r="L87" s="15">
        <f>IFERROR(K87/F87,"")</f>
        <v>0.1725555206780193</v>
      </c>
      <c r="M87" s="16">
        <f>IFERROR(K87*1000/H87,"")</f>
        <v>2676.6585514303106</v>
      </c>
      <c r="N87" s="17">
        <f>IF(L87="","",RANK(L87,$L$3:$L$168,0)+COUNTIF($L$3:L87,L87)-1)</f>
        <v>40</v>
      </c>
      <c r="O87" s="17">
        <f>IF(K87="","",RANK(K87,$K$3:$K$168,0)+COUNTIF($K$3:K87,K87)-1)</f>
        <v>58</v>
      </c>
      <c r="P87" s="14">
        <v>49</v>
      </c>
      <c r="Q87" s="15">
        <f>IFERROR(P87/AR87,"")</f>
        <v>0.15076923076923077</v>
      </c>
      <c r="R87" s="16">
        <v>9</v>
      </c>
      <c r="S87" s="14">
        <v>25458</v>
      </c>
      <c r="T87" s="15">
        <f>IFERROR(S87/F87,"")</f>
        <v>0.24972533940202465</v>
      </c>
      <c r="U87" s="16">
        <f>IFERROR(S87*1000/H87,"")</f>
        <v>3873.7066342057215</v>
      </c>
      <c r="V87" s="17">
        <f>IF(T87="","",RANK(T87,$T$3:$T$168,0)+COUNTIF($T$3:T87,T87)-1)</f>
        <v>92</v>
      </c>
      <c r="W87" s="17">
        <f>IF(S87="","",RANK(S87,$S$3:$S$168,0)+COUNTIF($S$3:S87,S87)-1)</f>
        <v>85</v>
      </c>
      <c r="X87" s="14">
        <v>132</v>
      </c>
      <c r="Y87" s="14">
        <v>127</v>
      </c>
      <c r="Z87" s="15">
        <f>IFERROR((X87+Y87)/AR87,"")</f>
        <v>0.79692307692307696</v>
      </c>
      <c r="AA87" s="14">
        <v>43210</v>
      </c>
      <c r="AB87" s="15">
        <f>IFERROR(AA87/F87,"")</f>
        <v>0.42386015851840225</v>
      </c>
      <c r="AC87" s="16">
        <f>IFERROR(AA87*1000/H87,"")</f>
        <v>6574.8630553864878</v>
      </c>
      <c r="AD87" s="17">
        <f>IF(AB87="","",RANK(AB87,$AB$3:$AB$168,0)+COUNTIF($AB$3:AB87,AB87)-1)</f>
        <v>114</v>
      </c>
      <c r="AE87" s="17">
        <f>IF(AA87="","",RANK(AA87,$AA$3:$AA$168,0)+COUNTIF($AA$3:AA87,AA87)-1)</f>
        <v>98</v>
      </c>
      <c r="AF87" s="18">
        <v>93.75</v>
      </c>
      <c r="AG87" s="14">
        <v>53893841.329999998</v>
      </c>
      <c r="AH87" s="16">
        <f>IFERROR(AG87/AZ87,"")</f>
        <v>8564.0936484983304</v>
      </c>
      <c r="AI87" s="14">
        <v>15686</v>
      </c>
      <c r="AJ87" s="15">
        <f>IFERROR(AI87/F87,"")</f>
        <v>0.15386879070862433</v>
      </c>
      <c r="AK87" s="14">
        <v>91</v>
      </c>
      <c r="AL87" s="14">
        <v>110</v>
      </c>
      <c r="AM87" s="14">
        <v>112</v>
      </c>
      <c r="AN87" s="14">
        <v>811</v>
      </c>
      <c r="AO87" s="14">
        <v>721</v>
      </c>
      <c r="AP87" s="18">
        <v>1.6</v>
      </c>
      <c r="AQ87" s="19">
        <f>IFERROR(AL87*1000/AZ87,"")</f>
        <v>17.479739392976324</v>
      </c>
      <c r="AR87" s="14">
        <v>325</v>
      </c>
      <c r="AS87" s="14">
        <v>174</v>
      </c>
      <c r="AT87" s="14">
        <v>80</v>
      </c>
      <c r="AU87" s="14">
        <v>9</v>
      </c>
      <c r="AV87" s="14">
        <v>62</v>
      </c>
      <c r="AW87" s="15">
        <f>IFERROR(AS87/AR87,"")</f>
        <v>0.53538461538461535</v>
      </c>
      <c r="AX87" s="14">
        <v>11</v>
      </c>
      <c r="AY87" s="14">
        <v>6</v>
      </c>
      <c r="AZ87" s="14">
        <v>6293</v>
      </c>
      <c r="BA87" s="20">
        <v>225.63300000000001</v>
      </c>
      <c r="BB87" s="20">
        <v>27.89</v>
      </c>
      <c r="BC87" s="21">
        <v>0.57399999999999995</v>
      </c>
      <c r="BD87" s="18">
        <v>52.6</v>
      </c>
      <c r="BE87" s="18">
        <v>99.45</v>
      </c>
      <c r="BF87" s="18">
        <v>4.3</v>
      </c>
      <c r="BG87" s="18">
        <v>4.5</v>
      </c>
      <c r="BH87" s="18">
        <v>27.94</v>
      </c>
      <c r="BI87" s="14">
        <v>811</v>
      </c>
      <c r="BJ87" s="18">
        <v>1.6</v>
      </c>
      <c r="BK87" s="15">
        <f>IFERROR(BI87/AZ87,"")</f>
        <v>0.12887335134276179</v>
      </c>
      <c r="BL87" s="22">
        <f>IFERROR(AI87+K87+S87+AA87-F87,"")</f>
        <v>1</v>
      </c>
      <c r="BM87" s="22">
        <f>IFERROR(F87+G87-C87,"")</f>
        <v>0</v>
      </c>
      <c r="BN87" s="22">
        <f>IF(I87="","",IFERROR(C87*1000/H87-I87,""))</f>
        <v>-1.3371880708291428E-2</v>
      </c>
    </row>
    <row r="88" spans="1:66">
      <c r="A88" s="13" t="s">
        <v>271</v>
      </c>
      <c r="B88" s="13" t="s">
        <v>272</v>
      </c>
      <c r="C88" s="14">
        <v>111773</v>
      </c>
      <c r="D88" s="14">
        <v>120594</v>
      </c>
      <c r="E88" s="14">
        <v>184856</v>
      </c>
      <c r="F88" s="14">
        <v>105359</v>
      </c>
      <c r="G88" s="14">
        <v>6414</v>
      </c>
      <c r="H88" s="14">
        <v>11051</v>
      </c>
      <c r="I88" s="14">
        <v>10114.299999999999</v>
      </c>
      <c r="J88" s="14">
        <v>18537.54</v>
      </c>
      <c r="K88" s="14">
        <v>4759</v>
      </c>
      <c r="L88" s="15">
        <f>IFERROR(K88/F88,"")</f>
        <v>4.516937328562344E-2</v>
      </c>
      <c r="M88" s="16">
        <f>IFERROR(K88*1000/H88,"")</f>
        <v>430.63976110759205</v>
      </c>
      <c r="N88" s="17">
        <f>IF(L88="","",RANK(L88,$L$3:$L$168,0)+COUNTIF($L$3:L88,L88)-1)</f>
        <v>98</v>
      </c>
      <c r="O88" s="17">
        <f>IF(K88="","",RANK(K88,$K$3:$K$168,0)+COUNTIF($K$3:K88,K88)-1)</f>
        <v>96</v>
      </c>
      <c r="P88" s="14">
        <v>91</v>
      </c>
      <c r="Q88" s="15">
        <f>IFERROR(P88/AR88,"")</f>
        <v>0.14174454828660435</v>
      </c>
      <c r="R88" s="16">
        <v>21</v>
      </c>
      <c r="S88" s="14">
        <v>27294</v>
      </c>
      <c r="T88" s="15">
        <f>IFERROR(S88/F88,"")</f>
        <v>0.25905712848451484</v>
      </c>
      <c r="U88" s="16">
        <f>IFERROR(S88*1000/H88,"")</f>
        <v>2469.8217355895395</v>
      </c>
      <c r="V88" s="17">
        <f>IF(T88="","",RANK(T88,$T$3:$T$168,0)+COUNTIF($T$3:T88,T88)-1)</f>
        <v>88</v>
      </c>
      <c r="W88" s="17">
        <f>IF(S88="","",RANK(S88,$S$3:$S$168,0)+COUNTIF($S$3:S88,S88)-1)</f>
        <v>80</v>
      </c>
      <c r="X88" s="14">
        <v>222</v>
      </c>
      <c r="Y88" s="14">
        <v>313</v>
      </c>
      <c r="Z88" s="15">
        <f>IFERROR((X88+Y88)/AR88,"")</f>
        <v>0.83333333333333337</v>
      </c>
      <c r="AA88" s="14">
        <v>69995</v>
      </c>
      <c r="AB88" s="15">
        <f>IFERROR(AA88/F88,"")</f>
        <v>0.66434761149972954</v>
      </c>
      <c r="AC88" s="16">
        <f>IFERROR(AA88*1000/H88,"")</f>
        <v>6333.8159442584383</v>
      </c>
      <c r="AD88" s="17">
        <f>IF(AB88="","",RANK(AB88,$AB$3:$AB$168,0)+COUNTIF($AB$3:AB88,AB88)-1)</f>
        <v>26</v>
      </c>
      <c r="AE88" s="17">
        <f>IF(AA88="","",RANK(AA88,$AA$3:$AA$168,0)+COUNTIF($AA$3:AA88,AA88)-1)</f>
        <v>61</v>
      </c>
      <c r="AF88" s="18">
        <v>79.55</v>
      </c>
      <c r="AG88" s="14">
        <v>95865232.469999999</v>
      </c>
      <c r="AH88" s="16">
        <f>IFERROR(AG88/AZ88,"")</f>
        <v>9613.4408814681101</v>
      </c>
      <c r="AI88" s="14">
        <v>3311</v>
      </c>
      <c r="AJ88" s="15">
        <f>IFERROR(AI88/F88,"")</f>
        <v>3.1425886730132212E-2</v>
      </c>
      <c r="AK88" s="14">
        <v>202</v>
      </c>
      <c r="AL88" s="14">
        <v>254</v>
      </c>
      <c r="AM88" s="14">
        <v>257</v>
      </c>
      <c r="AN88" s="14">
        <v>945</v>
      </c>
      <c r="AO88" s="14">
        <v>726</v>
      </c>
      <c r="AP88" s="18">
        <v>2.2000000000000002</v>
      </c>
      <c r="AQ88" s="19">
        <f>IFERROR(AL88*1000/AZ88,"")</f>
        <v>25.471319695146409</v>
      </c>
      <c r="AR88" s="14">
        <v>642</v>
      </c>
      <c r="AS88" s="14">
        <v>293</v>
      </c>
      <c r="AT88" s="14">
        <v>203</v>
      </c>
      <c r="AU88" s="14">
        <v>25</v>
      </c>
      <c r="AV88" s="14">
        <v>121</v>
      </c>
      <c r="AW88" s="15">
        <f>IFERROR(AS88/AR88,"")</f>
        <v>0.45638629283489096</v>
      </c>
      <c r="AX88" s="14">
        <v>6</v>
      </c>
      <c r="AY88" s="14">
        <v>10</v>
      </c>
      <c r="AZ88" s="14">
        <v>9972</v>
      </c>
      <c r="BA88" s="20">
        <v>862.58500000000004</v>
      </c>
      <c r="BB88" s="20">
        <v>11.56</v>
      </c>
      <c r="BC88" s="21">
        <v>0.58499999999999996</v>
      </c>
      <c r="BD88" s="18">
        <v>50.5</v>
      </c>
      <c r="BE88" s="18">
        <v>100</v>
      </c>
      <c r="BF88" s="18">
        <v>4.7</v>
      </c>
      <c r="BG88" s="18">
        <v>3.8</v>
      </c>
      <c r="BH88" s="18">
        <v>25.35</v>
      </c>
      <c r="BI88" s="14">
        <v>945</v>
      </c>
      <c r="BJ88" s="18">
        <v>2.2000000000000002</v>
      </c>
      <c r="BK88" s="15">
        <f>IFERROR(BI88/AZ88,"")</f>
        <v>9.4765342960288809E-2</v>
      </c>
      <c r="BL88" s="22">
        <f>IFERROR(AI88+K88+S88+AA88-F88,"")</f>
        <v>0</v>
      </c>
      <c r="BM88" s="22">
        <f>IFERROR(F88+G88-C88,"")</f>
        <v>0</v>
      </c>
      <c r="BN88" s="22">
        <f>IF(I88="","",IFERROR(C88*1000/H88-I88,""))</f>
        <v>-1.1700298615323845E-2</v>
      </c>
    </row>
    <row r="89" spans="1:66">
      <c r="A89" s="13" t="s">
        <v>273</v>
      </c>
      <c r="B89" s="13" t="s">
        <v>274</v>
      </c>
      <c r="C89" s="14">
        <v>109336</v>
      </c>
      <c r="D89" s="14">
        <v>130763</v>
      </c>
      <c r="E89" s="14">
        <v>140519</v>
      </c>
      <c r="F89" s="14">
        <v>101434</v>
      </c>
      <c r="G89" s="14">
        <v>7902</v>
      </c>
      <c r="H89" s="14">
        <v>10323</v>
      </c>
      <c r="I89" s="14">
        <v>10591.49</v>
      </c>
      <c r="J89" s="14">
        <v>14119.66</v>
      </c>
      <c r="K89" s="14">
        <v>4441</v>
      </c>
      <c r="L89" s="15">
        <f>IFERROR(K89/F89,"")</f>
        <v>4.3782163771516454E-2</v>
      </c>
      <c r="M89" s="16">
        <f>IFERROR(K89*1000/H89,"")</f>
        <v>430.20439794633342</v>
      </c>
      <c r="N89" s="17">
        <f>IF(L89="","",RANK(L89,$L$3:$L$168,0)+COUNTIF($L$3:L89,L89)-1)</f>
        <v>105</v>
      </c>
      <c r="O89" s="17">
        <f>IF(K89="","",RANK(K89,$K$3:$K$168,0)+COUNTIF($K$3:K89,K89)-1)</f>
        <v>101</v>
      </c>
      <c r="P89" s="14">
        <v>100</v>
      </c>
      <c r="Q89" s="15">
        <f>IFERROR(P89/AR89,"")</f>
        <v>0.1457725947521866</v>
      </c>
      <c r="R89" s="16">
        <v>5</v>
      </c>
      <c r="S89" s="14">
        <v>33612</v>
      </c>
      <c r="T89" s="15">
        <f>IFERROR(S89/F89,"")</f>
        <v>0.33136818029457576</v>
      </c>
      <c r="U89" s="16">
        <f>IFERROR(S89*1000/H89,"")</f>
        <v>3256.0302237721594</v>
      </c>
      <c r="V89" s="17">
        <f>IF(T89="","",RANK(T89,$T$3:$T$168,0)+COUNTIF($T$3:T89,T89)-1)</f>
        <v>43</v>
      </c>
      <c r="W89" s="17">
        <f>IF(S89="","",RANK(S89,$S$3:$S$168,0)+COUNTIF($S$3:S89,S89)-1)</f>
        <v>68</v>
      </c>
      <c r="X89" s="14">
        <v>261</v>
      </c>
      <c r="Y89" s="14">
        <v>301</v>
      </c>
      <c r="Z89" s="15">
        <f>IFERROR((X89+Y89)/AR89,"")</f>
        <v>0.81924198250728864</v>
      </c>
      <c r="AA89" s="14">
        <v>57970</v>
      </c>
      <c r="AB89" s="15">
        <f>IFERROR(AA89/F89,"")</f>
        <v>0.57150462369619659</v>
      </c>
      <c r="AC89" s="16">
        <f>IFERROR(AA89*1000/H89,"")</f>
        <v>5615.6156156156158</v>
      </c>
      <c r="AD89" s="17">
        <f>IF(AB89="","",RANK(AB89,$AB$3:$AB$168,0)+COUNTIF($AB$3:AB89,AB89)-1)</f>
        <v>68</v>
      </c>
      <c r="AE89" s="17">
        <f>IF(AA89="","",RANK(AA89,$AA$3:$AA$168,0)+COUNTIF($AA$3:AA89,AA89)-1)</f>
        <v>74</v>
      </c>
      <c r="AF89" s="18">
        <v>90.1</v>
      </c>
      <c r="AG89" s="14">
        <v>69461430.930000007</v>
      </c>
      <c r="AH89" s="16">
        <f>IFERROR(AG89/AZ89,"")</f>
        <v>6979.6453908762069</v>
      </c>
      <c r="AI89" s="14">
        <v>5411</v>
      </c>
      <c r="AJ89" s="15">
        <f>IFERROR(AI89/F89,"")</f>
        <v>5.3345032237711219E-2</v>
      </c>
      <c r="AK89" s="14">
        <v>173</v>
      </c>
      <c r="AL89" s="14">
        <v>194</v>
      </c>
      <c r="AM89" s="14">
        <v>197</v>
      </c>
      <c r="AN89" s="14">
        <v>591</v>
      </c>
      <c r="AO89" s="14">
        <v>418</v>
      </c>
      <c r="AP89" s="18">
        <v>1.9</v>
      </c>
      <c r="AQ89" s="19">
        <f>IFERROR(AL89*1000/AZ89,"")</f>
        <v>19.493569131832796</v>
      </c>
      <c r="AR89" s="14">
        <v>686</v>
      </c>
      <c r="AS89" s="14">
        <v>395</v>
      </c>
      <c r="AT89" s="14">
        <v>194</v>
      </c>
      <c r="AU89" s="14">
        <v>15</v>
      </c>
      <c r="AV89" s="14">
        <v>82</v>
      </c>
      <c r="AW89" s="15">
        <f>IFERROR(AS89/AR89,"")</f>
        <v>0.57580174927113703</v>
      </c>
      <c r="AX89" s="14">
        <v>11</v>
      </c>
      <c r="AY89" s="14">
        <v>13</v>
      </c>
      <c r="AZ89" s="14">
        <v>9952</v>
      </c>
      <c r="BA89" s="20">
        <v>122.035</v>
      </c>
      <c r="BB89" s="20">
        <v>81.55</v>
      </c>
      <c r="BC89" s="21">
        <v>0.58399999999999996</v>
      </c>
      <c r="BD89" s="18">
        <v>49.1</v>
      </c>
      <c r="BE89" s="18">
        <v>98.32</v>
      </c>
      <c r="BF89" s="18">
        <v>5.0999999999999996</v>
      </c>
      <c r="BG89" s="18">
        <v>4</v>
      </c>
      <c r="BH89" s="18">
        <v>7.47</v>
      </c>
      <c r="BI89" s="14">
        <v>591</v>
      </c>
      <c r="BJ89" s="18">
        <v>1.9</v>
      </c>
      <c r="BK89" s="15">
        <f>IFERROR(BI89/AZ89,"")</f>
        <v>5.9385048231511257E-2</v>
      </c>
      <c r="BL89" s="22">
        <f>IFERROR(AI89+K89+S89+AA89-F89,"")</f>
        <v>0</v>
      </c>
      <c r="BM89" s="22">
        <f>IFERROR(F89+G89-C89,"")</f>
        <v>0</v>
      </c>
      <c r="BN89" s="22">
        <f>IF(I89="","",IFERROR(C89*1000/H89-I89,""))</f>
        <v>4.7205269784171833E-3</v>
      </c>
    </row>
    <row r="90" spans="1:66">
      <c r="A90" s="13" t="s">
        <v>275</v>
      </c>
      <c r="B90" s="13" t="s">
        <v>276</v>
      </c>
      <c r="C90" s="14">
        <v>109306</v>
      </c>
      <c r="D90" s="14">
        <v>137082</v>
      </c>
      <c r="E90" s="14">
        <v>150413</v>
      </c>
      <c r="F90" s="14">
        <v>101996</v>
      </c>
      <c r="G90" s="14">
        <v>7310</v>
      </c>
      <c r="H90" s="14">
        <v>10646</v>
      </c>
      <c r="I90" s="14">
        <v>10267.31</v>
      </c>
      <c r="J90" s="14">
        <v>14000.98</v>
      </c>
      <c r="K90" s="14">
        <v>7404</v>
      </c>
      <c r="L90" s="15">
        <f>IFERROR(K90/F90,"")</f>
        <v>7.2591082003215818E-2</v>
      </c>
      <c r="M90" s="16">
        <f>IFERROR(K90*1000/H90,"")</f>
        <v>695.47247792598159</v>
      </c>
      <c r="N90" s="17">
        <f>IF(L90="","",RANK(L90,$L$3:$L$168,0)+COUNTIF($L$3:L90,L90)-1)</f>
        <v>68</v>
      </c>
      <c r="O90" s="17">
        <f>IF(K90="","",RANK(K90,$K$3:$K$168,0)+COUNTIF($K$3:K90,K90)-1)</f>
        <v>75</v>
      </c>
      <c r="P90" s="14">
        <v>57</v>
      </c>
      <c r="Q90" s="15">
        <f>IFERROR(P90/AR90,"")</f>
        <v>0.13073394495412843</v>
      </c>
      <c r="R90" s="16">
        <v>10</v>
      </c>
      <c r="S90" s="14">
        <v>26790</v>
      </c>
      <c r="T90" s="15">
        <f>IFERROR(S90/F90,"")</f>
        <v>0.26265735911212207</v>
      </c>
      <c r="U90" s="16">
        <f>IFERROR(S90*1000/H90,"")</f>
        <v>2516.4380988164567</v>
      </c>
      <c r="V90" s="17">
        <f>IF(T90="","",RANK(T90,$T$3:$T$168,0)+COUNTIF($T$3:T90,T90)-1)</f>
        <v>84</v>
      </c>
      <c r="W90" s="17">
        <f>IF(S90="","",RANK(S90,$S$3:$S$168,0)+COUNTIF($S$3:S90,S90)-1)</f>
        <v>81</v>
      </c>
      <c r="X90" s="14">
        <v>179</v>
      </c>
      <c r="Y90" s="14">
        <v>187</v>
      </c>
      <c r="Z90" s="15">
        <f>IFERROR((X90+Y90)/AR90,"")</f>
        <v>0.83944954128440363</v>
      </c>
      <c r="AA90" s="14">
        <v>62406</v>
      </c>
      <c r="AB90" s="15">
        <f>IFERROR(AA90/F90,"")</f>
        <v>0.61184752343229143</v>
      </c>
      <c r="AC90" s="16">
        <f>IFERROR(AA90*1000/H90,"")</f>
        <v>5861.9199699417622</v>
      </c>
      <c r="AD90" s="17">
        <f>IF(AB90="","",RANK(AB90,$AB$3:$AB$168,0)+COUNTIF($AB$3:AB90,AB90)-1)</f>
        <v>46</v>
      </c>
      <c r="AE90" s="17">
        <f>IF(AA90="","",RANK(AA90,$AA$3:$AA$168,0)+COUNTIF($AA$3:AA90,AA90)-1)</f>
        <v>71</v>
      </c>
      <c r="AF90" s="18">
        <v>86.34</v>
      </c>
      <c r="AG90" s="14">
        <v>93569583.450000003</v>
      </c>
      <c r="AH90" s="16">
        <f>IFERROR(AG90/AZ90,"")</f>
        <v>9241.4403407407408</v>
      </c>
      <c r="AI90" s="14">
        <v>5397</v>
      </c>
      <c r="AJ90" s="15">
        <f>IFERROR(AI90/F90,"")</f>
        <v>5.2913839758421899E-2</v>
      </c>
      <c r="AK90" s="14">
        <v>153</v>
      </c>
      <c r="AL90" s="14">
        <v>161</v>
      </c>
      <c r="AM90" s="14">
        <v>166</v>
      </c>
      <c r="AN90" s="14">
        <v>1099</v>
      </c>
      <c r="AO90" s="14">
        <v>968</v>
      </c>
      <c r="AP90" s="18">
        <v>1.7</v>
      </c>
      <c r="AQ90" s="19">
        <f>IFERROR(AL90*1000/AZ90,"")</f>
        <v>15.901234567901234</v>
      </c>
      <c r="AR90" s="14">
        <v>436</v>
      </c>
      <c r="AS90" s="14">
        <v>214</v>
      </c>
      <c r="AT90" s="14">
        <v>124</v>
      </c>
      <c r="AU90" s="14">
        <v>16</v>
      </c>
      <c r="AV90" s="14">
        <v>82</v>
      </c>
      <c r="AW90" s="15">
        <f>IFERROR(AS90/AR90,"")</f>
        <v>0.49082568807339449</v>
      </c>
      <c r="AX90" s="14">
        <v>6</v>
      </c>
      <c r="AY90" s="14">
        <v>7</v>
      </c>
      <c r="AZ90" s="14">
        <v>10125</v>
      </c>
      <c r="BA90" s="20">
        <v>230.036</v>
      </c>
      <c r="BB90" s="20">
        <v>46.54</v>
      </c>
      <c r="BC90" s="21">
        <v>0.56299999999999994</v>
      </c>
      <c r="BD90" s="18">
        <v>52.4</v>
      </c>
      <c r="BE90" s="18">
        <v>97.63</v>
      </c>
      <c r="BF90" s="18">
        <v>4.9000000000000004</v>
      </c>
      <c r="BG90" s="18">
        <v>3.8</v>
      </c>
      <c r="BH90" s="18">
        <v>30.47</v>
      </c>
      <c r="BI90" s="14">
        <v>1099</v>
      </c>
      <c r="BJ90" s="18">
        <v>1.7</v>
      </c>
      <c r="BK90" s="15">
        <f>IFERROR(BI90/AZ90,"")</f>
        <v>0.10854320987654321</v>
      </c>
      <c r="BL90" s="22">
        <f>IFERROR(AI90+K90+S90+AA90-F90,"")</f>
        <v>1</v>
      </c>
      <c r="BM90" s="22">
        <f>IFERROR(F90+G90-C90,"")</f>
        <v>0</v>
      </c>
      <c r="BN90" s="22">
        <f>IF(I90="","",IFERROR(C90*1000/H90-I90,""))</f>
        <v>2.0452752207347658E-2</v>
      </c>
    </row>
    <row r="91" spans="1:66">
      <c r="A91" s="13" t="s">
        <v>277</v>
      </c>
      <c r="B91" s="13" t="s">
        <v>278</v>
      </c>
      <c r="C91" s="14">
        <v>108194</v>
      </c>
      <c r="D91" s="14">
        <v>125503</v>
      </c>
      <c r="E91" s="14">
        <v>130557</v>
      </c>
      <c r="F91" s="14">
        <v>99245</v>
      </c>
      <c r="G91" s="14">
        <v>8948</v>
      </c>
      <c r="H91" s="14">
        <v>8790</v>
      </c>
      <c r="I91" s="14">
        <v>12308.73</v>
      </c>
      <c r="J91" s="14">
        <v>15962.4</v>
      </c>
      <c r="K91" s="14">
        <v>4241</v>
      </c>
      <c r="L91" s="15">
        <f>IFERROR(K91/F91,"")</f>
        <v>4.2732631366819485E-2</v>
      </c>
      <c r="M91" s="16">
        <f>IFERROR(K91*1000/H91,"")</f>
        <v>482.48009101251421</v>
      </c>
      <c r="N91" s="17">
        <f>IF(L91="","",RANK(L91,$L$3:$L$168,0)+COUNTIF($L$3:L91,L91)-1)</f>
        <v>109</v>
      </c>
      <c r="O91" s="17">
        <f>IF(K91="","",RANK(K91,$K$3:$K$168,0)+COUNTIF($K$3:K91,K91)-1)</f>
        <v>102</v>
      </c>
      <c r="P91" s="14">
        <v>85</v>
      </c>
      <c r="Q91" s="15">
        <f>IFERROR(P91/AR91,"")</f>
        <v>0.12781954887218044</v>
      </c>
      <c r="R91" s="16">
        <v>7</v>
      </c>
      <c r="S91" s="14">
        <v>40504</v>
      </c>
      <c r="T91" s="15">
        <f>IFERROR(S91/F91,"")</f>
        <v>0.40812131593531159</v>
      </c>
      <c r="U91" s="16">
        <f>IFERROR(S91*1000/H91,"")</f>
        <v>4607.9635949943113</v>
      </c>
      <c r="V91" s="17">
        <f>IF(T91="","",RANK(T91,$T$3:$T$168,0)+COUNTIF($T$3:T91,T91)-1)</f>
        <v>22</v>
      </c>
      <c r="W91" s="17">
        <f>IF(S91="","",RANK(S91,$S$3:$S$168,0)+COUNTIF($S$3:S91,S91)-1)</f>
        <v>62</v>
      </c>
      <c r="X91" s="14">
        <v>243</v>
      </c>
      <c r="Y91" s="14">
        <v>328</v>
      </c>
      <c r="Z91" s="15">
        <f>IFERROR((X91+Y91)/AR91,"")</f>
        <v>0.85864661654135344</v>
      </c>
      <c r="AA91" s="14">
        <v>52392</v>
      </c>
      <c r="AB91" s="15">
        <f>IFERROR(AA91/F91,"")</f>
        <v>0.52790568794397708</v>
      </c>
      <c r="AC91" s="16">
        <f>IFERROR(AA91*1000/H91,"")</f>
        <v>5960.4095563139936</v>
      </c>
      <c r="AD91" s="17">
        <f>IF(AB91="","",RANK(AB91,$AB$3:$AB$168,0)+COUNTIF($AB$3:AB91,AB91)-1)</f>
        <v>80</v>
      </c>
      <c r="AE91" s="17">
        <f>IF(AA91="","",RANK(AA91,$AA$3:$AA$168,0)+COUNTIF($AA$3:AA91,AA91)-1)</f>
        <v>82</v>
      </c>
      <c r="AF91" s="18">
        <v>90.5</v>
      </c>
      <c r="AG91" s="14">
        <v>52293477.25</v>
      </c>
      <c r="AH91" s="16">
        <f>IFERROR(AG91/AZ91,"")</f>
        <v>6393.627246607165</v>
      </c>
      <c r="AI91" s="14">
        <v>2108</v>
      </c>
      <c r="AJ91" s="15">
        <f>IFERROR(AI91/F91,"")</f>
        <v>2.1240364753891884E-2</v>
      </c>
      <c r="AK91" s="14">
        <v>251</v>
      </c>
      <c r="AL91" s="14">
        <v>257</v>
      </c>
      <c r="AM91" s="14">
        <v>265</v>
      </c>
      <c r="AN91" s="14">
        <v>1161</v>
      </c>
      <c r="AO91" s="14">
        <v>893</v>
      </c>
      <c r="AP91" s="18">
        <v>1.5</v>
      </c>
      <c r="AQ91" s="19">
        <f>IFERROR(AL91*1000/AZ91,"")</f>
        <v>31.421934221787506</v>
      </c>
      <c r="AR91" s="14">
        <v>665</v>
      </c>
      <c r="AS91" s="14">
        <v>321</v>
      </c>
      <c r="AT91" s="14">
        <v>209</v>
      </c>
      <c r="AU91" s="14">
        <v>40</v>
      </c>
      <c r="AV91" s="14">
        <v>95</v>
      </c>
      <c r="AW91" s="15">
        <f>IFERROR(AS91/AR91,"")</f>
        <v>0.48270676691729325</v>
      </c>
      <c r="AX91" s="14">
        <v>2</v>
      </c>
      <c r="AY91" s="14">
        <v>6</v>
      </c>
      <c r="AZ91" s="14">
        <v>8179</v>
      </c>
      <c r="BA91" s="20">
        <v>169.464</v>
      </c>
      <c r="BB91" s="20">
        <v>48.26</v>
      </c>
      <c r="BC91" s="21">
        <v>0.622</v>
      </c>
      <c r="BD91" s="18">
        <v>50.8</v>
      </c>
      <c r="BE91" s="18">
        <v>99.15</v>
      </c>
      <c r="BF91" s="18">
        <v>6.3</v>
      </c>
      <c r="BG91" s="18">
        <v>4.7</v>
      </c>
      <c r="BH91" s="18">
        <v>2.65</v>
      </c>
      <c r="BI91" s="14">
        <v>1161</v>
      </c>
      <c r="BJ91" s="18">
        <v>1.5</v>
      </c>
      <c r="BK91" s="15">
        <f>IFERROR(BI91/AZ91,"")</f>
        <v>0.1419488935077638</v>
      </c>
      <c r="BL91" s="22">
        <f>IFERROR(AI91+K91+S91+AA91-F91,"")</f>
        <v>0</v>
      </c>
      <c r="BM91" s="22">
        <f>IFERROR(F91+G91-C91,"")</f>
        <v>-1</v>
      </c>
      <c r="BN91" s="22">
        <f>IF(I91="","",IFERROR(C91*1000/H91-I91,""))</f>
        <v>2.9954493742479826E-2</v>
      </c>
    </row>
    <row r="92" spans="1:66">
      <c r="A92" s="13" t="s">
        <v>279</v>
      </c>
      <c r="B92" s="13" t="s">
        <v>280</v>
      </c>
      <c r="C92" s="14">
        <v>107284</v>
      </c>
      <c r="D92" s="14">
        <v>117560</v>
      </c>
      <c r="E92" s="14">
        <v>120493</v>
      </c>
      <c r="F92" s="14">
        <v>99755</v>
      </c>
      <c r="G92" s="14">
        <v>7529</v>
      </c>
      <c r="H92" s="14">
        <v>6085</v>
      </c>
      <c r="I92" s="14">
        <v>17630.89</v>
      </c>
      <c r="J92" s="14">
        <v>20453.689999999999</v>
      </c>
      <c r="K92" s="14">
        <v>21190</v>
      </c>
      <c r="L92" s="15">
        <f>IFERROR(K92/F92,"")</f>
        <v>0.2124204300536314</v>
      </c>
      <c r="M92" s="16">
        <f>IFERROR(K92*1000/H92,"")</f>
        <v>3482.3336072308957</v>
      </c>
      <c r="N92" s="17">
        <f>IF(L92="","",RANK(L92,$L$3:$L$168,0)+COUNTIF($L$3:L92,L92)-1)</f>
        <v>33</v>
      </c>
      <c r="O92" s="17">
        <f>IF(K92="","",RANK(K92,$K$3:$K$168,0)+COUNTIF($K$3:K92,K92)-1)</f>
        <v>56</v>
      </c>
      <c r="P92" s="14">
        <v>50</v>
      </c>
      <c r="Q92" s="15">
        <f>IFERROR(P92/AR92,"")</f>
        <v>0.12594458438287154</v>
      </c>
      <c r="R92" s="16">
        <v>7</v>
      </c>
      <c r="S92" s="14">
        <v>26124</v>
      </c>
      <c r="T92" s="15">
        <f>IFERROR(S92/F92,"")</f>
        <v>0.26188160994436371</v>
      </c>
      <c r="U92" s="16">
        <f>IFERROR(S92*1000/H92,"")</f>
        <v>4293.1799506984389</v>
      </c>
      <c r="V92" s="17">
        <f>IF(T92="","",RANK(T92,$T$3:$T$168,0)+COUNTIF($T$3:T92,T92)-1)</f>
        <v>85</v>
      </c>
      <c r="W92" s="17">
        <f>IF(S92="","",RANK(S92,$S$3:$S$168,0)+COUNTIF($S$3:S92,S92)-1)</f>
        <v>84</v>
      </c>
      <c r="X92" s="14">
        <v>184</v>
      </c>
      <c r="Y92" s="14">
        <v>155</v>
      </c>
      <c r="Z92" s="15">
        <f>IFERROR((X92+Y92)/AR92,"")</f>
        <v>0.853904282115869</v>
      </c>
      <c r="AA92" s="14">
        <v>43470</v>
      </c>
      <c r="AB92" s="15">
        <f>IFERROR(AA92/F92,"")</f>
        <v>0.43576763069520325</v>
      </c>
      <c r="AC92" s="16">
        <f>IFERROR(AA92*1000/H92,"")</f>
        <v>7143.7962202136405</v>
      </c>
      <c r="AD92" s="17">
        <f>IF(AB92="","",RANK(AB92,$AB$3:$AB$168,0)+COUNTIF($AB$3:AB92,AB92)-1)</f>
        <v>110</v>
      </c>
      <c r="AE92" s="17">
        <f>IF(AA92="","",RANK(AA92,$AA$3:$AA$168,0)+COUNTIF($AA$3:AA92,AA92)-1)</f>
        <v>96</v>
      </c>
      <c r="AF92" s="18">
        <v>93.93</v>
      </c>
      <c r="AG92" s="14">
        <v>48579049.549999997</v>
      </c>
      <c r="AH92" s="16">
        <f>IFERROR(AG92/AZ92,"")</f>
        <v>8246.3163384824311</v>
      </c>
      <c r="AI92" s="14">
        <v>8971</v>
      </c>
      <c r="AJ92" s="15">
        <f>IFERROR(AI92/F92,"")</f>
        <v>8.9930329306801671E-2</v>
      </c>
      <c r="AK92" s="14">
        <v>165</v>
      </c>
      <c r="AL92" s="14">
        <v>177</v>
      </c>
      <c r="AM92" s="14">
        <v>183</v>
      </c>
      <c r="AN92" s="14">
        <v>617</v>
      </c>
      <c r="AO92" s="14">
        <v>466</v>
      </c>
      <c r="AP92" s="18">
        <v>1.9</v>
      </c>
      <c r="AQ92" s="19">
        <f>IFERROR(AL92*1000/AZ92,"")</f>
        <v>30.045832626039722</v>
      </c>
      <c r="AR92" s="14">
        <v>397</v>
      </c>
      <c r="AS92" s="14">
        <v>166</v>
      </c>
      <c r="AT92" s="14">
        <v>155</v>
      </c>
      <c r="AU92" s="14">
        <v>17</v>
      </c>
      <c r="AV92" s="14">
        <v>59</v>
      </c>
      <c r="AW92" s="15">
        <f>IFERROR(AS92/AR92,"")</f>
        <v>0.41813602015113349</v>
      </c>
      <c r="AX92" s="14">
        <v>2</v>
      </c>
      <c r="AY92" s="14">
        <v>6</v>
      </c>
      <c r="AZ92" s="14">
        <v>5891</v>
      </c>
      <c r="BA92" s="20">
        <v>68.555999999999997</v>
      </c>
      <c r="BB92" s="20">
        <v>85.93</v>
      </c>
      <c r="BC92" s="21">
        <v>0.623</v>
      </c>
      <c r="BD92" s="18">
        <v>48.8</v>
      </c>
      <c r="BE92" s="18">
        <v>99.27</v>
      </c>
      <c r="BF92" s="18">
        <v>4.8</v>
      </c>
      <c r="BG92" s="18">
        <v>4.5</v>
      </c>
      <c r="BH92" s="18">
        <v>4.99</v>
      </c>
      <c r="BI92" s="14">
        <v>617</v>
      </c>
      <c r="BJ92" s="18">
        <v>1.9</v>
      </c>
      <c r="BK92" s="15">
        <f>IFERROR(BI92/AZ92,"")</f>
        <v>0.10473603802410457</v>
      </c>
      <c r="BL92" s="22">
        <f>IFERROR(AI92+K92+S92+AA92-F92,"")</f>
        <v>0</v>
      </c>
      <c r="BM92" s="22">
        <f>IFERROR(F92+G92-C92,"")</f>
        <v>0</v>
      </c>
      <c r="BN92" s="22">
        <f>IF(I92="","",IFERROR(C92*1000/H92-I92,""))</f>
        <v>5.6450287593179382E-3</v>
      </c>
    </row>
    <row r="93" spans="1:66">
      <c r="A93" s="13" t="s">
        <v>281</v>
      </c>
      <c r="B93" s="13" t="s">
        <v>282</v>
      </c>
      <c r="C93" s="14">
        <v>106965</v>
      </c>
      <c r="D93" s="14">
        <v>120903</v>
      </c>
      <c r="E93" s="14">
        <v>131975</v>
      </c>
      <c r="F93" s="14">
        <v>103285</v>
      </c>
      <c r="G93" s="14">
        <v>3681</v>
      </c>
      <c r="H93" s="14">
        <v>11363</v>
      </c>
      <c r="I93" s="14">
        <v>9413.4599999999991</v>
      </c>
      <c r="J93" s="14">
        <v>12919.69</v>
      </c>
      <c r="K93" s="14">
        <v>4589</v>
      </c>
      <c r="L93" s="15">
        <f>IFERROR(K93/F93,"")</f>
        <v>4.4430459408432973E-2</v>
      </c>
      <c r="M93" s="16">
        <f>IFERROR(K93*1000/H93,"")</f>
        <v>403.8546158584881</v>
      </c>
      <c r="N93" s="17">
        <f>IF(L93="","",RANK(L93,$L$3:$L$168,0)+COUNTIF($L$3:L93,L93)-1)</f>
        <v>104</v>
      </c>
      <c r="O93" s="17">
        <f>IF(K93="","",RANK(K93,$K$3:$K$168,0)+COUNTIF($K$3:K93,K93)-1)</f>
        <v>98</v>
      </c>
      <c r="P93" s="14">
        <v>54</v>
      </c>
      <c r="Q93" s="15">
        <f>IFERROR(P93/AR93,"")</f>
        <v>0.12</v>
      </c>
      <c r="R93" s="16">
        <v>12</v>
      </c>
      <c r="S93" s="14">
        <v>22890</v>
      </c>
      <c r="T93" s="15">
        <f>IFERROR(S93/F93,"")</f>
        <v>0.22161978990172823</v>
      </c>
      <c r="U93" s="16">
        <f>IFERROR(S93*1000/H93,"")</f>
        <v>2014.4328082372613</v>
      </c>
      <c r="V93" s="17">
        <f>IF(T93="","",RANK(T93,$T$3:$T$168,0)+COUNTIF($T$3:T93,T93)-1)</f>
        <v>121</v>
      </c>
      <c r="W93" s="17">
        <f>IF(S93="","",RANK(S93,$S$3:$S$168,0)+COUNTIF($S$3:S93,S93)-1)</f>
        <v>89</v>
      </c>
      <c r="X93" s="14">
        <v>199</v>
      </c>
      <c r="Y93" s="14">
        <v>189</v>
      </c>
      <c r="Z93" s="15">
        <f>IFERROR((X93+Y93)/AR93,"")</f>
        <v>0.86222222222222222</v>
      </c>
      <c r="AA93" s="14">
        <v>73375</v>
      </c>
      <c r="AB93" s="15">
        <f>IFERROR(AA93/F93,"")</f>
        <v>0.71041293508253855</v>
      </c>
      <c r="AC93" s="16">
        <f>IFERROR(AA93*1000/H93,"")</f>
        <v>6457.3616122502863</v>
      </c>
      <c r="AD93" s="17">
        <f>IF(AB93="","",RANK(AB93,$AB$3:$AB$168,0)+COUNTIF($AB$3:AB93,AB93)-1)</f>
        <v>3</v>
      </c>
      <c r="AE93" s="17">
        <f>IF(AA93="","",RANK(AA93,$AA$3:$AA$168,0)+COUNTIF($AA$3:AA93,AA93)-1)</f>
        <v>54</v>
      </c>
      <c r="AF93" s="18">
        <v>85.42</v>
      </c>
      <c r="AG93" s="14">
        <v>78404118.400000006</v>
      </c>
      <c r="AH93" s="16">
        <f>IFERROR(AG93/AZ93,"")</f>
        <v>7675.3909348996576</v>
      </c>
      <c r="AI93" s="14">
        <v>2431</v>
      </c>
      <c r="AJ93" s="15">
        <f>IFERROR(AI93/F93,"")</f>
        <v>2.3536815607300188E-2</v>
      </c>
      <c r="AK93" s="14">
        <v>148</v>
      </c>
      <c r="AL93" s="14">
        <v>187</v>
      </c>
      <c r="AM93" s="14">
        <v>189</v>
      </c>
      <c r="AN93" s="14">
        <v>643</v>
      </c>
      <c r="AO93" s="14">
        <v>500</v>
      </c>
      <c r="AP93" s="18">
        <v>2.2999999999999998</v>
      </c>
      <c r="AQ93" s="19">
        <f>IFERROR(AL93*1000/AZ93,"")</f>
        <v>18.306412139011258</v>
      </c>
      <c r="AR93" s="14">
        <v>450</v>
      </c>
      <c r="AS93" s="14">
        <v>215</v>
      </c>
      <c r="AT93" s="14">
        <v>125</v>
      </c>
      <c r="AU93" s="14">
        <v>11</v>
      </c>
      <c r="AV93" s="14">
        <v>99</v>
      </c>
      <c r="AW93" s="15">
        <f>IFERROR(AS93/AR93,"")</f>
        <v>0.4777777777777778</v>
      </c>
      <c r="AX93" s="14">
        <v>1</v>
      </c>
      <c r="AY93" s="14">
        <v>7</v>
      </c>
      <c r="AZ93" s="14">
        <v>10215</v>
      </c>
      <c r="BA93" s="20">
        <v>213.727</v>
      </c>
      <c r="BB93" s="20">
        <v>47.79</v>
      </c>
      <c r="BC93" s="21">
        <v>0.626</v>
      </c>
      <c r="BD93" s="18">
        <v>53.3</v>
      </c>
      <c r="BE93" s="18">
        <v>99.74</v>
      </c>
      <c r="BF93" s="18">
        <v>5.4</v>
      </c>
      <c r="BG93" s="18">
        <v>4.8</v>
      </c>
      <c r="BH93" s="18">
        <v>40.409999999999997</v>
      </c>
      <c r="BI93" s="14">
        <v>643</v>
      </c>
      <c r="BJ93" s="18">
        <v>2.2999999999999998</v>
      </c>
      <c r="BK93" s="15">
        <f>IFERROR(BI93/AZ93,"")</f>
        <v>6.2946647087616256E-2</v>
      </c>
      <c r="BL93" s="22">
        <f>IFERROR(AI93+K93+S93+AA93-F93,"")</f>
        <v>0</v>
      </c>
      <c r="BM93" s="22">
        <f>IFERROR(F93+G93-C93,"")</f>
        <v>1</v>
      </c>
      <c r="BN93" s="22">
        <f>IF(I93="","",IFERROR(C93*1000/H93-I93,""))</f>
        <v>-1.2846959429225535E-2</v>
      </c>
    </row>
    <row r="94" spans="1:66">
      <c r="A94" s="13" t="s">
        <v>283</v>
      </c>
      <c r="B94" s="13" t="s">
        <v>284</v>
      </c>
      <c r="C94" s="14">
        <v>105354</v>
      </c>
      <c r="D94" s="14">
        <v>119802</v>
      </c>
      <c r="E94" s="14">
        <v>136391</v>
      </c>
      <c r="F94" s="14">
        <v>99870</v>
      </c>
      <c r="G94" s="14">
        <v>5484</v>
      </c>
      <c r="H94" s="14">
        <v>9686</v>
      </c>
      <c r="I94" s="14">
        <v>10876.94</v>
      </c>
      <c r="J94" s="14">
        <v>14017.6</v>
      </c>
      <c r="K94" s="14">
        <v>3784</v>
      </c>
      <c r="L94" s="15">
        <f>IFERROR(K94/F94,"")</f>
        <v>3.7889256032842697E-2</v>
      </c>
      <c r="M94" s="16">
        <f>IFERROR(K94*1000/H94,"")</f>
        <v>390.66694197811273</v>
      </c>
      <c r="N94" s="17">
        <f>IF(L94="","",RANK(L94,$L$3:$L$168,0)+COUNTIF($L$3:L94,L94)-1)</f>
        <v>134</v>
      </c>
      <c r="O94" s="17">
        <f>IF(K94="","",RANK(K94,$K$3:$K$168,0)+COUNTIF($K$3:K94,K94)-1)</f>
        <v>106</v>
      </c>
      <c r="P94" s="14">
        <v>49</v>
      </c>
      <c r="Q94" s="15">
        <f>IFERROR(P94/AR94,"")</f>
        <v>0.11475409836065574</v>
      </c>
      <c r="R94" s="16">
        <v>16</v>
      </c>
      <c r="S94" s="14">
        <v>30123</v>
      </c>
      <c r="T94" s="15">
        <f>IFERROR(S94/F94,"")</f>
        <v>0.30162210874136375</v>
      </c>
      <c r="U94" s="16">
        <f>IFERROR(S94*1000/H94,"")</f>
        <v>3109.9525087755524</v>
      </c>
      <c r="V94" s="17">
        <f>IF(T94="","",RANK(T94,$T$3:$T$168,0)+COUNTIF($T$3:T94,T94)-1)</f>
        <v>54</v>
      </c>
      <c r="W94" s="17">
        <f>IF(S94="","",RANK(S94,$S$3:$S$168,0)+COUNTIF($S$3:S94,S94)-1)</f>
        <v>76</v>
      </c>
      <c r="X94" s="14">
        <v>143</v>
      </c>
      <c r="Y94" s="14">
        <v>217</v>
      </c>
      <c r="Z94" s="15">
        <f>IFERROR((X94+Y94)/AR94,"")</f>
        <v>0.84309133489461363</v>
      </c>
      <c r="AA94" s="14">
        <v>55108</v>
      </c>
      <c r="AB94" s="15">
        <f>IFERROR(AA94/F94,"")</f>
        <v>0.55179733653749874</v>
      </c>
      <c r="AC94" s="16">
        <f>IFERROR(AA94*1000/H94,"")</f>
        <v>5689.4486888292377</v>
      </c>
      <c r="AD94" s="17">
        <f>IF(AB94="","",RANK(AB94,$AB$3:$AB$168,0)+COUNTIF($AB$3:AB94,AB94)-1)</f>
        <v>74</v>
      </c>
      <c r="AE94" s="17">
        <f>IF(AA94="","",RANK(AA94,$AA$3:$AA$168,0)+COUNTIF($AA$3:AA94,AA94)-1)</f>
        <v>79</v>
      </c>
      <c r="AF94" s="18">
        <v>94.32</v>
      </c>
      <c r="AG94" s="14">
        <v>51546756.789999999</v>
      </c>
      <c r="AH94" s="16">
        <f>IFERROR(AG94/AZ94,"")</f>
        <v>5297.7139558067829</v>
      </c>
      <c r="AI94" s="14">
        <v>10856</v>
      </c>
      <c r="AJ94" s="15">
        <f>IFERROR(AI94/F94,"")</f>
        <v>0.10870131170521678</v>
      </c>
      <c r="AK94" s="14">
        <v>221</v>
      </c>
      <c r="AL94" s="14">
        <v>231</v>
      </c>
      <c r="AM94" s="14">
        <v>242</v>
      </c>
      <c r="AN94" s="14">
        <v>619</v>
      </c>
      <c r="AO94" s="14">
        <v>404</v>
      </c>
      <c r="AP94" s="18">
        <v>1.9</v>
      </c>
      <c r="AQ94" s="19">
        <f>IFERROR(AL94*1000/AZ94,"")</f>
        <v>23.741007194244606</v>
      </c>
      <c r="AR94" s="14">
        <v>427</v>
      </c>
      <c r="AS94" s="14">
        <v>130</v>
      </c>
      <c r="AT94" s="14">
        <v>121</v>
      </c>
      <c r="AU94" s="14">
        <v>61</v>
      </c>
      <c r="AV94" s="14">
        <v>115</v>
      </c>
      <c r="AW94" s="15">
        <f>IFERROR(AS94/AR94,"")</f>
        <v>0.3044496487119438</v>
      </c>
      <c r="AX94" s="14">
        <v>11</v>
      </c>
      <c r="AY94" s="14">
        <v>7</v>
      </c>
      <c r="AZ94" s="14">
        <v>9730</v>
      </c>
      <c r="BA94" s="20">
        <v>890.89</v>
      </c>
      <c r="BB94" s="20">
        <v>10.92</v>
      </c>
      <c r="BC94" s="21">
        <v>0.621</v>
      </c>
      <c r="BD94" s="18">
        <v>51.7</v>
      </c>
      <c r="BE94" s="18">
        <v>98.18</v>
      </c>
      <c r="BF94" s="18">
        <v>5</v>
      </c>
      <c r="BG94" s="18">
        <v>4.5</v>
      </c>
      <c r="BH94" s="18">
        <v>3</v>
      </c>
      <c r="BI94" s="14">
        <v>614</v>
      </c>
      <c r="BJ94" s="18">
        <v>1.9</v>
      </c>
      <c r="BK94" s="15">
        <f>IFERROR(BI94/AZ94,"")</f>
        <v>6.3103802672147991E-2</v>
      </c>
      <c r="BL94" s="22">
        <f>IFERROR(AI94+K94+S94+AA94-F94,"")</f>
        <v>1</v>
      </c>
      <c r="BM94" s="22">
        <f>IFERROR(F94+G94-C94,"")</f>
        <v>0</v>
      </c>
      <c r="BN94" s="22">
        <f>IF(I94="","",IFERROR(C94*1000/H94-I94,""))</f>
        <v>-4.2163947964581894E-3</v>
      </c>
    </row>
    <row r="95" spans="1:66">
      <c r="A95" s="13" t="s">
        <v>285</v>
      </c>
      <c r="B95" s="13" t="s">
        <v>286</v>
      </c>
      <c r="C95" s="14">
        <v>101429</v>
      </c>
      <c r="D95" s="14">
        <v>234017</v>
      </c>
      <c r="E95" s="14">
        <v>363648</v>
      </c>
      <c r="F95" s="14">
        <v>82665</v>
      </c>
      <c r="G95" s="14">
        <v>18764</v>
      </c>
      <c r="H95" s="14">
        <v>6907</v>
      </c>
      <c r="I95" s="14">
        <v>14684.92</v>
      </c>
      <c r="J95" s="14">
        <v>55417.279999999999</v>
      </c>
      <c r="K95" s="14">
        <v>3878</v>
      </c>
      <c r="L95" s="15">
        <f>IFERROR(K95/F95,"")</f>
        <v>4.6912236133793021E-2</v>
      </c>
      <c r="M95" s="16">
        <f>IFERROR(K95*1000/H95,"")</f>
        <v>561.45938902562614</v>
      </c>
      <c r="N95" s="17">
        <f>IF(L95="","",RANK(L95,$L$3:$L$168,0)+COUNTIF($L$3:L95,L95)-1)</f>
        <v>93</v>
      </c>
      <c r="O95" s="17">
        <f>IF(K95="","",RANK(K95,$K$3:$K$168,0)+COUNTIF($K$3:K95,K95)-1)</f>
        <v>103</v>
      </c>
      <c r="P95" s="14">
        <v>56</v>
      </c>
      <c r="Q95" s="15">
        <f>IFERROR(P95/AR95,"")</f>
        <v>0.15598885793871867</v>
      </c>
      <c r="R95" s="16">
        <v>27</v>
      </c>
      <c r="S95" s="14">
        <v>22218</v>
      </c>
      <c r="T95" s="15">
        <f>IFERROR(S95/F95,"")</f>
        <v>0.26877154781346396</v>
      </c>
      <c r="U95" s="16">
        <f>IFERROR(S95*1000/H95,"")</f>
        <v>3216.7366439843636</v>
      </c>
      <c r="V95" s="17">
        <f>IF(T95="","",RANK(T95,$T$3:$T$168,0)+COUNTIF($T$3:T95,T95)-1)</f>
        <v>77</v>
      </c>
      <c r="W95" s="17">
        <f>IF(S95="","",RANK(S95,$S$3:$S$168,0)+COUNTIF($S$3:S95,S95)-1)</f>
        <v>93</v>
      </c>
      <c r="X95" s="14">
        <v>129</v>
      </c>
      <c r="Y95" s="14">
        <v>152</v>
      </c>
      <c r="Z95" s="15">
        <f>IFERROR((X95+Y95)/AR95,"")</f>
        <v>0.78272980501392753</v>
      </c>
      <c r="AA95" s="14">
        <v>48265</v>
      </c>
      <c r="AB95" s="15">
        <f>IFERROR(AA95/F95,"")</f>
        <v>0.58386257787455387</v>
      </c>
      <c r="AC95" s="16">
        <f>IFERROR(AA95*1000/H95,"")</f>
        <v>6987.8384247864487</v>
      </c>
      <c r="AD95" s="17">
        <f>IF(AB95="","",RANK(AB95,$AB$3:$AB$168,0)+COUNTIF($AB$3:AB95,AB95)-1)</f>
        <v>62</v>
      </c>
      <c r="AE95" s="17">
        <f>IF(AA95="","",RANK(AA95,$AA$3:$AA$168,0)+COUNTIF($AA$3:AA95,AA95)-1)</f>
        <v>85</v>
      </c>
      <c r="AF95" s="18">
        <v>87.79</v>
      </c>
      <c r="AG95" s="14">
        <v>68276051.379999995</v>
      </c>
      <c r="AH95" s="16">
        <f>IFERROR(AG95/AZ95,"")</f>
        <v>10404.762477903078</v>
      </c>
      <c r="AI95" s="14">
        <v>8303</v>
      </c>
      <c r="AJ95" s="15">
        <f>IFERROR(AI95/F95,"")</f>
        <v>0.10044154116010404</v>
      </c>
      <c r="AK95" s="14">
        <v>146</v>
      </c>
      <c r="AL95" s="14">
        <v>154</v>
      </c>
      <c r="AM95" s="14">
        <v>155</v>
      </c>
      <c r="AN95" s="14">
        <v>1110</v>
      </c>
      <c r="AO95" s="14">
        <v>993</v>
      </c>
      <c r="AP95" s="18">
        <v>1.7</v>
      </c>
      <c r="AQ95" s="19">
        <f>IFERROR(AL95*1000/AZ95,"")</f>
        <v>23.468454739408717</v>
      </c>
      <c r="AR95" s="14">
        <v>359</v>
      </c>
      <c r="AS95" s="14">
        <v>155</v>
      </c>
      <c r="AT95" s="14">
        <v>95</v>
      </c>
      <c r="AU95" s="14">
        <v>20</v>
      </c>
      <c r="AV95" s="14">
        <v>89</v>
      </c>
      <c r="AW95" s="15">
        <f>IFERROR(AS95/AR95,"")</f>
        <v>0.43175487465181056</v>
      </c>
      <c r="AX95" s="14">
        <v>16</v>
      </c>
      <c r="AY95" s="14">
        <v>6</v>
      </c>
      <c r="AZ95" s="14">
        <v>6562</v>
      </c>
      <c r="BA95" s="20">
        <v>442.75400000000002</v>
      </c>
      <c r="BB95" s="20">
        <v>14.82</v>
      </c>
      <c r="BC95" s="21">
        <v>0.56899999999999995</v>
      </c>
      <c r="BD95" s="18">
        <v>50.4</v>
      </c>
      <c r="BE95" s="18">
        <v>98.12</v>
      </c>
      <c r="BF95" s="18">
        <v>4.8</v>
      </c>
      <c r="BG95" s="18"/>
      <c r="BH95" s="18">
        <v>1.36</v>
      </c>
      <c r="BI95" s="14">
        <v>1110</v>
      </c>
      <c r="BJ95" s="18">
        <v>1.7</v>
      </c>
      <c r="BK95" s="15">
        <f>IFERROR(BI95/AZ95,"")</f>
        <v>0.16915574519963425</v>
      </c>
      <c r="BL95" s="22">
        <f>IFERROR(AI95+K95+S95+AA95-F95,"")</f>
        <v>-1</v>
      </c>
      <c r="BM95" s="22">
        <f>IFERROR(F95+G95-C95,"")</f>
        <v>0</v>
      </c>
      <c r="BN95" s="22">
        <f>IF(I95="","",IFERROR(C95*1000/H95-I95,""))</f>
        <v>3.7289706095180009E-2</v>
      </c>
    </row>
    <row r="96" spans="1:66">
      <c r="A96" s="13" t="s">
        <v>287</v>
      </c>
      <c r="B96" s="13" t="s">
        <v>288</v>
      </c>
      <c r="C96" s="14">
        <v>99444</v>
      </c>
      <c r="D96" s="14">
        <v>145395</v>
      </c>
      <c r="E96" s="14">
        <v>179988</v>
      </c>
      <c r="F96" s="14">
        <v>90584</v>
      </c>
      <c r="G96" s="14">
        <v>8859</v>
      </c>
      <c r="H96" s="14">
        <v>7641</v>
      </c>
      <c r="I96" s="14">
        <v>13014.47</v>
      </c>
      <c r="J96" s="14">
        <v>24682.92</v>
      </c>
      <c r="K96" s="14">
        <v>10198</v>
      </c>
      <c r="L96" s="15">
        <f>IFERROR(K96/F96,"")</f>
        <v>0.11258058818334364</v>
      </c>
      <c r="M96" s="16">
        <f>IFERROR(K96*1000/H96,"")</f>
        <v>1334.6420625572568</v>
      </c>
      <c r="N96" s="17">
        <f>IF(L96="","",RANK(L96,$L$3:$L$168,0)+COUNTIF($L$3:L96,L96)-1)</f>
        <v>54</v>
      </c>
      <c r="O96" s="17">
        <f>IF(K96="","",RANK(K96,$K$3:$K$168,0)+COUNTIF($K$3:K96,K96)-1)</f>
        <v>67</v>
      </c>
      <c r="P96" s="14">
        <v>83</v>
      </c>
      <c r="Q96" s="15">
        <f>IFERROR(P96/AR96,"")</f>
        <v>0.17043121149897331</v>
      </c>
      <c r="R96" s="16">
        <v>13</v>
      </c>
      <c r="S96" s="14">
        <v>32214</v>
      </c>
      <c r="T96" s="15">
        <f>IFERROR(S96/F96,"")</f>
        <v>0.35562571756601608</v>
      </c>
      <c r="U96" s="16">
        <f>IFERROR(S96*1000/H96,"")</f>
        <v>4215.9403219473888</v>
      </c>
      <c r="V96" s="17">
        <f>IF(T96="","",RANK(T96,$T$3:$T$168,0)+COUNTIF($T$3:T96,T96)-1)</f>
        <v>33</v>
      </c>
      <c r="W96" s="17">
        <f>IF(S96="","",RANK(S96,$S$3:$S$168,0)+COUNTIF($S$3:S96,S96)-1)</f>
        <v>71</v>
      </c>
      <c r="X96" s="14">
        <v>173</v>
      </c>
      <c r="Y96" s="14">
        <v>225</v>
      </c>
      <c r="Z96" s="15">
        <f>IFERROR((X96+Y96)/AR96,"")</f>
        <v>0.81724845995893225</v>
      </c>
      <c r="AA96" s="14">
        <v>44885</v>
      </c>
      <c r="AB96" s="15">
        <f>IFERROR(AA96/F96,"")</f>
        <v>0.49550693279166297</v>
      </c>
      <c r="AC96" s="16">
        <f>IFERROR(AA96*1000/H96,"")</f>
        <v>5874.231121580945</v>
      </c>
      <c r="AD96" s="17">
        <f>IF(AB96="","",RANK(AB96,$AB$3:$AB$168,0)+COUNTIF($AB$3:AB96,AB96)-1)</f>
        <v>90</v>
      </c>
      <c r="AE96" s="17">
        <f>IF(AA96="","",RANK(AA96,$AA$3:$AA$168,0)+COUNTIF($AA$3:AA96,AA96)-1)</f>
        <v>93</v>
      </c>
      <c r="AF96" s="18">
        <v>94.4</v>
      </c>
      <c r="AG96" s="14">
        <v>59622705.82</v>
      </c>
      <c r="AH96" s="16">
        <f>IFERROR(AG96/AZ96,"")</f>
        <v>8176.4544459681847</v>
      </c>
      <c r="AI96" s="14">
        <v>3287</v>
      </c>
      <c r="AJ96" s="15">
        <f>IFERROR(AI96/F96,"")</f>
        <v>3.6286761458977301E-2</v>
      </c>
      <c r="AK96" s="14">
        <v>200</v>
      </c>
      <c r="AL96" s="14">
        <v>233</v>
      </c>
      <c r="AM96" s="14">
        <v>237</v>
      </c>
      <c r="AN96" s="14">
        <v>1487</v>
      </c>
      <c r="AO96" s="14">
        <v>1244</v>
      </c>
      <c r="AP96" s="18">
        <v>1.4</v>
      </c>
      <c r="AQ96" s="19">
        <f>IFERROR(AL96*1000/AZ96,"")</f>
        <v>31.95282501371366</v>
      </c>
      <c r="AR96" s="14">
        <v>487</v>
      </c>
      <c r="AS96" s="14">
        <v>204</v>
      </c>
      <c r="AT96" s="14">
        <v>190</v>
      </c>
      <c r="AU96" s="14">
        <v>24</v>
      </c>
      <c r="AV96" s="14">
        <v>69</v>
      </c>
      <c r="AW96" s="15">
        <f>IFERROR(AS96/AR96,"")</f>
        <v>0.41889117043121149</v>
      </c>
      <c r="AX96" s="14">
        <v>0</v>
      </c>
      <c r="AY96" s="14">
        <v>6</v>
      </c>
      <c r="AZ96" s="14">
        <v>7292</v>
      </c>
      <c r="BA96" s="20">
        <v>203.624</v>
      </c>
      <c r="BB96" s="20">
        <v>35.81</v>
      </c>
      <c r="BC96" s="21">
        <v>0.624</v>
      </c>
      <c r="BD96" s="18">
        <v>44.1</v>
      </c>
      <c r="BE96" s="18">
        <v>99.01</v>
      </c>
      <c r="BF96" s="18">
        <v>5.3</v>
      </c>
      <c r="BG96" s="18">
        <v>3.9</v>
      </c>
      <c r="BH96" s="18">
        <v>4.24</v>
      </c>
      <c r="BI96" s="14">
        <v>1487</v>
      </c>
      <c r="BJ96" s="18">
        <v>1.4</v>
      </c>
      <c r="BK96" s="15">
        <f>IFERROR(BI96/AZ96,"")</f>
        <v>0.20392210641799233</v>
      </c>
      <c r="BL96" s="22">
        <f>IFERROR(AI96+K96+S96+AA96-F96,"")</f>
        <v>0</v>
      </c>
      <c r="BM96" s="22">
        <f>IFERROR(F96+G96-C96,"")</f>
        <v>-1</v>
      </c>
      <c r="BN96" s="22">
        <f>IF(I96="","",IFERROR(C96*1000/H96-I96,""))</f>
        <v>5.6894385552368476E-2</v>
      </c>
    </row>
    <row r="97" spans="1:66">
      <c r="A97" s="13" t="s">
        <v>289</v>
      </c>
      <c r="B97" s="13" t="s">
        <v>290</v>
      </c>
      <c r="C97" s="14">
        <v>97584</v>
      </c>
      <c r="D97" s="14">
        <v>113844</v>
      </c>
      <c r="E97" s="14">
        <v>126682</v>
      </c>
      <c r="F97" s="14">
        <v>91985</v>
      </c>
      <c r="G97" s="14">
        <v>5599</v>
      </c>
      <c r="H97" s="14">
        <v>10463</v>
      </c>
      <c r="I97" s="14">
        <v>9326.6</v>
      </c>
      <c r="J97" s="14">
        <v>11928.61</v>
      </c>
      <c r="K97" s="14">
        <v>3117</v>
      </c>
      <c r="L97" s="15">
        <f>IFERROR(K97/F97,"")</f>
        <v>3.3885959667337068E-2</v>
      </c>
      <c r="M97" s="16">
        <f>IFERROR(K97*1000/H97,"")</f>
        <v>297.90691006403517</v>
      </c>
      <c r="N97" s="17">
        <f>IF(L97="","",RANK(L97,$L$3:$L$168,0)+COUNTIF($L$3:L97,L97)-1)</f>
        <v>142</v>
      </c>
      <c r="O97" s="17">
        <f>IF(K97="","",RANK(K97,$K$3:$K$168,0)+COUNTIF($K$3:K97,K97)-1)</f>
        <v>114</v>
      </c>
      <c r="P97" s="14">
        <v>34</v>
      </c>
      <c r="Q97" s="15">
        <f>IFERROR(P97/AR97,"")</f>
        <v>6.2385321100917435E-2</v>
      </c>
      <c r="R97" s="16">
        <v>4</v>
      </c>
      <c r="S97" s="14">
        <v>22482</v>
      </c>
      <c r="T97" s="15">
        <f>IFERROR(S97/F97,"")</f>
        <v>0.24440941457846388</v>
      </c>
      <c r="U97" s="16">
        <f>IFERROR(S97*1000/H97,"")</f>
        <v>2148.7145178247156</v>
      </c>
      <c r="V97" s="17">
        <f>IF(T97="","",RANK(T97,$T$3:$T$168,0)+COUNTIF($T$3:T97,T97)-1)</f>
        <v>98</v>
      </c>
      <c r="W97" s="17">
        <f>IF(S97="","",RANK(S97,$S$3:$S$168,0)+COUNTIF($S$3:S97,S97)-1)</f>
        <v>92</v>
      </c>
      <c r="X97" s="14">
        <v>114</v>
      </c>
      <c r="Y97" s="14">
        <v>386</v>
      </c>
      <c r="Z97" s="15">
        <f>IFERROR((X97+Y97)/AR97,"")</f>
        <v>0.91743119266055051</v>
      </c>
      <c r="AA97" s="14">
        <v>61582</v>
      </c>
      <c r="AB97" s="15">
        <f>IFERROR(AA97/F97,"")</f>
        <v>0.66947871935641678</v>
      </c>
      <c r="AC97" s="16">
        <f>IFERROR(AA97*1000/H97,"")</f>
        <v>5885.6924400267608</v>
      </c>
      <c r="AD97" s="17">
        <f>IF(AB97="","",RANK(AB97,$AB$3:$AB$168,0)+COUNTIF($AB$3:AB97,AB97)-1)</f>
        <v>22</v>
      </c>
      <c r="AE97" s="17">
        <f>IF(AA97="","",RANK(AA97,$AA$3:$AA$168,0)+COUNTIF($AA$3:AA97,AA97)-1)</f>
        <v>72</v>
      </c>
      <c r="AF97" s="18">
        <v>90.5</v>
      </c>
      <c r="AG97" s="14">
        <v>64955523.649999999</v>
      </c>
      <c r="AH97" s="16">
        <f>IFERROR(AG97/AZ97,"")</f>
        <v>6116.339326741996</v>
      </c>
      <c r="AI97" s="14">
        <v>4803</v>
      </c>
      <c r="AJ97" s="15">
        <f>IFERROR(AI97/F97,"")</f>
        <v>5.2215035060064141E-2</v>
      </c>
      <c r="AK97" s="14">
        <v>193</v>
      </c>
      <c r="AL97" s="14">
        <v>275</v>
      </c>
      <c r="AM97" s="14">
        <v>281</v>
      </c>
      <c r="AN97" s="14">
        <v>2038</v>
      </c>
      <c r="AO97" s="14">
        <v>1794</v>
      </c>
      <c r="AP97" s="18">
        <v>1.3</v>
      </c>
      <c r="AQ97" s="19">
        <f>IFERROR(AL97*1000/AZ97,"")</f>
        <v>25.894538606403014</v>
      </c>
      <c r="AR97" s="14">
        <v>545</v>
      </c>
      <c r="AS97" s="14">
        <v>176</v>
      </c>
      <c r="AT97" s="14">
        <v>79</v>
      </c>
      <c r="AU97" s="14">
        <v>6</v>
      </c>
      <c r="AV97" s="14">
        <v>284</v>
      </c>
      <c r="AW97" s="15">
        <f>IFERROR(AS97/AR97,"")</f>
        <v>0.32293577981651378</v>
      </c>
      <c r="AX97" s="14">
        <v>5</v>
      </c>
      <c r="AY97" s="14">
        <v>6</v>
      </c>
      <c r="AZ97" s="14">
        <v>10620</v>
      </c>
      <c r="BA97" s="20">
        <v>135.83699999999999</v>
      </c>
      <c r="BB97" s="20">
        <v>78.180000000000007</v>
      </c>
      <c r="BC97" s="21">
        <v>0.55800000000000005</v>
      </c>
      <c r="BD97" s="18">
        <v>52.4</v>
      </c>
      <c r="BE97" s="18">
        <v>98.23</v>
      </c>
      <c r="BF97" s="18">
        <v>4.3</v>
      </c>
      <c r="BG97" s="18">
        <v>4.0999999999999996</v>
      </c>
      <c r="BH97" s="18">
        <v>15.69</v>
      </c>
      <c r="BI97" s="14">
        <v>2036</v>
      </c>
      <c r="BJ97" s="18">
        <v>1.3</v>
      </c>
      <c r="BK97" s="15">
        <f>IFERROR(BI97/AZ97,"")</f>
        <v>0.19171374764595103</v>
      </c>
      <c r="BL97" s="22">
        <f>IFERROR(AI97+K97+S97+AA97-F97,"")</f>
        <v>-1</v>
      </c>
      <c r="BM97" s="22">
        <f>IFERROR(F97+G97-C97,"")</f>
        <v>0</v>
      </c>
      <c r="BN97" s="22">
        <f>IF(I97="","",IFERROR(C97*1000/H97-I97,""))</f>
        <v>-2.0625059734811657E-2</v>
      </c>
    </row>
    <row r="98" spans="1:66">
      <c r="A98" s="13" t="s">
        <v>291</v>
      </c>
      <c r="B98" s="13" t="s">
        <v>292</v>
      </c>
      <c r="C98" s="14">
        <v>94311</v>
      </c>
      <c r="D98" s="14">
        <v>113114</v>
      </c>
      <c r="E98" s="14">
        <v>124483</v>
      </c>
      <c r="F98" s="14">
        <v>89408</v>
      </c>
      <c r="G98" s="14">
        <v>4902</v>
      </c>
      <c r="H98" s="14">
        <v>8348</v>
      </c>
      <c r="I98" s="14">
        <v>11297.4</v>
      </c>
      <c r="J98" s="14">
        <v>14963.74</v>
      </c>
      <c r="K98" s="14">
        <v>3545</v>
      </c>
      <c r="L98" s="15">
        <f>IFERROR(K98/F98,"")</f>
        <v>3.964969577666428E-2</v>
      </c>
      <c r="M98" s="16">
        <f>IFERROR(K98*1000/H98,"")</f>
        <v>424.65261140392909</v>
      </c>
      <c r="N98" s="17">
        <f>IF(L98="","",RANK(L98,$L$3:$L$168,0)+COUNTIF($L$3:L98,L98)-1)</f>
        <v>125</v>
      </c>
      <c r="O98" s="17">
        <f>IF(K98="","",RANK(K98,$K$3:$K$168,0)+COUNTIF($K$3:K98,K98)-1)</f>
        <v>110</v>
      </c>
      <c r="P98" s="14">
        <v>72</v>
      </c>
      <c r="Q98" s="15">
        <f>IFERROR(P98/AR98,"")</f>
        <v>0.140625</v>
      </c>
      <c r="R98" s="16">
        <v>4</v>
      </c>
      <c r="S98" s="14">
        <v>26199</v>
      </c>
      <c r="T98" s="15">
        <f>IFERROR(S98/F98,"")</f>
        <v>0.29302746957766646</v>
      </c>
      <c r="U98" s="16">
        <f>IFERROR(S98*1000/H98,"")</f>
        <v>3138.3564925730716</v>
      </c>
      <c r="V98" s="17">
        <f>IF(T98="","",RANK(T98,$T$3:$T$168,0)+COUNTIF($T$3:T98,T98)-1)</f>
        <v>58</v>
      </c>
      <c r="W98" s="17">
        <f>IF(S98="","",RANK(S98,$S$3:$S$168,0)+COUNTIF($S$3:S98,S98)-1)</f>
        <v>83</v>
      </c>
      <c r="X98" s="14">
        <v>238</v>
      </c>
      <c r="Y98" s="14">
        <v>191</v>
      </c>
      <c r="Z98" s="15">
        <f>IFERROR((X98+Y98)/AR98,"")</f>
        <v>0.837890625</v>
      </c>
      <c r="AA98" s="14">
        <v>55367</v>
      </c>
      <c r="AB98" s="15">
        <f>IFERROR(AA98/F98,"")</f>
        <v>0.61926225841088045</v>
      </c>
      <c r="AC98" s="16">
        <f>IFERROR(AA98*1000/H98,"")</f>
        <v>6632.3670340201243</v>
      </c>
      <c r="AD98" s="17">
        <f>IF(AB98="","",RANK(AB98,$AB$3:$AB$168,0)+COUNTIF($AB$3:AB98,AB98)-1)</f>
        <v>44</v>
      </c>
      <c r="AE98" s="17">
        <f>IF(AA98="","",RANK(AA98,$AA$3:$AA$168,0)+COUNTIF($AA$3:AA98,AA98)-1)</f>
        <v>78</v>
      </c>
      <c r="AF98" s="18">
        <v>93.8</v>
      </c>
      <c r="AG98" s="14">
        <v>49841698.509999998</v>
      </c>
      <c r="AH98" s="16">
        <f>IFERROR(AG98/AZ98,"")</f>
        <v>5991.3088724606323</v>
      </c>
      <c r="AI98" s="14">
        <v>4297</v>
      </c>
      <c r="AJ98" s="15">
        <f>IFERROR(AI98/F98,"")</f>
        <v>4.8060576234788835E-2</v>
      </c>
      <c r="AK98" s="14">
        <v>144</v>
      </c>
      <c r="AL98" s="14">
        <v>162</v>
      </c>
      <c r="AM98" s="14">
        <v>166</v>
      </c>
      <c r="AN98" s="14">
        <v>896</v>
      </c>
      <c r="AO98" s="14">
        <v>768</v>
      </c>
      <c r="AP98" s="18">
        <v>1.4</v>
      </c>
      <c r="AQ98" s="19">
        <f>IFERROR(AL98*1000/AZ98,"")</f>
        <v>19.473494410385864</v>
      </c>
      <c r="AR98" s="14">
        <v>512</v>
      </c>
      <c r="AS98" s="14">
        <v>278</v>
      </c>
      <c r="AT98" s="14">
        <v>167</v>
      </c>
      <c r="AU98" s="14">
        <v>12</v>
      </c>
      <c r="AV98" s="14">
        <v>55</v>
      </c>
      <c r="AW98" s="15">
        <f>IFERROR(AS98/AR98,"")</f>
        <v>0.54296875</v>
      </c>
      <c r="AX98" s="14">
        <v>5</v>
      </c>
      <c r="AY98" s="14">
        <v>6</v>
      </c>
      <c r="AZ98" s="14">
        <v>8319</v>
      </c>
      <c r="BA98" s="20">
        <v>79.128</v>
      </c>
      <c r="BB98" s="20">
        <v>105.13</v>
      </c>
      <c r="BC98" s="21">
        <v>0.58199999999999996</v>
      </c>
      <c r="BD98" s="18">
        <v>52.2</v>
      </c>
      <c r="BE98" s="18">
        <v>100</v>
      </c>
      <c r="BF98" s="18">
        <v>4.8</v>
      </c>
      <c r="BG98" s="18">
        <v>4.0999999999999996</v>
      </c>
      <c r="BH98" s="18">
        <v>0.48</v>
      </c>
      <c r="BI98" s="14">
        <v>896</v>
      </c>
      <c r="BJ98" s="18">
        <v>1.4</v>
      </c>
      <c r="BK98" s="15">
        <f>IFERROR(BI98/AZ98,"")</f>
        <v>0.10770525303522058</v>
      </c>
      <c r="BL98" s="22">
        <f>IFERROR(AI98+K98+S98+AA98-F98,"")</f>
        <v>0</v>
      </c>
      <c r="BM98" s="22">
        <f>IFERROR(F98+G98-C98,"")</f>
        <v>-1</v>
      </c>
      <c r="BN98" s="22">
        <f>IF(I98="","",IFERROR(C98*1000/H98-I98,""))</f>
        <v>3.6511739339402993E-2</v>
      </c>
    </row>
    <row r="99" spans="1:66">
      <c r="A99" s="13" t="s">
        <v>293</v>
      </c>
      <c r="B99" s="13" t="s">
        <v>294</v>
      </c>
      <c r="C99" s="14">
        <v>88674</v>
      </c>
      <c r="D99" s="14">
        <v>97419</v>
      </c>
      <c r="E99" s="14">
        <v>108235</v>
      </c>
      <c r="F99" s="14">
        <v>84508</v>
      </c>
      <c r="G99" s="14">
        <v>4166</v>
      </c>
      <c r="H99" s="14">
        <v>8183</v>
      </c>
      <c r="I99" s="14">
        <v>10836.41</v>
      </c>
      <c r="J99" s="14">
        <v>14036.42</v>
      </c>
      <c r="K99" s="14">
        <v>3755</v>
      </c>
      <c r="L99" s="15">
        <f>IFERROR(K99/F99,"")</f>
        <v>4.4433663085151703E-2</v>
      </c>
      <c r="M99" s="16">
        <f>IFERROR(K99*1000/H99,"")</f>
        <v>458.87816204326043</v>
      </c>
      <c r="N99" s="17">
        <f>IF(L99="","",RANK(L99,$L$3:$L$168,0)+COUNTIF($L$3:L99,L99)-1)</f>
        <v>103</v>
      </c>
      <c r="O99" s="17">
        <f>IF(K99="","",RANK(K99,$K$3:$K$168,0)+COUNTIF($K$3:K99,K99)-1)</f>
        <v>107</v>
      </c>
      <c r="P99" s="14">
        <v>50</v>
      </c>
      <c r="Q99" s="15">
        <f>IFERROR(P99/AR99,"")</f>
        <v>0.13477088948787061</v>
      </c>
      <c r="R99" s="16">
        <v>5</v>
      </c>
      <c r="S99" s="14">
        <v>20342</v>
      </c>
      <c r="T99" s="15">
        <f>IFERROR(S99/F99,"")</f>
        <v>0.24071093860936243</v>
      </c>
      <c r="U99" s="16">
        <f>IFERROR(S99*1000/H99,"")</f>
        <v>2485.8853721129171</v>
      </c>
      <c r="V99" s="17">
        <f>IF(T99="","",RANK(T99,$T$3:$T$168,0)+COUNTIF($T$3:T99,T99)-1)</f>
        <v>102</v>
      </c>
      <c r="W99" s="17">
        <f>IF(S99="","",RANK(S99,$S$3:$S$168,0)+COUNTIF($S$3:S99,S99)-1)</f>
        <v>98</v>
      </c>
      <c r="X99" s="14">
        <v>152</v>
      </c>
      <c r="Y99" s="14">
        <v>159</v>
      </c>
      <c r="Z99" s="15">
        <f>IFERROR((X99+Y99)/AR99,"")</f>
        <v>0.83827493261455521</v>
      </c>
      <c r="AA99" s="14">
        <v>47204</v>
      </c>
      <c r="AB99" s="15">
        <f>IFERROR(AA99/F99,"")</f>
        <v>0.5585743361575235</v>
      </c>
      <c r="AC99" s="16">
        <f>IFERROR(AA99*1000/H99,"")</f>
        <v>5768.5445435659294</v>
      </c>
      <c r="AD99" s="17">
        <f>IF(AB99="","",RANK(AB99,$AB$3:$AB$168,0)+COUNTIF($AB$3:AB99,AB99)-1)</f>
        <v>70</v>
      </c>
      <c r="AE99" s="17">
        <f>IF(AA99="","",RANK(AA99,$AA$3:$AA$168,0)+COUNTIF($AA$3:AA99,AA99)-1)</f>
        <v>90</v>
      </c>
      <c r="AF99" s="18">
        <v>96.17</v>
      </c>
      <c r="AG99" s="14">
        <v>41236786.350000001</v>
      </c>
      <c r="AH99" s="16">
        <f>IFERROR(AG99/AZ99,"")</f>
        <v>5347.7871028400987</v>
      </c>
      <c r="AI99" s="14">
        <v>13206</v>
      </c>
      <c r="AJ99" s="15">
        <f>IFERROR(AI99/F99,"")</f>
        <v>0.15626922894873857</v>
      </c>
      <c r="AK99" s="14">
        <v>128</v>
      </c>
      <c r="AL99" s="14">
        <v>144</v>
      </c>
      <c r="AM99" s="14">
        <v>144</v>
      </c>
      <c r="AN99" s="14">
        <v>451</v>
      </c>
      <c r="AO99" s="14">
        <v>333</v>
      </c>
      <c r="AP99" s="18">
        <v>2</v>
      </c>
      <c r="AQ99" s="19">
        <f>IFERROR(AL99*1000/AZ99,"")</f>
        <v>18.674620671767606</v>
      </c>
      <c r="AR99" s="14">
        <v>371</v>
      </c>
      <c r="AS99" s="14">
        <v>194</v>
      </c>
      <c r="AT99" s="14">
        <v>107</v>
      </c>
      <c r="AU99" s="14">
        <v>5</v>
      </c>
      <c r="AV99" s="14">
        <v>65</v>
      </c>
      <c r="AW99" s="15">
        <f>IFERROR(AS99/AR99,"")</f>
        <v>0.52291105121293802</v>
      </c>
      <c r="AX99" s="14">
        <v>2</v>
      </c>
      <c r="AY99" s="14">
        <v>8</v>
      </c>
      <c r="AZ99" s="14">
        <v>7711</v>
      </c>
      <c r="BA99" s="20">
        <v>469.101</v>
      </c>
      <c r="BB99" s="20">
        <v>16.440000000000001</v>
      </c>
      <c r="BC99" s="21">
        <v>0.61099999999999999</v>
      </c>
      <c r="BD99" s="18">
        <v>52.8</v>
      </c>
      <c r="BE99" s="18">
        <v>99.52</v>
      </c>
      <c r="BF99" s="18">
        <v>5.3</v>
      </c>
      <c r="BG99" s="18">
        <v>4.5</v>
      </c>
      <c r="BH99" s="18">
        <v>58.16</v>
      </c>
      <c r="BI99" s="14">
        <v>446</v>
      </c>
      <c r="BJ99" s="18">
        <v>2</v>
      </c>
      <c r="BK99" s="15">
        <f>IFERROR(BI99/AZ99,"")</f>
        <v>5.7839450136169111E-2</v>
      </c>
      <c r="BL99" s="22">
        <f>IFERROR(AI99+K99+S99+AA99-F99,"")</f>
        <v>-1</v>
      </c>
      <c r="BM99" s="22">
        <f>IFERROR(F99+G99-C99,"")</f>
        <v>0</v>
      </c>
      <c r="BN99" s="22">
        <f>IF(I99="","",IFERROR(C99*1000/H99-I99,""))</f>
        <v>-4.1919833802239737E-2</v>
      </c>
    </row>
    <row r="100" spans="1:66">
      <c r="A100" s="13" t="s">
        <v>295</v>
      </c>
      <c r="B100" s="13" t="s">
        <v>296</v>
      </c>
      <c r="C100" s="14">
        <v>88429</v>
      </c>
      <c r="D100" s="14">
        <v>120353</v>
      </c>
      <c r="E100" s="14">
        <v>128584</v>
      </c>
      <c r="F100" s="14">
        <v>85815</v>
      </c>
      <c r="G100" s="14">
        <v>2614</v>
      </c>
      <c r="H100" s="14">
        <v>5552</v>
      </c>
      <c r="I100" s="14">
        <v>15927.4</v>
      </c>
      <c r="J100" s="14">
        <v>26749.41</v>
      </c>
      <c r="K100" s="14">
        <v>31441</v>
      </c>
      <c r="L100" s="15">
        <f>IFERROR(K100/F100,"")</f>
        <v>0.36638116879333449</v>
      </c>
      <c r="M100" s="16">
        <f>IFERROR(K100*1000/H100,"")</f>
        <v>5663.004322766571</v>
      </c>
      <c r="N100" s="17">
        <f>IF(L100="","",RANK(L100,$L$3:$L$168,0)+COUNTIF($L$3:L100,L100)-1)</f>
        <v>21</v>
      </c>
      <c r="O100" s="17">
        <f>IF(K100="","",RANK(K100,$K$3:$K$168,0)+COUNTIF($K$3:K100,K100)-1)</f>
        <v>44</v>
      </c>
      <c r="P100" s="14">
        <v>24</v>
      </c>
      <c r="Q100" s="15">
        <f>IFERROR(P100/AR100,"")</f>
        <v>0.12244897959183673</v>
      </c>
      <c r="R100" s="16">
        <v>4</v>
      </c>
      <c r="S100" s="14">
        <v>10398</v>
      </c>
      <c r="T100" s="15">
        <f>IFERROR(S100/F100,"")</f>
        <v>0.12116762803705645</v>
      </c>
      <c r="U100" s="16">
        <f>IFERROR(S100*1000/H100,"")</f>
        <v>1872.8386167146973</v>
      </c>
      <c r="V100" s="17">
        <f>IF(T100="","",RANK(T100,$T$3:$T$168,0)+COUNTIF($T$3:T100,T100)-1)</f>
        <v>158</v>
      </c>
      <c r="W100" s="17">
        <f>IF(S100="","",RANK(S100,$S$3:$S$168,0)+COUNTIF($S$3:S100,S100)-1)</f>
        <v>141</v>
      </c>
      <c r="X100" s="14">
        <v>60</v>
      </c>
      <c r="Y100" s="14">
        <v>103</v>
      </c>
      <c r="Z100" s="15">
        <f>IFERROR((X100+Y100)/AR100,"")</f>
        <v>0.83163265306122447</v>
      </c>
      <c r="AA100" s="14">
        <v>38549</v>
      </c>
      <c r="AB100" s="15">
        <f>IFERROR(AA100/F100,"")</f>
        <v>0.44921051098292841</v>
      </c>
      <c r="AC100" s="16">
        <f>IFERROR(AA100*1000/H100,"")</f>
        <v>6943.2636887608069</v>
      </c>
      <c r="AD100" s="17">
        <f>IF(AB100="","",RANK(AB100,$AB$3:$AB$168,0)+COUNTIF($AB$3:AB100,AB100)-1)</f>
        <v>106</v>
      </c>
      <c r="AE100" s="17">
        <f>IF(AA100="","",RANK(AA100,$AA$3:$AA$168,0)+COUNTIF($AA$3:AA100,AA100)-1)</f>
        <v>105</v>
      </c>
      <c r="AF100" s="18">
        <v>92.97</v>
      </c>
      <c r="AG100" s="14">
        <v>44260573.609999999</v>
      </c>
      <c r="AH100" s="16">
        <f>IFERROR(AG100/AZ100,"")</f>
        <v>9207.525194508009</v>
      </c>
      <c r="AI100" s="14">
        <v>5428</v>
      </c>
      <c r="AJ100" s="15">
        <f>IFERROR(AI100/F100,"")</f>
        <v>6.3252345161102369E-2</v>
      </c>
      <c r="AK100" s="14">
        <v>75</v>
      </c>
      <c r="AL100" s="14">
        <v>97</v>
      </c>
      <c r="AM100" s="14">
        <v>99</v>
      </c>
      <c r="AN100" s="14">
        <v>544</v>
      </c>
      <c r="AO100" s="14">
        <v>472</v>
      </c>
      <c r="AP100" s="18">
        <v>1.8</v>
      </c>
      <c r="AQ100" s="19">
        <f>IFERROR(AL100*1000/AZ100,"")</f>
        <v>20.178905762429789</v>
      </c>
      <c r="AR100" s="14">
        <v>196</v>
      </c>
      <c r="AS100" s="14">
        <v>71</v>
      </c>
      <c r="AT100" s="14">
        <v>54</v>
      </c>
      <c r="AU100" s="14">
        <v>4</v>
      </c>
      <c r="AV100" s="14">
        <v>67</v>
      </c>
      <c r="AW100" s="15">
        <f>IFERROR(AS100/AR100,"")</f>
        <v>0.36224489795918369</v>
      </c>
      <c r="AX100" s="14">
        <v>3</v>
      </c>
      <c r="AY100" s="14">
        <v>6</v>
      </c>
      <c r="AZ100" s="14">
        <v>4807</v>
      </c>
      <c r="BA100" s="20">
        <v>301.06900000000002</v>
      </c>
      <c r="BB100" s="20">
        <v>15.97</v>
      </c>
      <c r="BC100" s="21">
        <v>0.58199999999999996</v>
      </c>
      <c r="BD100" s="18">
        <v>52.3</v>
      </c>
      <c r="BE100" s="18">
        <v>96.1</v>
      </c>
      <c r="BF100" s="18">
        <v>3.8</v>
      </c>
      <c r="BG100" s="18">
        <v>4.2</v>
      </c>
      <c r="BH100" s="18">
        <v>1.37</v>
      </c>
      <c r="BI100" s="14">
        <v>544</v>
      </c>
      <c r="BJ100" s="18">
        <v>1.8</v>
      </c>
      <c r="BK100" s="15">
        <f>IFERROR(BI100/AZ100,"")</f>
        <v>0.11316829623465779</v>
      </c>
      <c r="BL100" s="22">
        <f>IFERROR(AI100+K100+S100+AA100-F100,"")</f>
        <v>1</v>
      </c>
      <c r="BM100" s="22">
        <f>IFERROR(F100+G100-C100,"")</f>
        <v>0</v>
      </c>
      <c r="BN100" s="22">
        <f>IF(I100="","",IFERROR(C100*1000/H100-I100,""))</f>
        <v>1.3544668589020148E-2</v>
      </c>
    </row>
    <row r="101" spans="1:66">
      <c r="A101" s="13" t="s">
        <v>297</v>
      </c>
      <c r="B101" s="13" t="s">
        <v>298</v>
      </c>
      <c r="C101" s="14">
        <v>87825</v>
      </c>
      <c r="D101" s="14">
        <v>97477</v>
      </c>
      <c r="E101" s="14">
        <v>112399</v>
      </c>
      <c r="F101" s="14">
        <v>84454</v>
      </c>
      <c r="G101" s="14">
        <v>3371</v>
      </c>
      <c r="H101" s="14">
        <v>10175</v>
      </c>
      <c r="I101" s="14">
        <v>8631.4599999999991</v>
      </c>
      <c r="J101" s="14">
        <v>12392.43</v>
      </c>
      <c r="K101" s="14">
        <v>2330</v>
      </c>
      <c r="L101" s="15">
        <f>IFERROR(K101/F101,"")</f>
        <v>2.7588983351883867E-2</v>
      </c>
      <c r="M101" s="16">
        <f>IFERROR(K101*1000/H101,"")</f>
        <v>228.99262899262899</v>
      </c>
      <c r="N101" s="17">
        <f>IF(L101="","",RANK(L101,$L$3:$L$168,0)+COUNTIF($L$3:L101,L101)-1)</f>
        <v>155</v>
      </c>
      <c r="O101" s="17">
        <f>IF(K101="","",RANK(K101,$K$3:$K$168,0)+COUNTIF($K$3:K101,K101)-1)</f>
        <v>127</v>
      </c>
      <c r="P101" s="14">
        <v>28</v>
      </c>
      <c r="Q101" s="15">
        <f>IFERROR(P101/AR101,"")</f>
        <v>8.5626911314984705E-2</v>
      </c>
      <c r="R101" s="16">
        <v>2</v>
      </c>
      <c r="S101" s="14">
        <v>20589</v>
      </c>
      <c r="T101" s="15">
        <f>IFERROR(S101/F101,"")</f>
        <v>0.24378951855447936</v>
      </c>
      <c r="U101" s="16">
        <f>IFERROR(S101*1000/H101,"")</f>
        <v>2023.4889434889435</v>
      </c>
      <c r="V101" s="17">
        <f>IF(T101="","",RANK(T101,$T$3:$T$168,0)+COUNTIF($T$3:T101,T101)-1)</f>
        <v>99</v>
      </c>
      <c r="W101" s="17">
        <f>IF(S101="","",RANK(S101,$S$3:$S$168,0)+COUNTIF($S$3:S101,S101)-1)</f>
        <v>97</v>
      </c>
      <c r="X101" s="14">
        <v>149</v>
      </c>
      <c r="Y101" s="14">
        <v>142</v>
      </c>
      <c r="Z101" s="15">
        <f>IFERROR((X101+Y101)/AR101,"")</f>
        <v>0.88990825688073394</v>
      </c>
      <c r="AA101" s="14">
        <v>59670</v>
      </c>
      <c r="AB101" s="15">
        <f>IFERROR(AA101/F101,"")</f>
        <v>0.70653847064674258</v>
      </c>
      <c r="AC101" s="16">
        <f>IFERROR(AA101*1000/H101,"")</f>
        <v>5864.3734643734642</v>
      </c>
      <c r="AD101" s="17">
        <f>IF(AB101="","",RANK(AB101,$AB$3:$AB$168,0)+COUNTIF($AB$3:AB101,AB101)-1)</f>
        <v>6</v>
      </c>
      <c r="AE101" s="17">
        <f>IF(AA101="","",RANK(AA101,$AA$3:$AA$168,0)+COUNTIF($AA$3:AA101,AA101)-1)</f>
        <v>73</v>
      </c>
      <c r="AF101" s="18">
        <v>92.78</v>
      </c>
      <c r="AG101" s="14">
        <v>62026618.270000003</v>
      </c>
      <c r="AH101" s="16">
        <f>IFERROR(AG101/AZ101,"")</f>
        <v>6838.6569206174208</v>
      </c>
      <c r="AI101" s="14">
        <v>1866</v>
      </c>
      <c r="AJ101" s="15">
        <f>IFERROR(AI101/F101,"")</f>
        <v>2.2094868212281241E-2</v>
      </c>
      <c r="AK101" s="14">
        <v>152</v>
      </c>
      <c r="AL101" s="14">
        <v>145</v>
      </c>
      <c r="AM101" s="14">
        <v>148</v>
      </c>
      <c r="AN101" s="14">
        <v>608</v>
      </c>
      <c r="AO101" s="14">
        <v>476</v>
      </c>
      <c r="AP101" s="18">
        <v>1.7</v>
      </c>
      <c r="AQ101" s="19">
        <f>IFERROR(AL101*1000/AZ101,"")</f>
        <v>15.986769570011026</v>
      </c>
      <c r="AR101" s="14">
        <v>327</v>
      </c>
      <c r="AS101" s="14">
        <v>128</v>
      </c>
      <c r="AT101" s="14">
        <v>128</v>
      </c>
      <c r="AU101" s="14">
        <v>7</v>
      </c>
      <c r="AV101" s="14">
        <v>64</v>
      </c>
      <c r="AW101" s="15">
        <f>IFERROR(AS101/AR101,"")</f>
        <v>0.39143730886850153</v>
      </c>
      <c r="AX101" s="14">
        <v>0</v>
      </c>
      <c r="AY101" s="14">
        <v>8</v>
      </c>
      <c r="AZ101" s="14">
        <v>9070</v>
      </c>
      <c r="BA101" s="20">
        <v>166.63800000000001</v>
      </c>
      <c r="BB101" s="20">
        <v>54.43</v>
      </c>
      <c r="BC101" s="21">
        <v>0.60799999999999998</v>
      </c>
      <c r="BD101" s="18">
        <v>53.1</v>
      </c>
      <c r="BE101" s="18">
        <v>98.97</v>
      </c>
      <c r="BF101" s="18">
        <v>5.6</v>
      </c>
      <c r="BG101" s="18">
        <v>4.8</v>
      </c>
      <c r="BH101" s="18">
        <v>9.44</v>
      </c>
      <c r="BI101" s="14">
        <v>608</v>
      </c>
      <c r="BJ101" s="18">
        <v>1.7</v>
      </c>
      <c r="BK101" s="15">
        <f>IFERROR(BI101/AZ101,"")</f>
        <v>6.7034178610804851E-2</v>
      </c>
      <c r="BL101" s="22">
        <f>IFERROR(AI101+K101+S101+AA101-F101,"")</f>
        <v>1</v>
      </c>
      <c r="BM101" s="22">
        <f>IFERROR(F101+G101-C101,"")</f>
        <v>0</v>
      </c>
      <c r="BN101" s="22">
        <f>IF(I101="","",IFERROR(C101*1000/H101-I101,""))</f>
        <v>-1.036855036727502E-2</v>
      </c>
    </row>
    <row r="102" spans="1:66">
      <c r="A102" s="13" t="s">
        <v>299</v>
      </c>
      <c r="B102" s="13" t="s">
        <v>300</v>
      </c>
      <c r="C102" s="14">
        <v>86389</v>
      </c>
      <c r="D102" s="14">
        <v>91188</v>
      </c>
      <c r="E102" s="14">
        <v>100644</v>
      </c>
      <c r="F102" s="14">
        <v>82310</v>
      </c>
      <c r="G102" s="14">
        <v>4078</v>
      </c>
      <c r="H102" s="14">
        <v>9341</v>
      </c>
      <c r="I102" s="14">
        <v>9248.35</v>
      </c>
      <c r="J102" s="14">
        <v>12847.11</v>
      </c>
      <c r="K102" s="14">
        <v>3671</v>
      </c>
      <c r="L102" s="15">
        <f>IFERROR(K102/F102,"")</f>
        <v>4.4599684121005956E-2</v>
      </c>
      <c r="M102" s="16">
        <f>IFERROR(K102*1000/H102,"")</f>
        <v>392.99860828605074</v>
      </c>
      <c r="N102" s="17">
        <f>IF(L102="","",RANK(L102,$L$3:$L$168,0)+COUNTIF($L$3:L102,L102)-1)</f>
        <v>101</v>
      </c>
      <c r="O102" s="17">
        <f>IF(K102="","",RANK(K102,$K$3:$K$168,0)+COUNTIF($K$3:K102,K102)-1)</f>
        <v>108</v>
      </c>
      <c r="P102" s="14">
        <v>41</v>
      </c>
      <c r="Q102" s="15">
        <f>IFERROR(P102/AR102,"")</f>
        <v>9.7619047619047619E-2</v>
      </c>
      <c r="R102" s="16">
        <v>3</v>
      </c>
      <c r="S102" s="14">
        <v>19724</v>
      </c>
      <c r="T102" s="15">
        <f>IFERROR(S102/F102,"")</f>
        <v>0.2396306645608067</v>
      </c>
      <c r="U102" s="16">
        <f>IFERROR(S102*1000/H102,"")</f>
        <v>2111.5512257788246</v>
      </c>
      <c r="V102" s="17">
        <f>IF(T102="","",RANK(T102,$T$3:$T$168,0)+COUNTIF($T$3:T102,T102)-1)</f>
        <v>104</v>
      </c>
      <c r="W102" s="17">
        <f>IF(S102="","",RANK(S102,$S$3:$S$168,0)+COUNTIF($S$3:S102,S102)-1)</f>
        <v>101</v>
      </c>
      <c r="X102" s="14">
        <v>209</v>
      </c>
      <c r="Y102" s="14">
        <v>166</v>
      </c>
      <c r="Z102" s="15">
        <f>IFERROR((X102+Y102)/AR102,"")</f>
        <v>0.8928571428571429</v>
      </c>
      <c r="AA102" s="14">
        <v>52812</v>
      </c>
      <c r="AB102" s="15">
        <f>IFERROR(AA102/F102,"")</f>
        <v>0.64162313206171795</v>
      </c>
      <c r="AC102" s="16">
        <f>IFERROR(AA102*1000/H102,"")</f>
        <v>5653.7843913927845</v>
      </c>
      <c r="AD102" s="17">
        <f>IF(AB102="","",RANK(AB102,$AB$3:$AB$168,0)+COUNTIF($AB$3:AB102,AB102)-1)</f>
        <v>35</v>
      </c>
      <c r="AE102" s="17">
        <f>IF(AA102="","",RANK(AA102,$AA$3:$AA$168,0)+COUNTIF($AA$3:AA102,AA102)-1)</f>
        <v>81</v>
      </c>
      <c r="AF102" s="18">
        <v>94.44</v>
      </c>
      <c r="AG102" s="14">
        <v>53661676.549999997</v>
      </c>
      <c r="AH102" s="16">
        <f>IFERROR(AG102/AZ102,"")</f>
        <v>6849.8438281848348</v>
      </c>
      <c r="AI102" s="14">
        <v>6103</v>
      </c>
      <c r="AJ102" s="15">
        <f>IFERROR(AI102/F102,"")</f>
        <v>7.4146519256469451E-2</v>
      </c>
      <c r="AK102" s="14">
        <v>138</v>
      </c>
      <c r="AL102" s="14">
        <v>158</v>
      </c>
      <c r="AM102" s="14">
        <v>160</v>
      </c>
      <c r="AN102" s="14">
        <v>655</v>
      </c>
      <c r="AO102" s="14">
        <v>524</v>
      </c>
      <c r="AP102" s="18">
        <v>1.7</v>
      </c>
      <c r="AQ102" s="19">
        <f>IFERROR(AL102*1000/AZ102,"")</f>
        <v>20.168496298187389</v>
      </c>
      <c r="AR102" s="14">
        <v>420</v>
      </c>
      <c r="AS102" s="14">
        <v>227</v>
      </c>
      <c r="AT102" s="14">
        <v>124</v>
      </c>
      <c r="AU102" s="14">
        <v>7</v>
      </c>
      <c r="AV102" s="14">
        <v>62</v>
      </c>
      <c r="AW102" s="15">
        <f>IFERROR(AS102/AR102,"")</f>
        <v>0.54047619047619044</v>
      </c>
      <c r="AX102" s="14">
        <v>2</v>
      </c>
      <c r="AY102" s="14">
        <v>2</v>
      </c>
      <c r="AZ102" s="14">
        <v>7834</v>
      </c>
      <c r="BA102" s="20">
        <v>54.56</v>
      </c>
      <c r="BB102" s="20">
        <v>143.58000000000001</v>
      </c>
      <c r="BC102" s="21">
        <v>0.60399999999999998</v>
      </c>
      <c r="BD102" s="18">
        <v>51.9</v>
      </c>
      <c r="BE102" s="18">
        <v>98.98</v>
      </c>
      <c r="BF102" s="18">
        <v>6.2</v>
      </c>
      <c r="BG102" s="18">
        <v>4.3</v>
      </c>
      <c r="BH102" s="18">
        <v>25.06</v>
      </c>
      <c r="BI102" s="14">
        <v>655</v>
      </c>
      <c r="BJ102" s="18">
        <v>1.7</v>
      </c>
      <c r="BK102" s="15">
        <f>IFERROR(BI102/AZ102,"")</f>
        <v>8.3609905539954052E-2</v>
      </c>
      <c r="BL102" s="22">
        <f>IFERROR(AI102+K102+S102+AA102-F102,"")</f>
        <v>0</v>
      </c>
      <c r="BM102" s="22">
        <f>IFERROR(F102+G102-C102,"")</f>
        <v>-1</v>
      </c>
      <c r="BN102" s="22">
        <f>IF(I102="","",IFERROR(C102*1000/H102-I102,""))</f>
        <v>1.7412482602594537E-2</v>
      </c>
    </row>
    <row r="103" spans="1:66">
      <c r="A103" s="13" t="s">
        <v>301</v>
      </c>
      <c r="B103" s="13" t="s">
        <v>302</v>
      </c>
      <c r="C103" s="14">
        <v>84899</v>
      </c>
      <c r="D103" s="14">
        <v>96939</v>
      </c>
      <c r="E103" s="14">
        <v>102924</v>
      </c>
      <c r="F103" s="14">
        <v>80337</v>
      </c>
      <c r="G103" s="14">
        <v>4562</v>
      </c>
      <c r="H103" s="14">
        <v>10367</v>
      </c>
      <c r="I103" s="14">
        <v>8189.32</v>
      </c>
      <c r="J103" s="14">
        <v>11980.5</v>
      </c>
      <c r="K103" s="14">
        <v>3843</v>
      </c>
      <c r="L103" s="15">
        <f>IFERROR(K103/F103,"")</f>
        <v>4.7835990888382689E-2</v>
      </c>
      <c r="M103" s="16">
        <f>IFERROR(K103*1000/H103,"")</f>
        <v>370.69547602970965</v>
      </c>
      <c r="N103" s="17">
        <f>IF(L103="","",RANK(L103,$L$3:$L$168,0)+COUNTIF($L$3:L103,L103)-1)</f>
        <v>90</v>
      </c>
      <c r="O103" s="17">
        <f>IF(K103="","",RANK(K103,$K$3:$K$168,0)+COUNTIF($K$3:K103,K103)-1)</f>
        <v>104</v>
      </c>
      <c r="P103" s="14">
        <v>25</v>
      </c>
      <c r="Q103" s="15">
        <f>IFERROR(P103/AR103,"")</f>
        <v>8.0385852090032156E-2</v>
      </c>
      <c r="R103" s="16">
        <v>2</v>
      </c>
      <c r="S103" s="14">
        <v>17635</v>
      </c>
      <c r="T103" s="15">
        <f>IFERROR(S103/F103,"")</f>
        <v>0.21951280232022605</v>
      </c>
      <c r="U103" s="16">
        <f>IFERROR(S103*1000/H103,"")</f>
        <v>1701.0707051220218</v>
      </c>
      <c r="V103" s="17">
        <f>IF(T103="","",RANK(T103,$T$3:$T$168,0)+COUNTIF($T$3:T103,T103)-1)</f>
        <v>127</v>
      </c>
      <c r="W103" s="17">
        <f>IF(S103="","",RANK(S103,$S$3:$S$168,0)+COUNTIF($S$3:S103,S103)-1)</f>
        <v>108</v>
      </c>
      <c r="X103" s="14">
        <v>140</v>
      </c>
      <c r="Y103" s="14">
        <v>140</v>
      </c>
      <c r="Z103" s="15">
        <f>IFERROR((X103+Y103)/AR103,"")</f>
        <v>0.90032154340836013</v>
      </c>
      <c r="AA103" s="14">
        <v>55623</v>
      </c>
      <c r="AB103" s="15">
        <f>IFERROR(AA103/F103,"")</f>
        <v>0.6923708876358341</v>
      </c>
      <c r="AC103" s="16">
        <f>IFERROR(AA103*1000/H103,"")</f>
        <v>5365.3901803800518</v>
      </c>
      <c r="AD103" s="17">
        <f>IF(AB103="","",RANK(AB103,$AB$3:$AB$168,0)+COUNTIF($AB$3:AB103,AB103)-1)</f>
        <v>10</v>
      </c>
      <c r="AE103" s="17">
        <f>IF(AA103="","",RANK(AA103,$AA$3:$AA$168,0)+COUNTIF($AA$3:AA103,AA103)-1)</f>
        <v>77</v>
      </c>
      <c r="AF103" s="18">
        <v>89.92</v>
      </c>
      <c r="AG103" s="14">
        <v>61998284.630000003</v>
      </c>
      <c r="AH103" s="16">
        <f>IFERROR(AG103/AZ103,"")</f>
        <v>6849.8822925643581</v>
      </c>
      <c r="AI103" s="14">
        <v>3235</v>
      </c>
      <c r="AJ103" s="15">
        <f>IFERROR(AI103/F103,"")</f>
        <v>4.0267871590923238E-2</v>
      </c>
      <c r="AK103" s="14">
        <v>122</v>
      </c>
      <c r="AL103" s="14">
        <v>120</v>
      </c>
      <c r="AM103" s="14">
        <v>124</v>
      </c>
      <c r="AN103" s="14">
        <v>582</v>
      </c>
      <c r="AO103" s="14">
        <v>497</v>
      </c>
      <c r="AP103" s="18">
        <v>1.8</v>
      </c>
      <c r="AQ103" s="19">
        <f>IFERROR(AL103*1000/AZ103,"")</f>
        <v>13.258203513423931</v>
      </c>
      <c r="AR103" s="14">
        <v>311</v>
      </c>
      <c r="AS103" s="14">
        <v>141</v>
      </c>
      <c r="AT103" s="14">
        <v>100</v>
      </c>
      <c r="AU103" s="14">
        <v>5</v>
      </c>
      <c r="AV103" s="14">
        <v>65</v>
      </c>
      <c r="AW103" s="15">
        <f>IFERROR(AS103/AR103,"")</f>
        <v>0.45337620578778137</v>
      </c>
      <c r="AX103" s="14">
        <v>1</v>
      </c>
      <c r="AY103" s="14">
        <v>5</v>
      </c>
      <c r="AZ103" s="14">
        <v>9051</v>
      </c>
      <c r="BA103" s="20">
        <v>167.042</v>
      </c>
      <c r="BB103" s="20">
        <v>53.01</v>
      </c>
      <c r="BC103" s="21">
        <v>0.57399999999999995</v>
      </c>
      <c r="BD103" s="18">
        <v>55.7</v>
      </c>
      <c r="BE103" s="18">
        <v>96.45</v>
      </c>
      <c r="BF103" s="18">
        <v>5.8</v>
      </c>
      <c r="BG103" s="18">
        <v>4.5</v>
      </c>
      <c r="BH103" s="18">
        <v>16.309999999999999</v>
      </c>
      <c r="BI103" s="14">
        <v>582</v>
      </c>
      <c r="BJ103" s="18">
        <v>1.8</v>
      </c>
      <c r="BK103" s="15">
        <f>IFERROR(BI103/AZ103,"")</f>
        <v>6.4302287040106071E-2</v>
      </c>
      <c r="BL103" s="22">
        <f>IFERROR(AI103+K103+S103+AA103-F103,"")</f>
        <v>-1</v>
      </c>
      <c r="BM103" s="22">
        <f>IFERROR(F103+G103-C103,"")</f>
        <v>0</v>
      </c>
      <c r="BN103" s="22">
        <f>IF(I103="","",IFERROR(C103*1000/H103-I103,""))</f>
        <v>3.0824732323708304E-2</v>
      </c>
    </row>
    <row r="104" spans="1:66">
      <c r="A104" s="13" t="s">
        <v>303</v>
      </c>
      <c r="B104" s="13" t="s">
        <v>304</v>
      </c>
      <c r="C104" s="14">
        <v>84585</v>
      </c>
      <c r="D104" s="14">
        <v>94944</v>
      </c>
      <c r="E104" s="14">
        <v>100073</v>
      </c>
      <c r="F104" s="14">
        <v>78953</v>
      </c>
      <c r="G104" s="14">
        <v>5633</v>
      </c>
      <c r="H104" s="14">
        <v>6221</v>
      </c>
      <c r="I104" s="14">
        <v>13596.72</v>
      </c>
      <c r="J104" s="14">
        <v>16802.009999999998</v>
      </c>
      <c r="K104" s="14">
        <v>3161</v>
      </c>
      <c r="L104" s="15">
        <f>IFERROR(K104/F104,"")</f>
        <v>4.0036477397945615E-2</v>
      </c>
      <c r="M104" s="16">
        <f>IFERROR(K104*1000/H104,"")</f>
        <v>508.11766597010126</v>
      </c>
      <c r="N104" s="17">
        <f>IF(L104="","",RANK(L104,$L$3:$L$168,0)+COUNTIF($L$3:L104,L104)-1)</f>
        <v>123</v>
      </c>
      <c r="O104" s="17">
        <f>IF(K104="","",RANK(K104,$K$3:$K$168,0)+COUNTIF($K$3:K104,K104)-1)</f>
        <v>113</v>
      </c>
      <c r="P104" s="14">
        <v>60</v>
      </c>
      <c r="Q104" s="15">
        <f>IFERROR(P104/AR104,"")</f>
        <v>0.15424164524421594</v>
      </c>
      <c r="R104" s="16">
        <v>3</v>
      </c>
      <c r="S104" s="14">
        <v>19201</v>
      </c>
      <c r="T104" s="15">
        <f>IFERROR(S104/F104,"")</f>
        <v>0.24319531873393033</v>
      </c>
      <c r="U104" s="16">
        <f>IFERROR(S104*1000/H104,"")</f>
        <v>3086.4812731072175</v>
      </c>
      <c r="V104" s="17">
        <f>IF(T104="","",RANK(T104,$T$3:$T$168,0)+COUNTIF($T$3:T104,T104)-1)</f>
        <v>100</v>
      </c>
      <c r="W104" s="17">
        <f>IF(S104="","",RANK(S104,$S$3:$S$168,0)+COUNTIF($S$3:S104,S104)-1)</f>
        <v>105</v>
      </c>
      <c r="X104" s="14">
        <v>134</v>
      </c>
      <c r="Y104" s="14">
        <v>181</v>
      </c>
      <c r="Z104" s="15">
        <f>IFERROR((X104+Y104)/AR104,"")</f>
        <v>0.80976863753213368</v>
      </c>
      <c r="AA104" s="14">
        <v>36943</v>
      </c>
      <c r="AB104" s="15">
        <f>IFERROR(AA104/F104,"")</f>
        <v>0.4679112889947184</v>
      </c>
      <c r="AC104" s="16">
        <f>IFERROR(AA104*1000/H104,"")</f>
        <v>5938.4343353158656</v>
      </c>
      <c r="AD104" s="17">
        <f>IF(AB104="","",RANK(AB104,$AB$3:$AB$168,0)+COUNTIF($AB$3:AB104,AB104)-1)</f>
        <v>98</v>
      </c>
      <c r="AE104" s="17">
        <f>IF(AA104="","",RANK(AA104,$AA$3:$AA$168,0)+COUNTIF($AA$3:AA104,AA104)-1)</f>
        <v>108</v>
      </c>
      <c r="AF104" s="18">
        <v>91.63</v>
      </c>
      <c r="AG104" s="14">
        <v>43710923.07</v>
      </c>
      <c r="AH104" s="16">
        <f>IFERROR(AG104/AZ104,"")</f>
        <v>7338.9729801880458</v>
      </c>
      <c r="AI104" s="14">
        <v>19648</v>
      </c>
      <c r="AJ104" s="15">
        <f>IFERROR(AI104/F104,"")</f>
        <v>0.24885691487340569</v>
      </c>
      <c r="AK104" s="14">
        <v>143</v>
      </c>
      <c r="AL104" s="14">
        <v>148</v>
      </c>
      <c r="AM104" s="14">
        <v>163</v>
      </c>
      <c r="AN104" s="14">
        <v>517</v>
      </c>
      <c r="AO104" s="14">
        <v>386</v>
      </c>
      <c r="AP104" s="18">
        <v>2</v>
      </c>
      <c r="AQ104" s="19">
        <f>IFERROR(AL104*1000/AZ104,"")</f>
        <v>24.848891873740765</v>
      </c>
      <c r="AR104" s="14">
        <v>389</v>
      </c>
      <c r="AS104" s="14">
        <v>193</v>
      </c>
      <c r="AT104" s="14">
        <v>108</v>
      </c>
      <c r="AU104" s="14">
        <v>17</v>
      </c>
      <c r="AV104" s="14">
        <v>71</v>
      </c>
      <c r="AW104" s="15">
        <f>IFERROR(AS104/AR104,"")</f>
        <v>0.49614395886889462</v>
      </c>
      <c r="AX104" s="14">
        <v>2</v>
      </c>
      <c r="AY104" s="14">
        <v>12</v>
      </c>
      <c r="AZ104" s="14">
        <v>5956</v>
      </c>
      <c r="BA104" s="20">
        <v>277.01100000000002</v>
      </c>
      <c r="BB104" s="20">
        <v>21.5</v>
      </c>
      <c r="BC104" s="21">
        <v>0.65500000000000003</v>
      </c>
      <c r="BD104" s="18">
        <v>45</v>
      </c>
      <c r="BE104" s="18">
        <v>99.7</v>
      </c>
      <c r="BF104" s="18">
        <v>6.5</v>
      </c>
      <c r="BG104" s="18">
        <v>5.5</v>
      </c>
      <c r="BH104" s="18">
        <v>45.92</v>
      </c>
      <c r="BI104" s="14">
        <v>517</v>
      </c>
      <c r="BJ104" s="18">
        <v>1.9</v>
      </c>
      <c r="BK104" s="15">
        <f>IFERROR(BI104/AZ104,"")</f>
        <v>8.6803223640026864E-2</v>
      </c>
      <c r="BL104" s="22">
        <f>IFERROR(AI104+K104+S104+AA104-F104,"")</f>
        <v>0</v>
      </c>
      <c r="BM104" s="22">
        <f>IFERROR(F104+G104-C104,"")</f>
        <v>1</v>
      </c>
      <c r="BN104" s="22">
        <f>IF(I104="","",IFERROR(C104*1000/H104-I104,""))</f>
        <v>-3.1364732358269976E-2</v>
      </c>
    </row>
    <row r="105" spans="1:66">
      <c r="A105" s="13" t="s">
        <v>305</v>
      </c>
      <c r="B105" s="13" t="s">
        <v>306</v>
      </c>
      <c r="C105" s="14">
        <v>84497</v>
      </c>
      <c r="D105" s="14">
        <v>84488</v>
      </c>
      <c r="E105" s="14">
        <v>104812</v>
      </c>
      <c r="F105" s="14">
        <v>81235</v>
      </c>
      <c r="G105" s="14">
        <v>3262</v>
      </c>
      <c r="H105" s="14">
        <v>5228</v>
      </c>
      <c r="I105" s="14">
        <v>16162.43</v>
      </c>
      <c r="J105" s="14">
        <v>22084.25</v>
      </c>
      <c r="K105" s="14">
        <v>24352</v>
      </c>
      <c r="L105" s="15">
        <f>IFERROR(K105/F105,"")</f>
        <v>0.29977226564904291</v>
      </c>
      <c r="M105" s="16">
        <f>IFERROR(K105*1000/H105,"")</f>
        <v>4657.9954093343531</v>
      </c>
      <c r="N105" s="17">
        <f>IF(L105="","",RANK(L105,$L$3:$L$168,0)+COUNTIF($L$3:L105,L105)-1)</f>
        <v>28</v>
      </c>
      <c r="O105" s="17">
        <f>IF(K105="","",RANK(K105,$K$3:$K$168,0)+COUNTIF($K$3:K105,K105)-1)</f>
        <v>51</v>
      </c>
      <c r="P105" s="14">
        <v>40</v>
      </c>
      <c r="Q105" s="15">
        <f>IFERROR(P105/AR105,"")</f>
        <v>0.1556420233463035</v>
      </c>
      <c r="R105" s="16">
        <v>9</v>
      </c>
      <c r="S105" s="14">
        <v>16287</v>
      </c>
      <c r="T105" s="15">
        <f>IFERROR(S105/F105,"")</f>
        <v>0.20049239859666401</v>
      </c>
      <c r="U105" s="16">
        <f>IFERROR(S105*1000/H105,"")</f>
        <v>3115.3404743687834</v>
      </c>
      <c r="V105" s="17">
        <f>IF(T105="","",RANK(T105,$T$3:$T$168,0)+COUNTIF($T$3:T105,T105)-1)</f>
        <v>143</v>
      </c>
      <c r="W105" s="17">
        <f>IF(S105="","",RANK(S105,$S$3:$S$168,0)+COUNTIF($S$3:S105,S105)-1)</f>
        <v>114</v>
      </c>
      <c r="X105" s="14">
        <v>91</v>
      </c>
      <c r="Y105" s="14">
        <v>116</v>
      </c>
      <c r="Z105" s="15">
        <f>IFERROR((X105+Y105)/AR105,"")</f>
        <v>0.80544747081712065</v>
      </c>
      <c r="AA105" s="14">
        <v>36183</v>
      </c>
      <c r="AB105" s="15">
        <f>IFERROR(AA105/F105,"")</f>
        <v>0.44541146057733738</v>
      </c>
      <c r="AC105" s="16">
        <f>IFERROR(AA105*1000/H105,"")</f>
        <v>6921.0022953328235</v>
      </c>
      <c r="AD105" s="17">
        <f>IF(AB105="","",RANK(AB105,$AB$3:$AB$168,0)+COUNTIF($AB$3:AB105,AB105)-1)</f>
        <v>107</v>
      </c>
      <c r="AE105" s="17">
        <f>IF(AA105="","",RANK(AA105,$AA$3:$AA$168,0)+COUNTIF($AA$3:AA105,AA105)-1)</f>
        <v>111</v>
      </c>
      <c r="AF105" s="18">
        <v>96.54</v>
      </c>
      <c r="AG105" s="14">
        <v>47655076.299999997</v>
      </c>
      <c r="AH105" s="16">
        <f>IFERROR(AG105/AZ105,"")</f>
        <v>10041.103308048883</v>
      </c>
      <c r="AI105" s="14">
        <v>4414</v>
      </c>
      <c r="AJ105" s="15">
        <f>IFERROR(AI105/F105,"")</f>
        <v>5.4336185141872342E-2</v>
      </c>
      <c r="AK105" s="14">
        <v>124</v>
      </c>
      <c r="AL105" s="14">
        <v>145</v>
      </c>
      <c r="AM105" s="14">
        <v>147</v>
      </c>
      <c r="AN105" s="14">
        <v>456</v>
      </c>
      <c r="AO105" s="14">
        <v>352</v>
      </c>
      <c r="AP105" s="18">
        <v>2.1</v>
      </c>
      <c r="AQ105" s="19">
        <f>IFERROR(AL105*1000/AZ105,"")</f>
        <v>30.55204382638011</v>
      </c>
      <c r="AR105" s="14">
        <v>257</v>
      </c>
      <c r="AS105" s="14">
        <v>76</v>
      </c>
      <c r="AT105" s="14">
        <v>87</v>
      </c>
      <c r="AU105" s="14">
        <v>10</v>
      </c>
      <c r="AV105" s="14">
        <v>84</v>
      </c>
      <c r="AW105" s="15">
        <f>IFERROR(AS105/AR105,"")</f>
        <v>0.29571984435797666</v>
      </c>
      <c r="AX105" s="14">
        <v>0</v>
      </c>
      <c r="AY105" s="14">
        <v>10</v>
      </c>
      <c r="AZ105" s="14">
        <v>4746</v>
      </c>
      <c r="BA105" s="20">
        <v>303.44799999999998</v>
      </c>
      <c r="BB105" s="20">
        <v>15.64</v>
      </c>
      <c r="BC105" s="21">
        <v>0.61499999999999999</v>
      </c>
      <c r="BD105" s="18">
        <v>48.3</v>
      </c>
      <c r="BE105" s="18">
        <v>100</v>
      </c>
      <c r="BF105" s="18">
        <v>6.3</v>
      </c>
      <c r="BG105" s="18">
        <v>4.4000000000000004</v>
      </c>
      <c r="BH105" s="18">
        <v>29.07</v>
      </c>
      <c r="BI105" s="14">
        <v>456</v>
      </c>
      <c r="BJ105" s="18">
        <v>2.1</v>
      </c>
      <c r="BK105" s="15">
        <f>IFERROR(BI105/AZ105,"")</f>
        <v>9.608091024020228E-2</v>
      </c>
      <c r="BL105" s="22">
        <f>IFERROR(AI105+K105+S105+AA105-F105,"")</f>
        <v>1</v>
      </c>
      <c r="BM105" s="22">
        <f>IFERROR(F105+G105-C105,"")</f>
        <v>0</v>
      </c>
      <c r="BN105" s="22">
        <f>IF(I105="","",IFERROR(C105*1000/H105-I105,""))</f>
        <v>-3.5202754399506375E-2</v>
      </c>
    </row>
    <row r="106" spans="1:66">
      <c r="A106" s="13" t="s">
        <v>307</v>
      </c>
      <c r="B106" s="13" t="s">
        <v>308</v>
      </c>
      <c r="C106" s="14">
        <v>83854</v>
      </c>
      <c r="D106" s="14">
        <v>95606</v>
      </c>
      <c r="E106" s="14">
        <v>106548</v>
      </c>
      <c r="F106" s="14">
        <v>76654</v>
      </c>
      <c r="G106" s="14">
        <v>7199</v>
      </c>
      <c r="H106" s="14">
        <v>4696</v>
      </c>
      <c r="I106" s="14">
        <v>17856.45</v>
      </c>
      <c r="J106" s="14">
        <v>23376.1</v>
      </c>
      <c r="K106" s="14">
        <v>10076</v>
      </c>
      <c r="L106" s="15">
        <f>IFERROR(K106/F106,"")</f>
        <v>0.13144780441986068</v>
      </c>
      <c r="M106" s="16">
        <f>IFERROR(K106*1000/H106,"")</f>
        <v>2145.655877342419</v>
      </c>
      <c r="N106" s="17">
        <f>IF(L106="","",RANK(L106,$L$3:$L$168,0)+COUNTIF($L$3:L106,L106)-1)</f>
        <v>50</v>
      </c>
      <c r="O106" s="17">
        <f>IF(K106="","",RANK(K106,$K$3:$K$168,0)+COUNTIF($K$3:K106,K106)-1)</f>
        <v>68</v>
      </c>
      <c r="P106" s="14">
        <v>85</v>
      </c>
      <c r="Q106" s="15">
        <f>IFERROR(P106/AR106,"")</f>
        <v>0.22911051212938005</v>
      </c>
      <c r="R106" s="16">
        <v>11</v>
      </c>
      <c r="S106" s="14">
        <v>22957</v>
      </c>
      <c r="T106" s="15">
        <f>IFERROR(S106/F106,"")</f>
        <v>0.29948861116184411</v>
      </c>
      <c r="U106" s="16">
        <f>IFERROR(S106*1000/H106,"")</f>
        <v>4888.6286201022149</v>
      </c>
      <c r="V106" s="17">
        <f>IF(T106="","",RANK(T106,$T$3:$T$168,0)+COUNTIF($T$3:T106,T106)-1)</f>
        <v>55</v>
      </c>
      <c r="W106" s="17">
        <f>IF(S106="","",RANK(S106,$S$3:$S$168,0)+COUNTIF($S$3:S106,S106)-1)</f>
        <v>88</v>
      </c>
      <c r="X106" s="14">
        <v>118</v>
      </c>
      <c r="Y106" s="14">
        <v>157</v>
      </c>
      <c r="Z106" s="15">
        <f>IFERROR((X106+Y106)/AR106,"")</f>
        <v>0.74123989218328845</v>
      </c>
      <c r="AA106" s="14">
        <v>30956</v>
      </c>
      <c r="AB106" s="15">
        <f>IFERROR(AA106/F106,"")</f>
        <v>0.4038406345396196</v>
      </c>
      <c r="AC106" s="16">
        <f>IFERROR(AA106*1000/H106,"")</f>
        <v>6591.9931856899493</v>
      </c>
      <c r="AD106" s="17">
        <f>IF(AB106="","",RANK(AB106,$AB$3:$AB$168,0)+COUNTIF($AB$3:AB106,AB106)-1)</f>
        <v>117</v>
      </c>
      <c r="AE106" s="17">
        <f>IF(AA106="","",RANK(AA106,$AA$3:$AA$168,0)+COUNTIF($AA$3:AA106,AA106)-1)</f>
        <v>125</v>
      </c>
      <c r="AF106" s="18">
        <v>85.32</v>
      </c>
      <c r="AG106" s="14">
        <v>43418373.159999996</v>
      </c>
      <c r="AH106" s="16">
        <f>IFERROR(AG106/AZ106,"")</f>
        <v>9525.7510223782356</v>
      </c>
      <c r="AI106" s="14">
        <v>12666</v>
      </c>
      <c r="AJ106" s="15">
        <f>IFERROR(AI106/F106,"")</f>
        <v>0.16523599551230203</v>
      </c>
      <c r="AK106" s="14">
        <v>141</v>
      </c>
      <c r="AL106" s="14">
        <v>153</v>
      </c>
      <c r="AM106" s="14">
        <v>170</v>
      </c>
      <c r="AN106" s="14">
        <v>1237</v>
      </c>
      <c r="AO106" s="14">
        <v>1070</v>
      </c>
      <c r="AP106" s="18">
        <v>1.4</v>
      </c>
      <c r="AQ106" s="19">
        <f>IFERROR(AL106*1000/AZ106,"")</f>
        <v>33.56735410267661</v>
      </c>
      <c r="AR106" s="14">
        <v>371</v>
      </c>
      <c r="AS106" s="14">
        <v>178</v>
      </c>
      <c r="AT106" s="14">
        <v>122</v>
      </c>
      <c r="AU106" s="14">
        <v>14</v>
      </c>
      <c r="AV106" s="14">
        <v>57</v>
      </c>
      <c r="AW106" s="15">
        <f>IFERROR(AS106/AR106,"")</f>
        <v>0.47978436657681939</v>
      </c>
      <c r="AX106" s="14">
        <v>1</v>
      </c>
      <c r="AY106" s="14">
        <v>10</v>
      </c>
      <c r="AZ106" s="14">
        <v>4558</v>
      </c>
      <c r="BA106" s="20">
        <v>174.505</v>
      </c>
      <c r="BB106" s="20">
        <v>26.12</v>
      </c>
      <c r="BC106" s="21">
        <v>0.69399999999999995</v>
      </c>
      <c r="BD106" s="18">
        <v>37.700000000000003</v>
      </c>
      <c r="BE106" s="18">
        <v>100</v>
      </c>
      <c r="BF106" s="18">
        <v>5.7</v>
      </c>
      <c r="BG106" s="18">
        <v>4.7</v>
      </c>
      <c r="BH106" s="18">
        <v>63.82</v>
      </c>
      <c r="BI106" s="14">
        <v>1237</v>
      </c>
      <c r="BJ106" s="18">
        <v>1.4</v>
      </c>
      <c r="BK106" s="15">
        <f>IFERROR(BI106/AZ106,"")</f>
        <v>0.27139096094778414</v>
      </c>
      <c r="BL106" s="22">
        <f>IFERROR(AI106+K106+S106+AA106-F106,"")</f>
        <v>1</v>
      </c>
      <c r="BM106" s="22">
        <f>IFERROR(F106+G106-C106,"")</f>
        <v>-1</v>
      </c>
      <c r="BN106" s="22">
        <f>IF(I106="","",IFERROR(C106*1000/H106-I106,""))</f>
        <v>2.3594548551045591E-2</v>
      </c>
    </row>
    <row r="107" spans="1:66">
      <c r="A107" s="13" t="s">
        <v>309</v>
      </c>
      <c r="B107" s="13" t="s">
        <v>310</v>
      </c>
      <c r="C107" s="14">
        <v>82889</v>
      </c>
      <c r="D107" s="14">
        <v>92508</v>
      </c>
      <c r="E107" s="14">
        <v>101177</v>
      </c>
      <c r="F107" s="14">
        <v>78943</v>
      </c>
      <c r="G107" s="14">
        <v>3945</v>
      </c>
      <c r="H107" s="14">
        <v>8325</v>
      </c>
      <c r="I107" s="14">
        <v>9956.6200000000008</v>
      </c>
      <c r="J107" s="14">
        <v>12813.75</v>
      </c>
      <c r="K107" s="14">
        <v>2720</v>
      </c>
      <c r="L107" s="15">
        <f>IFERROR(K107/F107,"")</f>
        <v>3.4455239856605396E-2</v>
      </c>
      <c r="M107" s="16">
        <f>IFERROR(K107*1000/H107,"")</f>
        <v>326.72672672672672</v>
      </c>
      <c r="N107" s="17">
        <f>IF(L107="","",RANK(L107,$L$3:$L$168,0)+COUNTIF($L$3:L107,L107)-1)</f>
        <v>139</v>
      </c>
      <c r="O107" s="17">
        <f>IF(K107="","",RANK(K107,$K$3:$K$168,0)+COUNTIF($K$3:K107,K107)-1)</f>
        <v>124</v>
      </c>
      <c r="P107" s="14">
        <v>39</v>
      </c>
      <c r="Q107" s="15">
        <f>IFERROR(P107/AR107,"")</f>
        <v>9.5121951219512196E-2</v>
      </c>
      <c r="R107" s="16">
        <v>4</v>
      </c>
      <c r="S107" s="14">
        <v>19383</v>
      </c>
      <c r="T107" s="15">
        <f>IFERROR(S107/F107,"")</f>
        <v>0.24553158608109649</v>
      </c>
      <c r="U107" s="16">
        <f>IFERROR(S107*1000/H107,"")</f>
        <v>2328.2882882882882</v>
      </c>
      <c r="V107" s="17">
        <f>IF(T107="","",RANK(T107,$T$3:$T$168,0)+COUNTIF($T$3:T107,T107)-1)</f>
        <v>96</v>
      </c>
      <c r="W107" s="17">
        <f>IF(S107="","",RANK(S107,$S$3:$S$168,0)+COUNTIF($S$3:S107,S107)-1)</f>
        <v>103</v>
      </c>
      <c r="X107" s="14">
        <v>170</v>
      </c>
      <c r="Y107" s="14">
        <v>192</v>
      </c>
      <c r="Z107" s="15">
        <f>IFERROR((X107+Y107)/AR107,"")</f>
        <v>0.88292682926829269</v>
      </c>
      <c r="AA107" s="14">
        <v>47215</v>
      </c>
      <c r="AB107" s="15">
        <f>IFERROR(AA107/F107,"")</f>
        <v>0.59808976096677346</v>
      </c>
      <c r="AC107" s="16">
        <f>IFERROR(AA107*1000/H107,"")</f>
        <v>5671.4714714714719</v>
      </c>
      <c r="AD107" s="17">
        <f>IF(AB107="","",RANK(AB107,$AB$3:$AB$168,0)+COUNTIF($AB$3:AB107,AB107)-1)</f>
        <v>54</v>
      </c>
      <c r="AE107" s="17">
        <f>IF(AA107="","",RANK(AA107,$AA$3:$AA$168,0)+COUNTIF($AA$3:AA107,AA107)-1)</f>
        <v>89</v>
      </c>
      <c r="AF107" s="18">
        <v>94.95</v>
      </c>
      <c r="AG107" s="14">
        <v>45030524.439999998</v>
      </c>
      <c r="AH107" s="16">
        <f>IFERROR(AG107/AZ107,"")</f>
        <v>5702.9539564336374</v>
      </c>
      <c r="AI107" s="14">
        <v>9625</v>
      </c>
      <c r="AJ107" s="15">
        <f>IFERROR(AI107/F107,"")</f>
        <v>0.12192341309552462</v>
      </c>
      <c r="AK107" s="14">
        <v>124</v>
      </c>
      <c r="AL107" s="14">
        <v>134</v>
      </c>
      <c r="AM107" s="14">
        <v>137</v>
      </c>
      <c r="AN107" s="14">
        <v>559</v>
      </c>
      <c r="AO107" s="14">
        <v>440</v>
      </c>
      <c r="AP107" s="18">
        <v>1.8</v>
      </c>
      <c r="AQ107" s="19">
        <f>IFERROR(AL107*1000/AZ107,"")</f>
        <v>16.970618034447821</v>
      </c>
      <c r="AR107" s="14">
        <v>410</v>
      </c>
      <c r="AS107" s="14">
        <v>219</v>
      </c>
      <c r="AT107" s="14">
        <v>124</v>
      </c>
      <c r="AU107" s="14">
        <v>5</v>
      </c>
      <c r="AV107" s="14">
        <v>62</v>
      </c>
      <c r="AW107" s="15">
        <f>IFERROR(AS107/AR107,"")</f>
        <v>0.53414634146341466</v>
      </c>
      <c r="AX107" s="14">
        <v>3</v>
      </c>
      <c r="AY107" s="14">
        <v>6</v>
      </c>
      <c r="AZ107" s="14">
        <v>7896</v>
      </c>
      <c r="BA107" s="20">
        <v>345.71100000000001</v>
      </c>
      <c r="BB107" s="20">
        <v>22.84</v>
      </c>
      <c r="BC107" s="21">
        <v>0.60899999999999999</v>
      </c>
      <c r="BD107" s="18">
        <v>52.2</v>
      </c>
      <c r="BE107" s="18">
        <v>100</v>
      </c>
      <c r="BF107" s="18">
        <v>5.3</v>
      </c>
      <c r="BG107" s="18">
        <v>4.7</v>
      </c>
      <c r="BH107" s="18">
        <v>29.96</v>
      </c>
      <c r="BI107" s="14">
        <v>559</v>
      </c>
      <c r="BJ107" s="18">
        <v>1.8</v>
      </c>
      <c r="BK107" s="15">
        <f>IFERROR(BI107/AZ107,"")</f>
        <v>7.0795339412360686E-2</v>
      </c>
      <c r="BL107" s="22">
        <f>IFERROR(AI107+K107+S107+AA107-F107,"")</f>
        <v>0</v>
      </c>
      <c r="BM107" s="22">
        <f>IFERROR(F107+G107-C107,"")</f>
        <v>-1</v>
      </c>
      <c r="BN107" s="22">
        <f>IF(I107="","",IFERROR(C107*1000/H107-I107,""))</f>
        <v>1.6636636635666946E-2</v>
      </c>
    </row>
    <row r="108" spans="1:66">
      <c r="A108" s="13" t="s">
        <v>311</v>
      </c>
      <c r="B108" s="13" t="s">
        <v>312</v>
      </c>
      <c r="C108" s="14">
        <v>81976</v>
      </c>
      <c r="D108" s="14">
        <v>85666</v>
      </c>
      <c r="E108" s="14">
        <v>90161</v>
      </c>
      <c r="F108" s="14">
        <v>76068</v>
      </c>
      <c r="G108" s="14">
        <v>5907</v>
      </c>
      <c r="H108" s="14">
        <v>6064</v>
      </c>
      <c r="I108" s="14">
        <v>13518.4</v>
      </c>
      <c r="J108" s="14">
        <v>16821.12</v>
      </c>
      <c r="K108" s="14">
        <v>11891</v>
      </c>
      <c r="L108" s="15">
        <f>IFERROR(K108/F108,"")</f>
        <v>0.15632066046169216</v>
      </c>
      <c r="M108" s="16">
        <f>IFERROR(K108*1000/H108,"")</f>
        <v>1960.9168865435356</v>
      </c>
      <c r="N108" s="17">
        <f>IF(L108="","",RANK(L108,$L$3:$L$168,0)+COUNTIF($L$3:L108,L108)-1)</f>
        <v>45</v>
      </c>
      <c r="O108" s="17">
        <f>IF(K108="","",RANK(K108,$K$3:$K$168,0)+COUNTIF($K$3:K108,K108)-1)</f>
        <v>63</v>
      </c>
      <c r="P108" s="14">
        <v>110</v>
      </c>
      <c r="Q108" s="15">
        <f>IFERROR(P108/AR108,"")</f>
        <v>0.22044088176352705</v>
      </c>
      <c r="R108" s="16">
        <v>26</v>
      </c>
      <c r="S108" s="14">
        <v>21595</v>
      </c>
      <c r="T108" s="15">
        <f>IFERROR(S108/F108,"")</f>
        <v>0.28389072934742599</v>
      </c>
      <c r="U108" s="16">
        <f>IFERROR(S108*1000/H108,"")</f>
        <v>3561.1807387862796</v>
      </c>
      <c r="V108" s="17">
        <f>IF(T108="","",RANK(T108,$T$3:$T$168,0)+COUNTIF($T$3:T108,T108)-1)</f>
        <v>66</v>
      </c>
      <c r="W108" s="17">
        <f>IF(S108="","",RANK(S108,$S$3:$S$168,0)+COUNTIF($S$3:S108,S108)-1)</f>
        <v>94</v>
      </c>
      <c r="X108" s="14">
        <v>174</v>
      </c>
      <c r="Y108" s="14">
        <v>207</v>
      </c>
      <c r="Z108" s="15">
        <f>IFERROR((X108+Y108)/AR108,"")</f>
        <v>0.76352705410821642</v>
      </c>
      <c r="AA108" s="14">
        <v>40623</v>
      </c>
      <c r="AB108" s="15">
        <f>IFERROR(AA108/F108,"")</f>
        <v>0.53403533680391224</v>
      </c>
      <c r="AC108" s="16">
        <f>IFERROR(AA108*1000/H108,"")</f>
        <v>6699.0435356200524</v>
      </c>
      <c r="AD108" s="17">
        <f>IF(AB108="","",RANK(AB108,$AB$3:$AB$168,0)+COUNTIF($AB$3:AB108,AB108)-1)</f>
        <v>77</v>
      </c>
      <c r="AE108" s="17">
        <f>IF(AA108="","",RANK(AA108,$AA$3:$AA$168,0)+COUNTIF($AA$3:AA108,AA108)-1)</f>
        <v>103</v>
      </c>
      <c r="AF108" s="18">
        <v>94.81</v>
      </c>
      <c r="AG108" s="14">
        <v>43175753.960000001</v>
      </c>
      <c r="AH108" s="16">
        <f>IFERROR(AG108/AZ108,"")</f>
        <v>8055.1779776119402</v>
      </c>
      <c r="AI108" s="14">
        <v>1959</v>
      </c>
      <c r="AJ108" s="15">
        <f>IFERROR(AI108/F108,"")</f>
        <v>2.5753273386969554E-2</v>
      </c>
      <c r="AK108" s="14">
        <v>153</v>
      </c>
      <c r="AL108" s="14">
        <v>177</v>
      </c>
      <c r="AM108" s="14">
        <v>187</v>
      </c>
      <c r="AN108" s="14">
        <v>857</v>
      </c>
      <c r="AO108" s="14">
        <v>705</v>
      </c>
      <c r="AP108" s="18">
        <v>1.6</v>
      </c>
      <c r="AQ108" s="19">
        <f>IFERROR(AL108*1000/AZ108,"")</f>
        <v>33.022388059701491</v>
      </c>
      <c r="AR108" s="14">
        <v>499</v>
      </c>
      <c r="AS108" s="14">
        <v>280</v>
      </c>
      <c r="AT108" s="14">
        <v>120</v>
      </c>
      <c r="AU108" s="14">
        <v>26</v>
      </c>
      <c r="AV108" s="14">
        <v>73</v>
      </c>
      <c r="AW108" s="15">
        <f>IFERROR(AS108/AR108,"")</f>
        <v>0.56112224448897796</v>
      </c>
      <c r="AX108" s="14">
        <v>2</v>
      </c>
      <c r="AY108" s="14">
        <v>6</v>
      </c>
      <c r="AZ108" s="14">
        <v>5360</v>
      </c>
      <c r="BA108" s="20">
        <v>264.98500000000001</v>
      </c>
      <c r="BB108" s="20">
        <v>20.23</v>
      </c>
      <c r="BC108" s="21">
        <v>0.623</v>
      </c>
      <c r="BD108" s="18">
        <v>48.8</v>
      </c>
      <c r="BE108" s="18">
        <v>98.91</v>
      </c>
      <c r="BF108" s="18">
        <v>6.2</v>
      </c>
      <c r="BG108" s="18">
        <v>4.5</v>
      </c>
      <c r="BH108" s="18">
        <v>45</v>
      </c>
      <c r="BI108" s="14">
        <v>857</v>
      </c>
      <c r="BJ108" s="18">
        <v>1.6</v>
      </c>
      <c r="BK108" s="15">
        <f>IFERROR(BI108/AZ108,"")</f>
        <v>0.15988805970149253</v>
      </c>
      <c r="BL108" s="22">
        <f>IFERROR(AI108+K108+S108+AA108-F108,"")</f>
        <v>0</v>
      </c>
      <c r="BM108" s="22">
        <f>IFERROR(F108+G108-C108,"")</f>
        <v>-1</v>
      </c>
      <c r="BN108" s="22">
        <f>IF(I108="","",IFERROR(C108*1000/H108-I108,""))</f>
        <v>6.9656992085583624E-2</v>
      </c>
    </row>
    <row r="109" spans="1:66">
      <c r="A109" s="13" t="s">
        <v>313</v>
      </c>
      <c r="B109" s="13" t="s">
        <v>314</v>
      </c>
      <c r="C109" s="14">
        <v>81381</v>
      </c>
      <c r="D109" s="14">
        <v>90591</v>
      </c>
      <c r="E109" s="14">
        <v>101030</v>
      </c>
      <c r="F109" s="14">
        <v>77690</v>
      </c>
      <c r="G109" s="14">
        <v>3691</v>
      </c>
      <c r="H109" s="14">
        <v>7624</v>
      </c>
      <c r="I109" s="14">
        <v>10674.29</v>
      </c>
      <c r="J109" s="14">
        <v>13768.06</v>
      </c>
      <c r="K109" s="14">
        <v>2793</v>
      </c>
      <c r="L109" s="15">
        <f>IFERROR(K109/F109,"")</f>
        <v>3.5950572789290772E-2</v>
      </c>
      <c r="M109" s="16">
        <f>IFERROR(K109*1000/H109,"")</f>
        <v>366.34312696747116</v>
      </c>
      <c r="N109" s="17">
        <f>IF(L109="","",RANK(L109,$L$3:$L$168,0)+COUNTIF($L$3:L109,L109)-1)</f>
        <v>138</v>
      </c>
      <c r="O109" s="17">
        <f>IF(K109="","",RANK(K109,$K$3:$K$168,0)+COUNTIF($K$3:K109,K109)-1)</f>
        <v>122</v>
      </c>
      <c r="P109" s="14">
        <v>25</v>
      </c>
      <c r="Q109" s="15">
        <f>IFERROR(P109/AR109,"")</f>
        <v>0.10869565217391304</v>
      </c>
      <c r="R109" s="16">
        <v>3</v>
      </c>
      <c r="S109" s="14">
        <v>17204</v>
      </c>
      <c r="T109" s="15">
        <f>IFERROR(S109/F109,"")</f>
        <v>0.22144420131291029</v>
      </c>
      <c r="U109" s="16">
        <f>IFERROR(S109*1000/H109,"")</f>
        <v>2256.5582371458554</v>
      </c>
      <c r="V109" s="17">
        <f>IF(T109="","",RANK(T109,$T$3:$T$168,0)+COUNTIF($T$3:T109,T109)-1)</f>
        <v>123</v>
      </c>
      <c r="W109" s="17">
        <f>IF(S109="","",RANK(S109,$S$3:$S$168,0)+COUNTIF($S$3:S109,S109)-1)</f>
        <v>111</v>
      </c>
      <c r="X109" s="14">
        <v>97</v>
      </c>
      <c r="Y109" s="14">
        <v>98</v>
      </c>
      <c r="Z109" s="15">
        <f>IFERROR((X109+Y109)/AR109,"")</f>
        <v>0.84782608695652173</v>
      </c>
      <c r="AA109" s="14">
        <v>47813</v>
      </c>
      <c r="AB109" s="15">
        <f>IFERROR(AA109/F109,"")</f>
        <v>0.6154331316771785</v>
      </c>
      <c r="AC109" s="16">
        <f>IFERROR(AA109*1000/H109,"")</f>
        <v>6271.3798530954882</v>
      </c>
      <c r="AD109" s="17">
        <f>IF(AB109="","",RANK(AB109,$AB$3:$AB$168,0)+COUNTIF($AB$3:AB109,AB109)-1)</f>
        <v>45</v>
      </c>
      <c r="AE109" s="17">
        <f>IF(AA109="","",RANK(AA109,$AA$3:$AA$168,0)+COUNTIF($AA$3:AA109,AA109)-1)</f>
        <v>87</v>
      </c>
      <c r="AF109" s="18">
        <v>91.24</v>
      </c>
      <c r="AG109" s="14">
        <v>54082790.770000003</v>
      </c>
      <c r="AH109" s="16">
        <f>IFERROR(AG109/AZ109,"")</f>
        <v>7370.2358639956392</v>
      </c>
      <c r="AI109" s="14">
        <v>9881</v>
      </c>
      <c r="AJ109" s="15">
        <f>IFERROR(AI109/F109,"")</f>
        <v>0.12718496589007594</v>
      </c>
      <c r="AK109" s="14">
        <v>83</v>
      </c>
      <c r="AL109" s="14">
        <v>92</v>
      </c>
      <c r="AM109" s="14">
        <v>93</v>
      </c>
      <c r="AN109" s="14">
        <v>305</v>
      </c>
      <c r="AO109" s="14">
        <v>242</v>
      </c>
      <c r="AP109" s="18">
        <v>1.6</v>
      </c>
      <c r="AQ109" s="19">
        <f>IFERROR(AL109*1000/AZ109,"")</f>
        <v>12.537476151539929</v>
      </c>
      <c r="AR109" s="14">
        <v>230</v>
      </c>
      <c r="AS109" s="14">
        <v>101</v>
      </c>
      <c r="AT109" s="14">
        <v>67</v>
      </c>
      <c r="AU109" s="14">
        <v>7</v>
      </c>
      <c r="AV109" s="14">
        <v>55</v>
      </c>
      <c r="AW109" s="15">
        <f>IFERROR(AS109/AR109,"")</f>
        <v>0.43913043478260871</v>
      </c>
      <c r="AX109" s="14">
        <v>3</v>
      </c>
      <c r="AY109" s="14">
        <v>7</v>
      </c>
      <c r="AZ109" s="14">
        <v>7338</v>
      </c>
      <c r="BA109" s="20">
        <v>117.971</v>
      </c>
      <c r="BB109" s="20">
        <v>62.2</v>
      </c>
      <c r="BC109" s="21">
        <v>0.55300000000000005</v>
      </c>
      <c r="BD109" s="18">
        <v>53.2</v>
      </c>
      <c r="BE109" s="18">
        <v>99.57</v>
      </c>
      <c r="BF109" s="18">
        <v>4.9000000000000004</v>
      </c>
      <c r="BG109" s="18">
        <v>4</v>
      </c>
      <c r="BH109" s="18">
        <v>0.11</v>
      </c>
      <c r="BI109" s="14">
        <v>305</v>
      </c>
      <c r="BJ109" s="18">
        <v>1.6</v>
      </c>
      <c r="BK109" s="15">
        <f>IFERROR(BI109/AZ109,"")</f>
        <v>4.1564458980648679E-2</v>
      </c>
      <c r="BL109" s="22">
        <f>IFERROR(AI109+K109+S109+AA109-F109,"")</f>
        <v>1</v>
      </c>
      <c r="BM109" s="22">
        <f>IFERROR(F109+G109-C109,"")</f>
        <v>0</v>
      </c>
      <c r="BN109" s="22">
        <f>IF(I109="","",IFERROR(C109*1000/H109-I109,""))</f>
        <v>2.794333683050354E-2</v>
      </c>
    </row>
    <row r="110" spans="1:66">
      <c r="A110" s="13" t="s">
        <v>315</v>
      </c>
      <c r="B110" s="13" t="s">
        <v>316</v>
      </c>
      <c r="C110" s="14">
        <v>79994</v>
      </c>
      <c r="D110" s="14">
        <v>98424</v>
      </c>
      <c r="E110" s="14">
        <v>282103</v>
      </c>
      <c r="F110" s="14">
        <v>73878</v>
      </c>
      <c r="G110" s="14">
        <v>6116</v>
      </c>
      <c r="H110" s="14">
        <v>6591</v>
      </c>
      <c r="I110" s="14">
        <v>12136.82</v>
      </c>
      <c r="J110" s="14">
        <v>45194.41</v>
      </c>
      <c r="K110" s="14">
        <v>2807</v>
      </c>
      <c r="L110" s="15">
        <f>IFERROR(K110/F110,"")</f>
        <v>3.7995072958120144E-2</v>
      </c>
      <c r="M110" s="16">
        <f>IFERROR(K110*1000/H110,"")</f>
        <v>425.88378091336671</v>
      </c>
      <c r="N110" s="17">
        <f>IF(L110="","",RANK(L110,$L$3:$L$168,0)+COUNTIF($L$3:L110,L110)-1)</f>
        <v>132</v>
      </c>
      <c r="O110" s="17">
        <f>IF(K110="","",RANK(K110,$K$3:$K$168,0)+COUNTIF($K$3:K110,K110)-1)</f>
        <v>121</v>
      </c>
      <c r="P110" s="14">
        <v>58</v>
      </c>
      <c r="Q110" s="15">
        <f>IFERROR(P110/AR110,"")</f>
        <v>0.17575757575757575</v>
      </c>
      <c r="R110" s="16">
        <v>36</v>
      </c>
      <c r="S110" s="14">
        <v>17562</v>
      </c>
      <c r="T110" s="15">
        <f>IFERROR(S110/F110,"")</f>
        <v>0.23771623487371071</v>
      </c>
      <c r="U110" s="16">
        <f>IFERROR(S110*1000/H110,"")</f>
        <v>2664.5425580336823</v>
      </c>
      <c r="V110" s="17">
        <f>IF(T110="","",RANK(T110,$T$3:$T$168,0)+COUNTIF($T$3:T110,T110)-1)</f>
        <v>106</v>
      </c>
      <c r="W110" s="17">
        <f>IF(S110="","",RANK(S110,$S$3:$S$168,0)+COUNTIF($S$3:S110,S110)-1)</f>
        <v>110</v>
      </c>
      <c r="X110" s="14">
        <v>111</v>
      </c>
      <c r="Y110" s="14">
        <v>147</v>
      </c>
      <c r="Z110" s="15">
        <f>IFERROR((X110+Y110)/AR110,"")</f>
        <v>0.78181818181818186</v>
      </c>
      <c r="AA110" s="14">
        <v>49395</v>
      </c>
      <c r="AB110" s="15">
        <f>IFERROR(AA110/F110,"")</f>
        <v>0.66860229026232443</v>
      </c>
      <c r="AC110" s="16">
        <f>IFERROR(AA110*1000/H110,"")</f>
        <v>7494.310423304506</v>
      </c>
      <c r="AD110" s="17">
        <f>IF(AB110="","",RANK(AB110,$AB$3:$AB$168,0)+COUNTIF($AB$3:AB110,AB110)-1)</f>
        <v>23</v>
      </c>
      <c r="AE110" s="17">
        <f>IF(AA110="","",RANK(AA110,$AA$3:$AA$168,0)+COUNTIF($AA$3:AA110,AA110)-1)</f>
        <v>83</v>
      </c>
      <c r="AF110" s="18">
        <v>92.84</v>
      </c>
      <c r="AG110" s="14">
        <v>56078444.600000001</v>
      </c>
      <c r="AH110" s="16">
        <f>IFERROR(AG110/AZ110,"")</f>
        <v>8984.0507209227817</v>
      </c>
      <c r="AI110" s="14">
        <v>4115</v>
      </c>
      <c r="AJ110" s="15">
        <f>IFERROR(AI110/F110,"")</f>
        <v>5.5699937735185036E-2</v>
      </c>
      <c r="AK110" s="14">
        <v>158</v>
      </c>
      <c r="AL110" s="14">
        <v>190</v>
      </c>
      <c r="AM110" s="14">
        <v>193</v>
      </c>
      <c r="AN110" s="14">
        <v>670</v>
      </c>
      <c r="AO110" s="14">
        <v>505</v>
      </c>
      <c r="AP110" s="18">
        <v>1.8</v>
      </c>
      <c r="AQ110" s="19">
        <f>IFERROR(AL110*1000/AZ110,"")</f>
        <v>30.438961871195129</v>
      </c>
      <c r="AR110" s="14">
        <v>330</v>
      </c>
      <c r="AS110" s="14">
        <v>120</v>
      </c>
      <c r="AT110" s="14">
        <v>92</v>
      </c>
      <c r="AU110" s="14">
        <v>11</v>
      </c>
      <c r="AV110" s="14">
        <v>107</v>
      </c>
      <c r="AW110" s="15">
        <f>IFERROR(AS110/AR110,"")</f>
        <v>0.36363636363636365</v>
      </c>
      <c r="AX110" s="14">
        <v>8</v>
      </c>
      <c r="AY110" s="14">
        <v>6</v>
      </c>
      <c r="AZ110" s="14">
        <v>6242</v>
      </c>
      <c r="BA110" s="20">
        <v>952.75400000000002</v>
      </c>
      <c r="BB110" s="20">
        <v>6.55</v>
      </c>
      <c r="BC110" s="21">
        <v>0.58299999999999996</v>
      </c>
      <c r="BD110" s="18">
        <v>49.4</v>
      </c>
      <c r="BE110" s="18">
        <v>99.19</v>
      </c>
      <c r="BF110" s="18">
        <v>5.2</v>
      </c>
      <c r="BG110" s="18">
        <v>4.0999999999999996</v>
      </c>
      <c r="BH110" s="18">
        <v>39.89</v>
      </c>
      <c r="BI110" s="14">
        <v>670</v>
      </c>
      <c r="BJ110" s="18">
        <v>1.8</v>
      </c>
      <c r="BK110" s="15">
        <f>IFERROR(BI110/AZ110,"")</f>
        <v>0.10733739186158282</v>
      </c>
      <c r="BL110" s="22">
        <f>IFERROR(AI110+K110+S110+AA110-F110,"")</f>
        <v>1</v>
      </c>
      <c r="BM110" s="22">
        <f>IFERROR(F110+G110-C110,"")</f>
        <v>0</v>
      </c>
      <c r="BN110" s="22">
        <f>IF(I110="","",IFERROR(C110*1000/H110-I110,""))</f>
        <v>3.3284782279224601E-2</v>
      </c>
    </row>
    <row r="111" spans="1:66">
      <c r="A111" s="13" t="s">
        <v>317</v>
      </c>
      <c r="B111" s="13" t="s">
        <v>318</v>
      </c>
      <c r="C111" s="14">
        <v>78933</v>
      </c>
      <c r="D111" s="14">
        <v>91230</v>
      </c>
      <c r="E111" s="14">
        <v>99832</v>
      </c>
      <c r="F111" s="14">
        <v>75053</v>
      </c>
      <c r="G111" s="14">
        <v>3880</v>
      </c>
      <c r="H111" s="14">
        <v>7944</v>
      </c>
      <c r="I111" s="14">
        <v>9936.17</v>
      </c>
      <c r="J111" s="14">
        <v>13134.07</v>
      </c>
      <c r="K111" s="14">
        <v>6033</v>
      </c>
      <c r="L111" s="15">
        <f>IFERROR(K111/F111,"")</f>
        <v>8.0383195874915062E-2</v>
      </c>
      <c r="M111" s="16">
        <f>IFERROR(K111*1000/H111,"")</f>
        <v>759.44108761329301</v>
      </c>
      <c r="N111" s="17">
        <f>IF(L111="","",RANK(L111,$L$3:$L$168,0)+COUNTIF($L$3:L111,L111)-1)</f>
        <v>65</v>
      </c>
      <c r="O111" s="17">
        <f>IF(K111="","",RANK(K111,$K$3:$K$168,0)+COUNTIF($K$3:K111,K111)-1)</f>
        <v>84</v>
      </c>
      <c r="P111" s="14">
        <v>70</v>
      </c>
      <c r="Q111" s="15">
        <f>IFERROR(P111/AR111,"")</f>
        <v>0.15945330296127563</v>
      </c>
      <c r="R111" s="16">
        <v>9</v>
      </c>
      <c r="S111" s="14">
        <v>21020</v>
      </c>
      <c r="T111" s="15">
        <f>IFERROR(S111/F111,"")</f>
        <v>0.28006875141566628</v>
      </c>
      <c r="U111" s="16">
        <f>IFERROR(S111*1000/H111,"")</f>
        <v>2646.022155085599</v>
      </c>
      <c r="V111" s="17">
        <f>IF(T111="","",RANK(T111,$T$3:$T$168,0)+COUNTIF($T$3:T111,T111)-1)</f>
        <v>67</v>
      </c>
      <c r="W111" s="17">
        <f>IF(S111="","",RANK(S111,$S$3:$S$168,0)+COUNTIF($S$3:S111,S111)-1)</f>
        <v>95</v>
      </c>
      <c r="X111" s="14">
        <v>158</v>
      </c>
      <c r="Y111" s="14">
        <v>198</v>
      </c>
      <c r="Z111" s="15">
        <f>IFERROR((X111+Y111)/AR111,"")</f>
        <v>0.81093394077448744</v>
      </c>
      <c r="AA111" s="14">
        <v>45523</v>
      </c>
      <c r="AB111" s="15">
        <f>IFERROR(AA111/F111,"")</f>
        <v>0.60654470840605967</v>
      </c>
      <c r="AC111" s="16">
        <f>IFERROR(AA111*1000/H111,"")</f>
        <v>5730.4884189325276</v>
      </c>
      <c r="AD111" s="17">
        <f>IF(AB111="","",RANK(AB111,$AB$3:$AB$168,0)+COUNTIF($AB$3:AB111,AB111)-1)</f>
        <v>47</v>
      </c>
      <c r="AE111" s="17">
        <f>IF(AA111="","",RANK(AA111,$AA$3:$AA$168,0)+COUNTIF($AA$3:AA111,AA111)-1)</f>
        <v>92</v>
      </c>
      <c r="AF111" s="18">
        <v>83.78</v>
      </c>
      <c r="AG111" s="14">
        <v>60036794.520000003</v>
      </c>
      <c r="AH111" s="16">
        <f>IFERROR(AG111/AZ111,"")</f>
        <v>7898.538944875675</v>
      </c>
      <c r="AI111" s="14">
        <v>2476</v>
      </c>
      <c r="AJ111" s="15">
        <f>IFERROR(AI111/F111,"")</f>
        <v>3.2990020385594183E-2</v>
      </c>
      <c r="AK111" s="14">
        <v>163</v>
      </c>
      <c r="AL111" s="14">
        <v>175</v>
      </c>
      <c r="AM111" s="14">
        <v>177</v>
      </c>
      <c r="AN111" s="14">
        <v>833</v>
      </c>
      <c r="AO111" s="14">
        <v>661</v>
      </c>
      <c r="AP111" s="18">
        <v>2</v>
      </c>
      <c r="AQ111" s="19">
        <f>IFERROR(AL111*1000/AZ111,"")</f>
        <v>23.023286409682935</v>
      </c>
      <c r="AR111" s="14">
        <v>439</v>
      </c>
      <c r="AS111" s="14">
        <v>217</v>
      </c>
      <c r="AT111" s="14">
        <v>132</v>
      </c>
      <c r="AU111" s="14">
        <v>19</v>
      </c>
      <c r="AV111" s="14">
        <v>71</v>
      </c>
      <c r="AW111" s="15">
        <f>IFERROR(AS111/AR111,"")</f>
        <v>0.49430523917995445</v>
      </c>
      <c r="AX111" s="14">
        <v>4</v>
      </c>
      <c r="AY111" s="14">
        <v>9</v>
      </c>
      <c r="AZ111" s="14">
        <v>7601</v>
      </c>
      <c r="BA111" s="20">
        <v>110.054</v>
      </c>
      <c r="BB111" s="20">
        <v>69.069999999999993</v>
      </c>
      <c r="BC111" s="21">
        <v>0.621</v>
      </c>
      <c r="BD111" s="18">
        <v>50.5</v>
      </c>
      <c r="BE111" s="18">
        <v>100</v>
      </c>
      <c r="BF111" s="18">
        <v>5.4</v>
      </c>
      <c r="BG111" s="18">
        <v>4.5999999999999996</v>
      </c>
      <c r="BH111" s="18">
        <v>0.66</v>
      </c>
      <c r="BI111" s="14">
        <v>833</v>
      </c>
      <c r="BJ111" s="18">
        <v>2</v>
      </c>
      <c r="BK111" s="15">
        <f>IFERROR(BI111/AZ111,"")</f>
        <v>0.10959084331009078</v>
      </c>
      <c r="BL111" s="22">
        <f>IFERROR(AI111+K111+S111+AA111-F111,"")</f>
        <v>-1</v>
      </c>
      <c r="BM111" s="22">
        <f>IFERROR(F111+G111-C111,"")</f>
        <v>0</v>
      </c>
      <c r="BN111" s="22">
        <f>IF(I111="","",IFERROR(C111*1000/H111-I111,""))</f>
        <v>8.2477341384219471E-3</v>
      </c>
    </row>
    <row r="112" spans="1:66">
      <c r="A112" s="13" t="s">
        <v>319</v>
      </c>
      <c r="B112" s="13" t="s">
        <v>320</v>
      </c>
      <c r="C112" s="14">
        <v>78555</v>
      </c>
      <c r="D112" s="14">
        <v>91969</v>
      </c>
      <c r="E112" s="14">
        <v>106164</v>
      </c>
      <c r="F112" s="14">
        <v>74409</v>
      </c>
      <c r="G112" s="14">
        <v>4146</v>
      </c>
      <c r="H112" s="14">
        <v>7068</v>
      </c>
      <c r="I112" s="14">
        <v>11114.15</v>
      </c>
      <c r="J112" s="14">
        <v>15071.49</v>
      </c>
      <c r="K112" s="14">
        <v>1492</v>
      </c>
      <c r="L112" s="15">
        <f>IFERROR(K112/F112,"")</f>
        <v>2.0051337875794596E-2</v>
      </c>
      <c r="M112" s="16">
        <f>IFERROR(K112*1000/H112,"")</f>
        <v>211.092246745897</v>
      </c>
      <c r="N112" s="17">
        <f>IF(L112="","",RANK(L112,$L$3:$L$168,0)+COUNTIF($L$3:L112,L112)-1)</f>
        <v>164</v>
      </c>
      <c r="O112" s="17">
        <f>IF(K112="","",RANK(K112,$K$3:$K$168,0)+COUNTIF($K$3:K112,K112)-1)</f>
        <v>151</v>
      </c>
      <c r="P112" s="14">
        <v>20</v>
      </c>
      <c r="Q112" s="15">
        <f>IFERROR(P112/AR112,"")</f>
        <v>8.9285714285714288E-2</v>
      </c>
      <c r="R112" s="16">
        <v>4</v>
      </c>
      <c r="S112" s="14">
        <v>19755</v>
      </c>
      <c r="T112" s="15">
        <f>IFERROR(S112/F112,"")</f>
        <v>0.26549207757126153</v>
      </c>
      <c r="U112" s="16">
        <f>IFERROR(S112*1000/H112,"")</f>
        <v>2794.9915110356537</v>
      </c>
      <c r="V112" s="17">
        <f>IF(T112="","",RANK(T112,$T$3:$T$168,0)+COUNTIF($T$3:T112,T112)-1)</f>
        <v>80</v>
      </c>
      <c r="W112" s="17">
        <f>IF(S112="","",RANK(S112,$S$3:$S$168,0)+COUNTIF($S$3:S112,S112)-1)</f>
        <v>100</v>
      </c>
      <c r="X112" s="14">
        <v>70</v>
      </c>
      <c r="Y112" s="14">
        <v>122</v>
      </c>
      <c r="Z112" s="15">
        <f>IFERROR((X112+Y112)/AR112,"")</f>
        <v>0.8571428571428571</v>
      </c>
      <c r="AA112" s="14">
        <v>47602</v>
      </c>
      <c r="AB112" s="15">
        <f>IFERROR(AA112/F112,"")</f>
        <v>0.63973444072625618</v>
      </c>
      <c r="AC112" s="16">
        <f>IFERROR(AA112*1000/H112,"")</f>
        <v>6734.8613469156762</v>
      </c>
      <c r="AD112" s="17">
        <f>IF(AB112="","",RANK(AB112,$AB$3:$AB$168,0)+COUNTIF($AB$3:AB112,AB112)-1)</f>
        <v>36</v>
      </c>
      <c r="AE112" s="17">
        <f>IF(AA112="","",RANK(AA112,$AA$3:$AA$168,0)+COUNTIF($AA$3:AA112,AA112)-1)</f>
        <v>88</v>
      </c>
      <c r="AF112" s="18">
        <v>75.8</v>
      </c>
      <c r="AG112" s="14">
        <v>68661940.359999999</v>
      </c>
      <c r="AH112" s="16">
        <f>IFERROR(AG112/AZ112,"")</f>
        <v>9747.5781317433284</v>
      </c>
      <c r="AI112" s="14">
        <v>5559</v>
      </c>
      <c r="AJ112" s="15">
        <f>IFERROR(AI112/F112,"")</f>
        <v>7.4708704592186426E-2</v>
      </c>
      <c r="AK112" s="14">
        <v>99</v>
      </c>
      <c r="AL112" s="14">
        <v>102</v>
      </c>
      <c r="AM112" s="14">
        <v>104</v>
      </c>
      <c r="AN112" s="14">
        <v>557</v>
      </c>
      <c r="AO112" s="14">
        <v>477</v>
      </c>
      <c r="AP112" s="18">
        <v>2.2000000000000002</v>
      </c>
      <c r="AQ112" s="19">
        <f>IFERROR(AL112*1000/AZ112,"")</f>
        <v>14.480408858603067</v>
      </c>
      <c r="AR112" s="14">
        <v>224</v>
      </c>
      <c r="AS112" s="14">
        <v>101</v>
      </c>
      <c r="AT112" s="14">
        <v>60</v>
      </c>
      <c r="AU112" s="14">
        <v>7</v>
      </c>
      <c r="AV112" s="14">
        <v>56</v>
      </c>
      <c r="AW112" s="15">
        <f>IFERROR(AS112/AR112,"")</f>
        <v>0.45089285714285715</v>
      </c>
      <c r="AX112" s="14">
        <v>0</v>
      </c>
      <c r="AY112" s="14">
        <v>12</v>
      </c>
      <c r="AZ112" s="14">
        <v>7044</v>
      </c>
      <c r="BA112" s="20">
        <v>113.73699999999999</v>
      </c>
      <c r="BB112" s="20">
        <v>61.93</v>
      </c>
      <c r="BC112" s="21">
        <v>0.621</v>
      </c>
      <c r="BD112" s="18">
        <v>54.3</v>
      </c>
      <c r="BE112" s="18">
        <v>99.78</v>
      </c>
      <c r="BF112" s="18">
        <v>6.2</v>
      </c>
      <c r="BG112" s="18">
        <v>5</v>
      </c>
      <c r="BH112" s="18">
        <v>29.27</v>
      </c>
      <c r="BI112" s="14">
        <v>557</v>
      </c>
      <c r="BJ112" s="18">
        <v>2.2000000000000002</v>
      </c>
      <c r="BK112" s="15">
        <f>IFERROR(BI112/AZ112,"")</f>
        <v>7.9074389551391261E-2</v>
      </c>
      <c r="BL112" s="22">
        <f>IFERROR(AI112+K112+S112+AA112-F112,"")</f>
        <v>-1</v>
      </c>
      <c r="BM112" s="22">
        <f>IFERROR(F112+G112-C112,"")</f>
        <v>0</v>
      </c>
      <c r="BN112" s="22">
        <f>IF(I112="","",IFERROR(C112*1000/H112-I112,""))</f>
        <v>2.657045840533101E-2</v>
      </c>
    </row>
    <row r="113" spans="1:66">
      <c r="A113" s="13" t="s">
        <v>321</v>
      </c>
      <c r="B113" s="13" t="s">
        <v>322</v>
      </c>
      <c r="C113" s="14">
        <v>78031</v>
      </c>
      <c r="D113" s="14">
        <v>86696</v>
      </c>
      <c r="E113" s="14">
        <v>89729</v>
      </c>
      <c r="F113" s="14">
        <v>71240</v>
      </c>
      <c r="G113" s="14">
        <v>6792</v>
      </c>
      <c r="H113" s="14">
        <v>5689</v>
      </c>
      <c r="I113" s="14">
        <v>13716.15</v>
      </c>
      <c r="J113" s="14">
        <v>18512.21</v>
      </c>
      <c r="K113" s="14">
        <v>2107</v>
      </c>
      <c r="L113" s="15">
        <f>IFERROR(K113/F113,"")</f>
        <v>2.9576080853453115E-2</v>
      </c>
      <c r="M113" s="16">
        <f>IFERROR(K113*1000/H113,"")</f>
        <v>370.36386008085782</v>
      </c>
      <c r="N113" s="17">
        <f>IF(L113="","",RANK(L113,$L$3:$L$168,0)+COUNTIF($L$3:L113,L113)-1)</f>
        <v>152</v>
      </c>
      <c r="O113" s="17">
        <f>IF(K113="","",RANK(K113,$K$3:$K$168,0)+COUNTIF($K$3:K113,K113)-1)</f>
        <v>135</v>
      </c>
      <c r="P113" s="14">
        <v>53</v>
      </c>
      <c r="Q113" s="15">
        <f>IFERROR(P113/AR113,"")</f>
        <v>0.11777777777777777</v>
      </c>
      <c r="R113" s="16">
        <v>3</v>
      </c>
      <c r="S113" s="14">
        <v>29354</v>
      </c>
      <c r="T113" s="15">
        <f>IFERROR(S113/F113,"")</f>
        <v>0.41204379562043797</v>
      </c>
      <c r="U113" s="16">
        <f>IFERROR(S113*1000/H113,"")</f>
        <v>5159.782035507119</v>
      </c>
      <c r="V113" s="17">
        <f>IF(T113="","",RANK(T113,$T$3:$T$168,0)+COUNTIF($T$3:T113,T113)-1)</f>
        <v>20</v>
      </c>
      <c r="W113" s="17">
        <f>IF(S113="","",RANK(S113,$S$3:$S$168,0)+COUNTIF($S$3:S113,S113)-1)</f>
        <v>77</v>
      </c>
      <c r="X113" s="14">
        <v>100</v>
      </c>
      <c r="Y113" s="14">
        <v>289</v>
      </c>
      <c r="Z113" s="15">
        <f>IFERROR((X113+Y113)/AR113,"")</f>
        <v>0.86444444444444446</v>
      </c>
      <c r="AA113" s="14">
        <v>36402</v>
      </c>
      <c r="AB113" s="15">
        <f>IFERROR(AA113/F113,"")</f>
        <v>0.51097697922515439</v>
      </c>
      <c r="AC113" s="16">
        <f>IFERROR(AA113*1000/H113,"")</f>
        <v>6398.6640885920197</v>
      </c>
      <c r="AD113" s="17">
        <f>IF(AB113="","",RANK(AB113,$AB$3:$AB$168,0)+COUNTIF($AB$3:AB113,AB113)-1)</f>
        <v>87</v>
      </c>
      <c r="AE113" s="17">
        <f>IF(AA113="","",RANK(AA113,$AA$3:$AA$168,0)+COUNTIF($AA$3:AA113,AA113)-1)</f>
        <v>109</v>
      </c>
      <c r="AF113" s="18">
        <v>93.76</v>
      </c>
      <c r="AG113" s="14">
        <v>47121464.5</v>
      </c>
      <c r="AH113" s="16">
        <f>IFERROR(AG113/AZ113,"")</f>
        <v>9721.7793480503406</v>
      </c>
      <c r="AI113" s="14">
        <v>3376</v>
      </c>
      <c r="AJ113" s="15">
        <f>IFERROR(AI113/F113,"")</f>
        <v>4.7389107243121842E-2</v>
      </c>
      <c r="AK113" s="14">
        <v>96</v>
      </c>
      <c r="AL113" s="14">
        <v>112</v>
      </c>
      <c r="AM113" s="14">
        <v>113</v>
      </c>
      <c r="AN113" s="14">
        <v>463</v>
      </c>
      <c r="AO113" s="14">
        <v>388</v>
      </c>
      <c r="AP113" s="18">
        <v>2</v>
      </c>
      <c r="AQ113" s="19">
        <f>IFERROR(AL113*1000/AZ113,"")</f>
        <v>23.107076542191045</v>
      </c>
      <c r="AR113" s="14">
        <v>450</v>
      </c>
      <c r="AS113" s="14">
        <v>303</v>
      </c>
      <c r="AT113" s="14">
        <v>84</v>
      </c>
      <c r="AU113" s="14">
        <v>7</v>
      </c>
      <c r="AV113" s="14">
        <v>56</v>
      </c>
      <c r="AW113" s="15">
        <f>IFERROR(AS113/AR113,"")</f>
        <v>0.67333333333333334</v>
      </c>
      <c r="AX113" s="14">
        <v>4</v>
      </c>
      <c r="AY113" s="14">
        <v>4</v>
      </c>
      <c r="AZ113" s="14">
        <v>4847</v>
      </c>
      <c r="BA113" s="20">
        <v>219.57</v>
      </c>
      <c r="BB113" s="20">
        <v>22.07</v>
      </c>
      <c r="BC113" s="21">
        <v>0.59</v>
      </c>
      <c r="BD113" s="18">
        <v>48.3</v>
      </c>
      <c r="BE113" s="18">
        <v>99.71</v>
      </c>
      <c r="BF113" s="18">
        <v>4.7</v>
      </c>
      <c r="BG113" s="18">
        <v>3.5</v>
      </c>
      <c r="BH113" s="18">
        <v>6.53</v>
      </c>
      <c r="BI113" s="14">
        <v>463</v>
      </c>
      <c r="BJ113" s="18">
        <v>2</v>
      </c>
      <c r="BK113" s="15">
        <f>IFERROR(BI113/AZ113,"")</f>
        <v>9.5523003919950486E-2</v>
      </c>
      <c r="BL113" s="22">
        <f>IFERROR(AI113+K113+S113+AA113-F113,"")</f>
        <v>-1</v>
      </c>
      <c r="BM113" s="22">
        <f>IFERROR(F113+G113-C113,"")</f>
        <v>1</v>
      </c>
      <c r="BN113" s="22">
        <f>IF(I113="","",IFERROR(C113*1000/H113-I113,""))</f>
        <v>-3.1174195815765415E-2</v>
      </c>
    </row>
    <row r="114" spans="1:66">
      <c r="A114" s="13" t="s">
        <v>323</v>
      </c>
      <c r="B114" s="13" t="s">
        <v>324</v>
      </c>
      <c r="C114" s="14">
        <v>76920</v>
      </c>
      <c r="D114" s="14">
        <v>90507</v>
      </c>
      <c r="E114" s="14">
        <v>100458</v>
      </c>
      <c r="F114" s="14">
        <v>72063</v>
      </c>
      <c r="G114" s="14">
        <v>4857</v>
      </c>
      <c r="H114" s="14">
        <v>6476</v>
      </c>
      <c r="I114" s="14">
        <v>11877.77</v>
      </c>
      <c r="J114" s="14">
        <v>15920.43</v>
      </c>
      <c r="K114" s="14">
        <v>5155</v>
      </c>
      <c r="L114" s="15">
        <f>IFERROR(K114/F114,"")</f>
        <v>7.1534629421478424E-2</v>
      </c>
      <c r="M114" s="16">
        <f>IFERROR(K114*1000/H114,"")</f>
        <v>796.01605929586162</v>
      </c>
      <c r="N114" s="17">
        <f>IF(L114="","",RANK(L114,$L$3:$L$168,0)+COUNTIF($L$3:L114,L114)-1)</f>
        <v>69</v>
      </c>
      <c r="O114" s="17">
        <f>IF(K114="","",RANK(K114,$K$3:$K$168,0)+COUNTIF($K$3:K114,K114)-1)</f>
        <v>92</v>
      </c>
      <c r="P114" s="14">
        <v>60</v>
      </c>
      <c r="Q114" s="15">
        <f>IFERROR(P114/AR114,"")</f>
        <v>0.13274336283185842</v>
      </c>
      <c r="R114" s="16">
        <v>9</v>
      </c>
      <c r="S114" s="14">
        <v>18729</v>
      </c>
      <c r="T114" s="15">
        <f>IFERROR(S114/F114,"")</f>
        <v>0.25989758960909204</v>
      </c>
      <c r="U114" s="16">
        <f>IFERROR(S114*1000/H114,"")</f>
        <v>2892.0630018529955</v>
      </c>
      <c r="V114" s="17">
        <f>IF(T114="","",RANK(T114,$T$3:$T$168,0)+COUNTIF($T$3:T114,T114)-1)</f>
        <v>87</v>
      </c>
      <c r="W114" s="17">
        <f>IF(S114="","",RANK(S114,$S$3:$S$168,0)+COUNTIF($S$3:S114,S114)-1)</f>
        <v>107</v>
      </c>
      <c r="X114" s="14">
        <v>158</v>
      </c>
      <c r="Y114" s="14">
        <v>222</v>
      </c>
      <c r="Z114" s="15">
        <f>IFERROR((X114+Y114)/AR114,"")</f>
        <v>0.84070796460176989</v>
      </c>
      <c r="AA114" s="14">
        <v>41504</v>
      </c>
      <c r="AB114" s="15">
        <f>IFERROR(AA114/F114,"")</f>
        <v>0.57594049650999823</v>
      </c>
      <c r="AC114" s="16">
        <f>IFERROR(AA114*1000/H114,"")</f>
        <v>6408.8943792464488</v>
      </c>
      <c r="AD114" s="17">
        <f>IF(AB114="","",RANK(AB114,$AB$3:$AB$168,0)+COUNTIF($AB$3:AB114,AB114)-1)</f>
        <v>66</v>
      </c>
      <c r="AE114" s="17">
        <f>IF(AA114="","",RANK(AA114,$AA$3:$AA$168,0)+COUNTIF($AA$3:AA114,AA114)-1)</f>
        <v>100</v>
      </c>
      <c r="AF114" s="18">
        <v>85.24</v>
      </c>
      <c r="AG114" s="14">
        <v>51238213.390000001</v>
      </c>
      <c r="AH114" s="16">
        <f>IFERROR(AG114/AZ114,"")</f>
        <v>8120.1606006339143</v>
      </c>
      <c r="AI114" s="14">
        <v>6676</v>
      </c>
      <c r="AJ114" s="15">
        <f>IFERROR(AI114/F114,"")</f>
        <v>9.2641161206166819E-2</v>
      </c>
      <c r="AK114" s="14">
        <v>146</v>
      </c>
      <c r="AL114" s="14">
        <v>165</v>
      </c>
      <c r="AM114" s="14">
        <v>166</v>
      </c>
      <c r="AN114" s="14">
        <v>689</v>
      </c>
      <c r="AO114" s="14">
        <v>558</v>
      </c>
      <c r="AP114" s="18">
        <v>1.5</v>
      </c>
      <c r="AQ114" s="19">
        <f>IFERROR(AL114*1000/AZ114,"")</f>
        <v>26.148969889064976</v>
      </c>
      <c r="AR114" s="14">
        <v>452</v>
      </c>
      <c r="AS114" s="14">
        <v>210</v>
      </c>
      <c r="AT114" s="14">
        <v>157</v>
      </c>
      <c r="AU114" s="14">
        <v>9</v>
      </c>
      <c r="AV114" s="14">
        <v>76</v>
      </c>
      <c r="AW114" s="15">
        <f>IFERROR(AS114/AR114,"")</f>
        <v>0.46460176991150443</v>
      </c>
      <c r="AX114" s="14">
        <v>3</v>
      </c>
      <c r="AY114" s="14">
        <v>9</v>
      </c>
      <c r="AZ114" s="14">
        <v>6310</v>
      </c>
      <c r="BA114" s="20">
        <v>197.81700000000001</v>
      </c>
      <c r="BB114" s="20">
        <v>31.9</v>
      </c>
      <c r="BC114" s="21">
        <v>0.64200000000000002</v>
      </c>
      <c r="BD114" s="18">
        <v>50.6</v>
      </c>
      <c r="BE114" s="18">
        <v>99.57</v>
      </c>
      <c r="BF114" s="18">
        <v>5.9</v>
      </c>
      <c r="BG114" s="18">
        <v>4.2</v>
      </c>
      <c r="BH114" s="18">
        <v>61.02</v>
      </c>
      <c r="BI114" s="14">
        <v>689</v>
      </c>
      <c r="BJ114" s="18">
        <v>1.5</v>
      </c>
      <c r="BK114" s="15">
        <f>IFERROR(BI114/AZ114,"")</f>
        <v>0.10919175911251981</v>
      </c>
      <c r="BL114" s="22">
        <f>IFERROR(AI114+K114+S114+AA114-F114,"")</f>
        <v>1</v>
      </c>
      <c r="BM114" s="22">
        <f>IFERROR(F114+G114-C114,"")</f>
        <v>0</v>
      </c>
      <c r="BN114" s="22">
        <f>IF(I114="","",IFERROR(C114*1000/H114-I114,""))</f>
        <v>-6.7714638666075189E-2</v>
      </c>
    </row>
    <row r="115" spans="1:66">
      <c r="A115" s="13" t="s">
        <v>325</v>
      </c>
      <c r="B115" s="13" t="s">
        <v>326</v>
      </c>
      <c r="C115" s="14">
        <v>73781</v>
      </c>
      <c r="D115" s="14">
        <v>84155</v>
      </c>
      <c r="E115" s="14">
        <v>90976</v>
      </c>
      <c r="F115" s="14">
        <v>68310</v>
      </c>
      <c r="G115" s="14">
        <v>5471</v>
      </c>
      <c r="H115" s="14">
        <v>5916</v>
      </c>
      <c r="I115" s="14">
        <v>12471.45</v>
      </c>
      <c r="J115" s="14">
        <v>17100.78</v>
      </c>
      <c r="K115" s="14">
        <v>2926</v>
      </c>
      <c r="L115" s="15">
        <f>IFERROR(K115/F115,"")</f>
        <v>4.2834138486312401E-2</v>
      </c>
      <c r="M115" s="16">
        <f>IFERROR(K115*1000/H115,"")</f>
        <v>494.59093982420552</v>
      </c>
      <c r="N115" s="17">
        <f>IF(L115="","",RANK(L115,$L$3:$L$168,0)+COUNTIF($L$3:L115,L115)-1)</f>
        <v>108</v>
      </c>
      <c r="O115" s="17">
        <f>IF(K115="","",RANK(K115,$K$3:$K$168,0)+COUNTIF($K$3:K115,K115)-1)</f>
        <v>119</v>
      </c>
      <c r="P115" s="14">
        <v>35</v>
      </c>
      <c r="Q115" s="15">
        <f>IFERROR(P115/AR115,"")</f>
        <v>0.12110726643598616</v>
      </c>
      <c r="R115" s="16">
        <v>5</v>
      </c>
      <c r="S115" s="14">
        <v>22671</v>
      </c>
      <c r="T115" s="15">
        <f>IFERROR(S115/F115,"")</f>
        <v>0.3318840579710145</v>
      </c>
      <c r="U115" s="16">
        <f>IFERROR(S115*1000/H115,"")</f>
        <v>3832.1501014198784</v>
      </c>
      <c r="V115" s="17">
        <f>IF(T115="","",RANK(T115,$T$3:$T$168,0)+COUNTIF($T$3:T115,T115)-1)</f>
        <v>41</v>
      </c>
      <c r="W115" s="17">
        <f>IF(S115="","",RANK(S115,$S$3:$S$168,0)+COUNTIF($S$3:S115,S115)-1)</f>
        <v>91</v>
      </c>
      <c r="X115" s="14">
        <v>121</v>
      </c>
      <c r="Y115" s="14">
        <v>121</v>
      </c>
      <c r="Z115" s="15">
        <f>IFERROR((X115+Y115)/AR115,"")</f>
        <v>0.83737024221453282</v>
      </c>
      <c r="AA115" s="14">
        <v>36168</v>
      </c>
      <c r="AB115" s="15">
        <f>IFERROR(AA115/F115,"")</f>
        <v>0.52946859903381638</v>
      </c>
      <c r="AC115" s="16">
        <f>IFERROR(AA115*1000/H115,"")</f>
        <v>6113.5902636916835</v>
      </c>
      <c r="AD115" s="17">
        <f>IF(AB115="","",RANK(AB115,$AB$3:$AB$168,0)+COUNTIF($AB$3:AB115,AB115)-1)</f>
        <v>78</v>
      </c>
      <c r="AE115" s="17">
        <f>IF(AA115="","",RANK(AA115,$AA$3:$AA$168,0)+COUNTIF($AA$3:AA115,AA115)-1)</f>
        <v>112</v>
      </c>
      <c r="AF115" s="18">
        <v>82.66</v>
      </c>
      <c r="AG115" s="14">
        <v>51344402.560000002</v>
      </c>
      <c r="AH115" s="16">
        <f>IFERROR(AG115/AZ115,"")</f>
        <v>9651.2034887218051</v>
      </c>
      <c r="AI115" s="14">
        <v>6546</v>
      </c>
      <c r="AJ115" s="15">
        <f>IFERROR(AI115/F115,"")</f>
        <v>9.5827843653930614E-2</v>
      </c>
      <c r="AK115" s="14">
        <v>131</v>
      </c>
      <c r="AL115" s="14">
        <v>145</v>
      </c>
      <c r="AM115" s="14">
        <v>149</v>
      </c>
      <c r="AN115" s="14">
        <v>568</v>
      </c>
      <c r="AO115" s="14">
        <v>441</v>
      </c>
      <c r="AP115" s="18">
        <v>1.8</v>
      </c>
      <c r="AQ115" s="19">
        <f>IFERROR(AL115*1000/AZ115,"")</f>
        <v>27.255639097744361</v>
      </c>
      <c r="AR115" s="14">
        <v>289</v>
      </c>
      <c r="AS115" s="14">
        <v>120</v>
      </c>
      <c r="AT115" s="14">
        <v>97</v>
      </c>
      <c r="AU115" s="14">
        <v>11</v>
      </c>
      <c r="AV115" s="14">
        <v>61</v>
      </c>
      <c r="AW115" s="15">
        <f>IFERROR(AS115/AR115,"")</f>
        <v>0.41522491349480967</v>
      </c>
      <c r="AX115" s="14">
        <v>3</v>
      </c>
      <c r="AY115" s="14">
        <v>9</v>
      </c>
      <c r="AZ115" s="14">
        <v>5320</v>
      </c>
      <c r="BA115" s="20">
        <v>133.03100000000001</v>
      </c>
      <c r="BB115" s="20">
        <v>39.99</v>
      </c>
      <c r="BC115" s="21">
        <v>0.61399999999999999</v>
      </c>
      <c r="BD115" s="18">
        <v>49.5</v>
      </c>
      <c r="BE115" s="18">
        <v>100</v>
      </c>
      <c r="BF115" s="18">
        <v>5.7</v>
      </c>
      <c r="BG115" s="18">
        <v>4.5999999999999996</v>
      </c>
      <c r="BH115" s="18">
        <v>23.28</v>
      </c>
      <c r="BI115" s="14">
        <v>568</v>
      </c>
      <c r="BJ115" s="18">
        <v>1.8</v>
      </c>
      <c r="BK115" s="15">
        <f>IFERROR(BI115/AZ115,"")</f>
        <v>0.10676691729323308</v>
      </c>
      <c r="BL115" s="22">
        <f>IFERROR(AI115+K115+S115+AA115-F115,"")</f>
        <v>1</v>
      </c>
      <c r="BM115" s="22">
        <f>IFERROR(F115+G115-C115,"")</f>
        <v>0</v>
      </c>
      <c r="BN115" s="22">
        <f>IF(I115="","",IFERROR(C115*1000/H115-I115,""))</f>
        <v>-1.6599053415120579E-2</v>
      </c>
    </row>
    <row r="116" spans="1:66">
      <c r="A116" s="13" t="s">
        <v>327</v>
      </c>
      <c r="B116" s="13" t="s">
        <v>328</v>
      </c>
      <c r="C116" s="14">
        <v>71897</v>
      </c>
      <c r="D116" s="14">
        <v>81783</v>
      </c>
      <c r="E116" s="14">
        <v>92368</v>
      </c>
      <c r="F116" s="14">
        <v>69105</v>
      </c>
      <c r="G116" s="14">
        <v>2792</v>
      </c>
      <c r="H116" s="14">
        <v>6128</v>
      </c>
      <c r="I116" s="14">
        <v>11732.51</v>
      </c>
      <c r="J116" s="14">
        <v>14351.76</v>
      </c>
      <c r="K116" s="14">
        <v>2343</v>
      </c>
      <c r="L116" s="15">
        <f>IFERROR(K116/F116,"")</f>
        <v>3.3904927284566962E-2</v>
      </c>
      <c r="M116" s="16">
        <f>IFERROR(K116*1000/H116,"")</f>
        <v>382.34334203655351</v>
      </c>
      <c r="N116" s="17">
        <f>IF(L116="","",RANK(L116,$L$3:$L$168,0)+COUNTIF($L$3:L116,L116)-1)</f>
        <v>141</v>
      </c>
      <c r="O116" s="17">
        <f>IF(K116="","",RANK(K116,$K$3:$K$168,0)+COUNTIF($K$3:K116,K116)-1)</f>
        <v>126</v>
      </c>
      <c r="P116" s="14">
        <v>34</v>
      </c>
      <c r="Q116" s="15">
        <f>IFERROR(P116/AR116,"")</f>
        <v>0.10119047619047619</v>
      </c>
      <c r="R116" s="16">
        <v>2</v>
      </c>
      <c r="S116" s="14">
        <v>15200</v>
      </c>
      <c r="T116" s="15">
        <f>IFERROR(S116/F116,"")</f>
        <v>0.21995514072787786</v>
      </c>
      <c r="U116" s="16">
        <f>IFERROR(S116*1000/H116,"")</f>
        <v>2480.4177545691905</v>
      </c>
      <c r="V116" s="17">
        <f>IF(T116="","",RANK(T116,$T$3:$T$168,0)+COUNTIF($T$3:T116,T116)-1)</f>
        <v>125</v>
      </c>
      <c r="W116" s="17">
        <f>IF(S116="","",RANK(S116,$S$3:$S$168,0)+COUNTIF($S$3:S116,S116)-1)</f>
        <v>121</v>
      </c>
      <c r="X116" s="14">
        <v>128</v>
      </c>
      <c r="Y116" s="14">
        <v>157</v>
      </c>
      <c r="Z116" s="15">
        <f>IFERROR((X116+Y116)/AR116,"")</f>
        <v>0.8482142857142857</v>
      </c>
      <c r="AA116" s="14">
        <v>43900</v>
      </c>
      <c r="AB116" s="15">
        <f>IFERROR(AA116/F116,"")</f>
        <v>0.63526517618117362</v>
      </c>
      <c r="AC116" s="16">
        <f>IFERROR(AA116*1000/H116,"")</f>
        <v>7163.8381201044385</v>
      </c>
      <c r="AD116" s="17">
        <f>IF(AB116="","",RANK(AB116,$AB$3:$AB$168,0)+COUNTIF($AB$3:AB116,AB116)-1)</f>
        <v>38</v>
      </c>
      <c r="AE116" s="17">
        <f>IF(AA116="","",RANK(AA116,$AA$3:$AA$168,0)+COUNTIF($AA$3:AA116,AA116)-1)</f>
        <v>95</v>
      </c>
      <c r="AF116" s="18">
        <v>90.9</v>
      </c>
      <c r="AG116" s="14">
        <v>52190041.780000001</v>
      </c>
      <c r="AH116" s="16">
        <f>IFERROR(AG116/AZ116,"")</f>
        <v>8109.0804505904289</v>
      </c>
      <c r="AI116" s="14">
        <v>7661</v>
      </c>
      <c r="AJ116" s="15">
        <f>IFERROR(AI116/F116,"")</f>
        <v>0.11086028507343897</v>
      </c>
      <c r="AK116" s="14">
        <v>100</v>
      </c>
      <c r="AL116" s="14">
        <v>120</v>
      </c>
      <c r="AM116" s="14">
        <v>123</v>
      </c>
      <c r="AN116" s="14">
        <v>310</v>
      </c>
      <c r="AO116" s="14">
        <v>226</v>
      </c>
      <c r="AP116" s="18">
        <v>1.8</v>
      </c>
      <c r="AQ116" s="19">
        <f>IFERROR(AL116*1000/AZ116,"")</f>
        <v>18.645121193287757</v>
      </c>
      <c r="AR116" s="14">
        <v>336</v>
      </c>
      <c r="AS116" s="14">
        <v>156</v>
      </c>
      <c r="AT116" s="14">
        <v>87</v>
      </c>
      <c r="AU116" s="14">
        <v>10</v>
      </c>
      <c r="AV116" s="14">
        <v>83</v>
      </c>
      <c r="AW116" s="15">
        <f>IFERROR(AS116/AR116,"")</f>
        <v>0.4642857142857143</v>
      </c>
      <c r="AX116" s="14">
        <v>12</v>
      </c>
      <c r="AY116" s="14">
        <v>5</v>
      </c>
      <c r="AZ116" s="14">
        <v>6436</v>
      </c>
      <c r="BA116" s="20">
        <v>193.351</v>
      </c>
      <c r="BB116" s="20">
        <v>33.29</v>
      </c>
      <c r="BC116" s="21">
        <v>0.59199999999999997</v>
      </c>
      <c r="BD116" s="18">
        <v>51.6</v>
      </c>
      <c r="BE116" s="18">
        <v>98.86</v>
      </c>
      <c r="BF116" s="18">
        <v>5.7</v>
      </c>
      <c r="BG116" s="18">
        <v>4.3</v>
      </c>
      <c r="BH116" s="18">
        <v>3.55</v>
      </c>
      <c r="BI116" s="14">
        <v>310</v>
      </c>
      <c r="BJ116" s="18">
        <v>1.8</v>
      </c>
      <c r="BK116" s="15">
        <f>IFERROR(BI116/AZ116,"")</f>
        <v>4.8166563082660034E-2</v>
      </c>
      <c r="BL116" s="22">
        <f>IFERROR(AI116+K116+S116+AA116-F116,"")</f>
        <v>-1</v>
      </c>
      <c r="BM116" s="22">
        <f>IFERROR(F116+G116-C116,"")</f>
        <v>0</v>
      </c>
      <c r="BN116" s="22">
        <f>IF(I116="","",IFERROR(C116*1000/H116-I116,""))</f>
        <v>2.9164490861148806E-2</v>
      </c>
    </row>
    <row r="117" spans="1:66">
      <c r="A117" s="13" t="s">
        <v>329</v>
      </c>
      <c r="B117" s="13" t="s">
        <v>330</v>
      </c>
      <c r="C117" s="14">
        <v>70837</v>
      </c>
      <c r="D117" s="14">
        <v>81851</v>
      </c>
      <c r="E117" s="14">
        <v>89996</v>
      </c>
      <c r="F117" s="14">
        <v>67283</v>
      </c>
      <c r="G117" s="14">
        <v>3554</v>
      </c>
      <c r="H117" s="14">
        <v>6851</v>
      </c>
      <c r="I117" s="14">
        <v>10339.700000000001</v>
      </c>
      <c r="J117" s="14">
        <v>13817.96</v>
      </c>
      <c r="K117" s="14">
        <v>2514</v>
      </c>
      <c r="L117" s="15">
        <f>IFERROR(K117/F117,"")</f>
        <v>3.7364564600270496E-2</v>
      </c>
      <c r="M117" s="16">
        <f>IFERROR(K117*1000/H117,"")</f>
        <v>366.95372938257191</v>
      </c>
      <c r="N117" s="17">
        <f>IF(L117="","",RANK(L117,$L$3:$L$168,0)+COUNTIF($L$3:L117,L117)-1)</f>
        <v>136</v>
      </c>
      <c r="O117" s="17">
        <f>IF(K117="","",RANK(K117,$K$3:$K$168,0)+COUNTIF($K$3:K117,K117)-1)</f>
        <v>125</v>
      </c>
      <c r="P117" s="14">
        <v>33</v>
      </c>
      <c r="Q117" s="15">
        <f>IFERROR(P117/AR117,"")</f>
        <v>0.14042553191489363</v>
      </c>
      <c r="R117" s="16">
        <v>4</v>
      </c>
      <c r="S117" s="14">
        <v>19367</v>
      </c>
      <c r="T117" s="15">
        <f>IFERROR(S117/F117,"")</f>
        <v>0.28784388329890165</v>
      </c>
      <c r="U117" s="16">
        <f>IFERROR(S117*1000/H117,"")</f>
        <v>2826.8865858998688</v>
      </c>
      <c r="V117" s="17">
        <f>IF(T117="","",RANK(T117,$T$3:$T$168,0)+COUNTIF($T$3:T117,T117)-1)</f>
        <v>62</v>
      </c>
      <c r="W117" s="17">
        <f>IF(S117="","",RANK(S117,$S$3:$S$168,0)+COUNTIF($S$3:S117,S117)-1)</f>
        <v>104</v>
      </c>
      <c r="X117" s="14">
        <v>94</v>
      </c>
      <c r="Y117" s="14">
        <v>103</v>
      </c>
      <c r="Z117" s="15">
        <f>IFERROR((X117+Y117)/AR117,"")</f>
        <v>0.83829787234042552</v>
      </c>
      <c r="AA117" s="14">
        <v>43222</v>
      </c>
      <c r="AB117" s="15">
        <f>IFERROR(AA117/F117,"")</f>
        <v>0.64239109433289243</v>
      </c>
      <c r="AC117" s="16">
        <f>IFERROR(AA117*1000/H117,"")</f>
        <v>6308.8600204349732</v>
      </c>
      <c r="AD117" s="17">
        <f>IF(AB117="","",RANK(AB117,$AB$3:$AB$168,0)+COUNTIF($AB$3:AB117,AB117)-1)</f>
        <v>33</v>
      </c>
      <c r="AE117" s="17">
        <f>IF(AA117="","",RANK(AA117,$AA$3:$AA$168,0)+COUNTIF($AA$3:AA117,AA117)-1)</f>
        <v>97</v>
      </c>
      <c r="AF117" s="18">
        <v>94.29</v>
      </c>
      <c r="AG117" s="14">
        <v>46229113.369999997</v>
      </c>
      <c r="AH117" s="16">
        <f>IFERROR(AG117/AZ117,"")</f>
        <v>6947.5673835287043</v>
      </c>
      <c r="AI117" s="14">
        <v>2180</v>
      </c>
      <c r="AJ117" s="15">
        <f>IFERROR(AI117/F117,"")</f>
        <v>3.2400457767935438E-2</v>
      </c>
      <c r="AK117" s="14">
        <v>92</v>
      </c>
      <c r="AL117" s="14">
        <v>105</v>
      </c>
      <c r="AM117" s="14">
        <v>108</v>
      </c>
      <c r="AN117" s="14">
        <v>398</v>
      </c>
      <c r="AO117" s="14">
        <v>310</v>
      </c>
      <c r="AP117" s="18">
        <v>1.8</v>
      </c>
      <c r="AQ117" s="19">
        <f>IFERROR(AL117*1000/AZ117,"")</f>
        <v>15.779981965734896</v>
      </c>
      <c r="AR117" s="14">
        <v>235</v>
      </c>
      <c r="AS117" s="14">
        <v>90</v>
      </c>
      <c r="AT117" s="14">
        <v>78</v>
      </c>
      <c r="AU117" s="14">
        <v>8</v>
      </c>
      <c r="AV117" s="14">
        <v>59</v>
      </c>
      <c r="AW117" s="15">
        <f>IFERROR(AS117/AR117,"")</f>
        <v>0.38297872340425532</v>
      </c>
      <c r="AX117" s="14">
        <v>0</v>
      </c>
      <c r="AY117" s="14">
        <v>5</v>
      </c>
      <c r="AZ117" s="14">
        <v>6654</v>
      </c>
      <c r="BA117" s="20">
        <v>104.065</v>
      </c>
      <c r="BB117" s="20">
        <v>62.98</v>
      </c>
      <c r="BC117" s="21">
        <v>0.60099999999999998</v>
      </c>
      <c r="BD117" s="18">
        <v>52</v>
      </c>
      <c r="BE117" s="18">
        <v>99.45</v>
      </c>
      <c r="BF117" s="18">
        <v>4.4000000000000004</v>
      </c>
      <c r="BG117" s="18">
        <v>3.9</v>
      </c>
      <c r="BH117" s="18">
        <v>0.77</v>
      </c>
      <c r="BI117" s="14">
        <v>398</v>
      </c>
      <c r="BJ117" s="18">
        <v>1.8</v>
      </c>
      <c r="BK117" s="15">
        <f>IFERROR(BI117/AZ117,"")</f>
        <v>5.9813645927261801E-2</v>
      </c>
      <c r="BL117" s="22">
        <f>IFERROR(AI117+K117+S117+AA117-F117,"")</f>
        <v>0</v>
      </c>
      <c r="BM117" s="22">
        <f>IFERROR(F117+G117-C117,"")</f>
        <v>0</v>
      </c>
      <c r="BN117" s="22">
        <f>IF(I117="","",IFERROR(C117*1000/H117-I117,""))</f>
        <v>-4.155597723001847E-2</v>
      </c>
    </row>
    <row r="118" spans="1:66">
      <c r="A118" s="13" t="s">
        <v>331</v>
      </c>
      <c r="B118" s="13" t="s">
        <v>332</v>
      </c>
      <c r="C118" s="14">
        <v>67413</v>
      </c>
      <c r="D118" s="14">
        <v>77868</v>
      </c>
      <c r="E118" s="14">
        <v>88302</v>
      </c>
      <c r="F118" s="14">
        <v>63927</v>
      </c>
      <c r="G118" s="14">
        <v>3486</v>
      </c>
      <c r="H118" s="14">
        <v>5941</v>
      </c>
      <c r="I118" s="14">
        <v>11347.14</v>
      </c>
      <c r="J118" s="14">
        <v>15216.65</v>
      </c>
      <c r="K118" s="14">
        <v>2134</v>
      </c>
      <c r="L118" s="15">
        <f>IFERROR(K118/F118,"")</f>
        <v>3.3381826145447151E-2</v>
      </c>
      <c r="M118" s="16">
        <f>IFERROR(K118*1000/H118,"")</f>
        <v>359.19878808281436</v>
      </c>
      <c r="N118" s="17">
        <f>IF(L118="","",RANK(L118,$L$3:$L$168,0)+COUNTIF($L$3:L118,L118)-1)</f>
        <v>143</v>
      </c>
      <c r="O118" s="17">
        <f>IF(K118="","",RANK(K118,$K$3:$K$168,0)+COUNTIF($K$3:K118,K118)-1)</f>
        <v>134</v>
      </c>
      <c r="P118" s="14">
        <v>22</v>
      </c>
      <c r="Q118" s="15">
        <f>IFERROR(P118/AR118,"")</f>
        <v>8.7649402390438252E-2</v>
      </c>
      <c r="R118" s="16">
        <v>3</v>
      </c>
      <c r="S118" s="14">
        <v>17592</v>
      </c>
      <c r="T118" s="15">
        <f>IFERROR(S118/F118,"")</f>
        <v>0.27518888732460461</v>
      </c>
      <c r="U118" s="16">
        <f>IFERROR(S118*1000/H118,"")</f>
        <v>2961.1176569601075</v>
      </c>
      <c r="V118" s="17">
        <f>IF(T118="","",RANK(T118,$T$3:$T$168,0)+COUNTIF($T$3:T118,T118)-1)</f>
        <v>71</v>
      </c>
      <c r="W118" s="17">
        <f>IF(S118="","",RANK(S118,$S$3:$S$168,0)+COUNTIF($S$3:S118,S118)-1)</f>
        <v>109</v>
      </c>
      <c r="X118" s="14">
        <v>111</v>
      </c>
      <c r="Y118" s="14">
        <v>111</v>
      </c>
      <c r="Z118" s="15">
        <f>IFERROR((X118+Y118)/AR118,"")</f>
        <v>0.8844621513944223</v>
      </c>
      <c r="AA118" s="14">
        <v>38241</v>
      </c>
      <c r="AB118" s="15">
        <f>IFERROR(AA118/F118,"")</f>
        <v>0.59819794453048003</v>
      </c>
      <c r="AC118" s="16">
        <f>IFERROR(AA118*1000/H118,"")</f>
        <v>6436.7951523312577</v>
      </c>
      <c r="AD118" s="17">
        <f>IF(AB118="","",RANK(AB118,$AB$3:$AB$168,0)+COUNTIF($AB$3:AB118,AB118)-1)</f>
        <v>53</v>
      </c>
      <c r="AE118" s="17">
        <f>IF(AA118="","",RANK(AA118,$AA$3:$AA$168,0)+COUNTIF($AA$3:AA118,AA118)-1)</f>
        <v>107</v>
      </c>
      <c r="AF118" s="18">
        <v>94.16</v>
      </c>
      <c r="AG118" s="14">
        <v>45294966.079999998</v>
      </c>
      <c r="AH118" s="16">
        <f>IFERROR(AG118/AZ118,"")</f>
        <v>7805.4396139927621</v>
      </c>
      <c r="AI118" s="14">
        <v>5960</v>
      </c>
      <c r="AJ118" s="15">
        <f>IFERROR(AI118/F118,"")</f>
        <v>9.3231341999468142E-2</v>
      </c>
      <c r="AK118" s="14">
        <v>95</v>
      </c>
      <c r="AL118" s="14">
        <v>104</v>
      </c>
      <c r="AM118" s="14">
        <v>108</v>
      </c>
      <c r="AN118" s="14">
        <v>463</v>
      </c>
      <c r="AO118" s="14">
        <v>385</v>
      </c>
      <c r="AP118" s="18">
        <v>1.6</v>
      </c>
      <c r="AQ118" s="19">
        <f>IFERROR(AL118*1000/AZ118,"")</f>
        <v>17.921764604514905</v>
      </c>
      <c r="AR118" s="14">
        <v>251</v>
      </c>
      <c r="AS118" s="14">
        <v>118</v>
      </c>
      <c r="AT118" s="14">
        <v>77</v>
      </c>
      <c r="AU118" s="14">
        <v>1</v>
      </c>
      <c r="AV118" s="14">
        <v>55</v>
      </c>
      <c r="AW118" s="15">
        <f>IFERROR(AS118/AR118,"")</f>
        <v>0.47011952191235062</v>
      </c>
      <c r="AX118" s="14">
        <v>0</v>
      </c>
      <c r="AY118" s="14">
        <v>7</v>
      </c>
      <c r="AZ118" s="14">
        <v>5803</v>
      </c>
      <c r="BA118" s="20">
        <v>117.63500000000001</v>
      </c>
      <c r="BB118" s="20">
        <v>49.33</v>
      </c>
      <c r="BC118" s="21">
        <v>0.60799999999999998</v>
      </c>
      <c r="BD118" s="18">
        <v>47.4</v>
      </c>
      <c r="BE118" s="18">
        <v>99.05</v>
      </c>
      <c r="BF118" s="18">
        <v>5.9</v>
      </c>
      <c r="BG118" s="18">
        <v>3.9</v>
      </c>
      <c r="BH118" s="18">
        <v>6.94</v>
      </c>
      <c r="BI118" s="14">
        <v>463</v>
      </c>
      <c r="BJ118" s="18">
        <v>1.6</v>
      </c>
      <c r="BK118" s="15">
        <f>IFERROR(BI118/AZ118,"")</f>
        <v>7.9786317422023093E-2</v>
      </c>
      <c r="BL118" s="22">
        <f>IFERROR(AI118+K118+S118+AA118-F118,"")</f>
        <v>0</v>
      </c>
      <c r="BM118" s="22">
        <f>IFERROR(F118+G118-C118,"")</f>
        <v>0</v>
      </c>
      <c r="BN118" s="22">
        <f>IF(I118="","",IFERROR(C118*1000/H118-I118,""))</f>
        <v>-6.0383773774447036E-2</v>
      </c>
    </row>
    <row r="119" spans="1:66">
      <c r="A119" s="13" t="s">
        <v>333</v>
      </c>
      <c r="B119" s="13" t="s">
        <v>334</v>
      </c>
      <c r="C119" s="14">
        <v>65525</v>
      </c>
      <c r="D119" s="14">
        <v>70797</v>
      </c>
      <c r="E119" s="14">
        <v>79464</v>
      </c>
      <c r="F119" s="14">
        <v>62456</v>
      </c>
      <c r="G119" s="14">
        <v>3069</v>
      </c>
      <c r="H119" s="14">
        <v>7162</v>
      </c>
      <c r="I119" s="14">
        <v>9148.98</v>
      </c>
      <c r="J119" s="14">
        <v>12082.07</v>
      </c>
      <c r="K119" s="14">
        <v>2870</v>
      </c>
      <c r="L119" s="15">
        <f>IFERROR(K119/F119,"")</f>
        <v>4.5952350454720126E-2</v>
      </c>
      <c r="M119" s="16">
        <f>IFERROR(K119*1000/H119,"")</f>
        <v>400.72605417481151</v>
      </c>
      <c r="N119" s="17">
        <f>IF(L119="","",RANK(L119,$L$3:$L$168,0)+COUNTIF($L$3:L119,L119)-1)</f>
        <v>97</v>
      </c>
      <c r="O119" s="17">
        <f>IF(K119="","",RANK(K119,$K$3:$K$168,0)+COUNTIF($K$3:K119,K119)-1)</f>
        <v>120</v>
      </c>
      <c r="P119" s="14">
        <v>20</v>
      </c>
      <c r="Q119" s="15">
        <f>IFERROR(P119/AR119,"")</f>
        <v>9.5238095238095233E-2</v>
      </c>
      <c r="R119" s="16">
        <v>3</v>
      </c>
      <c r="S119" s="14">
        <v>15339</v>
      </c>
      <c r="T119" s="15">
        <f>IFERROR(S119/F119,"")</f>
        <v>0.24559690021775329</v>
      </c>
      <c r="U119" s="16">
        <f>IFERROR(S119*1000/H119,"")</f>
        <v>2141.7201898910916</v>
      </c>
      <c r="V119" s="17">
        <f>IF(T119="","",RANK(T119,$T$3:$T$168,0)+COUNTIF($T$3:T119,T119)-1)</f>
        <v>95</v>
      </c>
      <c r="W119" s="17">
        <f>IF(S119="","",RANK(S119,$S$3:$S$168,0)+COUNTIF($S$3:S119,S119)-1)</f>
        <v>120</v>
      </c>
      <c r="X119" s="14">
        <v>89</v>
      </c>
      <c r="Y119" s="14">
        <v>97</v>
      </c>
      <c r="Z119" s="15">
        <f>IFERROR((X119+Y119)/AR119,"")</f>
        <v>0.88571428571428568</v>
      </c>
      <c r="AA119" s="14">
        <v>40751</v>
      </c>
      <c r="AB119" s="15">
        <f>IFERROR(AA119/F119,"")</f>
        <v>0.65247534264121942</v>
      </c>
      <c r="AC119" s="16">
        <f>IFERROR(AA119*1000/H119,"")</f>
        <v>5689.8910918737784</v>
      </c>
      <c r="AD119" s="17">
        <f>IF(AB119="","",RANK(AB119,$AB$3:$AB$168,0)+COUNTIF($AB$3:AB119,AB119)-1)</f>
        <v>30</v>
      </c>
      <c r="AE119" s="17">
        <f>IF(AA119="","",RANK(AA119,$AA$3:$AA$168,0)+COUNTIF($AA$3:AA119,AA119)-1)</f>
        <v>102</v>
      </c>
      <c r="AF119" s="18">
        <v>96.76</v>
      </c>
      <c r="AG119" s="14">
        <v>43377359.210000001</v>
      </c>
      <c r="AH119" s="16">
        <f>IFERROR(AG119/AZ119,"")</f>
        <v>6595.3108119203289</v>
      </c>
      <c r="AI119" s="14">
        <v>3497</v>
      </c>
      <c r="AJ119" s="15">
        <f>IFERROR(AI119/F119,"")</f>
        <v>5.5991417958242605E-2</v>
      </c>
      <c r="AK119" s="14">
        <v>118</v>
      </c>
      <c r="AL119" s="14">
        <v>110</v>
      </c>
      <c r="AM119" s="14">
        <v>112</v>
      </c>
      <c r="AN119" s="14">
        <v>450</v>
      </c>
      <c r="AO119" s="14">
        <v>352</v>
      </c>
      <c r="AP119" s="18">
        <v>1.8</v>
      </c>
      <c r="AQ119" s="19">
        <f>IFERROR(AL119*1000/AZ119,"")</f>
        <v>16.724950585373271</v>
      </c>
      <c r="AR119" s="14">
        <v>210</v>
      </c>
      <c r="AS119" s="14">
        <v>62</v>
      </c>
      <c r="AT119" s="14">
        <v>88</v>
      </c>
      <c r="AU119" s="14">
        <v>6</v>
      </c>
      <c r="AV119" s="14">
        <v>54</v>
      </c>
      <c r="AW119" s="15">
        <f>IFERROR(AS119/AR119,"")</f>
        <v>0.29523809523809524</v>
      </c>
      <c r="AX119" s="14">
        <v>0</v>
      </c>
      <c r="AY119" s="14">
        <v>4</v>
      </c>
      <c r="AZ119" s="14">
        <v>6577</v>
      </c>
      <c r="BA119" s="20">
        <v>244.89699999999999</v>
      </c>
      <c r="BB119" s="20">
        <v>26.86</v>
      </c>
      <c r="BC119" s="21">
        <v>0.57799999999999996</v>
      </c>
      <c r="BD119" s="18">
        <v>53.9</v>
      </c>
      <c r="BE119" s="18">
        <v>96.6</v>
      </c>
      <c r="BF119" s="18">
        <v>4.4000000000000004</v>
      </c>
      <c r="BG119" s="18">
        <v>4.5999999999999996</v>
      </c>
      <c r="BH119" s="18">
        <v>23</v>
      </c>
      <c r="BI119" s="14">
        <v>450</v>
      </c>
      <c r="BJ119" s="18">
        <v>1.8</v>
      </c>
      <c r="BK119" s="15">
        <f>IFERROR(BI119/AZ119,"")</f>
        <v>6.8420252394708836E-2</v>
      </c>
      <c r="BL119" s="22">
        <f>IFERROR(AI119+K119+S119+AA119-F119,"")</f>
        <v>1</v>
      </c>
      <c r="BM119" s="22">
        <f>IFERROR(F119+G119-C119,"")</f>
        <v>0</v>
      </c>
      <c r="BN119" s="22">
        <f>IF(I119="","",IFERROR(C119*1000/H119-I119,""))</f>
        <v>7.316392075153999E-4</v>
      </c>
    </row>
    <row r="120" spans="1:66">
      <c r="A120" s="13" t="s">
        <v>335</v>
      </c>
      <c r="B120" s="13" t="s">
        <v>336</v>
      </c>
      <c r="C120" s="14">
        <v>64391</v>
      </c>
      <c r="D120" s="14">
        <v>62530</v>
      </c>
      <c r="E120" s="14">
        <v>69280</v>
      </c>
      <c r="F120" s="14">
        <v>61535</v>
      </c>
      <c r="G120" s="14">
        <v>2856</v>
      </c>
      <c r="H120" s="14">
        <v>2600</v>
      </c>
      <c r="I120" s="14">
        <v>24765.68</v>
      </c>
      <c r="J120" s="14">
        <v>28428.38</v>
      </c>
      <c r="K120" s="14">
        <v>27698</v>
      </c>
      <c r="L120" s="15">
        <f>IFERROR(K120/F120,"")</f>
        <v>0.4501178191273259</v>
      </c>
      <c r="M120" s="16">
        <f>IFERROR(K120*1000/H120,"")</f>
        <v>10653.076923076924</v>
      </c>
      <c r="N120" s="17">
        <f>IF(L120="","",RANK(L120,$L$3:$L$168,0)+COUNTIF($L$3:L120,L120)-1)</f>
        <v>17</v>
      </c>
      <c r="O120" s="17">
        <f>IF(K120="","",RANK(K120,$K$3:$K$168,0)+COUNTIF($K$3:K120,K120)-1)</f>
        <v>50</v>
      </c>
      <c r="P120" s="14">
        <v>10</v>
      </c>
      <c r="Q120" s="15">
        <f>IFERROR(P120/AR120,"")</f>
        <v>0.10638297872340426</v>
      </c>
      <c r="R120" s="16">
        <v>6</v>
      </c>
      <c r="S120" s="14">
        <v>6118</v>
      </c>
      <c r="T120" s="15">
        <f>IFERROR(S120/F120,"")</f>
        <v>9.9423092548955885E-2</v>
      </c>
      <c r="U120" s="16">
        <f>IFERROR(S120*1000/H120,"")</f>
        <v>2353.0769230769229</v>
      </c>
      <c r="V120" s="17">
        <f>IF(T120="","",RANK(T120,$T$3:$T$168,0)+COUNTIF($T$3:T120,T120)-1)</f>
        <v>160</v>
      </c>
      <c r="W120" s="17">
        <f>IF(S120="","",RANK(S120,$S$3:$S$168,0)+COUNTIF($S$3:S120,S120)-1)</f>
        <v>165</v>
      </c>
      <c r="X120" s="14">
        <v>23</v>
      </c>
      <c r="Y120" s="14">
        <v>50</v>
      </c>
      <c r="Z120" s="15">
        <f>IFERROR((X120+Y120)/AR120,"")</f>
        <v>0.77659574468085102</v>
      </c>
      <c r="AA120" s="14">
        <v>22687</v>
      </c>
      <c r="AB120" s="15">
        <f>IFERROR(AA120/F120,"")</f>
        <v>0.36868448850247826</v>
      </c>
      <c r="AC120" s="16">
        <f>IFERROR(AA120*1000/H120,"")</f>
        <v>8725.7692307692305</v>
      </c>
      <c r="AD120" s="17">
        <f>IF(AB120="","",RANK(AB120,$AB$3:$AB$168,0)+COUNTIF($AB$3:AB120,AB120)-1)</f>
        <v>126</v>
      </c>
      <c r="AE120" s="17">
        <f>IF(AA120="","",RANK(AA120,$AA$3:$AA$168,0)+COUNTIF($AA$3:AA120,AA120)-1)</f>
        <v>156</v>
      </c>
      <c r="AF120" s="18">
        <v>95.65</v>
      </c>
      <c r="AG120" s="14">
        <v>38649816.700000003</v>
      </c>
      <c r="AH120" s="16">
        <f>IFERROR(AG120/AZ120,"")</f>
        <v>15859.588305293395</v>
      </c>
      <c r="AI120" s="14">
        <v>5032</v>
      </c>
      <c r="AJ120" s="15">
        <f>IFERROR(AI120/F120,"")</f>
        <v>8.1774599821239941E-2</v>
      </c>
      <c r="AK120" s="14">
        <v>44</v>
      </c>
      <c r="AL120" s="14">
        <v>62</v>
      </c>
      <c r="AM120" s="14">
        <v>64</v>
      </c>
      <c r="AN120" s="14">
        <v>258</v>
      </c>
      <c r="AO120" s="14">
        <v>222</v>
      </c>
      <c r="AP120" s="18">
        <v>1.6</v>
      </c>
      <c r="AQ120" s="19">
        <f>IFERROR(AL120*1000/AZ120,"")</f>
        <v>25.441116126384898</v>
      </c>
      <c r="AR120" s="14">
        <v>94</v>
      </c>
      <c r="AS120" s="14">
        <v>26</v>
      </c>
      <c r="AT120" s="14">
        <v>20</v>
      </c>
      <c r="AU120" s="14">
        <v>0</v>
      </c>
      <c r="AV120" s="14">
        <v>48</v>
      </c>
      <c r="AW120" s="15">
        <f>IFERROR(AS120/AR120,"")</f>
        <v>0.27659574468085107</v>
      </c>
      <c r="AX120" s="14">
        <v>4</v>
      </c>
      <c r="AY120" s="14">
        <v>7</v>
      </c>
      <c r="AZ120" s="14">
        <v>2437</v>
      </c>
      <c r="BA120" s="20">
        <v>254.012</v>
      </c>
      <c r="BB120" s="20">
        <v>9.59</v>
      </c>
      <c r="BC120" s="21">
        <v>0.56499999999999995</v>
      </c>
      <c r="BD120" s="18">
        <v>52.7</v>
      </c>
      <c r="BE120" s="18">
        <v>100</v>
      </c>
      <c r="BF120" s="18">
        <v>4.7</v>
      </c>
      <c r="BG120" s="18">
        <v>4.2</v>
      </c>
      <c r="BH120" s="18">
        <v>0.74</v>
      </c>
      <c r="BI120" s="14">
        <v>258</v>
      </c>
      <c r="BJ120" s="18">
        <v>1.6</v>
      </c>
      <c r="BK120" s="15">
        <f>IFERROR(BI120/AZ120,"")</f>
        <v>0.10586787033237587</v>
      </c>
      <c r="BL120" s="22">
        <f>IFERROR(AI120+K120+S120+AA120-F120,"")</f>
        <v>0</v>
      </c>
      <c r="BM120" s="22">
        <f>IFERROR(F120+G120-C120,"")</f>
        <v>0</v>
      </c>
      <c r="BN120" s="22">
        <f>IF(I120="","",IFERROR(C120*1000/H120-I120,""))</f>
        <v>8.9230769230198348E-2</v>
      </c>
    </row>
    <row r="121" spans="1:66">
      <c r="A121" s="13" t="s">
        <v>337</v>
      </c>
      <c r="B121" s="13" t="s">
        <v>338</v>
      </c>
      <c r="C121" s="14">
        <v>63596</v>
      </c>
      <c r="D121" s="14">
        <v>68979</v>
      </c>
      <c r="E121" s="14">
        <v>77560</v>
      </c>
      <c r="F121" s="14">
        <v>60012</v>
      </c>
      <c r="G121" s="14">
        <v>3584</v>
      </c>
      <c r="H121" s="14">
        <v>3606</v>
      </c>
      <c r="I121" s="14">
        <v>17636.28</v>
      </c>
      <c r="J121" s="14">
        <v>22210.799999999999</v>
      </c>
      <c r="K121" s="14">
        <v>8497</v>
      </c>
      <c r="L121" s="15">
        <f>IFERROR(K121/F121,"")</f>
        <v>0.14158834899686729</v>
      </c>
      <c r="M121" s="16">
        <f>IFERROR(K121*1000/H121,"")</f>
        <v>2356.3505268996119</v>
      </c>
      <c r="N121" s="17">
        <f>IF(L121="","",RANK(L121,$L$3:$L$168,0)+COUNTIF($L$3:L121,L121)-1)</f>
        <v>48</v>
      </c>
      <c r="O121" s="17">
        <f>IF(K121="","",RANK(K121,$K$3:$K$168,0)+COUNTIF($K$3:K121,K121)-1)</f>
        <v>72</v>
      </c>
      <c r="P121" s="14">
        <v>61</v>
      </c>
      <c r="Q121" s="15">
        <f>IFERROR(P121/AR121,"")</f>
        <v>0.20819112627986347</v>
      </c>
      <c r="R121" s="16">
        <v>8</v>
      </c>
      <c r="S121" s="14">
        <v>11786</v>
      </c>
      <c r="T121" s="15">
        <f>IFERROR(S121/F121,"")</f>
        <v>0.19639405452242883</v>
      </c>
      <c r="U121" s="16">
        <f>IFERROR(S121*1000/H121,"")</f>
        <v>3268.4414864115365</v>
      </c>
      <c r="V121" s="17">
        <f>IF(T121="","",RANK(T121,$T$3:$T$168,0)+COUNTIF($T$3:T121,T121)-1)</f>
        <v>145</v>
      </c>
      <c r="W121" s="17">
        <f>IF(S121="","",RANK(S121,$S$3:$S$168,0)+COUNTIF($S$3:S121,S121)-1)</f>
        <v>134</v>
      </c>
      <c r="X121" s="14">
        <v>108</v>
      </c>
      <c r="Y121" s="14">
        <v>113</v>
      </c>
      <c r="Z121" s="15">
        <f>IFERROR((X121+Y121)/AR121,"")</f>
        <v>0.75426621160409557</v>
      </c>
      <c r="AA121" s="14">
        <v>26599</v>
      </c>
      <c r="AB121" s="15">
        <f>IFERROR(AA121/F121,"")</f>
        <v>0.44322802106245418</v>
      </c>
      <c r="AC121" s="16">
        <f>IFERROR(AA121*1000/H121,"")</f>
        <v>7376.3172490293955</v>
      </c>
      <c r="AD121" s="17">
        <f>IF(AB121="","",RANK(AB121,$AB$3:$AB$168,0)+COUNTIF($AB$3:AB121,AB121)-1)</f>
        <v>108</v>
      </c>
      <c r="AE121" s="17">
        <f>IF(AA121="","",RANK(AA121,$AA$3:$AA$168,0)+COUNTIF($AA$3:AA121,AA121)-1)</f>
        <v>143</v>
      </c>
      <c r="AF121" s="18">
        <v>93.29</v>
      </c>
      <c r="AG121" s="14">
        <v>36863243.520000003</v>
      </c>
      <c r="AH121" s="16">
        <f>IFERROR(AG121/AZ121,"")</f>
        <v>10556.484398625431</v>
      </c>
      <c r="AI121" s="14">
        <v>13130</v>
      </c>
      <c r="AJ121" s="15">
        <f>IFERROR(AI121/F121,"")</f>
        <v>0.21878957541824967</v>
      </c>
      <c r="AK121" s="14">
        <v>82</v>
      </c>
      <c r="AL121" s="14">
        <v>97</v>
      </c>
      <c r="AM121" s="14">
        <v>98</v>
      </c>
      <c r="AN121" s="14">
        <v>599</v>
      </c>
      <c r="AO121" s="14">
        <v>521</v>
      </c>
      <c r="AP121" s="18">
        <v>1.7</v>
      </c>
      <c r="AQ121" s="19">
        <f>IFERROR(AL121*1000/AZ121,"")</f>
        <v>27.777777777777779</v>
      </c>
      <c r="AR121" s="14">
        <v>293</v>
      </c>
      <c r="AS121" s="14">
        <v>177</v>
      </c>
      <c r="AT121" s="14">
        <v>61</v>
      </c>
      <c r="AU121" s="14">
        <v>7</v>
      </c>
      <c r="AV121" s="14">
        <v>48</v>
      </c>
      <c r="AW121" s="15">
        <f>IFERROR(AS121/AR121,"")</f>
        <v>0.60409556313993173</v>
      </c>
      <c r="AX121" s="14">
        <v>1</v>
      </c>
      <c r="AY121" s="14">
        <v>10</v>
      </c>
      <c r="AZ121" s="14">
        <v>3492</v>
      </c>
      <c r="BA121" s="20">
        <v>404.42700000000002</v>
      </c>
      <c r="BB121" s="20">
        <v>8.6300000000000008</v>
      </c>
      <c r="BC121" s="21">
        <v>0.60799999999999998</v>
      </c>
      <c r="BD121" s="18">
        <v>46.5</v>
      </c>
      <c r="BE121" s="18">
        <v>99.51</v>
      </c>
      <c r="BF121" s="18">
        <v>5.8</v>
      </c>
      <c r="BG121" s="18">
        <v>5</v>
      </c>
      <c r="BH121" s="18">
        <v>71.959999999999994</v>
      </c>
      <c r="BI121" s="14">
        <v>599</v>
      </c>
      <c r="BJ121" s="18">
        <v>1.7</v>
      </c>
      <c r="BK121" s="15">
        <f>IFERROR(BI121/AZ121,"")</f>
        <v>0.17153493699885453</v>
      </c>
      <c r="BL121" s="22">
        <f>IFERROR(AI121+K121+S121+AA121-F121,"")</f>
        <v>0</v>
      </c>
      <c r="BM121" s="22">
        <f>IFERROR(F121+G121-C121,"")</f>
        <v>0</v>
      </c>
      <c r="BN121" s="22">
        <f>IF(I121="","",IFERROR(C121*1000/H121-I121,""))</f>
        <v>-0.11804769828086137</v>
      </c>
    </row>
    <row r="122" spans="1:66">
      <c r="A122" s="13" t="s">
        <v>339</v>
      </c>
      <c r="B122" s="13" t="s">
        <v>340</v>
      </c>
      <c r="C122" s="14">
        <v>63098</v>
      </c>
      <c r="D122" s="14">
        <v>92738</v>
      </c>
      <c r="E122" s="14">
        <v>96870</v>
      </c>
      <c r="F122" s="14">
        <v>56876</v>
      </c>
      <c r="G122" s="14">
        <v>6222</v>
      </c>
      <c r="H122" s="14">
        <v>1743</v>
      </c>
      <c r="I122" s="14">
        <v>36200.92</v>
      </c>
      <c r="J122" s="14">
        <v>17654.53</v>
      </c>
      <c r="K122" s="14">
        <v>4556</v>
      </c>
      <c r="L122" s="15">
        <f>IFERROR(K122/F122,"")</f>
        <v>8.0104086082002951E-2</v>
      </c>
      <c r="M122" s="16">
        <f>IFERROR(K122*1000/H122,"")</f>
        <v>2613.8841078600117</v>
      </c>
      <c r="N122" s="17">
        <f>IF(L122="","",RANK(L122,$L$3:$L$168,0)+COUNTIF($L$3:L122,L122)-1)</f>
        <v>66</v>
      </c>
      <c r="O122" s="17">
        <f>IF(K122="","",RANK(K122,$K$3:$K$168,0)+COUNTIF($K$3:K122,K122)-1)</f>
        <v>99</v>
      </c>
      <c r="P122" s="14">
        <v>33</v>
      </c>
      <c r="Q122" s="15">
        <f>IFERROR(P122/AR122,"")</f>
        <v>0.11073825503355705</v>
      </c>
      <c r="R122" s="16">
        <v>4</v>
      </c>
      <c r="S122" s="14">
        <v>22768</v>
      </c>
      <c r="T122" s="15">
        <f>IFERROR(S122/F122,"")</f>
        <v>0.40030944510865746</v>
      </c>
      <c r="U122" s="16">
        <f>IFERROR(S122*1000/H122,"")</f>
        <v>13062.535857716581</v>
      </c>
      <c r="V122" s="17">
        <f>IF(T122="","",RANK(T122,$T$3:$T$168,0)+COUNTIF($T$3:T122,T122)-1)</f>
        <v>27</v>
      </c>
      <c r="W122" s="17">
        <f>IF(S122="","",RANK(S122,$S$3:$S$168,0)+COUNTIF($S$3:S122,S122)-1)</f>
        <v>90</v>
      </c>
      <c r="X122" s="14">
        <v>127</v>
      </c>
      <c r="Y122" s="14">
        <v>125</v>
      </c>
      <c r="Z122" s="15">
        <f>IFERROR((X122+Y122)/AR122,"")</f>
        <v>0.84563758389261745</v>
      </c>
      <c r="AA122" s="14">
        <v>21259</v>
      </c>
      <c r="AB122" s="15">
        <f>IFERROR(AA122/F122,"")</f>
        <v>0.37377804346297205</v>
      </c>
      <c r="AC122" s="16">
        <f>IFERROR(AA122*1000/H122,"")</f>
        <v>12196.787148594378</v>
      </c>
      <c r="AD122" s="17">
        <f>IF(AB122="","",RANK(AB122,$AB$3:$AB$168,0)+COUNTIF($AB$3:AB122,AB122)-1)</f>
        <v>122</v>
      </c>
      <c r="AE122" s="17">
        <f>IF(AA122="","",RANK(AA122,$AA$3:$AA$168,0)+COUNTIF($AA$3:AA122,AA122)-1)</f>
        <v>159</v>
      </c>
      <c r="AF122" s="18">
        <v>93.52</v>
      </c>
      <c r="AG122" s="14">
        <v>43978997.420000002</v>
      </c>
      <c r="AH122" s="16">
        <f>IFERROR(AG122/AZ122,"")</f>
        <v>8015.1261928193917</v>
      </c>
      <c r="AI122" s="14">
        <v>8293</v>
      </c>
      <c r="AJ122" s="15">
        <f>IFERROR(AI122/F122,"")</f>
        <v>0.14580842534636754</v>
      </c>
      <c r="AK122" s="14">
        <v>124</v>
      </c>
      <c r="AL122" s="14">
        <v>141</v>
      </c>
      <c r="AM122" s="14">
        <v>145</v>
      </c>
      <c r="AN122" s="14">
        <v>631</v>
      </c>
      <c r="AO122" s="14">
        <v>510</v>
      </c>
      <c r="AP122" s="18">
        <v>1.7</v>
      </c>
      <c r="AQ122" s="19">
        <f>IFERROR(AL122*1000/AZ122,"")</f>
        <v>25.697102241662112</v>
      </c>
      <c r="AR122" s="14">
        <v>298</v>
      </c>
      <c r="AS122" s="14">
        <v>136</v>
      </c>
      <c r="AT122" s="14">
        <v>100</v>
      </c>
      <c r="AU122" s="14">
        <v>7</v>
      </c>
      <c r="AV122" s="14">
        <v>55</v>
      </c>
      <c r="AW122" s="15">
        <f>IFERROR(AS122/AR122,"")</f>
        <v>0.4563758389261745</v>
      </c>
      <c r="AX122" s="14">
        <v>6</v>
      </c>
      <c r="AY122" s="14">
        <v>6</v>
      </c>
      <c r="AZ122" s="14">
        <v>5487</v>
      </c>
      <c r="BA122" s="20">
        <v>157.85</v>
      </c>
      <c r="BB122" s="20">
        <v>34.76</v>
      </c>
      <c r="BC122" s="21">
        <v>0.60399999999999998</v>
      </c>
      <c r="BD122" s="18">
        <v>52.2</v>
      </c>
      <c r="BE122" s="18">
        <v>99.68</v>
      </c>
      <c r="BF122" s="18">
        <v>4.8</v>
      </c>
      <c r="BG122" s="18">
        <v>4.7</v>
      </c>
      <c r="BH122" s="18">
        <v>9.51</v>
      </c>
      <c r="BI122" s="14">
        <v>631</v>
      </c>
      <c r="BJ122" s="18">
        <v>1.7</v>
      </c>
      <c r="BK122" s="15">
        <f>IFERROR(BI122/AZ122,"")</f>
        <v>0.11499908875523966</v>
      </c>
      <c r="BL122" s="22">
        <f>IFERROR(AI122+K122+S122+AA122-F122,"")</f>
        <v>0</v>
      </c>
      <c r="BM122" s="22">
        <f>IFERROR(F122+G122-C122,"")</f>
        <v>0</v>
      </c>
      <c r="BN122" s="22">
        <f>IF(I122="","",IFERROR(C122*1000/H122-I122,""))</f>
        <v>-0.116787148595904</v>
      </c>
    </row>
    <row r="123" spans="1:66">
      <c r="A123" s="13" t="s">
        <v>341</v>
      </c>
      <c r="B123" s="13" t="s">
        <v>342</v>
      </c>
      <c r="C123" s="14">
        <v>62292</v>
      </c>
      <c r="D123" s="14">
        <v>70242</v>
      </c>
      <c r="E123" s="14">
        <v>75044</v>
      </c>
      <c r="F123" s="14">
        <v>59672</v>
      </c>
      <c r="G123" s="14">
        <v>2620</v>
      </c>
      <c r="H123" s="14">
        <v>5697</v>
      </c>
      <c r="I123" s="14">
        <v>10934.1</v>
      </c>
      <c r="J123" s="14">
        <v>12474.01</v>
      </c>
      <c r="K123" s="14">
        <v>2314</v>
      </c>
      <c r="L123" s="15">
        <f>IFERROR(K123/F123,"")</f>
        <v>3.8778656656388258E-2</v>
      </c>
      <c r="M123" s="16">
        <f>IFERROR(K123*1000/H123,"")</f>
        <v>406.17869053888012</v>
      </c>
      <c r="N123" s="17">
        <f>IF(L123="","",RANK(L123,$L$3:$L$168,0)+COUNTIF($L$3:L123,L123)-1)</f>
        <v>129</v>
      </c>
      <c r="O123" s="17">
        <f>IF(K123="","",RANK(K123,$K$3:$K$168,0)+COUNTIF($K$3:K123,K123)-1)</f>
        <v>128</v>
      </c>
      <c r="P123" s="14">
        <v>23</v>
      </c>
      <c r="Q123" s="15">
        <f>IFERROR(P123/AR123,"")</f>
        <v>0.10697674418604651</v>
      </c>
      <c r="R123" s="16">
        <v>2</v>
      </c>
      <c r="S123" s="14">
        <v>15739</v>
      </c>
      <c r="T123" s="15">
        <f>IFERROR(S123/F123,"")</f>
        <v>0.26375854672208071</v>
      </c>
      <c r="U123" s="16">
        <f>IFERROR(S123*1000/H123,"")</f>
        <v>2762.6821133930139</v>
      </c>
      <c r="V123" s="17">
        <f>IF(T123="","",RANK(T123,$T$3:$T$168,0)+COUNTIF($T$3:T123,T123)-1)</f>
        <v>83</v>
      </c>
      <c r="W123" s="17">
        <f>IF(S123="","",RANK(S123,$S$3:$S$168,0)+COUNTIF($S$3:S123,S123)-1)</f>
        <v>117</v>
      </c>
      <c r="X123" s="14">
        <v>83</v>
      </c>
      <c r="Y123" s="14">
        <v>97</v>
      </c>
      <c r="Z123" s="15">
        <f>IFERROR((X123+Y123)/AR123,"")</f>
        <v>0.83720930232558144</v>
      </c>
      <c r="AA123" s="14">
        <v>38366</v>
      </c>
      <c r="AB123" s="15">
        <f>IFERROR(AA123/F123,"")</f>
        <v>0.64294811636948657</v>
      </c>
      <c r="AC123" s="16">
        <f>IFERROR(AA123*1000/H123,"")</f>
        <v>6734.4216254168859</v>
      </c>
      <c r="AD123" s="17">
        <f>IF(AB123="","",RANK(AB123,$AB$3:$AB$168,0)+COUNTIF($AB$3:AB123,AB123)-1)</f>
        <v>32</v>
      </c>
      <c r="AE123" s="17">
        <f>IF(AA123="","",RANK(AA123,$AA$3:$AA$168,0)+COUNTIF($AA$3:AA123,AA123)-1)</f>
        <v>106</v>
      </c>
      <c r="AF123" s="18">
        <v>88.49</v>
      </c>
      <c r="AG123" s="14">
        <v>49962404.049999997</v>
      </c>
      <c r="AH123" s="16">
        <f>IFERROR(AG123/AZ123,"")</f>
        <v>8304.9208859707451</v>
      </c>
      <c r="AI123" s="14">
        <v>3253</v>
      </c>
      <c r="AJ123" s="15">
        <f>IFERROR(AI123/F123,"")</f>
        <v>5.4514680252044513E-2</v>
      </c>
      <c r="AK123" s="14">
        <v>94</v>
      </c>
      <c r="AL123" s="14">
        <v>83</v>
      </c>
      <c r="AM123" s="14">
        <v>84</v>
      </c>
      <c r="AN123" s="14">
        <v>577</v>
      </c>
      <c r="AO123" s="14">
        <v>511</v>
      </c>
      <c r="AP123" s="18">
        <v>1.5</v>
      </c>
      <c r="AQ123" s="19">
        <f>IFERROR(AL123*1000/AZ123,"")</f>
        <v>13.79654255319149</v>
      </c>
      <c r="AR123" s="14">
        <v>215</v>
      </c>
      <c r="AS123" s="14">
        <v>107</v>
      </c>
      <c r="AT123" s="14">
        <v>58</v>
      </c>
      <c r="AU123" s="14">
        <v>3</v>
      </c>
      <c r="AV123" s="14">
        <v>47</v>
      </c>
      <c r="AW123" s="15">
        <f>IFERROR(AS123/AR123,"")</f>
        <v>0.49767441860465117</v>
      </c>
      <c r="AX123" s="14">
        <v>0</v>
      </c>
      <c r="AY123" s="14">
        <v>12</v>
      </c>
      <c r="AZ123" s="14">
        <v>6016</v>
      </c>
      <c r="BA123" s="20">
        <v>125.749</v>
      </c>
      <c r="BB123" s="20">
        <v>47.84</v>
      </c>
      <c r="BC123" s="21">
        <v>0.629</v>
      </c>
      <c r="BD123" s="18">
        <v>48.3</v>
      </c>
      <c r="BE123" s="18">
        <v>98.33</v>
      </c>
      <c r="BF123" s="18">
        <v>5.5</v>
      </c>
      <c r="BG123" s="18">
        <v>5.0999999999999996</v>
      </c>
      <c r="BH123" s="18">
        <v>13.04</v>
      </c>
      <c r="BI123" s="14">
        <v>577</v>
      </c>
      <c r="BJ123" s="18">
        <v>1.5</v>
      </c>
      <c r="BK123" s="15">
        <f>IFERROR(BI123/AZ123,"")</f>
        <v>9.5910904255319146E-2</v>
      </c>
      <c r="BL123" s="22">
        <f>IFERROR(AI123+K123+S123+AA123-F123,"")</f>
        <v>0</v>
      </c>
      <c r="BM123" s="22">
        <f>IFERROR(F123+G123-C123,"")</f>
        <v>0</v>
      </c>
      <c r="BN123" s="22">
        <f>IF(I123="","",IFERROR(C123*1000/H123-I123,""))</f>
        <v>7.5882043180172332E-2</v>
      </c>
    </row>
    <row r="124" spans="1:66">
      <c r="A124" s="13" t="s">
        <v>343</v>
      </c>
      <c r="B124" s="13" t="s">
        <v>344</v>
      </c>
      <c r="C124" s="14">
        <v>61703</v>
      </c>
      <c r="D124" s="14">
        <v>72852</v>
      </c>
      <c r="E124" s="14">
        <v>80889</v>
      </c>
      <c r="F124" s="14">
        <v>57856</v>
      </c>
      <c r="G124" s="14">
        <v>3847</v>
      </c>
      <c r="H124" s="14">
        <v>4813</v>
      </c>
      <c r="I124" s="14">
        <v>12820.13</v>
      </c>
      <c r="J124" s="14">
        <v>16464.349999999999</v>
      </c>
      <c r="K124" s="14">
        <v>3206</v>
      </c>
      <c r="L124" s="15">
        <f>IFERROR(K124/F124,"")</f>
        <v>5.5413440265486724E-2</v>
      </c>
      <c r="M124" s="16">
        <f>IFERROR(K124*1000/H124,"")</f>
        <v>666.11261167670887</v>
      </c>
      <c r="N124" s="17">
        <f>IF(L124="","",RANK(L124,$L$3:$L$168,0)+COUNTIF($L$3:L124,L124)-1)</f>
        <v>82</v>
      </c>
      <c r="O124" s="17">
        <f>IF(K124="","",RANK(K124,$K$3:$K$168,0)+COUNTIF($K$3:K124,K124)-1)</f>
        <v>112</v>
      </c>
      <c r="P124" s="14">
        <v>54</v>
      </c>
      <c r="Q124" s="15">
        <f>IFERROR(P124/AR124,"")</f>
        <v>0.15517241379310345</v>
      </c>
      <c r="R124" s="16">
        <v>3</v>
      </c>
      <c r="S124" s="14">
        <v>15374</v>
      </c>
      <c r="T124" s="15">
        <f>IFERROR(S124/F124,"")</f>
        <v>0.26572870575221241</v>
      </c>
      <c r="U124" s="16">
        <f>IFERROR(S124*1000/H124,"")</f>
        <v>3194.2655308539374</v>
      </c>
      <c r="V124" s="17">
        <f>IF(T124="","",RANK(T124,$T$3:$T$168,0)+COUNTIF($T$3:T124,T124)-1)</f>
        <v>79</v>
      </c>
      <c r="W124" s="17">
        <f>IF(S124="","",RANK(S124,$S$3:$S$168,0)+COUNTIF($S$3:S124,S124)-1)</f>
        <v>119</v>
      </c>
      <c r="X124" s="14">
        <v>125</v>
      </c>
      <c r="Y124" s="14">
        <v>158</v>
      </c>
      <c r="Z124" s="15">
        <f>IFERROR((X124+Y124)/AR124,"")</f>
        <v>0.81321839080459768</v>
      </c>
      <c r="AA124" s="14">
        <v>30523</v>
      </c>
      <c r="AB124" s="15">
        <f>IFERROR(AA124/F124,"")</f>
        <v>0.52756844579646023</v>
      </c>
      <c r="AC124" s="16">
        <f>IFERROR(AA124*1000/H124,"")</f>
        <v>6341.7826719301893</v>
      </c>
      <c r="AD124" s="17">
        <f>IF(AB124="","",RANK(AB124,$AB$3:$AB$168,0)+COUNTIF($AB$3:AB124,AB124)-1)</f>
        <v>81</v>
      </c>
      <c r="AE124" s="17">
        <f>IF(AA124="","",RANK(AA124,$AA$3:$AA$168,0)+COUNTIF($AA$3:AA124,AA124)-1)</f>
        <v>127</v>
      </c>
      <c r="AF124" s="18">
        <v>84.44</v>
      </c>
      <c r="AG124" s="14">
        <v>40615797.950000003</v>
      </c>
      <c r="AH124" s="16">
        <f>IFERROR(AG124/AZ124,"")</f>
        <v>8267.0054854467744</v>
      </c>
      <c r="AI124" s="14">
        <v>8753</v>
      </c>
      <c r="AJ124" s="15">
        <f>IFERROR(AI124/F124,"")</f>
        <v>0.15128940818584072</v>
      </c>
      <c r="AK124" s="14">
        <v>114</v>
      </c>
      <c r="AL124" s="14">
        <v>125</v>
      </c>
      <c r="AM124" s="14">
        <v>128</v>
      </c>
      <c r="AN124" s="14">
        <v>619</v>
      </c>
      <c r="AO124" s="14">
        <v>515</v>
      </c>
      <c r="AP124" s="18">
        <v>1.7</v>
      </c>
      <c r="AQ124" s="19">
        <f>IFERROR(AL124*1000/AZ124,"")</f>
        <v>25.442703032770201</v>
      </c>
      <c r="AR124" s="14">
        <v>348</v>
      </c>
      <c r="AS124" s="14">
        <v>199</v>
      </c>
      <c r="AT124" s="14">
        <v>81</v>
      </c>
      <c r="AU124" s="14">
        <v>8</v>
      </c>
      <c r="AV124" s="14">
        <v>60</v>
      </c>
      <c r="AW124" s="15">
        <f>IFERROR(AS124/AR124,"")</f>
        <v>0.57183908045977017</v>
      </c>
      <c r="AX124" s="14">
        <v>1</v>
      </c>
      <c r="AY124" s="14">
        <v>9</v>
      </c>
      <c r="AZ124" s="14">
        <v>4913</v>
      </c>
      <c r="BA124" s="20">
        <v>253.21</v>
      </c>
      <c r="BB124" s="20">
        <v>19.399999999999999</v>
      </c>
      <c r="BC124" s="21">
        <v>0.64500000000000002</v>
      </c>
      <c r="BD124" s="18">
        <v>43.9</v>
      </c>
      <c r="BE124" s="18">
        <v>100</v>
      </c>
      <c r="BF124" s="18">
        <v>6.9</v>
      </c>
      <c r="BG124" s="18">
        <v>5.5</v>
      </c>
      <c r="BH124" s="18">
        <v>57.5</v>
      </c>
      <c r="BI124" s="14">
        <v>619</v>
      </c>
      <c r="BJ124" s="18">
        <v>1.7</v>
      </c>
      <c r="BK124" s="15">
        <f>IFERROR(BI124/AZ124,"")</f>
        <v>0.12599226541827804</v>
      </c>
      <c r="BL124" s="22">
        <f>IFERROR(AI124+K124+S124+AA124-F124,"")</f>
        <v>0</v>
      </c>
      <c r="BM124" s="22">
        <f>IFERROR(F124+G124-C124,"")</f>
        <v>0</v>
      </c>
      <c r="BN124" s="22">
        <f>IF(I124="","",IFERROR(C124*1000/H124-I124,""))</f>
        <v>-5.9357988779083826E-2</v>
      </c>
    </row>
    <row r="125" spans="1:66">
      <c r="A125" s="13" t="s">
        <v>345</v>
      </c>
      <c r="B125" s="13" t="s">
        <v>346</v>
      </c>
      <c r="C125" s="14">
        <v>60475</v>
      </c>
      <c r="D125" s="14">
        <v>73627</v>
      </c>
      <c r="E125" s="14">
        <v>79950</v>
      </c>
      <c r="F125" s="14">
        <v>58264</v>
      </c>
      <c r="G125" s="14">
        <v>2211</v>
      </c>
      <c r="H125" s="14">
        <v>6167</v>
      </c>
      <c r="I125" s="14">
        <v>9806.2000000000007</v>
      </c>
      <c r="J125" s="14">
        <v>13767.86</v>
      </c>
      <c r="K125" s="14">
        <v>3011</v>
      </c>
      <c r="L125" s="15">
        <f>IFERROR(K125/F125,"")</f>
        <v>5.1678566524783746E-2</v>
      </c>
      <c r="M125" s="16">
        <f>IFERROR(K125*1000/H125,"")</f>
        <v>488.24387870925898</v>
      </c>
      <c r="N125" s="17">
        <f>IF(L125="","",RANK(L125,$L$3:$L$168,0)+COUNTIF($L$3:L125,L125)-1)</f>
        <v>85</v>
      </c>
      <c r="O125" s="17">
        <f>IF(K125="","",RANK(K125,$K$3:$K$168,0)+COUNTIF($K$3:K125,K125)-1)</f>
        <v>117</v>
      </c>
      <c r="P125" s="14">
        <v>33</v>
      </c>
      <c r="Q125" s="15">
        <f>IFERROR(P125/AR125,"")</f>
        <v>0.10784313725490197</v>
      </c>
      <c r="R125" s="16">
        <v>3</v>
      </c>
      <c r="S125" s="14">
        <v>13302</v>
      </c>
      <c r="T125" s="15">
        <f>IFERROR(S125/F125,"")</f>
        <v>0.2283056432788686</v>
      </c>
      <c r="U125" s="16">
        <f>IFERROR(S125*1000/H125,"")</f>
        <v>2156.9644884060322</v>
      </c>
      <c r="V125" s="17">
        <f>IF(T125="","",RANK(T125,$T$3:$T$168,0)+COUNTIF($T$3:T125,T125)-1)</f>
        <v>112</v>
      </c>
      <c r="W125" s="17">
        <f>IF(S125="","",RANK(S125,$S$3:$S$168,0)+COUNTIF($S$3:S125,S125)-1)</f>
        <v>126</v>
      </c>
      <c r="X125" s="14">
        <v>98</v>
      </c>
      <c r="Y125" s="14">
        <v>162</v>
      </c>
      <c r="Z125" s="15">
        <f>IFERROR((X125+Y125)/AR125,"")</f>
        <v>0.84967320261437906</v>
      </c>
      <c r="AA125" s="14">
        <v>39694</v>
      </c>
      <c r="AB125" s="15">
        <f>IFERROR(AA125/F125,"")</f>
        <v>0.68127831937388439</v>
      </c>
      <c r="AC125" s="16">
        <f>IFERROR(AA125*1000/H125,"")</f>
        <v>6436.5169450299982</v>
      </c>
      <c r="AD125" s="17">
        <f>IF(AB125="","",RANK(AB125,$AB$3:$AB$168,0)+COUNTIF($AB$3:AB125,AB125)-1)</f>
        <v>16</v>
      </c>
      <c r="AE125" s="17">
        <f>IF(AA125="","",RANK(AA125,$AA$3:$AA$168,0)+COUNTIF($AA$3:AA125,AA125)-1)</f>
        <v>104</v>
      </c>
      <c r="AF125" s="18">
        <v>89.85</v>
      </c>
      <c r="AG125" s="14">
        <v>45836035.939999998</v>
      </c>
      <c r="AH125" s="16">
        <f>IFERROR(AG125/AZ125,"")</f>
        <v>7684.1636110645431</v>
      </c>
      <c r="AI125" s="14">
        <v>2257</v>
      </c>
      <c r="AJ125" s="15">
        <f>IFERROR(AI125/F125,"")</f>
        <v>3.8737470822463267E-2</v>
      </c>
      <c r="AK125" s="14">
        <v>92</v>
      </c>
      <c r="AL125" s="14">
        <v>122</v>
      </c>
      <c r="AM125" s="14">
        <v>122</v>
      </c>
      <c r="AN125" s="14">
        <v>456</v>
      </c>
      <c r="AO125" s="14">
        <v>363</v>
      </c>
      <c r="AP125" s="18">
        <v>2.2999999999999998</v>
      </c>
      <c r="AQ125" s="19">
        <f>IFERROR(AL125*1000/AZ125,"")</f>
        <v>20.452640402347026</v>
      </c>
      <c r="AR125" s="14">
        <v>306</v>
      </c>
      <c r="AS125" s="14">
        <v>162</v>
      </c>
      <c r="AT125" s="14">
        <v>69</v>
      </c>
      <c r="AU125" s="14">
        <v>6</v>
      </c>
      <c r="AV125" s="14">
        <v>69</v>
      </c>
      <c r="AW125" s="15">
        <f>IFERROR(AS125/AR125,"")</f>
        <v>0.52941176470588236</v>
      </c>
      <c r="AX125" s="14">
        <v>7</v>
      </c>
      <c r="AY125" s="14">
        <v>6</v>
      </c>
      <c r="AZ125" s="14">
        <v>5965</v>
      </c>
      <c r="BA125" s="20">
        <v>143.57400000000001</v>
      </c>
      <c r="BB125" s="20">
        <v>39.15</v>
      </c>
      <c r="BC125" s="21">
        <v>0.58299999999999996</v>
      </c>
      <c r="BD125" s="18">
        <v>56</v>
      </c>
      <c r="BE125" s="18">
        <v>98.45</v>
      </c>
      <c r="BF125" s="18">
        <v>5</v>
      </c>
      <c r="BG125" s="18">
        <v>4</v>
      </c>
      <c r="BH125" s="18">
        <v>4.4800000000000004</v>
      </c>
      <c r="BI125" s="14">
        <v>456</v>
      </c>
      <c r="BJ125" s="18">
        <v>2.2999999999999998</v>
      </c>
      <c r="BK125" s="15">
        <f>IFERROR(BI125/AZ125,"")</f>
        <v>7.6445934618608546E-2</v>
      </c>
      <c r="BL125" s="22">
        <f>IFERROR(AI125+K125+S125+AA125-F125,"")</f>
        <v>0</v>
      </c>
      <c r="BM125" s="22">
        <f>IFERROR(F125+G125-C125,"")</f>
        <v>0</v>
      </c>
      <c r="BN125" s="22">
        <f>IF(I125="","",IFERROR(C125*1000/H125-I125,""))</f>
        <v>2.6690449163652374E-2</v>
      </c>
    </row>
    <row r="126" spans="1:66">
      <c r="A126" s="13" t="s">
        <v>347</v>
      </c>
      <c r="B126" s="13" t="s">
        <v>348</v>
      </c>
      <c r="C126" s="14">
        <v>60456</v>
      </c>
      <c r="D126" s="14">
        <v>197692</v>
      </c>
      <c r="E126" s="14">
        <v>474184</v>
      </c>
      <c r="F126" s="14">
        <v>56882</v>
      </c>
      <c r="G126" s="14">
        <v>3575</v>
      </c>
      <c r="H126" s="14">
        <v>3745</v>
      </c>
      <c r="I126" s="14">
        <v>16143.16</v>
      </c>
      <c r="J126" s="14">
        <v>145099.23000000001</v>
      </c>
      <c r="K126" s="14">
        <v>13544</v>
      </c>
      <c r="L126" s="15">
        <f>IFERROR(K126/F126,"")</f>
        <v>0.23810695826447734</v>
      </c>
      <c r="M126" s="16">
        <f>IFERROR(K126*1000/H126,"")</f>
        <v>3616.5554072096129</v>
      </c>
      <c r="N126" s="17">
        <f>IF(L126="","",RANK(L126,$L$3:$L$168,0)+COUNTIF($L$3:L126,L126)-1)</f>
        <v>32</v>
      </c>
      <c r="O126" s="17">
        <f>IF(K126="","",RANK(K126,$K$3:$K$168,0)+COUNTIF($K$3:K126,K126)-1)</f>
        <v>60</v>
      </c>
      <c r="P126" s="14">
        <v>39</v>
      </c>
      <c r="Q126" s="15">
        <f>IFERROR(P126/AR126,"")</f>
        <v>0.20418848167539266</v>
      </c>
      <c r="R126" s="16">
        <v>19</v>
      </c>
      <c r="S126" s="14">
        <v>13343</v>
      </c>
      <c r="T126" s="15">
        <f>IFERROR(S126/F126,"")</f>
        <v>0.23457332723884533</v>
      </c>
      <c r="U126" s="16">
        <f>IFERROR(S126*1000/H126,"")</f>
        <v>3562.8838451268357</v>
      </c>
      <c r="V126" s="17">
        <f>IF(T126="","",RANK(T126,$T$3:$T$168,0)+COUNTIF($T$3:T126,T126)-1)</f>
        <v>108</v>
      </c>
      <c r="W126" s="17">
        <f>IF(S126="","",RANK(S126,$S$3:$S$168,0)+COUNTIF($S$3:S126,S126)-1)</f>
        <v>125</v>
      </c>
      <c r="X126" s="14">
        <v>60</v>
      </c>
      <c r="Y126" s="14">
        <v>86</v>
      </c>
      <c r="Z126" s="15">
        <f>IFERROR((X126+Y126)/AR126,"")</f>
        <v>0.76439790575916233</v>
      </c>
      <c r="AA126" s="14">
        <v>28012</v>
      </c>
      <c r="AB126" s="15">
        <f>IFERROR(AA126/F126,"")</f>
        <v>0.49245807109454659</v>
      </c>
      <c r="AC126" s="16">
        <f>IFERROR(AA126*1000/H126,"")</f>
        <v>7479.8397863818427</v>
      </c>
      <c r="AD126" s="17">
        <f>IF(AB126="","",RANK(AB126,$AB$3:$AB$168,0)+COUNTIF($AB$3:AB126,AB126)-1)</f>
        <v>93</v>
      </c>
      <c r="AE126" s="17">
        <f>IF(AA126="","",RANK(AA126,$AA$3:$AA$168,0)+COUNTIF($AA$3:AA126,AA126)-1)</f>
        <v>138</v>
      </c>
      <c r="AF126" s="18">
        <v>88.19</v>
      </c>
      <c r="AG126" s="14">
        <v>53730148.560000002</v>
      </c>
      <c r="AH126" s="16">
        <f>IFERROR(AG126/AZ126,"")</f>
        <v>16441.293929008567</v>
      </c>
      <c r="AI126" s="14">
        <v>1983</v>
      </c>
      <c r="AJ126" s="15">
        <f>IFERROR(AI126/F126,"")</f>
        <v>3.4861643402130729E-2</v>
      </c>
      <c r="AK126" s="14">
        <v>78</v>
      </c>
      <c r="AL126" s="14">
        <v>98</v>
      </c>
      <c r="AM126" s="14">
        <v>99</v>
      </c>
      <c r="AN126" s="14">
        <v>286</v>
      </c>
      <c r="AO126" s="14">
        <v>228</v>
      </c>
      <c r="AP126" s="18">
        <v>2</v>
      </c>
      <c r="AQ126" s="19">
        <f>IFERROR(AL126*1000/AZ126,"")</f>
        <v>29.987760097919217</v>
      </c>
      <c r="AR126" s="14">
        <v>191</v>
      </c>
      <c r="AS126" s="14">
        <v>66</v>
      </c>
      <c r="AT126" s="14">
        <v>64</v>
      </c>
      <c r="AU126" s="14">
        <v>5</v>
      </c>
      <c r="AV126" s="14">
        <v>56</v>
      </c>
      <c r="AW126" s="15">
        <f>IFERROR(AS126/AR126,"")</f>
        <v>0.34554973821989526</v>
      </c>
      <c r="AX126" s="14">
        <v>2</v>
      </c>
      <c r="AY126" s="14">
        <v>4</v>
      </c>
      <c r="AZ126" s="14">
        <v>3268</v>
      </c>
      <c r="BA126" s="20">
        <v>261.19400000000002</v>
      </c>
      <c r="BB126" s="20">
        <v>12.51</v>
      </c>
      <c r="BC126" s="21">
        <v>0.58699999999999997</v>
      </c>
      <c r="BD126" s="18">
        <v>51.6</v>
      </c>
      <c r="BE126" s="18">
        <v>98.94</v>
      </c>
      <c r="BF126" s="18">
        <v>4.8</v>
      </c>
      <c r="BG126" s="18">
        <v>3.6</v>
      </c>
      <c r="BH126" s="18">
        <v>24.91</v>
      </c>
      <c r="BI126" s="14">
        <v>286</v>
      </c>
      <c r="BJ126" s="18">
        <v>2</v>
      </c>
      <c r="BK126" s="15">
        <f>IFERROR(BI126/AZ126,"")</f>
        <v>8.7515299877600983E-2</v>
      </c>
      <c r="BL126" s="22">
        <f>IFERROR(AI126+K126+S126+AA126-F126,"")</f>
        <v>0</v>
      </c>
      <c r="BM126" s="22">
        <f>IFERROR(F126+G126-C126,"")</f>
        <v>1</v>
      </c>
      <c r="BN126" s="22">
        <f>IF(I126="","",IFERROR(C126*1000/H126-I126,""))</f>
        <v>-3.5834445927321212E-2</v>
      </c>
    </row>
    <row r="127" spans="1:66">
      <c r="A127" s="13" t="s">
        <v>349</v>
      </c>
      <c r="B127" s="13" t="s">
        <v>350</v>
      </c>
      <c r="C127" s="14">
        <v>59192</v>
      </c>
      <c r="D127" s="14">
        <v>64939</v>
      </c>
      <c r="E127" s="14">
        <v>67765</v>
      </c>
      <c r="F127" s="14">
        <v>56254</v>
      </c>
      <c r="G127" s="14">
        <v>2938</v>
      </c>
      <c r="H127" s="14">
        <v>4457</v>
      </c>
      <c r="I127" s="14">
        <v>13280.71</v>
      </c>
      <c r="J127" s="14">
        <v>15974.87</v>
      </c>
      <c r="K127" s="14">
        <v>2095</v>
      </c>
      <c r="L127" s="15">
        <f>IFERROR(K127/F127,"")</f>
        <v>3.7241796138941234E-2</v>
      </c>
      <c r="M127" s="16">
        <f>IFERROR(K127*1000/H127,"")</f>
        <v>470.04711689477227</v>
      </c>
      <c r="N127" s="17">
        <f>IF(L127="","",RANK(L127,$L$3:$L$168,0)+COUNTIF($L$3:L127,L127)-1)</f>
        <v>137</v>
      </c>
      <c r="O127" s="17">
        <f>IF(K127="","",RANK(K127,$K$3:$K$168,0)+COUNTIF($K$3:K127,K127)-1)</f>
        <v>136</v>
      </c>
      <c r="P127" s="14">
        <v>58</v>
      </c>
      <c r="Q127" s="15">
        <f>IFERROR(P127/AR127,"")</f>
        <v>0.10740740740740741</v>
      </c>
      <c r="R127" s="16">
        <v>5</v>
      </c>
      <c r="S127" s="14">
        <v>15464</v>
      </c>
      <c r="T127" s="15">
        <f>IFERROR(S127/F127,"")</f>
        <v>0.27489600739502967</v>
      </c>
      <c r="U127" s="16">
        <f>IFERROR(S127*1000/H127,"")</f>
        <v>3469.5983845636079</v>
      </c>
      <c r="V127" s="17">
        <f>IF(T127="","",RANK(T127,$T$3:$T$168,0)+COUNTIF($T$3:T127,T127)-1)</f>
        <v>72</v>
      </c>
      <c r="W127" s="17">
        <f>IF(S127="","",RANK(S127,$S$3:$S$168,0)+COUNTIF($S$3:S127,S127)-1)</f>
        <v>118</v>
      </c>
      <c r="X127" s="14">
        <v>102</v>
      </c>
      <c r="Y127" s="14">
        <v>366</v>
      </c>
      <c r="Z127" s="15">
        <f>IFERROR((X127+Y127)/AR127,"")</f>
        <v>0.8666666666666667</v>
      </c>
      <c r="AA127" s="14">
        <v>33146</v>
      </c>
      <c r="AB127" s="15">
        <f>IFERROR(AA127/F127,"")</f>
        <v>0.58922032211042774</v>
      </c>
      <c r="AC127" s="16">
        <f>IFERROR(AA127*1000/H127,"")</f>
        <v>7436.8409243886026</v>
      </c>
      <c r="AD127" s="17">
        <f>IF(AB127="","",RANK(AB127,$AB$3:$AB$168,0)+COUNTIF($AB$3:AB127,AB127)-1)</f>
        <v>57</v>
      </c>
      <c r="AE127" s="17">
        <f>IF(AA127="","",RANK(AA127,$AA$3:$AA$168,0)+COUNTIF($AA$3:AA127,AA127)-1)</f>
        <v>121</v>
      </c>
      <c r="AF127" s="18">
        <v>91.14</v>
      </c>
      <c r="AG127" s="14">
        <v>41863788.469999999</v>
      </c>
      <c r="AH127" s="16">
        <f>IFERROR(AG127/AZ127,"")</f>
        <v>9868.8798844884477</v>
      </c>
      <c r="AI127" s="14">
        <v>5548</v>
      </c>
      <c r="AJ127" s="15">
        <f>IFERROR(AI127/F127,"")</f>
        <v>9.8624097841931241E-2</v>
      </c>
      <c r="AK127" s="14">
        <v>87</v>
      </c>
      <c r="AL127" s="14">
        <v>97</v>
      </c>
      <c r="AM127" s="14">
        <v>99</v>
      </c>
      <c r="AN127" s="14">
        <v>503</v>
      </c>
      <c r="AO127" s="14">
        <v>425</v>
      </c>
      <c r="AP127" s="18">
        <v>1.5</v>
      </c>
      <c r="AQ127" s="19">
        <f>IFERROR(AL127*1000/AZ127,"")</f>
        <v>22.866572371522867</v>
      </c>
      <c r="AR127" s="14">
        <v>540</v>
      </c>
      <c r="AS127" s="14">
        <v>317</v>
      </c>
      <c r="AT127" s="14">
        <v>172</v>
      </c>
      <c r="AU127" s="14">
        <v>9</v>
      </c>
      <c r="AV127" s="14">
        <v>42</v>
      </c>
      <c r="AW127" s="15">
        <f>IFERROR(AS127/AR127,"")</f>
        <v>0.58703703703703702</v>
      </c>
      <c r="AX127" s="14">
        <v>2</v>
      </c>
      <c r="AY127" s="14">
        <v>12</v>
      </c>
      <c r="AZ127" s="14">
        <v>4242</v>
      </c>
      <c r="BA127" s="20">
        <v>154.84</v>
      </c>
      <c r="BB127" s="20">
        <v>27.4</v>
      </c>
      <c r="BC127" s="21">
        <v>0.60399999999999998</v>
      </c>
      <c r="BD127" s="18">
        <v>50.8</v>
      </c>
      <c r="BE127" s="18">
        <v>100</v>
      </c>
      <c r="BF127" s="18">
        <v>5.9</v>
      </c>
      <c r="BG127" s="18">
        <v>4.5</v>
      </c>
      <c r="BH127" s="18">
        <v>58.75</v>
      </c>
      <c r="BI127" s="14">
        <v>503</v>
      </c>
      <c r="BJ127" s="18">
        <v>1.5</v>
      </c>
      <c r="BK127" s="15">
        <f>IFERROR(BI127/AZ127,"")</f>
        <v>0.11857614332861857</v>
      </c>
      <c r="BL127" s="22">
        <f>IFERROR(AI127+K127+S127+AA127-F127,"")</f>
        <v>-1</v>
      </c>
      <c r="BM127" s="22">
        <f>IFERROR(F127+G127-C127,"")</f>
        <v>0</v>
      </c>
      <c r="BN127" s="22">
        <f>IF(I127="","",IFERROR(C127*1000/H127-I127,""))</f>
        <v>-2.7926856628255337E-2</v>
      </c>
    </row>
    <row r="128" spans="1:66">
      <c r="A128" s="13" t="s">
        <v>351</v>
      </c>
      <c r="B128" s="13" t="s">
        <v>352</v>
      </c>
      <c r="C128" s="14">
        <v>57410</v>
      </c>
      <c r="D128" s="14">
        <v>73394</v>
      </c>
      <c r="E128" s="14">
        <v>84833</v>
      </c>
      <c r="F128" s="14">
        <v>54422</v>
      </c>
      <c r="G128" s="14">
        <v>2987</v>
      </c>
      <c r="H128" s="14">
        <v>5739</v>
      </c>
      <c r="I128" s="14">
        <v>10003.42</v>
      </c>
      <c r="J128" s="14">
        <v>14875.07</v>
      </c>
      <c r="K128" s="14">
        <v>2755</v>
      </c>
      <c r="L128" s="15">
        <f>IFERROR(K128/F128,"")</f>
        <v>5.0622909852633124E-2</v>
      </c>
      <c r="M128" s="16">
        <f>IFERROR(K128*1000/H128,"")</f>
        <v>480.04878898762848</v>
      </c>
      <c r="N128" s="17">
        <f>IF(L128="","",RANK(L128,$L$3:$L$168,0)+COUNTIF($L$3:L128,L128)-1)</f>
        <v>87</v>
      </c>
      <c r="O128" s="17">
        <f>IF(K128="","",RANK(K128,$K$3:$K$168,0)+COUNTIF($K$3:K128,K128)-1)</f>
        <v>123</v>
      </c>
      <c r="P128" s="14">
        <v>58</v>
      </c>
      <c r="Q128" s="15">
        <f>IFERROR(P128/AR128,"")</f>
        <v>0.15425531914893617</v>
      </c>
      <c r="R128" s="16">
        <v>10</v>
      </c>
      <c r="S128" s="14">
        <v>15823</v>
      </c>
      <c r="T128" s="15">
        <f>IFERROR(S128/F128,"")</f>
        <v>0.29074638932784536</v>
      </c>
      <c r="U128" s="16">
        <f>IFERROR(S128*1000/H128,"")</f>
        <v>2757.1005401637917</v>
      </c>
      <c r="V128" s="17">
        <f>IF(T128="","",RANK(T128,$T$3:$T$168,0)+COUNTIF($T$3:T128,T128)-1)</f>
        <v>59</v>
      </c>
      <c r="W128" s="17">
        <f>IF(S128="","",RANK(S128,$S$3:$S$168,0)+COUNTIF($S$3:S128,S128)-1)</f>
        <v>115</v>
      </c>
      <c r="X128" s="14">
        <v>108</v>
      </c>
      <c r="Y128" s="14">
        <v>198</v>
      </c>
      <c r="Z128" s="15">
        <f>IFERROR((X128+Y128)/AR128,"")</f>
        <v>0.81382978723404253</v>
      </c>
      <c r="AA128" s="14">
        <v>34228</v>
      </c>
      <c r="AB128" s="15">
        <f>IFERROR(AA128/F128,"")</f>
        <v>0.62893682701848519</v>
      </c>
      <c r="AC128" s="16">
        <f>IFERROR(AA128*1000/H128,"")</f>
        <v>5964.1052448161699</v>
      </c>
      <c r="AD128" s="17">
        <f>IF(AB128="","",RANK(AB128,$AB$3:$AB$168,0)+COUNTIF($AB$3:AB128,AB128)-1)</f>
        <v>40</v>
      </c>
      <c r="AE128" s="17">
        <f>IF(AA128="","",RANK(AA128,$AA$3:$AA$168,0)+COUNTIF($AA$3:AA128,AA128)-1)</f>
        <v>118</v>
      </c>
      <c r="AF128" s="18">
        <v>93.17</v>
      </c>
      <c r="AG128" s="14">
        <v>42145094.530000001</v>
      </c>
      <c r="AH128" s="16">
        <f>IFERROR(AG128/AZ128,"")</f>
        <v>7389.9867666140626</v>
      </c>
      <c r="AI128" s="14">
        <v>1617</v>
      </c>
      <c r="AJ128" s="15">
        <f>IFERROR(AI128/F128,"")</f>
        <v>2.9712248722942928E-2</v>
      </c>
      <c r="AK128" s="14">
        <v>122</v>
      </c>
      <c r="AL128" s="14">
        <v>148</v>
      </c>
      <c r="AM128" s="14">
        <v>148</v>
      </c>
      <c r="AN128" s="14">
        <v>501</v>
      </c>
      <c r="AO128" s="14">
        <v>384</v>
      </c>
      <c r="AP128" s="18">
        <v>1.6</v>
      </c>
      <c r="AQ128" s="19">
        <f>IFERROR(AL128*1000/AZ128,"")</f>
        <v>25.951253726109066</v>
      </c>
      <c r="AR128" s="14">
        <v>376</v>
      </c>
      <c r="AS128" s="14">
        <v>190</v>
      </c>
      <c r="AT128" s="14">
        <v>114</v>
      </c>
      <c r="AU128" s="14">
        <v>7</v>
      </c>
      <c r="AV128" s="14">
        <v>65</v>
      </c>
      <c r="AW128" s="15">
        <f>IFERROR(AS128/AR128,"")</f>
        <v>0.50531914893617025</v>
      </c>
      <c r="AX128" s="14">
        <v>4</v>
      </c>
      <c r="AY128" s="14">
        <v>8</v>
      </c>
      <c r="AZ128" s="14">
        <v>5703</v>
      </c>
      <c r="BA128" s="20">
        <v>96.584999999999994</v>
      </c>
      <c r="BB128" s="20">
        <v>59.02</v>
      </c>
      <c r="BC128" s="21">
        <v>0.58199999999999996</v>
      </c>
      <c r="BD128" s="18">
        <v>54</v>
      </c>
      <c r="BE128" s="18">
        <v>99.82</v>
      </c>
      <c r="BF128" s="18">
        <v>6.5</v>
      </c>
      <c r="BG128" s="18">
        <v>4.4000000000000004</v>
      </c>
      <c r="BH128" s="18">
        <v>5.5</v>
      </c>
      <c r="BI128" s="14">
        <v>501</v>
      </c>
      <c r="BJ128" s="18">
        <v>1.6</v>
      </c>
      <c r="BK128" s="15">
        <f>IFERROR(BI128/AZ128,"")</f>
        <v>8.7848500789058384E-2</v>
      </c>
      <c r="BL128" s="22">
        <f>IFERROR(AI128+K128+S128+AA128-F128,"")</f>
        <v>1</v>
      </c>
      <c r="BM128" s="22">
        <f>IFERROR(F128+G128-C128,"")</f>
        <v>-1</v>
      </c>
      <c r="BN128" s="22">
        <f>IF(I128="","",IFERROR(C128*1000/H128-I128,""))</f>
        <v>6.4927687750241603E-2</v>
      </c>
    </row>
    <row r="129" spans="1:66">
      <c r="A129" s="13" t="s">
        <v>353</v>
      </c>
      <c r="B129" s="13" t="s">
        <v>354</v>
      </c>
      <c r="C129" s="14">
        <v>56555</v>
      </c>
      <c r="D129" s="14">
        <v>65328</v>
      </c>
      <c r="E129" s="14">
        <v>72803</v>
      </c>
      <c r="F129" s="14">
        <v>54491</v>
      </c>
      <c r="G129" s="14">
        <v>2064</v>
      </c>
      <c r="H129" s="14">
        <v>5529</v>
      </c>
      <c r="I129" s="14">
        <v>10228.83</v>
      </c>
      <c r="J129" s="14">
        <v>13912.23</v>
      </c>
      <c r="K129" s="14">
        <v>2190</v>
      </c>
      <c r="L129" s="15">
        <f>IFERROR(K129/F129,"")</f>
        <v>4.0190123139601033E-2</v>
      </c>
      <c r="M129" s="16">
        <f>IFERROR(K129*1000/H129,"")</f>
        <v>396.09332609875202</v>
      </c>
      <c r="N129" s="17">
        <f>IF(L129="","",RANK(L129,$L$3:$L$168,0)+COUNTIF($L$3:L129,L129)-1)</f>
        <v>122</v>
      </c>
      <c r="O129" s="17">
        <f>IF(K129="","",RANK(K129,$K$3:$K$168,0)+COUNTIF($K$3:K129,K129)-1)</f>
        <v>133</v>
      </c>
      <c r="P129" s="14">
        <v>33</v>
      </c>
      <c r="Q129" s="15">
        <f>IFERROR(P129/AR129,"")</f>
        <v>0.13253012048192772</v>
      </c>
      <c r="R129" s="16">
        <v>1</v>
      </c>
      <c r="S129" s="14">
        <v>14542</v>
      </c>
      <c r="T129" s="15">
        <f>IFERROR(S129/F129,"")</f>
        <v>0.26686975830871151</v>
      </c>
      <c r="U129" s="16">
        <f>IFERROR(S129*1000/H129,"")</f>
        <v>2630.1320311086997</v>
      </c>
      <c r="V129" s="17">
        <f>IF(T129="","",RANK(T129,$T$3:$T$168,0)+COUNTIF($T$3:T129,T129)-1)</f>
        <v>78</v>
      </c>
      <c r="W129" s="17">
        <f>IF(S129="","",RANK(S129,$S$3:$S$168,0)+COUNTIF($S$3:S129,S129)-1)</f>
        <v>123</v>
      </c>
      <c r="X129" s="14">
        <v>101</v>
      </c>
      <c r="Y129" s="14">
        <v>105</v>
      </c>
      <c r="Z129" s="15">
        <f>IFERROR((X129+Y129)/AR129,"")</f>
        <v>0.82730923694779113</v>
      </c>
      <c r="AA129" s="14">
        <v>35561</v>
      </c>
      <c r="AB129" s="15">
        <f>IFERROR(AA129/F129,"")</f>
        <v>0.6526031821768733</v>
      </c>
      <c r="AC129" s="16">
        <f>IFERROR(AA129*1000/H129,"")</f>
        <v>6431.7236389943928</v>
      </c>
      <c r="AD129" s="17">
        <f>IF(AB129="","",RANK(AB129,$AB$3:$AB$168,0)+COUNTIF($AB$3:AB129,AB129)-1)</f>
        <v>29</v>
      </c>
      <c r="AE129" s="17">
        <f>IF(AA129="","",RANK(AA129,$AA$3:$AA$168,0)+COUNTIF($AA$3:AA129,AA129)-1)</f>
        <v>115</v>
      </c>
      <c r="AF129" s="18">
        <v>94.18</v>
      </c>
      <c r="AG129" s="14">
        <v>36396116.75</v>
      </c>
      <c r="AH129" s="16">
        <f>IFERROR(AG129/AZ129,"")</f>
        <v>6955.1149914007265</v>
      </c>
      <c r="AI129" s="14">
        <v>2199</v>
      </c>
      <c r="AJ129" s="15">
        <f>IFERROR(AI129/F129,"")</f>
        <v>4.0355288029215834E-2</v>
      </c>
      <c r="AK129" s="14">
        <v>74</v>
      </c>
      <c r="AL129" s="14">
        <v>90</v>
      </c>
      <c r="AM129" s="14">
        <v>91</v>
      </c>
      <c r="AN129" s="14">
        <v>565</v>
      </c>
      <c r="AO129" s="14">
        <v>497</v>
      </c>
      <c r="AP129" s="18">
        <v>1.6</v>
      </c>
      <c r="AQ129" s="19">
        <f>IFERROR(AL129*1000/AZ129,"")</f>
        <v>17.198547678196064</v>
      </c>
      <c r="AR129" s="14">
        <v>249</v>
      </c>
      <c r="AS129" s="14">
        <v>122</v>
      </c>
      <c r="AT129" s="14">
        <v>79</v>
      </c>
      <c r="AU129" s="14">
        <v>2</v>
      </c>
      <c r="AV129" s="14">
        <v>46</v>
      </c>
      <c r="AW129" s="15">
        <f>IFERROR(AS129/AR129,"")</f>
        <v>0.48995983935742971</v>
      </c>
      <c r="AX129" s="14">
        <v>3</v>
      </c>
      <c r="AY129" s="14">
        <v>7</v>
      </c>
      <c r="AZ129" s="14">
        <v>5233</v>
      </c>
      <c r="BA129" s="20">
        <v>72.683999999999997</v>
      </c>
      <c r="BB129" s="20">
        <v>72</v>
      </c>
      <c r="BC129" s="21">
        <v>0.626</v>
      </c>
      <c r="BD129" s="18">
        <v>47.2</v>
      </c>
      <c r="BE129" s="18">
        <v>98.5</v>
      </c>
      <c r="BF129" s="18">
        <v>4.5999999999999996</v>
      </c>
      <c r="BG129" s="18">
        <v>3.9</v>
      </c>
      <c r="BH129" s="18">
        <v>10.5</v>
      </c>
      <c r="BI129" s="14">
        <v>564</v>
      </c>
      <c r="BJ129" s="18">
        <v>1.6</v>
      </c>
      <c r="BK129" s="15">
        <f>IFERROR(BI129/AZ129,"")</f>
        <v>0.10777756545002866</v>
      </c>
      <c r="BL129" s="22">
        <f>IFERROR(AI129+K129+S129+AA129-F129,"")</f>
        <v>1</v>
      </c>
      <c r="BM129" s="22">
        <f>IFERROR(F129+G129-C129,"")</f>
        <v>0</v>
      </c>
      <c r="BN129" s="22">
        <f>IF(I129="","",IFERROR(C129*1000/H129-I129,""))</f>
        <v>-3.636643154277408E-2</v>
      </c>
    </row>
    <row r="130" spans="1:66">
      <c r="A130" s="13" t="s">
        <v>355</v>
      </c>
      <c r="B130" s="13" t="s">
        <v>356</v>
      </c>
      <c r="C130" s="14">
        <v>55799</v>
      </c>
      <c r="D130" s="14">
        <v>68283</v>
      </c>
      <c r="E130" s="14">
        <v>72504</v>
      </c>
      <c r="F130" s="14">
        <v>53879</v>
      </c>
      <c r="G130" s="14">
        <v>1920</v>
      </c>
      <c r="H130" s="14">
        <v>5889</v>
      </c>
      <c r="I130" s="14">
        <v>9475.2000000000007</v>
      </c>
      <c r="J130" s="14">
        <v>12552.69</v>
      </c>
      <c r="K130" s="14">
        <v>2219</v>
      </c>
      <c r="L130" s="15">
        <f>IFERROR(K130/F130,"")</f>
        <v>4.1184877224892814E-2</v>
      </c>
      <c r="M130" s="16">
        <f>IFERROR(K130*1000/H130,"")</f>
        <v>376.80421124129731</v>
      </c>
      <c r="N130" s="17">
        <f>IF(L130="","",RANK(L130,$L$3:$L$168,0)+COUNTIF($L$3:L130,L130)-1)</f>
        <v>117</v>
      </c>
      <c r="O130" s="17">
        <f>IF(K130="","",RANK(K130,$K$3:$K$168,0)+COUNTIF($K$3:K130,K130)-1)</f>
        <v>132</v>
      </c>
      <c r="P130" s="14">
        <v>25</v>
      </c>
      <c r="Q130" s="15">
        <f>IFERROR(P130/AR130,"")</f>
        <v>0.11013215859030837</v>
      </c>
      <c r="R130" s="16">
        <v>4</v>
      </c>
      <c r="S130" s="14">
        <v>11932</v>
      </c>
      <c r="T130" s="15">
        <f>IFERROR(S130/F130,"")</f>
        <v>0.22145919560496669</v>
      </c>
      <c r="U130" s="16">
        <f>IFERROR(S130*1000/H130,"")</f>
        <v>2026.1504499915095</v>
      </c>
      <c r="V130" s="17">
        <f>IF(T130="","",RANK(T130,$T$3:$T$168,0)+COUNTIF($T$3:T130,T130)-1)</f>
        <v>122</v>
      </c>
      <c r="W130" s="17">
        <f>IF(S130="","",RANK(S130,$S$3:$S$168,0)+COUNTIF($S$3:S130,S130)-1)</f>
        <v>132</v>
      </c>
      <c r="X130" s="14">
        <v>87</v>
      </c>
      <c r="Y130" s="14">
        <v>102</v>
      </c>
      <c r="Z130" s="15">
        <f>IFERROR((X130+Y130)/AR130,"")</f>
        <v>0.83259911894273131</v>
      </c>
      <c r="AA130" s="14">
        <v>36141</v>
      </c>
      <c r="AB130" s="15">
        <f>IFERROR(AA130/F130,"")</f>
        <v>0.67078082369754455</v>
      </c>
      <c r="AC130" s="16">
        <f>IFERROR(AA130*1000/H130,"")</f>
        <v>6137.0351502801832</v>
      </c>
      <c r="AD130" s="17">
        <f>IF(AB130="","",RANK(AB130,$AB$3:$AB$168,0)+COUNTIF($AB$3:AB130,AB130)-1)</f>
        <v>21</v>
      </c>
      <c r="AE130" s="17">
        <f>IF(AA130="","",RANK(AA130,$AA$3:$AA$168,0)+COUNTIF($AA$3:AA130,AA130)-1)</f>
        <v>113</v>
      </c>
      <c r="AF130" s="18">
        <v>94.44</v>
      </c>
      <c r="AG130" s="14">
        <v>43686332.32</v>
      </c>
      <c r="AH130" s="16">
        <f>IFERROR(AG130/AZ130,"")</f>
        <v>7563.4231855955677</v>
      </c>
      <c r="AI130" s="14">
        <v>3588</v>
      </c>
      <c r="AJ130" s="15">
        <f>IFERROR(AI130/F130,"")</f>
        <v>6.6593663579502221E-2</v>
      </c>
      <c r="AK130" s="14">
        <v>62</v>
      </c>
      <c r="AL130" s="14">
        <v>72</v>
      </c>
      <c r="AM130" s="14">
        <v>76</v>
      </c>
      <c r="AN130" s="14">
        <v>393</v>
      </c>
      <c r="AO130" s="14">
        <v>338</v>
      </c>
      <c r="AP130" s="18">
        <v>1.8</v>
      </c>
      <c r="AQ130" s="19">
        <f>IFERROR(AL130*1000/AZ130,"")</f>
        <v>12.465373961218837</v>
      </c>
      <c r="AR130" s="14">
        <v>227</v>
      </c>
      <c r="AS130" s="14">
        <v>112</v>
      </c>
      <c r="AT130" s="14">
        <v>58</v>
      </c>
      <c r="AU130" s="14">
        <v>10</v>
      </c>
      <c r="AV130" s="14">
        <v>47</v>
      </c>
      <c r="AW130" s="15">
        <f>IFERROR(AS130/AR130,"")</f>
        <v>0.4933920704845815</v>
      </c>
      <c r="AX130" s="14">
        <v>5</v>
      </c>
      <c r="AY130" s="14">
        <v>8</v>
      </c>
      <c r="AZ130" s="14">
        <v>5776</v>
      </c>
      <c r="BA130" s="20">
        <v>195.23699999999999</v>
      </c>
      <c r="BB130" s="20">
        <v>29.58</v>
      </c>
      <c r="BC130" s="21">
        <v>0.58899999999999997</v>
      </c>
      <c r="BD130" s="18">
        <v>48.7</v>
      </c>
      <c r="BE130" s="18">
        <v>99.33</v>
      </c>
      <c r="BF130" s="18">
        <v>4.9000000000000004</v>
      </c>
      <c r="BG130" s="18">
        <v>4.4000000000000004</v>
      </c>
      <c r="BH130" s="18">
        <v>6.53</v>
      </c>
      <c r="BI130" s="14">
        <v>393</v>
      </c>
      <c r="BJ130" s="18">
        <v>1.8</v>
      </c>
      <c r="BK130" s="15">
        <f>IFERROR(BI130/AZ130,"")</f>
        <v>6.8040166204986152E-2</v>
      </c>
      <c r="BL130" s="22">
        <f>IFERROR(AI130+K130+S130+AA130-F130,"")</f>
        <v>1</v>
      </c>
      <c r="BM130" s="22">
        <f>IFERROR(F130+G130-C130,"")</f>
        <v>0</v>
      </c>
      <c r="BN130" s="22">
        <f>IF(I130="","",IFERROR(C130*1000/H130-I130,""))</f>
        <v>-7.6889115300218691E-2</v>
      </c>
    </row>
    <row r="131" spans="1:66">
      <c r="A131" s="13" t="s">
        <v>357</v>
      </c>
      <c r="B131" s="13" t="s">
        <v>358</v>
      </c>
      <c r="C131" s="14">
        <v>55529</v>
      </c>
      <c r="D131" s="14">
        <v>59493</v>
      </c>
      <c r="E131" s="14">
        <v>65325</v>
      </c>
      <c r="F131" s="14">
        <v>51547</v>
      </c>
      <c r="G131" s="14">
        <v>3983</v>
      </c>
      <c r="H131" s="14">
        <v>4665</v>
      </c>
      <c r="I131" s="14">
        <v>11903.37</v>
      </c>
      <c r="J131" s="14">
        <v>15284.31</v>
      </c>
      <c r="K131" s="14">
        <v>2024</v>
      </c>
      <c r="L131" s="15">
        <f>IFERROR(K131/F131,"")</f>
        <v>3.9265136671387278E-2</v>
      </c>
      <c r="M131" s="16">
        <f>IFERROR(K131*1000/H131,"")</f>
        <v>433.86923901393357</v>
      </c>
      <c r="N131" s="17">
        <f>IF(L131="","",RANK(L131,$L$3:$L$168,0)+COUNTIF($L$3:L131,L131)-1)</f>
        <v>127</v>
      </c>
      <c r="O131" s="17">
        <f>IF(K131="","",RANK(K131,$K$3:$K$168,0)+COUNTIF($K$3:K131,K131)-1)</f>
        <v>137</v>
      </c>
      <c r="P131" s="14">
        <v>18</v>
      </c>
      <c r="Q131" s="15">
        <f>IFERROR(P131/AR131,"")</f>
        <v>7.6271186440677971E-2</v>
      </c>
      <c r="R131" s="16">
        <v>5</v>
      </c>
      <c r="S131" s="14">
        <v>16792</v>
      </c>
      <c r="T131" s="15">
        <f>IFERROR(S131/F131,"")</f>
        <v>0.32576095602071897</v>
      </c>
      <c r="U131" s="16">
        <f>IFERROR(S131*1000/H131,"")</f>
        <v>3599.5712754555198</v>
      </c>
      <c r="V131" s="17">
        <f>IF(T131="","",RANK(T131,$T$3:$T$168,0)+COUNTIF($T$3:T131,T131)-1)</f>
        <v>44</v>
      </c>
      <c r="W131" s="17">
        <f>IF(S131="","",RANK(S131,$S$3:$S$168,0)+COUNTIF($S$3:S131,S131)-1)</f>
        <v>112</v>
      </c>
      <c r="X131" s="14">
        <v>101</v>
      </c>
      <c r="Y131" s="14">
        <v>103</v>
      </c>
      <c r="Z131" s="15">
        <f>IFERROR((X131+Y131)/AR131,"")</f>
        <v>0.86440677966101698</v>
      </c>
      <c r="AA131" s="14">
        <v>29496</v>
      </c>
      <c r="AB131" s="15">
        <f>IFERROR(AA131/F131,"")</f>
        <v>0.57221564785535528</v>
      </c>
      <c r="AC131" s="16">
        <f>IFERROR(AA131*1000/H131,"")</f>
        <v>6322.8295819935693</v>
      </c>
      <c r="AD131" s="17">
        <f>IF(AB131="","",RANK(AB131,$AB$3:$AB$168,0)+COUNTIF($AB$3:AB131,AB131)-1)</f>
        <v>67</v>
      </c>
      <c r="AE131" s="17">
        <f>IF(AA131="","",RANK(AA131,$AA$3:$AA$168,0)+COUNTIF($AA$3:AA131,AA131)-1)</f>
        <v>133</v>
      </c>
      <c r="AF131" s="18">
        <v>90.01</v>
      </c>
      <c r="AG131" s="14">
        <v>38270065.57</v>
      </c>
      <c r="AH131" s="16">
        <f>IFERROR(AG131/AZ131,"")</f>
        <v>8954.1566612073002</v>
      </c>
      <c r="AI131" s="14">
        <v>3235</v>
      </c>
      <c r="AJ131" s="15">
        <f>IFERROR(AI131/F131,"")</f>
        <v>6.2758259452538462E-2</v>
      </c>
      <c r="AK131" s="14">
        <v>104</v>
      </c>
      <c r="AL131" s="14">
        <v>125</v>
      </c>
      <c r="AM131" s="14">
        <v>127</v>
      </c>
      <c r="AN131" s="14">
        <v>606</v>
      </c>
      <c r="AO131" s="14">
        <v>504</v>
      </c>
      <c r="AP131" s="18">
        <v>1.3</v>
      </c>
      <c r="AQ131" s="19">
        <f>IFERROR(AL131*1000/AZ131,"")</f>
        <v>29.246607393542348</v>
      </c>
      <c r="AR131" s="14">
        <v>236</v>
      </c>
      <c r="AS131" s="14">
        <v>98</v>
      </c>
      <c r="AT131" s="14">
        <v>73</v>
      </c>
      <c r="AU131" s="14">
        <v>8</v>
      </c>
      <c r="AV131" s="14">
        <v>57</v>
      </c>
      <c r="AW131" s="15">
        <f>IFERROR(AS131/AR131,"")</f>
        <v>0.4152542372881356</v>
      </c>
      <c r="AX131" s="14">
        <v>4</v>
      </c>
      <c r="AY131" s="14">
        <v>10</v>
      </c>
      <c r="AZ131" s="14">
        <v>4274</v>
      </c>
      <c r="BA131" s="20">
        <v>142.607</v>
      </c>
      <c r="BB131" s="20">
        <v>29.97</v>
      </c>
      <c r="BC131" s="21">
        <v>0.64400000000000002</v>
      </c>
      <c r="BD131" s="18">
        <v>43.6</v>
      </c>
      <c r="BE131" s="18">
        <v>98.83</v>
      </c>
      <c r="BF131" s="18">
        <v>4.7</v>
      </c>
      <c r="BG131" s="18">
        <v>4.0999999999999996</v>
      </c>
      <c r="BH131" s="18">
        <v>27.72</v>
      </c>
      <c r="BI131" s="14">
        <v>604</v>
      </c>
      <c r="BJ131" s="18">
        <v>1.4</v>
      </c>
      <c r="BK131" s="15">
        <f>IFERROR(BI131/AZ131,"")</f>
        <v>0.14131960692559664</v>
      </c>
      <c r="BL131" s="22">
        <f>IFERROR(AI131+K131+S131+AA131-F131,"")</f>
        <v>0</v>
      </c>
      <c r="BM131" s="22">
        <f>IFERROR(F131+G131-C131,"")</f>
        <v>1</v>
      </c>
      <c r="BN131" s="22">
        <f>IF(I131="","",IFERROR(C131*1000/H131-I131,""))</f>
        <v>-4.738478027866222E-2</v>
      </c>
    </row>
    <row r="132" spans="1:66">
      <c r="A132" s="13" t="s">
        <v>359</v>
      </c>
      <c r="B132" s="13" t="s">
        <v>360</v>
      </c>
      <c r="C132" s="14">
        <v>55256</v>
      </c>
      <c r="D132" s="14">
        <v>59380</v>
      </c>
      <c r="E132" s="14">
        <v>62150</v>
      </c>
      <c r="F132" s="14">
        <v>52273</v>
      </c>
      <c r="G132" s="14">
        <v>2983</v>
      </c>
      <c r="H132" s="14">
        <v>3732</v>
      </c>
      <c r="I132" s="14">
        <v>14806.11</v>
      </c>
      <c r="J132" s="14">
        <v>17365.080000000002</v>
      </c>
      <c r="K132" s="14">
        <v>2012</v>
      </c>
      <c r="L132" s="15">
        <f>IFERROR(K132/F132,"")</f>
        <v>3.8490233963996708E-2</v>
      </c>
      <c r="M132" s="16">
        <f>IFERROR(K132*1000/H132,"")</f>
        <v>539.12111468381568</v>
      </c>
      <c r="N132" s="17">
        <f>IF(L132="","",RANK(L132,$L$3:$L$168,0)+COUNTIF($L$3:L132,L132)-1)</f>
        <v>130</v>
      </c>
      <c r="O132" s="17">
        <f>IF(K132="","",RANK(K132,$K$3:$K$168,0)+COUNTIF($K$3:K132,K132)-1)</f>
        <v>138</v>
      </c>
      <c r="P132" s="14">
        <v>23</v>
      </c>
      <c r="Q132" s="15">
        <f>IFERROR(P132/AR132,"")</f>
        <v>0.1419753086419753</v>
      </c>
      <c r="R132" s="16">
        <v>3</v>
      </c>
      <c r="S132" s="14">
        <v>12992</v>
      </c>
      <c r="T132" s="15">
        <f>IFERROR(S132/F132,"")</f>
        <v>0.2485413119583724</v>
      </c>
      <c r="U132" s="16">
        <f>IFERROR(S132*1000/H132,"")</f>
        <v>3481.2433011789926</v>
      </c>
      <c r="V132" s="17">
        <f>IF(T132="","",RANK(T132,$T$3:$T$168,0)+COUNTIF($T$3:T132,T132)-1)</f>
        <v>93</v>
      </c>
      <c r="W132" s="17">
        <f>IF(S132="","",RANK(S132,$S$3:$S$168,0)+COUNTIF($S$3:S132,S132)-1)</f>
        <v>129</v>
      </c>
      <c r="X132" s="14">
        <v>53</v>
      </c>
      <c r="Y132" s="14">
        <v>79</v>
      </c>
      <c r="Z132" s="15">
        <f>IFERROR((X132+Y132)/AR132,"")</f>
        <v>0.81481481481481477</v>
      </c>
      <c r="AA132" s="14">
        <v>27172</v>
      </c>
      <c r="AB132" s="15">
        <f>IFERROR(AA132/F132,"")</f>
        <v>0.51980946186367727</v>
      </c>
      <c r="AC132" s="16">
        <f>IFERROR(AA132*1000/H132,"")</f>
        <v>7280.8145766345124</v>
      </c>
      <c r="AD132" s="17">
        <f>IF(AB132="","",RANK(AB132,$AB$3:$AB$168,0)+COUNTIF($AB$3:AB132,AB132)-1)</f>
        <v>82</v>
      </c>
      <c r="AE132" s="17">
        <f>IF(AA132="","",RANK(AA132,$AA$3:$AA$168,0)+COUNTIF($AA$3:AA132,AA132)-1)</f>
        <v>141</v>
      </c>
      <c r="AF132" s="18">
        <v>94.5</v>
      </c>
      <c r="AG132" s="14">
        <v>33680847.100000001</v>
      </c>
      <c r="AH132" s="16">
        <f>IFERROR(AG132/AZ132,"")</f>
        <v>9410.6865325509916</v>
      </c>
      <c r="AI132" s="14">
        <v>10097</v>
      </c>
      <c r="AJ132" s="15">
        <f>IFERROR(AI132/F132,"")</f>
        <v>0.19315899221395366</v>
      </c>
      <c r="AK132" s="14">
        <v>64</v>
      </c>
      <c r="AL132" s="14">
        <v>81</v>
      </c>
      <c r="AM132" s="14">
        <v>82</v>
      </c>
      <c r="AN132" s="14">
        <v>288</v>
      </c>
      <c r="AO132" s="14">
        <v>236</v>
      </c>
      <c r="AP132" s="18">
        <v>2.2000000000000002</v>
      </c>
      <c r="AQ132" s="19">
        <f>IFERROR(AL132*1000/AZ132,"")</f>
        <v>22.632020117351214</v>
      </c>
      <c r="AR132" s="14">
        <v>162</v>
      </c>
      <c r="AS132" s="14">
        <v>63</v>
      </c>
      <c r="AT132" s="14">
        <v>47</v>
      </c>
      <c r="AU132" s="14">
        <v>7</v>
      </c>
      <c r="AV132" s="14">
        <v>45</v>
      </c>
      <c r="AW132" s="15">
        <f>IFERROR(AS132/AR132,"")</f>
        <v>0.3888888888888889</v>
      </c>
      <c r="AX132" s="14">
        <v>0</v>
      </c>
      <c r="AY132" s="14">
        <v>7</v>
      </c>
      <c r="AZ132" s="14">
        <v>3579</v>
      </c>
      <c r="BA132" s="20">
        <v>383.214</v>
      </c>
      <c r="BB132" s="20">
        <v>9.34</v>
      </c>
      <c r="BC132" s="21">
        <v>0.60299999999999998</v>
      </c>
      <c r="BD132" s="18">
        <v>46.4</v>
      </c>
      <c r="BE132" s="18">
        <v>99</v>
      </c>
      <c r="BF132" s="18"/>
      <c r="BG132" s="18">
        <v>3.6</v>
      </c>
      <c r="BH132" s="18">
        <v>30.72</v>
      </c>
      <c r="BI132" s="14">
        <v>288</v>
      </c>
      <c r="BJ132" s="18">
        <v>2.2000000000000002</v>
      </c>
      <c r="BK132" s="15">
        <f>IFERROR(BI132/AZ132,"")</f>
        <v>8.0469404861693211E-2</v>
      </c>
      <c r="BL132" s="22">
        <f>IFERROR(AI132+K132+S132+AA132-F132,"")</f>
        <v>0</v>
      </c>
      <c r="BM132" s="22">
        <f>IFERROR(F132+G132-C132,"")</f>
        <v>0</v>
      </c>
      <c r="BN132" s="22">
        <f>IF(I132="","",IFERROR(C132*1000/H132-I132,""))</f>
        <v>-0.10785637727894937</v>
      </c>
    </row>
    <row r="133" spans="1:66">
      <c r="A133" s="13" t="s">
        <v>361</v>
      </c>
      <c r="B133" s="13" t="s">
        <v>362</v>
      </c>
      <c r="C133" s="14">
        <v>54447</v>
      </c>
      <c r="D133" s="14">
        <v>65016</v>
      </c>
      <c r="E133" s="14">
        <v>74357</v>
      </c>
      <c r="F133" s="14">
        <v>51660</v>
      </c>
      <c r="G133" s="14">
        <v>2787</v>
      </c>
      <c r="H133" s="14">
        <v>4281</v>
      </c>
      <c r="I133" s="14">
        <v>12718.24</v>
      </c>
      <c r="J133" s="14">
        <v>17869.95</v>
      </c>
      <c r="K133" s="14">
        <v>3572</v>
      </c>
      <c r="L133" s="15">
        <f>IFERROR(K133/F133,"")</f>
        <v>6.9144405729771583E-2</v>
      </c>
      <c r="M133" s="16">
        <f>IFERROR(K133*1000/H133,"")</f>
        <v>834.38448960523237</v>
      </c>
      <c r="N133" s="17">
        <f>IF(L133="","",RANK(L133,$L$3:$L$168,0)+COUNTIF($L$3:L133,L133)-1)</f>
        <v>71</v>
      </c>
      <c r="O133" s="17">
        <f>IF(K133="","",RANK(K133,$K$3:$K$168,0)+COUNTIF($K$3:K133,K133)-1)</f>
        <v>109</v>
      </c>
      <c r="P133" s="14">
        <v>42</v>
      </c>
      <c r="Q133" s="15">
        <f>IFERROR(P133/AR133,"")</f>
        <v>0.17427385892116182</v>
      </c>
      <c r="R133" s="16">
        <v>7</v>
      </c>
      <c r="S133" s="14">
        <v>14869</v>
      </c>
      <c r="T133" s="15">
        <f>IFERROR(S133/F133,"")</f>
        <v>0.28782423538521101</v>
      </c>
      <c r="U133" s="16">
        <f>IFERROR(S133*1000/H133,"")</f>
        <v>3473.2539126372344</v>
      </c>
      <c r="V133" s="17">
        <f>IF(T133="","",RANK(T133,$T$3:$T$168,0)+COUNTIF($T$3:T133,T133)-1)</f>
        <v>63</v>
      </c>
      <c r="W133" s="17">
        <f>IF(S133="","",RANK(S133,$S$3:$S$168,0)+COUNTIF($S$3:S133,S133)-1)</f>
        <v>122</v>
      </c>
      <c r="X133" s="14">
        <v>101</v>
      </c>
      <c r="Y133" s="14">
        <v>90</v>
      </c>
      <c r="Z133" s="15">
        <f>IFERROR((X133+Y133)/AR133,"")</f>
        <v>0.79253112033195017</v>
      </c>
      <c r="AA133" s="14">
        <v>30777</v>
      </c>
      <c r="AB133" s="15">
        <f>IFERROR(AA133/F133,"")</f>
        <v>0.59576074332171891</v>
      </c>
      <c r="AC133" s="16">
        <f>IFERROR(AA133*1000/H133,"")</f>
        <v>7189.2081289418356</v>
      </c>
      <c r="AD133" s="17">
        <f>IF(AB133="","",RANK(AB133,$AB$3:$AB$168,0)+COUNTIF($AB$3:AB133,AB133)-1)</f>
        <v>56</v>
      </c>
      <c r="AE133" s="17">
        <f>IF(AA133="","",RANK(AA133,$AA$3:$AA$168,0)+COUNTIF($AA$3:AA133,AA133)-1)</f>
        <v>126</v>
      </c>
      <c r="AF133" s="18">
        <v>94.03</v>
      </c>
      <c r="AG133" s="14">
        <v>41706057.170000002</v>
      </c>
      <c r="AH133" s="16">
        <f>IFERROR(AG133/AZ133,"")</f>
        <v>10023.085116558521</v>
      </c>
      <c r="AI133" s="14">
        <v>2443</v>
      </c>
      <c r="AJ133" s="15">
        <f>IFERROR(AI133/F133,"")</f>
        <v>4.7289972899728999E-2</v>
      </c>
      <c r="AK133" s="14">
        <v>84</v>
      </c>
      <c r="AL133" s="14">
        <v>95</v>
      </c>
      <c r="AM133" s="14">
        <v>97</v>
      </c>
      <c r="AN133" s="14">
        <v>589</v>
      </c>
      <c r="AO133" s="14">
        <v>517</v>
      </c>
      <c r="AP133" s="18">
        <v>1.7</v>
      </c>
      <c r="AQ133" s="19">
        <f>IFERROR(AL133*1000/AZ133,"")</f>
        <v>22.831050228310502</v>
      </c>
      <c r="AR133" s="14">
        <v>241</v>
      </c>
      <c r="AS133" s="14">
        <v>133</v>
      </c>
      <c r="AT133" s="14">
        <v>51</v>
      </c>
      <c r="AU133" s="14">
        <v>10</v>
      </c>
      <c r="AV133" s="14">
        <v>47</v>
      </c>
      <c r="AW133" s="15">
        <f>IFERROR(AS133/AR133,"")</f>
        <v>0.55186721991701249</v>
      </c>
      <c r="AX133" s="14">
        <v>1</v>
      </c>
      <c r="AY133" s="14">
        <v>7</v>
      </c>
      <c r="AZ133" s="14">
        <v>4161</v>
      </c>
      <c r="BA133" s="20">
        <v>75.587999999999994</v>
      </c>
      <c r="BB133" s="20">
        <v>55.05</v>
      </c>
      <c r="BC133" s="21">
        <v>0.628</v>
      </c>
      <c r="BD133" s="18">
        <v>44.8</v>
      </c>
      <c r="BE133" s="18">
        <v>99.41</v>
      </c>
      <c r="BF133" s="18">
        <v>5.7</v>
      </c>
      <c r="BG133" s="18">
        <v>4.5</v>
      </c>
      <c r="BH133" s="18">
        <v>3.15</v>
      </c>
      <c r="BI133" s="14">
        <v>589</v>
      </c>
      <c r="BJ133" s="18">
        <v>1.7</v>
      </c>
      <c r="BK133" s="15">
        <f>IFERROR(BI133/AZ133,"")</f>
        <v>0.14155251141552511</v>
      </c>
      <c r="BL133" s="22">
        <f>IFERROR(AI133+K133+S133+AA133-F133,"")</f>
        <v>1</v>
      </c>
      <c r="BM133" s="22">
        <f>IFERROR(F133+G133-C133,"")</f>
        <v>0</v>
      </c>
      <c r="BN133" s="22">
        <f>IF(I133="","",IFERROR(C133*1000/H133-I133,""))</f>
        <v>5.0119131044993992E-2</v>
      </c>
    </row>
    <row r="134" spans="1:66">
      <c r="A134" s="13" t="s">
        <v>363</v>
      </c>
      <c r="B134" s="13" t="s">
        <v>364</v>
      </c>
      <c r="C134" s="14">
        <v>53783</v>
      </c>
      <c r="D134" s="14">
        <v>58723</v>
      </c>
      <c r="E134" s="14">
        <v>64195</v>
      </c>
      <c r="F134" s="14">
        <v>51913</v>
      </c>
      <c r="G134" s="14">
        <v>1870</v>
      </c>
      <c r="H134" s="14">
        <v>5600</v>
      </c>
      <c r="I134" s="14">
        <v>9604.1299999999992</v>
      </c>
      <c r="J134" s="14">
        <v>13793.54</v>
      </c>
      <c r="K134" s="14">
        <v>1613</v>
      </c>
      <c r="L134" s="15">
        <f>IFERROR(K134/F134,"")</f>
        <v>3.1071215302525379E-2</v>
      </c>
      <c r="M134" s="16">
        <f>IFERROR(K134*1000/H134,"")</f>
        <v>288.03571428571428</v>
      </c>
      <c r="N134" s="17">
        <f>IF(L134="","",RANK(L134,$L$3:$L$168,0)+COUNTIF($L$3:L134,L134)-1)</f>
        <v>149</v>
      </c>
      <c r="O134" s="17">
        <f>IF(K134="","",RANK(K134,$K$3:$K$168,0)+COUNTIF($K$3:K134,K134)-1)</f>
        <v>149</v>
      </c>
      <c r="P134" s="14">
        <v>30</v>
      </c>
      <c r="Q134" s="15">
        <f>IFERROR(P134/AR134,"")</f>
        <v>0.12195121951219512</v>
      </c>
      <c r="R134" s="16">
        <v>1</v>
      </c>
      <c r="S134" s="14">
        <v>11158</v>
      </c>
      <c r="T134" s="15">
        <f>IFERROR(S134/F134,"")</f>
        <v>0.21493652842255312</v>
      </c>
      <c r="U134" s="16">
        <f>IFERROR(S134*1000/H134,"")</f>
        <v>1992.5</v>
      </c>
      <c r="V134" s="17">
        <f>IF(T134="","",RANK(T134,$T$3:$T$168,0)+COUNTIF($T$3:T134,T134)-1)</f>
        <v>133</v>
      </c>
      <c r="W134" s="17">
        <f>IF(S134="","",RANK(S134,$S$3:$S$168,0)+COUNTIF($S$3:S134,S134)-1)</f>
        <v>137</v>
      </c>
      <c r="X134" s="14">
        <v>94</v>
      </c>
      <c r="Y134" s="14">
        <v>117</v>
      </c>
      <c r="Z134" s="15">
        <f>IFERROR((X134+Y134)/AR134,"")</f>
        <v>0.85772357723577231</v>
      </c>
      <c r="AA134" s="14">
        <v>36020</v>
      </c>
      <c r="AB134" s="15">
        <f>IFERROR(AA134/F134,"")</f>
        <v>0.6938531774314719</v>
      </c>
      <c r="AC134" s="16">
        <f>IFERROR(AA134*1000/H134,"")</f>
        <v>6432.1428571428569</v>
      </c>
      <c r="AD134" s="17">
        <f>IF(AB134="","",RANK(AB134,$AB$3:$AB$168,0)+COUNTIF($AB$3:AB134,AB134)-1)</f>
        <v>9</v>
      </c>
      <c r="AE134" s="17">
        <f>IF(AA134="","",RANK(AA134,$AA$3:$AA$168,0)+COUNTIF($AA$3:AA134,AA134)-1)</f>
        <v>114</v>
      </c>
      <c r="AF134" s="18">
        <v>95.25</v>
      </c>
      <c r="AG134" s="14">
        <v>50408587.159999996</v>
      </c>
      <c r="AH134" s="16">
        <f>IFERROR(AG134/AZ134,"")</f>
        <v>10831.239183498066</v>
      </c>
      <c r="AI134" s="14">
        <v>3122</v>
      </c>
      <c r="AJ134" s="15">
        <f>IFERROR(AI134/F134,"")</f>
        <v>6.0139078843449614E-2</v>
      </c>
      <c r="AK134" s="14">
        <v>66</v>
      </c>
      <c r="AL134" s="14">
        <v>81</v>
      </c>
      <c r="AM134" s="14">
        <v>82</v>
      </c>
      <c r="AN134" s="14">
        <v>310</v>
      </c>
      <c r="AO134" s="14">
        <v>258</v>
      </c>
      <c r="AP134" s="18">
        <v>2.4</v>
      </c>
      <c r="AQ134" s="19">
        <f>IFERROR(AL134*1000/AZ134,"")</f>
        <v>17.404383326171036</v>
      </c>
      <c r="AR134" s="14">
        <v>246</v>
      </c>
      <c r="AS134" s="14">
        <v>130</v>
      </c>
      <c r="AT134" s="14">
        <v>59</v>
      </c>
      <c r="AU134" s="14">
        <v>1</v>
      </c>
      <c r="AV134" s="14">
        <v>56</v>
      </c>
      <c r="AW134" s="15">
        <f>IFERROR(AS134/AR134,"")</f>
        <v>0.52845528455284552</v>
      </c>
      <c r="AX134" s="14">
        <v>0</v>
      </c>
      <c r="AY134" s="14">
        <v>5</v>
      </c>
      <c r="AZ134" s="14">
        <v>4654</v>
      </c>
      <c r="BA134" s="20">
        <v>213.45599999999999</v>
      </c>
      <c r="BB134" s="20">
        <v>21.8</v>
      </c>
      <c r="BC134" s="21">
        <v>0.57199999999999995</v>
      </c>
      <c r="BD134" s="18">
        <v>52.9</v>
      </c>
      <c r="BE134" s="18">
        <v>97.93</v>
      </c>
      <c r="BF134" s="18">
        <v>5.0999999999999996</v>
      </c>
      <c r="BG134" s="18">
        <v>4.7</v>
      </c>
      <c r="BH134" s="18">
        <v>28.65</v>
      </c>
      <c r="BI134" s="14">
        <v>310</v>
      </c>
      <c r="BJ134" s="18">
        <v>2.4</v>
      </c>
      <c r="BK134" s="15">
        <f>IFERROR(BI134/AZ134,"")</f>
        <v>6.6609368285345943E-2</v>
      </c>
      <c r="BL134" s="22">
        <f>IFERROR(AI134+K134+S134+AA134-F134,"")</f>
        <v>0</v>
      </c>
      <c r="BM134" s="22">
        <f>IFERROR(F134+G134-C134,"")</f>
        <v>0</v>
      </c>
      <c r="BN134" s="22">
        <f>IF(I134="","",IFERROR(C134*1000/H134-I134,""))</f>
        <v>-2.2857142856082646E-2</v>
      </c>
    </row>
    <row r="135" spans="1:66">
      <c r="A135" s="13" t="s">
        <v>365</v>
      </c>
      <c r="B135" s="13" t="s">
        <v>366</v>
      </c>
      <c r="C135" s="14">
        <v>53271</v>
      </c>
      <c r="D135" s="14">
        <v>57950</v>
      </c>
      <c r="E135" s="14">
        <v>61865</v>
      </c>
      <c r="F135" s="14">
        <v>49705</v>
      </c>
      <c r="G135" s="14">
        <v>3566</v>
      </c>
      <c r="H135" s="14">
        <v>5158</v>
      </c>
      <c r="I135" s="14">
        <v>10327.790000000001</v>
      </c>
      <c r="J135" s="14">
        <v>11389.04</v>
      </c>
      <c r="K135" s="14">
        <v>1871</v>
      </c>
      <c r="L135" s="15">
        <f>IFERROR(K135/F135,"")</f>
        <v>3.7642088321094461E-2</v>
      </c>
      <c r="M135" s="16">
        <f>IFERROR(K135*1000/H135,"")</f>
        <v>362.73749515316013</v>
      </c>
      <c r="N135" s="17">
        <f>IF(L135="","",RANK(L135,$L$3:$L$168,0)+COUNTIF($L$3:L135,L135)-1)</f>
        <v>135</v>
      </c>
      <c r="O135" s="17">
        <f>IF(K135="","",RANK(K135,$K$3:$K$168,0)+COUNTIF($K$3:K135,K135)-1)</f>
        <v>141</v>
      </c>
      <c r="P135" s="14">
        <v>41</v>
      </c>
      <c r="Q135" s="15">
        <f>IFERROR(P135/AR135,"")</f>
        <v>0.13621262458471761</v>
      </c>
      <c r="R135" s="16">
        <v>6</v>
      </c>
      <c r="S135" s="14">
        <v>16590</v>
      </c>
      <c r="T135" s="15">
        <f>IFERROR(S135/F135,"")</f>
        <v>0.33376923850719242</v>
      </c>
      <c r="U135" s="16">
        <f>IFERROR(S135*1000/H135,"")</f>
        <v>3216.3629313687475</v>
      </c>
      <c r="V135" s="17">
        <f>IF(T135="","",RANK(T135,$T$3:$T$168,0)+COUNTIF($T$3:T135,T135)-1)</f>
        <v>40</v>
      </c>
      <c r="W135" s="17">
        <f>IF(S135="","",RANK(S135,$S$3:$S$168,0)+COUNTIF($S$3:S135,S135)-1)</f>
        <v>113</v>
      </c>
      <c r="X135" s="14">
        <v>109</v>
      </c>
      <c r="Y135" s="14">
        <v>141</v>
      </c>
      <c r="Z135" s="15">
        <f>IFERROR((X135+Y135)/AR135,"")</f>
        <v>0.83056478405315615</v>
      </c>
      <c r="AA135" s="14">
        <v>25663</v>
      </c>
      <c r="AB135" s="15">
        <f>IFERROR(AA135/F135,"")</f>
        <v>0.51630620661905235</v>
      </c>
      <c r="AC135" s="16">
        <f>IFERROR(AA135*1000/H135,"")</f>
        <v>4975.3780535091119</v>
      </c>
      <c r="AD135" s="17">
        <f>IF(AB135="","",RANK(AB135,$AB$3:$AB$168,0)+COUNTIF($AB$3:AB135,AB135)-1)</f>
        <v>84</v>
      </c>
      <c r="AE135" s="17">
        <f>IF(AA135="","",RANK(AA135,$AA$3:$AA$168,0)+COUNTIF($AA$3:AA135,AA135)-1)</f>
        <v>145</v>
      </c>
      <c r="AF135" s="18">
        <v>96.71</v>
      </c>
      <c r="AG135" s="14">
        <v>34013022.899999999</v>
      </c>
      <c r="AH135" s="16">
        <f>IFERROR(AG135/AZ135,"")</f>
        <v>6261.6021539027979</v>
      </c>
      <c r="AI135" s="14">
        <v>5580</v>
      </c>
      <c r="AJ135" s="15">
        <f>IFERROR(AI135/F135,"")</f>
        <v>0.11226234785232873</v>
      </c>
      <c r="AK135" s="14">
        <v>118</v>
      </c>
      <c r="AL135" s="14">
        <v>136</v>
      </c>
      <c r="AM135" s="14">
        <v>138</v>
      </c>
      <c r="AN135" s="14">
        <v>365</v>
      </c>
      <c r="AO135" s="14">
        <v>230</v>
      </c>
      <c r="AP135" s="18">
        <v>1.9</v>
      </c>
      <c r="AQ135" s="19">
        <f>IFERROR(AL135*1000/AZ135,"")</f>
        <v>25.036818851251841</v>
      </c>
      <c r="AR135" s="14">
        <v>301</v>
      </c>
      <c r="AS135" s="14">
        <v>129</v>
      </c>
      <c r="AT135" s="14">
        <v>109</v>
      </c>
      <c r="AU135" s="14">
        <v>13</v>
      </c>
      <c r="AV135" s="14">
        <v>50</v>
      </c>
      <c r="AW135" s="15">
        <f>IFERROR(AS135/AR135,"")</f>
        <v>0.42857142857142855</v>
      </c>
      <c r="AX135" s="14">
        <v>2</v>
      </c>
      <c r="AY135" s="14">
        <v>8</v>
      </c>
      <c r="AZ135" s="14">
        <v>5432</v>
      </c>
      <c r="BA135" s="20">
        <v>78.230999999999995</v>
      </c>
      <c r="BB135" s="20">
        <v>69.44</v>
      </c>
      <c r="BC135" s="21">
        <v>0.60799999999999998</v>
      </c>
      <c r="BD135" s="18">
        <v>45.2</v>
      </c>
      <c r="BE135" s="18">
        <v>97.12</v>
      </c>
      <c r="BF135" s="18">
        <v>5.5</v>
      </c>
      <c r="BG135" s="18">
        <v>5.2</v>
      </c>
      <c r="BH135" s="18">
        <v>1.36</v>
      </c>
      <c r="BI135" s="14">
        <v>365</v>
      </c>
      <c r="BJ135" s="18">
        <v>1.9</v>
      </c>
      <c r="BK135" s="15">
        <f>IFERROR(BI135/AZ135,"")</f>
        <v>6.7194403534609717E-2</v>
      </c>
      <c r="BL135" s="22">
        <f>IFERROR(AI135+K135+S135+AA135-F135,"")</f>
        <v>-1</v>
      </c>
      <c r="BM135" s="22">
        <f>IFERROR(F135+G135-C135,"")</f>
        <v>0</v>
      </c>
      <c r="BN135" s="22">
        <f>IF(I135="","",IFERROR(C135*1000/H135-I135,""))</f>
        <v>5.0248158200702164E-2</v>
      </c>
    </row>
    <row r="136" spans="1:66">
      <c r="A136" s="13" t="s">
        <v>367</v>
      </c>
      <c r="B136" s="13" t="s">
        <v>368</v>
      </c>
      <c r="C136" s="14">
        <v>52506</v>
      </c>
      <c r="D136" s="14">
        <v>58596</v>
      </c>
      <c r="E136" s="14">
        <v>65460</v>
      </c>
      <c r="F136" s="14">
        <v>50524</v>
      </c>
      <c r="G136" s="14">
        <v>1982</v>
      </c>
      <c r="H136" s="14">
        <v>5501</v>
      </c>
      <c r="I136" s="14">
        <v>9544.81</v>
      </c>
      <c r="J136" s="14">
        <v>12792.57</v>
      </c>
      <c r="K136" s="14">
        <v>1596</v>
      </c>
      <c r="L136" s="15">
        <f>IFERROR(K136/F136,"")</f>
        <v>3.1588947826775397E-2</v>
      </c>
      <c r="M136" s="16">
        <f>IFERROR(K136*1000/H136,"")</f>
        <v>290.1290674422832</v>
      </c>
      <c r="N136" s="17">
        <f>IF(L136="","",RANK(L136,$L$3:$L$168,0)+COUNTIF($L$3:L136,L136)-1)</f>
        <v>145</v>
      </c>
      <c r="O136" s="17">
        <f>IF(K136="","",RANK(K136,$K$3:$K$168,0)+COUNTIF($K$3:K136,K136)-1)</f>
        <v>150</v>
      </c>
      <c r="P136" s="14">
        <v>24</v>
      </c>
      <c r="Q136" s="15">
        <f>IFERROR(P136/AR136,"")</f>
        <v>0.11822660098522167</v>
      </c>
      <c r="R136" s="16">
        <v>3</v>
      </c>
      <c r="S136" s="14">
        <v>10733</v>
      </c>
      <c r="T136" s="15">
        <f>IFERROR(S136/F136,"")</f>
        <v>0.21243369487768191</v>
      </c>
      <c r="U136" s="16">
        <f>IFERROR(S136*1000/H136,"")</f>
        <v>1951.099800036357</v>
      </c>
      <c r="V136" s="17">
        <f>IF(T136="","",RANK(T136,$T$3:$T$168,0)+COUNTIF($T$3:T136,T136)-1)</f>
        <v>136</v>
      </c>
      <c r="W136" s="17">
        <f>IF(S136="","",RANK(S136,$S$3:$S$168,0)+COUNTIF($S$3:S136,S136)-1)</f>
        <v>138</v>
      </c>
      <c r="X136" s="14">
        <v>94</v>
      </c>
      <c r="Y136" s="14">
        <v>79</v>
      </c>
      <c r="Z136" s="15">
        <f>IFERROR((X136+Y136)/AR136,"")</f>
        <v>0.85221674876847286</v>
      </c>
      <c r="AA136" s="14">
        <v>34364</v>
      </c>
      <c r="AB136" s="15">
        <f>IFERROR(AA136/F136,"")</f>
        <v>0.68015200696698597</v>
      </c>
      <c r="AC136" s="16">
        <f>IFERROR(AA136*1000/H136,"")</f>
        <v>6246.8642065079075</v>
      </c>
      <c r="AD136" s="17">
        <f>IF(AB136="","",RANK(AB136,$AB$3:$AB$168,0)+COUNTIF($AB$3:AB136,AB136)-1)</f>
        <v>17</v>
      </c>
      <c r="AE136" s="17">
        <f>IF(AA136="","",RANK(AA136,$AA$3:$AA$168,0)+COUNTIF($AA$3:AA136,AA136)-1)</f>
        <v>117</v>
      </c>
      <c r="AF136" s="18">
        <v>94.95</v>
      </c>
      <c r="AG136" s="14">
        <v>42248524.859999999</v>
      </c>
      <c r="AH136" s="16">
        <f>IFERROR(AG136/AZ136,"")</f>
        <v>8256.502806331835</v>
      </c>
      <c r="AI136" s="14">
        <v>3831</v>
      </c>
      <c r="AJ136" s="15">
        <f>IFERROR(AI136/F136,"")</f>
        <v>7.5825350328556723E-2</v>
      </c>
      <c r="AK136" s="14">
        <v>58</v>
      </c>
      <c r="AL136" s="14">
        <v>69</v>
      </c>
      <c r="AM136" s="14">
        <v>73</v>
      </c>
      <c r="AN136" s="14">
        <v>329</v>
      </c>
      <c r="AO136" s="14">
        <v>285</v>
      </c>
      <c r="AP136" s="18">
        <v>1.9</v>
      </c>
      <c r="AQ136" s="19">
        <f>IFERROR(AL136*1000/AZ136,"")</f>
        <v>13.484463552863005</v>
      </c>
      <c r="AR136" s="14">
        <v>203</v>
      </c>
      <c r="AS136" s="14">
        <v>110</v>
      </c>
      <c r="AT136" s="14">
        <v>47</v>
      </c>
      <c r="AU136" s="14">
        <v>4</v>
      </c>
      <c r="AV136" s="14">
        <v>42</v>
      </c>
      <c r="AW136" s="15">
        <f>IFERROR(AS136/AR136,"")</f>
        <v>0.54187192118226601</v>
      </c>
      <c r="AX136" s="14">
        <v>0</v>
      </c>
      <c r="AY136" s="14">
        <v>6</v>
      </c>
      <c r="AZ136" s="14">
        <v>5117</v>
      </c>
      <c r="BA136" s="20">
        <v>185.74799999999999</v>
      </c>
      <c r="BB136" s="20">
        <v>27.55</v>
      </c>
      <c r="BC136" s="21">
        <v>0.58699999999999997</v>
      </c>
      <c r="BD136" s="18">
        <v>52.8</v>
      </c>
      <c r="BE136" s="18">
        <v>99.59</v>
      </c>
      <c r="BF136" s="18">
        <v>5</v>
      </c>
      <c r="BG136" s="18">
        <v>3.6</v>
      </c>
      <c r="BH136" s="18">
        <v>16.420000000000002</v>
      </c>
      <c r="BI136" s="14">
        <v>326</v>
      </c>
      <c r="BJ136" s="18">
        <v>1.9</v>
      </c>
      <c r="BK136" s="15">
        <f>IFERROR(BI136/AZ136,"")</f>
        <v>6.3709204612077394E-2</v>
      </c>
      <c r="BL136" s="22">
        <f>IFERROR(AI136+K136+S136+AA136-F136,"")</f>
        <v>0</v>
      </c>
      <c r="BM136" s="22">
        <f>IFERROR(F136+G136-C136,"")</f>
        <v>0</v>
      </c>
      <c r="BN136" s="22">
        <f>IF(I136="","",IFERROR(C136*1000/H136-I136,""))</f>
        <v>3.453917452134192E-5</v>
      </c>
    </row>
    <row r="137" spans="1:66">
      <c r="A137" s="13" t="s">
        <v>369</v>
      </c>
      <c r="B137" s="13" t="s">
        <v>370</v>
      </c>
      <c r="C137" s="14">
        <v>51593</v>
      </c>
      <c r="D137" s="14">
        <v>62556</v>
      </c>
      <c r="E137" s="14">
        <v>68290</v>
      </c>
      <c r="F137" s="14">
        <v>49842</v>
      </c>
      <c r="G137" s="14">
        <v>1751</v>
      </c>
      <c r="H137" s="14">
        <v>4768</v>
      </c>
      <c r="I137" s="14">
        <v>10820.77</v>
      </c>
      <c r="J137" s="14">
        <v>14265.69</v>
      </c>
      <c r="K137" s="14">
        <v>2244</v>
      </c>
      <c r="L137" s="15">
        <f>IFERROR(K137/F137,"")</f>
        <v>4.5022270374383049E-2</v>
      </c>
      <c r="M137" s="16">
        <f>IFERROR(K137*1000/H137,"")</f>
        <v>470.63758389261744</v>
      </c>
      <c r="N137" s="17">
        <f>IF(L137="","",RANK(L137,$L$3:$L$168,0)+COUNTIF($L$3:L137,L137)-1)</f>
        <v>99</v>
      </c>
      <c r="O137" s="17">
        <f>IF(K137="","",RANK(K137,$K$3:$K$168,0)+COUNTIF($K$3:K137,K137)-1)</f>
        <v>130</v>
      </c>
      <c r="P137" s="14">
        <v>32</v>
      </c>
      <c r="Q137" s="15">
        <f>IFERROR(P137/AR137,"")</f>
        <v>0.10631229235880399</v>
      </c>
      <c r="R137" s="16">
        <v>8</v>
      </c>
      <c r="S137" s="14">
        <v>11904</v>
      </c>
      <c r="T137" s="15">
        <f>IFERROR(S137/F137,"")</f>
        <v>0.23883471770795714</v>
      </c>
      <c r="U137" s="16">
        <f>IFERROR(S137*1000/H137,"")</f>
        <v>2496.6442953020132</v>
      </c>
      <c r="V137" s="17">
        <f>IF(T137="","",RANK(T137,$T$3:$T$168,0)+COUNTIF($T$3:T137,T137)-1)</f>
        <v>105</v>
      </c>
      <c r="W137" s="17">
        <f>IF(S137="","",RANK(S137,$S$3:$S$168,0)+COUNTIF($S$3:S137,S137)-1)</f>
        <v>133</v>
      </c>
      <c r="X137" s="14">
        <v>107</v>
      </c>
      <c r="Y137" s="14">
        <v>156</v>
      </c>
      <c r="Z137" s="15">
        <f>IFERROR((X137+Y137)/AR137,"")</f>
        <v>0.87375415282392022</v>
      </c>
      <c r="AA137" s="14">
        <v>34222</v>
      </c>
      <c r="AB137" s="15">
        <f>IFERROR(AA137/F137,"")</f>
        <v>0.68660968660968658</v>
      </c>
      <c r="AC137" s="16">
        <f>IFERROR(AA137*1000/H137,"")</f>
        <v>7177.4328859060406</v>
      </c>
      <c r="AD137" s="17">
        <f>IF(AB137="","",RANK(AB137,$AB$3:$AB$168,0)+COUNTIF($AB$3:AB137,AB137)-1)</f>
        <v>13</v>
      </c>
      <c r="AE137" s="17">
        <f>IF(AA137="","",RANK(AA137,$AA$3:$AA$168,0)+COUNTIF($AA$3:AA137,AA137)-1)</f>
        <v>119</v>
      </c>
      <c r="AF137" s="18">
        <v>89.63</v>
      </c>
      <c r="AG137" s="14">
        <v>48698760.729999997</v>
      </c>
      <c r="AH137" s="16">
        <f>IFERROR(AG137/AZ137,"")</f>
        <v>10173.127372049299</v>
      </c>
      <c r="AI137" s="14">
        <v>1473</v>
      </c>
      <c r="AJ137" s="15">
        <f>IFERROR(AI137/F137,"")</f>
        <v>2.9553388708318286E-2</v>
      </c>
      <c r="AK137" s="14">
        <v>95</v>
      </c>
      <c r="AL137" s="14">
        <v>113</v>
      </c>
      <c r="AM137" s="14">
        <v>117</v>
      </c>
      <c r="AN137" s="14">
        <v>482</v>
      </c>
      <c r="AO137" s="14">
        <v>409</v>
      </c>
      <c r="AP137" s="18">
        <v>1.7</v>
      </c>
      <c r="AQ137" s="19">
        <f>IFERROR(AL137*1000/AZ137,"")</f>
        <v>23.605598495926468</v>
      </c>
      <c r="AR137" s="14">
        <v>301</v>
      </c>
      <c r="AS137" s="14">
        <v>157</v>
      </c>
      <c r="AT137" s="14">
        <v>63</v>
      </c>
      <c r="AU137" s="14">
        <v>4</v>
      </c>
      <c r="AV137" s="14">
        <v>77</v>
      </c>
      <c r="AW137" s="15">
        <f>IFERROR(AS137/AR137,"")</f>
        <v>0.52159468438538203</v>
      </c>
      <c r="AX137" s="14">
        <v>1</v>
      </c>
      <c r="AY137" s="14">
        <v>5</v>
      </c>
      <c r="AZ137" s="14">
        <v>4787</v>
      </c>
      <c r="BA137" s="20">
        <v>130.21100000000001</v>
      </c>
      <c r="BB137" s="20">
        <v>36.76</v>
      </c>
      <c r="BC137" s="21">
        <v>0.625</v>
      </c>
      <c r="BD137" s="18">
        <v>51.3</v>
      </c>
      <c r="BE137" s="18">
        <v>96.31</v>
      </c>
      <c r="BF137" s="18">
        <v>5.2</v>
      </c>
      <c r="BG137" s="18">
        <v>4.7</v>
      </c>
      <c r="BH137" s="18">
        <v>28.1</v>
      </c>
      <c r="BI137" s="14">
        <v>482</v>
      </c>
      <c r="BJ137" s="18">
        <v>1.7</v>
      </c>
      <c r="BK137" s="15">
        <f>IFERROR(BI137/AZ137,"")</f>
        <v>0.10068936703572175</v>
      </c>
      <c r="BL137" s="22">
        <f>IFERROR(AI137+K137+S137+AA137-F137,"")</f>
        <v>1</v>
      </c>
      <c r="BM137" s="22">
        <f>IFERROR(F137+G137-C137,"")</f>
        <v>0</v>
      </c>
      <c r="BN137" s="22">
        <f>IF(I137="","",IFERROR(C137*1000/H137-I137,""))</f>
        <v>-9.0469798658887157E-2</v>
      </c>
    </row>
    <row r="138" spans="1:66">
      <c r="A138" s="13" t="s">
        <v>371</v>
      </c>
      <c r="B138" s="13" t="s">
        <v>372</v>
      </c>
      <c r="C138" s="14">
        <v>51547</v>
      </c>
      <c r="D138" s="14">
        <v>58421</v>
      </c>
      <c r="E138" s="14">
        <v>69177</v>
      </c>
      <c r="F138" s="14">
        <v>49951</v>
      </c>
      <c r="G138" s="14">
        <v>1596</v>
      </c>
      <c r="H138" s="14">
        <v>4935</v>
      </c>
      <c r="I138" s="14">
        <v>10445.129999999999</v>
      </c>
      <c r="J138" s="14">
        <v>13519.14</v>
      </c>
      <c r="K138" s="14">
        <v>1896</v>
      </c>
      <c r="L138" s="15">
        <f>IFERROR(K138/F138,"")</f>
        <v>3.7957198054093012E-2</v>
      </c>
      <c r="M138" s="16">
        <f>IFERROR(K138*1000/H138,"")</f>
        <v>384.19452887537994</v>
      </c>
      <c r="N138" s="17">
        <f>IF(L138="","",RANK(L138,$L$3:$L$168,0)+COUNTIF($L$3:L138,L138)-1)</f>
        <v>133</v>
      </c>
      <c r="O138" s="17">
        <f>IF(K138="","",RANK(K138,$K$3:$K$168,0)+COUNTIF($K$3:K138,K138)-1)</f>
        <v>140</v>
      </c>
      <c r="P138" s="14">
        <v>25</v>
      </c>
      <c r="Q138" s="15">
        <f>IFERROR(P138/AR138,"")</f>
        <v>0.12690355329949238</v>
      </c>
      <c r="R138" s="16">
        <v>1</v>
      </c>
      <c r="S138" s="14">
        <v>11357</v>
      </c>
      <c r="T138" s="15">
        <f>IFERROR(S138/F138,"")</f>
        <v>0.22736281555924806</v>
      </c>
      <c r="U138" s="16">
        <f>IFERROR(S138*1000/H138,"")</f>
        <v>2301.3171225937185</v>
      </c>
      <c r="V138" s="17">
        <f>IF(T138="","",RANK(T138,$T$3:$T$168,0)+COUNTIF($T$3:T138,T138)-1)</f>
        <v>114</v>
      </c>
      <c r="W138" s="17">
        <f>IF(S138="","",RANK(S138,$S$3:$S$168,0)+COUNTIF($S$3:S138,S138)-1)</f>
        <v>135</v>
      </c>
      <c r="X138" s="14">
        <v>84</v>
      </c>
      <c r="Y138" s="14">
        <v>81</v>
      </c>
      <c r="Z138" s="15">
        <f>IFERROR((X138+Y138)/AR138,"")</f>
        <v>0.8375634517766497</v>
      </c>
      <c r="AA138" s="14">
        <v>34372</v>
      </c>
      <c r="AB138" s="15">
        <f>IFERROR(AA138/F138,"")</f>
        <v>0.68811435206502369</v>
      </c>
      <c r="AC138" s="16">
        <f>IFERROR(AA138*1000/H138,"")</f>
        <v>6964.944275582573</v>
      </c>
      <c r="AD138" s="17">
        <f>IF(AB138="","",RANK(AB138,$AB$3:$AB$168,0)+COUNTIF($AB$3:AB138,AB138)-1)</f>
        <v>11</v>
      </c>
      <c r="AE138" s="17">
        <f>IF(AA138="","",RANK(AA138,$AA$3:$AA$168,0)+COUNTIF($AA$3:AA138,AA138)-1)</f>
        <v>116</v>
      </c>
      <c r="AF138" s="18">
        <v>97</v>
      </c>
      <c r="AG138" s="14">
        <v>38431432.280000001</v>
      </c>
      <c r="AH138" s="16">
        <f>IFERROR(AG138/AZ138,"")</f>
        <v>7510.5398241156927</v>
      </c>
      <c r="AI138" s="14">
        <v>2327</v>
      </c>
      <c r="AJ138" s="15">
        <f>IFERROR(AI138/F138,"")</f>
        <v>4.6585653940862046E-2</v>
      </c>
      <c r="AK138" s="14">
        <v>68</v>
      </c>
      <c r="AL138" s="14">
        <v>65</v>
      </c>
      <c r="AM138" s="14">
        <v>65</v>
      </c>
      <c r="AN138" s="14">
        <v>419</v>
      </c>
      <c r="AO138" s="14">
        <v>385</v>
      </c>
      <c r="AP138" s="18">
        <v>1.9</v>
      </c>
      <c r="AQ138" s="19">
        <f>IFERROR(AL138*1000/AZ138,"")</f>
        <v>12.702755520812977</v>
      </c>
      <c r="AR138" s="14">
        <v>197</v>
      </c>
      <c r="AS138" s="14">
        <v>102</v>
      </c>
      <c r="AT138" s="14">
        <v>40</v>
      </c>
      <c r="AU138" s="14">
        <v>3</v>
      </c>
      <c r="AV138" s="14">
        <v>52</v>
      </c>
      <c r="AW138" s="15">
        <f>IFERROR(AS138/AR138,"")</f>
        <v>0.51776649746192893</v>
      </c>
      <c r="AX138" s="14">
        <v>1</v>
      </c>
      <c r="AY138" s="14">
        <v>6</v>
      </c>
      <c r="AZ138" s="14">
        <v>5117</v>
      </c>
      <c r="BA138" s="20">
        <v>188.99</v>
      </c>
      <c r="BB138" s="20">
        <v>27.08</v>
      </c>
      <c r="BC138" s="21">
        <v>0.56899999999999995</v>
      </c>
      <c r="BD138" s="18">
        <v>55.5</v>
      </c>
      <c r="BE138" s="18">
        <v>99.65</v>
      </c>
      <c r="BF138" s="18">
        <v>4.5999999999999996</v>
      </c>
      <c r="BG138" s="18">
        <v>3.9</v>
      </c>
      <c r="BH138" s="18">
        <v>40.43</v>
      </c>
      <c r="BI138" s="14">
        <v>419</v>
      </c>
      <c r="BJ138" s="18">
        <v>1.9</v>
      </c>
      <c r="BK138" s="15">
        <f>IFERROR(BI138/AZ138,"")</f>
        <v>8.1883916357240571E-2</v>
      </c>
      <c r="BL138" s="22">
        <f>IFERROR(AI138+K138+S138+AA138-F138,"")</f>
        <v>1</v>
      </c>
      <c r="BM138" s="22">
        <f>IFERROR(F138+G138-C138,"")</f>
        <v>0</v>
      </c>
      <c r="BN138" s="22">
        <f>IF(I138="","",IFERROR(C138*1000/H138-I138,""))</f>
        <v>5.7436676799625275E-2</v>
      </c>
    </row>
    <row r="139" spans="1:66">
      <c r="A139" s="13" t="s">
        <v>373</v>
      </c>
      <c r="B139" s="13" t="s">
        <v>374</v>
      </c>
      <c r="C139" s="14">
        <v>51509</v>
      </c>
      <c r="D139" s="14">
        <v>53827</v>
      </c>
      <c r="E139" s="14">
        <v>61082</v>
      </c>
      <c r="F139" s="14">
        <v>48489</v>
      </c>
      <c r="G139" s="14">
        <v>3021</v>
      </c>
      <c r="H139" s="14">
        <v>4053</v>
      </c>
      <c r="I139" s="14">
        <v>12708.91</v>
      </c>
      <c r="J139" s="14">
        <v>17501.97</v>
      </c>
      <c r="K139" s="14">
        <v>6960</v>
      </c>
      <c r="L139" s="15">
        <f>IFERROR(K139/F139,"")</f>
        <v>0.14353770958361689</v>
      </c>
      <c r="M139" s="16">
        <f>IFERROR(K139*1000/H139,"")</f>
        <v>1717.2464840858622</v>
      </c>
      <c r="N139" s="17">
        <f>IF(L139="","",RANK(L139,$L$3:$L$168,0)+COUNTIF($L$3:L139,L139)-1)</f>
        <v>47</v>
      </c>
      <c r="O139" s="17">
        <f>IF(K139="","",RANK(K139,$K$3:$K$168,0)+COUNTIF($K$3:K139,K139)-1)</f>
        <v>77</v>
      </c>
      <c r="P139" s="14">
        <v>38</v>
      </c>
      <c r="Q139" s="15">
        <f>IFERROR(P139/AR139,"")</f>
        <v>0.14074074074074075</v>
      </c>
      <c r="R139" s="16">
        <v>15</v>
      </c>
      <c r="S139" s="14">
        <v>13375</v>
      </c>
      <c r="T139" s="15">
        <f>IFERROR(S139/F139,"")</f>
        <v>0.27583575656334425</v>
      </c>
      <c r="U139" s="16">
        <f>IFERROR(S139*1000/H139,"")</f>
        <v>3300.024673081668</v>
      </c>
      <c r="V139" s="17">
        <f>IF(T139="","",RANK(T139,$T$3:$T$168,0)+COUNTIF($T$3:T139,T139)-1)</f>
        <v>70</v>
      </c>
      <c r="W139" s="17">
        <f>IF(S139="","",RANK(S139,$S$3:$S$168,0)+COUNTIF($S$3:S139,S139)-1)</f>
        <v>124</v>
      </c>
      <c r="X139" s="14">
        <v>80</v>
      </c>
      <c r="Y139" s="14">
        <v>141</v>
      </c>
      <c r="Z139" s="15">
        <f>IFERROR((X139+Y139)/AR139,"")</f>
        <v>0.81851851851851853</v>
      </c>
      <c r="AA139" s="14">
        <v>25618</v>
      </c>
      <c r="AB139" s="15">
        <f>IFERROR(AA139/F139,"")</f>
        <v>0.52832601208521524</v>
      </c>
      <c r="AC139" s="16">
        <f>IFERROR(AA139*1000/H139,"")</f>
        <v>6320.7500616827037</v>
      </c>
      <c r="AD139" s="17">
        <f>IF(AB139="","",RANK(AB139,$AB$3:$AB$168,0)+COUNTIF($AB$3:AB139,AB139)-1)</f>
        <v>79</v>
      </c>
      <c r="AE139" s="17">
        <f>IF(AA139="","",RANK(AA139,$AA$3:$AA$168,0)+COUNTIF($AA$3:AA139,AA139)-1)</f>
        <v>146</v>
      </c>
      <c r="AF139" s="18">
        <v>95.71</v>
      </c>
      <c r="AG139" s="14">
        <v>38125612.450000003</v>
      </c>
      <c r="AH139" s="16">
        <f>IFERROR(AG139/AZ139,"")</f>
        <v>10924.244255014328</v>
      </c>
      <c r="AI139" s="14">
        <v>2535</v>
      </c>
      <c r="AJ139" s="15">
        <f>IFERROR(AI139/F139,"")</f>
        <v>5.227989853368805E-2</v>
      </c>
      <c r="AK139" s="14">
        <v>149</v>
      </c>
      <c r="AL139" s="14">
        <v>165</v>
      </c>
      <c r="AM139" s="14">
        <v>168</v>
      </c>
      <c r="AN139" s="14">
        <v>472</v>
      </c>
      <c r="AO139" s="14">
        <v>324</v>
      </c>
      <c r="AP139" s="18">
        <v>1.8</v>
      </c>
      <c r="AQ139" s="19">
        <f>IFERROR(AL139*1000/AZ139,"")</f>
        <v>47.277936962750715</v>
      </c>
      <c r="AR139" s="14">
        <v>270</v>
      </c>
      <c r="AS139" s="14">
        <v>84</v>
      </c>
      <c r="AT139" s="14">
        <v>93</v>
      </c>
      <c r="AU139" s="14">
        <v>31</v>
      </c>
      <c r="AV139" s="14">
        <v>62</v>
      </c>
      <c r="AW139" s="15">
        <f>IFERROR(AS139/AR139,"")</f>
        <v>0.31111111111111112</v>
      </c>
      <c r="AX139" s="14">
        <v>2</v>
      </c>
      <c r="AY139" s="14">
        <v>8</v>
      </c>
      <c r="AZ139" s="14">
        <v>3490</v>
      </c>
      <c r="BA139" s="20">
        <v>30.931000000000001</v>
      </c>
      <c r="BB139" s="20">
        <v>112.83</v>
      </c>
      <c r="BC139" s="21">
        <v>0.64600000000000002</v>
      </c>
      <c r="BD139" s="18">
        <v>49.2</v>
      </c>
      <c r="BE139" s="18">
        <v>100</v>
      </c>
      <c r="BF139" s="18">
        <v>5.5</v>
      </c>
      <c r="BG139" s="18">
        <v>5.2</v>
      </c>
      <c r="BH139" s="18">
        <v>56.32</v>
      </c>
      <c r="BI139" s="14">
        <v>472</v>
      </c>
      <c r="BJ139" s="18">
        <v>1.8</v>
      </c>
      <c r="BK139" s="15">
        <f>IFERROR(BI139/AZ139,"")</f>
        <v>0.135243553008596</v>
      </c>
      <c r="BL139" s="22">
        <f>IFERROR(AI139+K139+S139+AA139-F139,"")</f>
        <v>-1</v>
      </c>
      <c r="BM139" s="22">
        <f>IFERROR(F139+G139-C139,"")</f>
        <v>1</v>
      </c>
      <c r="BN139" s="22">
        <f>IF(I139="","",IFERROR(C139*1000/H139-I139,""))</f>
        <v>-5.2363681223141612E-2</v>
      </c>
    </row>
    <row r="140" spans="1:66">
      <c r="A140" s="13" t="s">
        <v>375</v>
      </c>
      <c r="B140" s="13" t="s">
        <v>376</v>
      </c>
      <c r="C140" s="14">
        <v>50061</v>
      </c>
      <c r="D140" s="14">
        <v>61042</v>
      </c>
      <c r="E140" s="14">
        <v>68329</v>
      </c>
      <c r="F140" s="14">
        <v>47792</v>
      </c>
      <c r="G140" s="14">
        <v>2269</v>
      </c>
      <c r="H140" s="14">
        <v>4685</v>
      </c>
      <c r="I140" s="14">
        <v>10685.4</v>
      </c>
      <c r="J140" s="14">
        <v>14578.35</v>
      </c>
      <c r="K140" s="14">
        <v>2238</v>
      </c>
      <c r="L140" s="15">
        <f>IFERROR(K140/F140,"")</f>
        <v>4.6827920990960829E-2</v>
      </c>
      <c r="M140" s="16">
        <f>IFERROR(K140*1000/H140,"")</f>
        <v>477.69477054429029</v>
      </c>
      <c r="N140" s="17">
        <f>IF(L140="","",RANK(L140,$L$3:$L$168,0)+COUNTIF($L$3:L140,L140)-1)</f>
        <v>94</v>
      </c>
      <c r="O140" s="17">
        <f>IF(K140="","",RANK(K140,$K$3:$K$168,0)+COUNTIF($K$3:K140,K140)-1)</f>
        <v>131</v>
      </c>
      <c r="P140" s="14">
        <v>33</v>
      </c>
      <c r="Q140" s="15">
        <f>IFERROR(P140/AR140,"")</f>
        <v>0.14347826086956522</v>
      </c>
      <c r="R140" s="16">
        <v>10</v>
      </c>
      <c r="S140" s="14">
        <v>12956</v>
      </c>
      <c r="T140" s="15">
        <f>IFERROR(S140/F140,"")</f>
        <v>0.27109139604954802</v>
      </c>
      <c r="U140" s="16">
        <f>IFERROR(S140*1000/H140,"")</f>
        <v>2765.4215581643543</v>
      </c>
      <c r="V140" s="17">
        <f>IF(T140="","",RANK(T140,$T$3:$T$168,0)+COUNTIF($T$3:T140,T140)-1)</f>
        <v>74</v>
      </c>
      <c r="W140" s="17">
        <f>IF(S140="","",RANK(S140,$S$3:$S$168,0)+COUNTIF($S$3:S140,S140)-1)</f>
        <v>130</v>
      </c>
      <c r="X140" s="14">
        <v>98</v>
      </c>
      <c r="Y140" s="14">
        <v>89</v>
      </c>
      <c r="Z140" s="15">
        <f>IFERROR((X140+Y140)/AR140,"")</f>
        <v>0.81304347826086953</v>
      </c>
      <c r="AA140" s="14">
        <v>29925</v>
      </c>
      <c r="AB140" s="15">
        <f>IFERROR(AA140/F140,"")</f>
        <v>0.62615082022095747</v>
      </c>
      <c r="AC140" s="16">
        <f>IFERROR(AA140*1000/H140,"")</f>
        <v>6387.4066168623267</v>
      </c>
      <c r="AD140" s="17">
        <f>IF(AB140="","",RANK(AB140,$AB$3:$AB$168,0)+COUNTIF($AB$3:AB140,AB140)-1)</f>
        <v>43</v>
      </c>
      <c r="AE140" s="17">
        <f>IF(AA140="","",RANK(AA140,$AA$3:$AA$168,0)+COUNTIF($AA$3:AA140,AA140)-1)</f>
        <v>131</v>
      </c>
      <c r="AF140" s="18">
        <v>96.43</v>
      </c>
      <c r="AG140" s="14">
        <v>53247030.649999999</v>
      </c>
      <c r="AH140" s="16">
        <f>IFERROR(AG140/AZ140,"")</f>
        <v>11360.578333688927</v>
      </c>
      <c r="AI140" s="14">
        <v>2673</v>
      </c>
      <c r="AJ140" s="15">
        <f>IFERROR(AI140/F140,"")</f>
        <v>5.5929862738533648E-2</v>
      </c>
      <c r="AK140" s="14">
        <v>110</v>
      </c>
      <c r="AL140" s="14">
        <v>120</v>
      </c>
      <c r="AM140" s="14">
        <v>121</v>
      </c>
      <c r="AN140" s="14">
        <v>402</v>
      </c>
      <c r="AO140" s="14">
        <v>306</v>
      </c>
      <c r="AP140" s="18">
        <v>2</v>
      </c>
      <c r="AQ140" s="19">
        <f>IFERROR(AL140*1000/AZ140,"")</f>
        <v>25.602730957968848</v>
      </c>
      <c r="AR140" s="14">
        <v>230</v>
      </c>
      <c r="AS140" s="14">
        <v>88</v>
      </c>
      <c r="AT140" s="14">
        <v>75</v>
      </c>
      <c r="AU140" s="14">
        <v>14</v>
      </c>
      <c r="AV140" s="14">
        <v>53</v>
      </c>
      <c r="AW140" s="15">
        <f>IFERROR(AS140/AR140,"")</f>
        <v>0.38260869565217392</v>
      </c>
      <c r="AX140" s="14">
        <v>0</v>
      </c>
      <c r="AY140" s="14">
        <v>10</v>
      </c>
      <c r="AZ140" s="14">
        <v>4687</v>
      </c>
      <c r="BA140" s="20">
        <v>128.03800000000001</v>
      </c>
      <c r="BB140" s="20">
        <v>36.61</v>
      </c>
      <c r="BC140" s="21">
        <v>0.624</v>
      </c>
      <c r="BD140" s="18">
        <v>50.7</v>
      </c>
      <c r="BE140" s="18">
        <v>98.04</v>
      </c>
      <c r="BF140" s="18">
        <v>6.7</v>
      </c>
      <c r="BG140" s="18">
        <v>4.5</v>
      </c>
      <c r="BH140" s="18">
        <v>8.1300000000000008</v>
      </c>
      <c r="BI140" s="14">
        <v>402</v>
      </c>
      <c r="BJ140" s="18">
        <v>2</v>
      </c>
      <c r="BK140" s="15">
        <f>IFERROR(BI140/AZ140,"")</f>
        <v>8.576914870919565E-2</v>
      </c>
      <c r="BL140" s="22">
        <f>IFERROR(AI140+K140+S140+AA140-F140,"")</f>
        <v>0</v>
      </c>
      <c r="BM140" s="22">
        <f>IFERROR(F140+G140-C140,"")</f>
        <v>0</v>
      </c>
      <c r="BN140" s="22">
        <f>IF(I140="","",IFERROR(C140*1000/H140-I140,""))</f>
        <v>-2.1131270010300796E-2</v>
      </c>
    </row>
    <row r="141" spans="1:66">
      <c r="A141" s="13" t="s">
        <v>377</v>
      </c>
      <c r="B141" s="13" t="s">
        <v>378</v>
      </c>
      <c r="C141" s="14">
        <v>49786</v>
      </c>
      <c r="D141" s="14">
        <v>56138</v>
      </c>
      <c r="E141" s="14">
        <v>64722</v>
      </c>
      <c r="F141" s="14">
        <v>47329</v>
      </c>
      <c r="G141" s="14">
        <v>2457</v>
      </c>
      <c r="H141" s="14">
        <v>4832</v>
      </c>
      <c r="I141" s="14">
        <v>10303.469999999999</v>
      </c>
      <c r="J141" s="14">
        <v>13891.79</v>
      </c>
      <c r="K141" s="14">
        <v>3051</v>
      </c>
      <c r="L141" s="15">
        <f>IFERROR(K141/F141,"")</f>
        <v>6.4463648080458069E-2</v>
      </c>
      <c r="M141" s="16">
        <f>IFERROR(K141*1000/H141,"")</f>
        <v>631.41556291390725</v>
      </c>
      <c r="N141" s="17">
        <f>IF(L141="","",RANK(L141,$L$3:$L$168,0)+COUNTIF($L$3:L141,L141)-1)</f>
        <v>74</v>
      </c>
      <c r="O141" s="17">
        <f>IF(K141="","",RANK(K141,$K$3:$K$168,0)+COUNTIF($K$3:K141,K141)-1)</f>
        <v>115</v>
      </c>
      <c r="P141" s="14">
        <v>39</v>
      </c>
      <c r="Q141" s="15">
        <f>IFERROR(P141/AR141,"")</f>
        <v>0.13131313131313133</v>
      </c>
      <c r="R141" s="16">
        <v>6</v>
      </c>
      <c r="S141" s="14">
        <v>12535</v>
      </c>
      <c r="T141" s="15">
        <f>IFERROR(S141/F141,"")</f>
        <v>0.26484819032728346</v>
      </c>
      <c r="U141" s="16">
        <f>IFERROR(S141*1000/H141,"")</f>
        <v>2594.1639072847684</v>
      </c>
      <c r="V141" s="17">
        <f>IF(T141="","",RANK(T141,$T$3:$T$168,0)+COUNTIF($T$3:T141,T141)-1)</f>
        <v>81</v>
      </c>
      <c r="W141" s="17">
        <f>IF(S141="","",RANK(S141,$S$3:$S$168,0)+COUNTIF($S$3:S141,S141)-1)</f>
        <v>131</v>
      </c>
      <c r="X141" s="14">
        <v>118</v>
      </c>
      <c r="Y141" s="14">
        <v>130</v>
      </c>
      <c r="Z141" s="15">
        <f>IFERROR((X141+Y141)/AR141,"")</f>
        <v>0.83501683501683499</v>
      </c>
      <c r="AA141" s="14">
        <v>29640</v>
      </c>
      <c r="AB141" s="15">
        <f>IFERROR(AA141/F141,"")</f>
        <v>0.62625451625853068</v>
      </c>
      <c r="AC141" s="16">
        <f>IFERROR(AA141*1000/H141,"")</f>
        <v>6134.1059602649011</v>
      </c>
      <c r="AD141" s="17">
        <f>IF(AB141="","",RANK(AB141,$AB$3:$AB$168,0)+COUNTIF($AB$3:AB141,AB141)-1)</f>
        <v>42</v>
      </c>
      <c r="AE141" s="17">
        <f>IF(AA141="","",RANK(AA141,$AA$3:$AA$168,0)+COUNTIF($AA$3:AA141,AA141)-1)</f>
        <v>132</v>
      </c>
      <c r="AF141" s="18">
        <v>96.12</v>
      </c>
      <c r="AG141" s="14">
        <v>43098491.560000002</v>
      </c>
      <c r="AH141" s="16">
        <f>IFERROR(AG141/AZ141,"")</f>
        <v>9250.5884438720768</v>
      </c>
      <c r="AI141" s="14">
        <v>2102</v>
      </c>
      <c r="AJ141" s="15">
        <f>IFERROR(AI141/F141,"")</f>
        <v>4.4412516638847217E-2</v>
      </c>
      <c r="AK141" s="14">
        <v>107</v>
      </c>
      <c r="AL141" s="14">
        <v>119</v>
      </c>
      <c r="AM141" s="14">
        <v>120</v>
      </c>
      <c r="AN141" s="14">
        <v>513</v>
      </c>
      <c r="AO141" s="14">
        <v>407</v>
      </c>
      <c r="AP141" s="18">
        <v>1.7</v>
      </c>
      <c r="AQ141" s="19">
        <f>IFERROR(AL141*1000/AZ141,"")</f>
        <v>25.541961794376476</v>
      </c>
      <c r="AR141" s="14">
        <v>297</v>
      </c>
      <c r="AS141" s="14">
        <v>151</v>
      </c>
      <c r="AT141" s="14">
        <v>80</v>
      </c>
      <c r="AU141" s="14">
        <v>9</v>
      </c>
      <c r="AV141" s="14">
        <v>57</v>
      </c>
      <c r="AW141" s="15">
        <f>IFERROR(AS141/AR141,"")</f>
        <v>0.50841750841750843</v>
      </c>
      <c r="AX141" s="14">
        <v>0</v>
      </c>
      <c r="AY141" s="14">
        <v>10</v>
      </c>
      <c r="AZ141" s="14">
        <v>4659</v>
      </c>
      <c r="BA141" s="20">
        <v>122.375</v>
      </c>
      <c r="BB141" s="20">
        <v>38.07</v>
      </c>
      <c r="BC141" s="21">
        <v>0.59799999999999998</v>
      </c>
      <c r="BD141" s="18">
        <v>51.3</v>
      </c>
      <c r="BE141" s="18">
        <v>100</v>
      </c>
      <c r="BF141" s="18">
        <v>6.3</v>
      </c>
      <c r="BG141" s="18">
        <v>6</v>
      </c>
      <c r="BH141" s="18">
        <v>0.37</v>
      </c>
      <c r="BI141" s="14">
        <v>513</v>
      </c>
      <c r="BJ141" s="18">
        <v>1.7</v>
      </c>
      <c r="BK141" s="15">
        <f>IFERROR(BI141/AZ141,"")</f>
        <v>0.11010946555054733</v>
      </c>
      <c r="BL141" s="22">
        <f>IFERROR(AI141+K141+S141+AA141-F141,"")</f>
        <v>-1</v>
      </c>
      <c r="BM141" s="22">
        <f>IFERROR(F141+G141-C141,"")</f>
        <v>0</v>
      </c>
      <c r="BN141" s="22">
        <f>IF(I141="","",IFERROR(C141*1000/H141-I141,""))</f>
        <v>-7.5960264899549657E-2</v>
      </c>
    </row>
    <row r="142" spans="1:66">
      <c r="A142" s="13" t="s">
        <v>379</v>
      </c>
      <c r="B142" s="13" t="s">
        <v>380</v>
      </c>
      <c r="C142" s="14">
        <v>48166</v>
      </c>
      <c r="D142" s="14">
        <v>46989</v>
      </c>
      <c r="E142" s="14">
        <v>54170</v>
      </c>
      <c r="F142" s="14">
        <v>46698</v>
      </c>
      <c r="G142" s="14">
        <v>1468</v>
      </c>
      <c r="H142" s="14">
        <v>4918</v>
      </c>
      <c r="I142" s="14">
        <v>9793.8700000000008</v>
      </c>
      <c r="J142" s="14">
        <v>12785.04</v>
      </c>
      <c r="K142" s="14">
        <v>1156</v>
      </c>
      <c r="L142" s="15">
        <f>IFERROR(K142/F142,"")</f>
        <v>2.4754807486401988E-2</v>
      </c>
      <c r="M142" s="16">
        <f>IFERROR(K142*1000/H142,"")</f>
        <v>235.05490036600244</v>
      </c>
      <c r="N142" s="17">
        <f>IF(L142="","",RANK(L142,$L$3:$L$168,0)+COUNTIF($L$3:L142,L142)-1)</f>
        <v>157</v>
      </c>
      <c r="O142" s="17">
        <f>IF(K142="","",RANK(K142,$K$3:$K$168,0)+COUNTIF($K$3:K142,K142)-1)</f>
        <v>157</v>
      </c>
      <c r="P142" s="14">
        <v>20</v>
      </c>
      <c r="Q142" s="15">
        <f>IFERROR(P142/AR142,"")</f>
        <v>7.662835249042145E-2</v>
      </c>
      <c r="R142" s="16">
        <v>2</v>
      </c>
      <c r="S142" s="14">
        <v>9922</v>
      </c>
      <c r="T142" s="15">
        <f>IFERROR(S142/F142,"")</f>
        <v>0.21247162619384127</v>
      </c>
      <c r="U142" s="16">
        <f>IFERROR(S142*1000/H142,"")</f>
        <v>2017.4867832452217</v>
      </c>
      <c r="V142" s="17">
        <f>IF(T142="","",RANK(T142,$T$3:$T$168,0)+COUNTIF($T$3:T142,T142)-1)</f>
        <v>135</v>
      </c>
      <c r="W142" s="17">
        <f>IF(S142="","",RANK(S142,$S$3:$S$168,0)+COUNTIF($S$3:S142,S142)-1)</f>
        <v>145</v>
      </c>
      <c r="X142" s="14">
        <v>58</v>
      </c>
      <c r="Y142" s="14">
        <v>172</v>
      </c>
      <c r="Z142" s="15">
        <f>IFERROR((X142+Y142)/AR142,"")</f>
        <v>0.88122605363984674</v>
      </c>
      <c r="AA142" s="14">
        <v>33140</v>
      </c>
      <c r="AB142" s="15">
        <f>IFERROR(AA142/F142,"")</f>
        <v>0.70966636686796003</v>
      </c>
      <c r="AC142" s="16">
        <f>IFERROR(AA142*1000/H142,"")</f>
        <v>6738.5115900772671</v>
      </c>
      <c r="AD142" s="17">
        <f>IF(AB142="","",RANK(AB142,$AB$3:$AB$168,0)+COUNTIF($AB$3:AB142,AB142)-1)</f>
        <v>4</v>
      </c>
      <c r="AE142" s="17">
        <f>IF(AA142="","",RANK(AA142,$AA$3:$AA$168,0)+COUNTIF($AA$3:AA142,AA142)-1)</f>
        <v>122</v>
      </c>
      <c r="AF142" s="18">
        <v>84.85</v>
      </c>
      <c r="AG142" s="14">
        <v>42009551.939999998</v>
      </c>
      <c r="AH142" s="16">
        <f>IFERROR(AG142/AZ142,"")</f>
        <v>9914.9284729761621</v>
      </c>
      <c r="AI142" s="14">
        <v>2481</v>
      </c>
      <c r="AJ142" s="15">
        <f>IFERROR(AI142/F142,"")</f>
        <v>5.3128613645123987E-2</v>
      </c>
      <c r="AK142" s="14">
        <v>72</v>
      </c>
      <c r="AL142" s="14">
        <v>73</v>
      </c>
      <c r="AM142" s="14">
        <v>74</v>
      </c>
      <c r="AN142" s="14">
        <v>278</v>
      </c>
      <c r="AO142" s="14">
        <v>234</v>
      </c>
      <c r="AP142" s="18">
        <v>2</v>
      </c>
      <c r="AQ142" s="19">
        <f>IFERROR(AL142*1000/AZ142,"")</f>
        <v>17.229171583667689</v>
      </c>
      <c r="AR142" s="14">
        <v>261</v>
      </c>
      <c r="AS142" s="14">
        <v>167</v>
      </c>
      <c r="AT142" s="14">
        <v>37</v>
      </c>
      <c r="AU142" s="14">
        <v>2</v>
      </c>
      <c r="AV142" s="14">
        <v>55</v>
      </c>
      <c r="AW142" s="15">
        <f>IFERROR(AS142/AR142,"")</f>
        <v>0.63984674329501912</v>
      </c>
      <c r="AX142" s="14">
        <v>1</v>
      </c>
      <c r="AY142" s="14">
        <v>10</v>
      </c>
      <c r="AZ142" s="14">
        <v>4237</v>
      </c>
      <c r="BA142" s="20">
        <v>117.139</v>
      </c>
      <c r="BB142" s="20">
        <v>36.17</v>
      </c>
      <c r="BC142" s="21">
        <v>0.57799999999999996</v>
      </c>
      <c r="BD142" s="18">
        <v>52.4</v>
      </c>
      <c r="BE142" s="18">
        <v>99.45</v>
      </c>
      <c r="BF142" s="18">
        <v>5.6</v>
      </c>
      <c r="BG142" s="18">
        <v>3.7</v>
      </c>
      <c r="BH142" s="18">
        <v>3.38</v>
      </c>
      <c r="BI142" s="14">
        <v>278</v>
      </c>
      <c r="BJ142" s="18">
        <v>2</v>
      </c>
      <c r="BK142" s="15">
        <f>IFERROR(BI142/AZ142,"")</f>
        <v>6.5612461647392026E-2</v>
      </c>
      <c r="BL142" s="22">
        <f>IFERROR(AI142+K142+S142+AA142-F142,"")</f>
        <v>1</v>
      </c>
      <c r="BM142" s="22">
        <f>IFERROR(F142+G142-C142,"")</f>
        <v>0</v>
      </c>
      <c r="BN142" s="22">
        <f>IF(I142="","",IFERROR(C142*1000/H142-I142,""))</f>
        <v>-5.1374542497796938E-2</v>
      </c>
    </row>
    <row r="143" spans="1:66">
      <c r="A143" s="13" t="s">
        <v>381</v>
      </c>
      <c r="B143" s="13" t="s">
        <v>382</v>
      </c>
      <c r="C143" s="14">
        <v>48003</v>
      </c>
      <c r="D143" s="14">
        <v>56007</v>
      </c>
      <c r="E143" s="14">
        <v>65725</v>
      </c>
      <c r="F143" s="14">
        <v>45694</v>
      </c>
      <c r="G143" s="14">
        <v>2309</v>
      </c>
      <c r="H143" s="14">
        <v>4102</v>
      </c>
      <c r="I143" s="14">
        <v>11702.31</v>
      </c>
      <c r="J143" s="14">
        <v>16749.53</v>
      </c>
      <c r="K143" s="14">
        <v>968</v>
      </c>
      <c r="L143" s="15">
        <f>IFERROR(K143/F143,"")</f>
        <v>2.118440057775638E-2</v>
      </c>
      <c r="M143" s="16">
        <f>IFERROR(K143*1000/H143,"")</f>
        <v>235.98244758654315</v>
      </c>
      <c r="N143" s="17">
        <f>IF(L143="","",RANK(L143,$L$3:$L$168,0)+COUNTIF($L$3:L143,L143)-1)</f>
        <v>162</v>
      </c>
      <c r="O143" s="17">
        <f>IF(K143="","",RANK(K143,$K$3:$K$168,0)+COUNTIF($K$3:K143,K143)-1)</f>
        <v>163</v>
      </c>
      <c r="P143" s="14">
        <v>16</v>
      </c>
      <c r="Q143" s="15">
        <f>IFERROR(P143/AR143,"")</f>
        <v>7.2072072072072071E-2</v>
      </c>
      <c r="R143" s="16">
        <v>0</v>
      </c>
      <c r="S143" s="14">
        <v>13168</v>
      </c>
      <c r="T143" s="15">
        <f>IFERROR(S143/F143,"")</f>
        <v>0.28817787893377689</v>
      </c>
      <c r="U143" s="16">
        <f>IFERROR(S143*1000/H143,"")</f>
        <v>3210.1413944417359</v>
      </c>
      <c r="V143" s="17">
        <f>IF(T143="","",RANK(T143,$T$3:$T$168,0)+COUNTIF($T$3:T143,T143)-1)</f>
        <v>61</v>
      </c>
      <c r="W143" s="17">
        <f>IF(S143="","",RANK(S143,$S$3:$S$168,0)+COUNTIF($S$3:S143,S143)-1)</f>
        <v>127</v>
      </c>
      <c r="X143" s="14">
        <v>74</v>
      </c>
      <c r="Y143" s="14">
        <v>126</v>
      </c>
      <c r="Z143" s="15">
        <f>IFERROR((X143+Y143)/AR143,"")</f>
        <v>0.90090090090090091</v>
      </c>
      <c r="AA143" s="14">
        <v>29332</v>
      </c>
      <c r="AB143" s="15">
        <f>IFERROR(AA143/F143,"")</f>
        <v>0.64192235304416334</v>
      </c>
      <c r="AC143" s="16">
        <f>IFERROR(AA143*1000/H143,"")</f>
        <v>7150.6582155046317</v>
      </c>
      <c r="AD143" s="17">
        <f>IF(AB143="","",RANK(AB143,$AB$3:$AB$168,0)+COUNTIF($AB$3:AB143,AB143)-1)</f>
        <v>34</v>
      </c>
      <c r="AE143" s="17">
        <f>IF(AA143="","",RANK(AA143,$AA$3:$AA$168,0)+COUNTIF($AA$3:AA143,AA143)-1)</f>
        <v>134</v>
      </c>
      <c r="AF143" s="18">
        <v>88.98</v>
      </c>
      <c r="AG143" s="14">
        <v>43321265.119999997</v>
      </c>
      <c r="AH143" s="16">
        <f>IFERROR(AG143/AZ143,"")</f>
        <v>11040.077757390418</v>
      </c>
      <c r="AI143" s="14">
        <v>2225</v>
      </c>
      <c r="AJ143" s="15">
        <f>IFERROR(AI143/F143,"")</f>
        <v>4.8693482732962749E-2</v>
      </c>
      <c r="AK143" s="14">
        <v>80</v>
      </c>
      <c r="AL143" s="14">
        <v>99</v>
      </c>
      <c r="AM143" s="14">
        <v>101</v>
      </c>
      <c r="AN143" s="14">
        <v>327</v>
      </c>
      <c r="AO143" s="14">
        <v>251</v>
      </c>
      <c r="AP143" s="18">
        <v>2.6</v>
      </c>
      <c r="AQ143" s="19">
        <f>IFERROR(AL143*1000/AZ143,"")</f>
        <v>25.229357798165136</v>
      </c>
      <c r="AR143" s="14">
        <v>222</v>
      </c>
      <c r="AS143" s="14">
        <v>104</v>
      </c>
      <c r="AT143" s="14">
        <v>64</v>
      </c>
      <c r="AU143" s="14">
        <v>8</v>
      </c>
      <c r="AV143" s="14">
        <v>46</v>
      </c>
      <c r="AW143" s="15">
        <f>IFERROR(AS143/AR143,"")</f>
        <v>0.46846846846846846</v>
      </c>
      <c r="AX143" s="14">
        <v>1</v>
      </c>
      <c r="AY143" s="14">
        <v>5</v>
      </c>
      <c r="AZ143" s="14">
        <v>3924</v>
      </c>
      <c r="BA143" s="20">
        <v>31.971</v>
      </c>
      <c r="BB143" s="20">
        <v>122.74</v>
      </c>
      <c r="BC143" s="21">
        <v>0.61699999999999999</v>
      </c>
      <c r="BD143" s="18">
        <v>48.5</v>
      </c>
      <c r="BE143" s="18">
        <v>100</v>
      </c>
      <c r="BF143" s="18">
        <v>6.1</v>
      </c>
      <c r="BG143" s="18">
        <v>5.7</v>
      </c>
      <c r="BH143" s="18">
        <v>24.62</v>
      </c>
      <c r="BI143" s="14">
        <v>327</v>
      </c>
      <c r="BJ143" s="18">
        <v>2.6</v>
      </c>
      <c r="BK143" s="15">
        <f>IFERROR(BI143/AZ143,"")</f>
        <v>8.3333333333333329E-2</v>
      </c>
      <c r="BL143" s="22">
        <f>IFERROR(AI143+K143+S143+AA143-F143,"")</f>
        <v>-1</v>
      </c>
      <c r="BM143" s="22">
        <f>IFERROR(F143+G143-C143,"")</f>
        <v>0</v>
      </c>
      <c r="BN143" s="22">
        <f>IF(I143="","",IFERROR(C143*1000/H143-I143,""))</f>
        <v>3.0321794247356593E-2</v>
      </c>
    </row>
    <row r="144" spans="1:66">
      <c r="A144" s="13" t="s">
        <v>383</v>
      </c>
      <c r="B144" s="13" t="s">
        <v>384</v>
      </c>
      <c r="C144" s="14">
        <v>47532</v>
      </c>
      <c r="D144" s="14">
        <v>48871</v>
      </c>
      <c r="E144" s="14">
        <v>58972</v>
      </c>
      <c r="F144" s="14">
        <v>45635</v>
      </c>
      <c r="G144" s="14">
        <v>1897</v>
      </c>
      <c r="H144" s="14">
        <v>4231</v>
      </c>
      <c r="I144" s="14">
        <v>11234.26</v>
      </c>
      <c r="J144" s="14">
        <v>15101.6</v>
      </c>
      <c r="K144" s="14">
        <v>5355</v>
      </c>
      <c r="L144" s="15">
        <f>IFERROR(K144/F144,"")</f>
        <v>0.11734414374931522</v>
      </c>
      <c r="M144" s="16">
        <f>IFERROR(K144*1000/H144,"")</f>
        <v>1265.658236823446</v>
      </c>
      <c r="N144" s="17">
        <f>IF(L144="","",RANK(L144,$L$3:$L$168,0)+COUNTIF($L$3:L144,L144)-1)</f>
        <v>52</v>
      </c>
      <c r="O144" s="17">
        <f>IF(K144="","",RANK(K144,$K$3:$K$168,0)+COUNTIF($K$3:K144,K144)-1)</f>
        <v>88</v>
      </c>
      <c r="P144" s="14">
        <v>28</v>
      </c>
      <c r="Q144" s="15">
        <f>IFERROR(P144/AR144,"")</f>
        <v>0.11336032388663968</v>
      </c>
      <c r="R144" s="16">
        <v>3</v>
      </c>
      <c r="S144" s="14">
        <v>10288</v>
      </c>
      <c r="T144" s="15">
        <f>IFERROR(S144/F144,"")</f>
        <v>0.22544099923304481</v>
      </c>
      <c r="U144" s="16">
        <f>IFERROR(S144*1000/H144,"")</f>
        <v>2431.5764594658472</v>
      </c>
      <c r="V144" s="17">
        <f>IF(T144="","",RANK(T144,$T$3:$T$168,0)+COUNTIF($T$3:T144,T144)-1)</f>
        <v>117</v>
      </c>
      <c r="W144" s="17">
        <f>IF(S144="","",RANK(S144,$S$3:$S$168,0)+COUNTIF($S$3:S144,S144)-1)</f>
        <v>142</v>
      </c>
      <c r="X144" s="14">
        <v>94</v>
      </c>
      <c r="Y144" s="14">
        <v>114</v>
      </c>
      <c r="Z144" s="15">
        <f>IFERROR((X144+Y144)/AR144,"")</f>
        <v>0.84210526315789469</v>
      </c>
      <c r="AA144" s="14">
        <v>26708</v>
      </c>
      <c r="AB144" s="15">
        <f>IFERROR(AA144/F144,"")</f>
        <v>0.58525254738687416</v>
      </c>
      <c r="AC144" s="16">
        <f>IFERROR(AA144*1000/H144,"")</f>
        <v>6312.455684235405</v>
      </c>
      <c r="AD144" s="17">
        <f>IF(AB144="","",RANK(AB144,$AB$3:$AB$168,0)+COUNTIF($AB$3:AB144,AB144)-1)</f>
        <v>61</v>
      </c>
      <c r="AE144" s="17">
        <f>IF(AA144="","",RANK(AA144,$AA$3:$AA$168,0)+COUNTIF($AA$3:AA144,AA144)-1)</f>
        <v>142</v>
      </c>
      <c r="AF144" s="18">
        <v>91.01</v>
      </c>
      <c r="AG144" s="14">
        <v>39315827.590000004</v>
      </c>
      <c r="AH144" s="16">
        <f>IFERROR(AG144/AZ144,"")</f>
        <v>10068.073646606916</v>
      </c>
      <c r="AI144" s="14">
        <v>3285</v>
      </c>
      <c r="AJ144" s="15">
        <f>IFERROR(AI144/F144,"")</f>
        <v>7.1984222636134548E-2</v>
      </c>
      <c r="AK144" s="14">
        <v>103</v>
      </c>
      <c r="AL144" s="14">
        <v>127</v>
      </c>
      <c r="AM144" s="14">
        <v>129</v>
      </c>
      <c r="AN144" s="14">
        <v>543</v>
      </c>
      <c r="AO144" s="14">
        <v>444</v>
      </c>
      <c r="AP144" s="18">
        <v>1.4</v>
      </c>
      <c r="AQ144" s="19">
        <f>IFERROR(AL144*1000/AZ144,"")</f>
        <v>32.522407170294493</v>
      </c>
      <c r="AR144" s="14">
        <v>247</v>
      </c>
      <c r="AS144" s="14">
        <v>102</v>
      </c>
      <c r="AT144" s="14">
        <v>82</v>
      </c>
      <c r="AU144" s="14">
        <v>7</v>
      </c>
      <c r="AV144" s="14">
        <v>56</v>
      </c>
      <c r="AW144" s="15">
        <f>IFERROR(AS144/AR144,"")</f>
        <v>0.41295546558704455</v>
      </c>
      <c r="AX144" s="14">
        <v>0</v>
      </c>
      <c r="AY144" s="14">
        <v>10</v>
      </c>
      <c r="AZ144" s="14">
        <v>3905</v>
      </c>
      <c r="BA144" s="20">
        <v>136.393</v>
      </c>
      <c r="BB144" s="20">
        <v>27.66</v>
      </c>
      <c r="BC144" s="21">
        <v>0.58499999999999996</v>
      </c>
      <c r="BD144" s="18">
        <v>51.4</v>
      </c>
      <c r="BE144" s="18">
        <v>98.63</v>
      </c>
      <c r="BF144" s="18">
        <v>4.4000000000000004</v>
      </c>
      <c r="BG144" s="18">
        <v>4.5999999999999996</v>
      </c>
      <c r="BH144" s="18">
        <v>13.56</v>
      </c>
      <c r="BI144" s="14">
        <v>543</v>
      </c>
      <c r="BJ144" s="18">
        <v>1.4</v>
      </c>
      <c r="BK144" s="15">
        <f>IFERROR(BI144/AZ144,"")</f>
        <v>0.13905249679897566</v>
      </c>
      <c r="BL144" s="22">
        <f>IFERROR(AI144+K144+S144+AA144-F144,"")</f>
        <v>1</v>
      </c>
      <c r="BM144" s="22">
        <f>IFERROR(F144+G144-C144,"")</f>
        <v>0</v>
      </c>
      <c r="BN144" s="22">
        <f>IF(I144="","",IFERROR(C144*1000/H144-I144,""))</f>
        <v>-3.6412195699085714E-2</v>
      </c>
    </row>
    <row r="145" spans="1:66">
      <c r="A145" s="13" t="s">
        <v>385</v>
      </c>
      <c r="B145" s="13" t="s">
        <v>386</v>
      </c>
      <c r="C145" s="14">
        <v>46128</v>
      </c>
      <c r="D145" s="14">
        <v>52292</v>
      </c>
      <c r="E145" s="14">
        <v>46583</v>
      </c>
      <c r="F145" s="14">
        <v>44599</v>
      </c>
      <c r="G145" s="14">
        <v>1529</v>
      </c>
      <c r="H145" s="14">
        <v>3114</v>
      </c>
      <c r="I145" s="14">
        <v>14813.1</v>
      </c>
      <c r="J145" s="14">
        <v>14954.29</v>
      </c>
      <c r="K145" s="14">
        <v>1796</v>
      </c>
      <c r="L145" s="15">
        <f>IFERROR(K145/F145,"")</f>
        <v>4.0269961209892596E-2</v>
      </c>
      <c r="M145" s="16">
        <f>IFERROR(K145*1000/H145,"")</f>
        <v>576.7501605651895</v>
      </c>
      <c r="N145" s="17">
        <f>IF(L145="","",RANK(L145,$L$3:$L$168,0)+COUNTIF($L$3:L145,L145)-1)</f>
        <v>121</v>
      </c>
      <c r="O145" s="17">
        <f>IF(K145="","",RANK(K145,$K$3:$K$168,0)+COUNTIF($K$3:K145,K145)-1)</f>
        <v>142</v>
      </c>
      <c r="P145" s="14">
        <v>26</v>
      </c>
      <c r="Q145" s="15">
        <f>IFERROR(P145/AR145,"")</f>
        <v>8.0745341614906832E-2</v>
      </c>
      <c r="R145" s="16">
        <v>2</v>
      </c>
      <c r="S145" s="14">
        <v>15810</v>
      </c>
      <c r="T145" s="15">
        <f>IFERROR(S145/F145,"")</f>
        <v>0.35449225318953342</v>
      </c>
      <c r="U145" s="16">
        <f>IFERROR(S145*1000/H145,"")</f>
        <v>5077.0712909441236</v>
      </c>
      <c r="V145" s="17">
        <f>IF(T145="","",RANK(T145,$T$3:$T$168,0)+COUNTIF($T$3:T145,T145)-1)</f>
        <v>35</v>
      </c>
      <c r="W145" s="17">
        <f>IF(S145="","",RANK(S145,$S$3:$S$168,0)+COUNTIF($S$3:S145,S145)-1)</f>
        <v>116</v>
      </c>
      <c r="X145" s="14">
        <v>63</v>
      </c>
      <c r="Y145" s="14">
        <v>225</v>
      </c>
      <c r="Z145" s="15">
        <f>IFERROR((X145+Y145)/AR145,"")</f>
        <v>0.89440993788819878</v>
      </c>
      <c r="AA145" s="14">
        <v>24886</v>
      </c>
      <c r="AB145" s="15">
        <f>IFERROR(AA145/F145,"")</f>
        <v>0.55799457386936924</v>
      </c>
      <c r="AC145" s="16">
        <f>IFERROR(AA145*1000/H145,"")</f>
        <v>7991.6506101477198</v>
      </c>
      <c r="AD145" s="17">
        <f>IF(AB145="","",RANK(AB145,$AB$3:$AB$168,0)+COUNTIF($AB$3:AB145,AB145)-1)</f>
        <v>71</v>
      </c>
      <c r="AE145" s="17">
        <f>IF(AA145="","",RANK(AA145,$AA$3:$AA$168,0)+COUNTIF($AA$3:AA145,AA145)-1)</f>
        <v>150</v>
      </c>
      <c r="AF145" s="18">
        <v>95.82</v>
      </c>
      <c r="AG145" s="14">
        <v>36420992.740000002</v>
      </c>
      <c r="AH145" s="16">
        <f>IFERROR(AG145/AZ145,"")</f>
        <v>11692.132500802569</v>
      </c>
      <c r="AI145" s="14">
        <v>2108</v>
      </c>
      <c r="AJ145" s="15">
        <f>IFERROR(AI145/F145,"")</f>
        <v>4.7265633758604451E-2</v>
      </c>
      <c r="AK145" s="14">
        <v>57</v>
      </c>
      <c r="AL145" s="14">
        <v>88</v>
      </c>
      <c r="AM145" s="14">
        <v>90</v>
      </c>
      <c r="AN145" s="14">
        <v>314</v>
      </c>
      <c r="AO145" s="14">
        <v>243</v>
      </c>
      <c r="AP145" s="18">
        <v>1.6</v>
      </c>
      <c r="AQ145" s="19">
        <f>IFERROR(AL145*1000/AZ145,"")</f>
        <v>28.250401284109149</v>
      </c>
      <c r="AR145" s="14">
        <v>322</v>
      </c>
      <c r="AS145" s="14">
        <v>205</v>
      </c>
      <c r="AT145" s="14">
        <v>34</v>
      </c>
      <c r="AU145" s="14">
        <v>10</v>
      </c>
      <c r="AV145" s="14">
        <v>73</v>
      </c>
      <c r="AW145" s="15">
        <f>IFERROR(AS145/AR145,"")</f>
        <v>0.63664596273291929</v>
      </c>
      <c r="AX145" s="14">
        <v>0</v>
      </c>
      <c r="AY145" s="14">
        <v>8</v>
      </c>
      <c r="AZ145" s="14">
        <v>3115</v>
      </c>
      <c r="BA145" s="20">
        <v>41.215000000000003</v>
      </c>
      <c r="BB145" s="20">
        <v>75.58</v>
      </c>
      <c r="BC145" s="21">
        <v>0.58899999999999997</v>
      </c>
      <c r="BD145" s="18">
        <v>48.2</v>
      </c>
      <c r="BE145" s="18">
        <v>99.27</v>
      </c>
      <c r="BF145" s="18">
        <v>4.7</v>
      </c>
      <c r="BG145" s="18">
        <v>3.8</v>
      </c>
      <c r="BH145" s="18">
        <v>2.38</v>
      </c>
      <c r="BI145" s="14">
        <v>314</v>
      </c>
      <c r="BJ145" s="18">
        <v>1.6</v>
      </c>
      <c r="BK145" s="15">
        <f>IFERROR(BI145/AZ145,"")</f>
        <v>0.10080256821829855</v>
      </c>
      <c r="BL145" s="22">
        <f>IFERROR(AI145+K145+S145+AA145-F145,"")</f>
        <v>1</v>
      </c>
      <c r="BM145" s="22">
        <f>IFERROR(F145+G145-C145,"")</f>
        <v>0</v>
      </c>
      <c r="BN145" s="22">
        <f>IF(I145="","",IFERROR(C145*1000/H145-I145,""))</f>
        <v>2.1194605014898116E-3</v>
      </c>
    </row>
    <row r="146" spans="1:66">
      <c r="A146" s="13" t="s">
        <v>387</v>
      </c>
      <c r="B146" s="13" t="s">
        <v>388</v>
      </c>
      <c r="C146" s="14">
        <v>45864</v>
      </c>
      <c r="D146" s="14">
        <v>55408</v>
      </c>
      <c r="E146" s="14">
        <v>63583</v>
      </c>
      <c r="F146" s="14">
        <v>44310</v>
      </c>
      <c r="G146" s="14">
        <v>1554</v>
      </c>
      <c r="H146" s="14">
        <v>3989</v>
      </c>
      <c r="I146" s="14">
        <v>11497.52</v>
      </c>
      <c r="J146" s="14">
        <v>15951.65</v>
      </c>
      <c r="K146" s="14">
        <v>1790</v>
      </c>
      <c r="L146" s="15">
        <f>IFERROR(K146/F146,"")</f>
        <v>4.0397201534642296E-2</v>
      </c>
      <c r="M146" s="16">
        <f>IFERROR(K146*1000/H146,"")</f>
        <v>448.73401855101531</v>
      </c>
      <c r="N146" s="17">
        <f>IF(L146="","",RANK(L146,$L$3:$L$168,0)+COUNTIF($L$3:L146,L146)-1)</f>
        <v>120</v>
      </c>
      <c r="O146" s="17">
        <f>IF(K146="","",RANK(K146,$K$3:$K$168,0)+COUNTIF($K$3:K146,K146)-1)</f>
        <v>143</v>
      </c>
      <c r="P146" s="14">
        <v>20</v>
      </c>
      <c r="Q146" s="15">
        <f>IFERROR(P146/AR146,"")</f>
        <v>0.10810810810810811</v>
      </c>
      <c r="R146" s="16">
        <v>1</v>
      </c>
      <c r="S146" s="14">
        <v>10446</v>
      </c>
      <c r="T146" s="15">
        <f>IFERROR(S146/F146,"")</f>
        <v>0.23574813811780637</v>
      </c>
      <c r="U146" s="16">
        <f>IFERROR(S146*1000/H146,"")</f>
        <v>2618.7014289295562</v>
      </c>
      <c r="V146" s="17">
        <f>IF(T146="","",RANK(T146,$T$3:$T$168,0)+COUNTIF($T$3:T146,T146)-1)</f>
        <v>107</v>
      </c>
      <c r="W146" s="17">
        <f>IF(S146="","",RANK(S146,$S$3:$S$168,0)+COUNTIF($S$3:S146,S146)-1)</f>
        <v>140</v>
      </c>
      <c r="X146" s="14">
        <v>58</v>
      </c>
      <c r="Y146" s="14">
        <v>98</v>
      </c>
      <c r="Z146" s="15">
        <f>IFERROR((X146+Y146)/AR146,"")</f>
        <v>0.84324324324324329</v>
      </c>
      <c r="AA146" s="14">
        <v>30481</v>
      </c>
      <c r="AB146" s="15">
        <f>IFERROR(AA146/F146,"")</f>
        <v>0.68790340780862103</v>
      </c>
      <c r="AC146" s="16">
        <f>IFERROR(AA146*1000/H146,"")</f>
        <v>7641.2634745550267</v>
      </c>
      <c r="AD146" s="17">
        <f>IF(AB146="","",RANK(AB146,$AB$3:$AB$168,0)+COUNTIF($AB$3:AB146,AB146)-1)</f>
        <v>12</v>
      </c>
      <c r="AE146" s="17">
        <f>IF(AA146="","",RANK(AA146,$AA$3:$AA$168,0)+COUNTIF($AA$3:AA146,AA146)-1)</f>
        <v>128</v>
      </c>
      <c r="AF146" s="18">
        <v>96.77</v>
      </c>
      <c r="AG146" s="14">
        <v>35696717.039999999</v>
      </c>
      <c r="AH146" s="16">
        <f>IFERROR(AG146/AZ146,"")</f>
        <v>8955.5235925740089</v>
      </c>
      <c r="AI146" s="14">
        <v>1593</v>
      </c>
      <c r="AJ146" s="15">
        <f>IFERROR(AI146/F146,"")</f>
        <v>3.5951252538930265E-2</v>
      </c>
      <c r="AK146" s="14">
        <v>56</v>
      </c>
      <c r="AL146" s="14">
        <v>72</v>
      </c>
      <c r="AM146" s="14">
        <v>73</v>
      </c>
      <c r="AN146" s="14">
        <v>563</v>
      </c>
      <c r="AO146" s="14">
        <v>522</v>
      </c>
      <c r="AP146" s="18">
        <v>1.5</v>
      </c>
      <c r="AQ146" s="19">
        <f>IFERROR(AL146*1000/AZ146,"")</f>
        <v>18.063221274460613</v>
      </c>
      <c r="AR146" s="14">
        <v>185</v>
      </c>
      <c r="AS146" s="14">
        <v>87</v>
      </c>
      <c r="AT146" s="14">
        <v>50</v>
      </c>
      <c r="AU146" s="14">
        <v>4</v>
      </c>
      <c r="AV146" s="14">
        <v>44</v>
      </c>
      <c r="AW146" s="15">
        <f>IFERROR(AS146/AR146,"")</f>
        <v>0.4702702702702703</v>
      </c>
      <c r="AX146" s="14">
        <v>2</v>
      </c>
      <c r="AY146" s="14">
        <v>7</v>
      </c>
      <c r="AZ146" s="14">
        <v>3986</v>
      </c>
      <c r="BA146" s="20">
        <v>152.626</v>
      </c>
      <c r="BB146" s="20">
        <v>26.12</v>
      </c>
      <c r="BC146" s="21">
        <v>0.56599999999999995</v>
      </c>
      <c r="BD146" s="18">
        <v>50.6</v>
      </c>
      <c r="BE146" s="18">
        <v>99.55</v>
      </c>
      <c r="BF146" s="18"/>
      <c r="BG146" s="18">
        <v>3.6</v>
      </c>
      <c r="BH146" s="18">
        <v>4.1399999999999997</v>
      </c>
      <c r="BI146" s="14">
        <v>563</v>
      </c>
      <c r="BJ146" s="18">
        <v>1.5</v>
      </c>
      <c r="BK146" s="15">
        <f>IFERROR(BI146/AZ146,"")</f>
        <v>0.14124435524335174</v>
      </c>
      <c r="BL146" s="22">
        <f>IFERROR(AI146+K146+S146+AA146-F146,"")</f>
        <v>0</v>
      </c>
      <c r="BM146" s="22">
        <f>IFERROR(F146+G146-C146,"")</f>
        <v>0</v>
      </c>
      <c r="BN146" s="22">
        <f>IF(I146="","",IFERROR(C146*1000/H146-I146,""))</f>
        <v>9.8450739533291198E-2</v>
      </c>
    </row>
    <row r="147" spans="1:66">
      <c r="A147" s="13" t="s">
        <v>389</v>
      </c>
      <c r="B147" s="13" t="s">
        <v>390</v>
      </c>
      <c r="C147" s="14">
        <v>45829</v>
      </c>
      <c r="D147" s="14">
        <v>52839</v>
      </c>
      <c r="E147" s="14">
        <v>55944</v>
      </c>
      <c r="F147" s="14">
        <v>44047</v>
      </c>
      <c r="G147" s="14">
        <v>1783</v>
      </c>
      <c r="H147" s="14">
        <v>3195</v>
      </c>
      <c r="I147" s="14">
        <v>14344.12</v>
      </c>
      <c r="J147" s="14">
        <v>16571.2</v>
      </c>
      <c r="K147" s="14">
        <v>1789</v>
      </c>
      <c r="L147" s="15">
        <f>IFERROR(K147/F147,"")</f>
        <v>4.061570595046201E-2</v>
      </c>
      <c r="M147" s="16">
        <f>IFERROR(K147*1000/H147,"")</f>
        <v>559.93740219092331</v>
      </c>
      <c r="N147" s="17">
        <f>IF(L147="","",RANK(L147,$L$3:$L$168,0)+COUNTIF($L$3:L147,L147)-1)</f>
        <v>119</v>
      </c>
      <c r="O147" s="17">
        <f>IF(K147="","",RANK(K147,$K$3:$K$168,0)+COUNTIF($K$3:K147,K147)-1)</f>
        <v>144</v>
      </c>
      <c r="P147" s="14">
        <v>17</v>
      </c>
      <c r="Q147" s="15">
        <f>IFERROR(P147/AR147,"")</f>
        <v>0.10828025477707007</v>
      </c>
      <c r="R147" s="16">
        <v>7</v>
      </c>
      <c r="S147" s="14">
        <v>10043</v>
      </c>
      <c r="T147" s="15">
        <f>IFERROR(S147/F147,"")</f>
        <v>0.22800644765818331</v>
      </c>
      <c r="U147" s="16">
        <f>IFERROR(S147*1000/H147,"")</f>
        <v>3143.3489827856024</v>
      </c>
      <c r="V147" s="17">
        <f>IF(T147="","",RANK(T147,$T$3:$T$168,0)+COUNTIF($T$3:T147,T147)-1)</f>
        <v>113</v>
      </c>
      <c r="W147" s="17">
        <f>IF(S147="","",RANK(S147,$S$3:$S$168,0)+COUNTIF($S$3:S147,S147)-1)</f>
        <v>144</v>
      </c>
      <c r="X147" s="14">
        <v>65</v>
      </c>
      <c r="Y147" s="14">
        <v>69</v>
      </c>
      <c r="Z147" s="15">
        <f>IFERROR((X147+Y147)/AR147,"")</f>
        <v>0.85350318471337583</v>
      </c>
      <c r="AA147" s="14">
        <v>27621</v>
      </c>
      <c r="AB147" s="15">
        <f>IFERROR(AA147/F147,"")</f>
        <v>0.62708016436987768</v>
      </c>
      <c r="AC147" s="16">
        <f>IFERROR(AA147*1000/H147,"")</f>
        <v>8645.070422535211</v>
      </c>
      <c r="AD147" s="17">
        <f>IF(AB147="","",RANK(AB147,$AB$3:$AB$168,0)+COUNTIF($AB$3:AB147,AB147)-1)</f>
        <v>41</v>
      </c>
      <c r="AE147" s="17">
        <f>IF(AA147="","",RANK(AA147,$AA$3:$AA$168,0)+COUNTIF($AA$3:AA147,AA147)-1)</f>
        <v>139</v>
      </c>
      <c r="AF147" s="18">
        <v>90.98</v>
      </c>
      <c r="AG147" s="14">
        <v>39892118.399999999</v>
      </c>
      <c r="AH147" s="16">
        <f>IFERROR(AG147/AZ147,"")</f>
        <v>11816.385781990521</v>
      </c>
      <c r="AI147" s="14">
        <v>4594</v>
      </c>
      <c r="AJ147" s="15">
        <f>IFERROR(AI147/F147,"")</f>
        <v>0.10429768202147706</v>
      </c>
      <c r="AK147" s="14">
        <v>74</v>
      </c>
      <c r="AL147" s="14">
        <v>89</v>
      </c>
      <c r="AM147" s="14">
        <v>93</v>
      </c>
      <c r="AN147" s="14">
        <v>451</v>
      </c>
      <c r="AO147" s="14">
        <v>374</v>
      </c>
      <c r="AP147" s="18">
        <v>1.5</v>
      </c>
      <c r="AQ147" s="19">
        <f>IFERROR(AL147*1000/AZ147,"")</f>
        <v>26.362559241706162</v>
      </c>
      <c r="AR147" s="14">
        <v>157</v>
      </c>
      <c r="AS147" s="14">
        <v>46</v>
      </c>
      <c r="AT147" s="14">
        <v>49</v>
      </c>
      <c r="AU147" s="14">
        <v>12</v>
      </c>
      <c r="AV147" s="14">
        <v>50</v>
      </c>
      <c r="AW147" s="15">
        <f>IFERROR(AS147/AR147,"")</f>
        <v>0.2929936305732484</v>
      </c>
      <c r="AX147" s="14">
        <v>1</v>
      </c>
      <c r="AY147" s="14">
        <v>5</v>
      </c>
      <c r="AZ147" s="14">
        <v>3376</v>
      </c>
      <c r="BA147" s="20">
        <v>268.72500000000002</v>
      </c>
      <c r="BB147" s="20">
        <v>12.56</v>
      </c>
      <c r="BC147" s="21">
        <v>0.60199999999999998</v>
      </c>
      <c r="BD147" s="18">
        <v>48.4</v>
      </c>
      <c r="BE147" s="18">
        <v>99.22</v>
      </c>
      <c r="BF147" s="18">
        <v>4.8</v>
      </c>
      <c r="BG147" s="18">
        <v>4.2</v>
      </c>
      <c r="BH147" s="18">
        <v>13.92</v>
      </c>
      <c r="BI147" s="14">
        <v>449</v>
      </c>
      <c r="BJ147" s="18">
        <v>1.5</v>
      </c>
      <c r="BK147" s="15">
        <f>IFERROR(BI147/AZ147,"")</f>
        <v>0.13299763033175355</v>
      </c>
      <c r="BL147" s="22">
        <f>IFERROR(AI147+K147+S147+AA147-F147,"")</f>
        <v>0</v>
      </c>
      <c r="BM147" s="22">
        <f>IFERROR(F147+G147-C147,"")</f>
        <v>1</v>
      </c>
      <c r="BN147" s="22">
        <f>IF(I147="","",IFERROR(C147*1000/H147-I147,""))</f>
        <v>-0.14503912363215932</v>
      </c>
    </row>
    <row r="148" spans="1:66">
      <c r="A148" s="13" t="s">
        <v>391</v>
      </c>
      <c r="B148" s="13" t="s">
        <v>392</v>
      </c>
      <c r="C148" s="14">
        <v>45623</v>
      </c>
      <c r="D148" s="14">
        <v>55558</v>
      </c>
      <c r="E148" s="14">
        <v>58251</v>
      </c>
      <c r="F148" s="14">
        <v>44260</v>
      </c>
      <c r="G148" s="14">
        <v>1362</v>
      </c>
      <c r="H148" s="14">
        <v>4541</v>
      </c>
      <c r="I148" s="14">
        <v>10046.799999999999</v>
      </c>
      <c r="J148" s="14">
        <v>15361.52</v>
      </c>
      <c r="K148" s="14">
        <v>1741</v>
      </c>
      <c r="L148" s="15">
        <f>IFERROR(K148/F148,"")</f>
        <v>3.9335743334839586E-2</v>
      </c>
      <c r="M148" s="16">
        <f>IFERROR(K148*1000/H148,"")</f>
        <v>383.395727813257</v>
      </c>
      <c r="N148" s="17">
        <f>IF(L148="","",RANK(L148,$L$3:$L$168,0)+COUNTIF($L$3:L148,L148)-1)</f>
        <v>126</v>
      </c>
      <c r="O148" s="17">
        <f>IF(K148="","",RANK(K148,$K$3:$K$168,0)+COUNTIF($K$3:K148,K148)-1)</f>
        <v>147</v>
      </c>
      <c r="P148" s="14">
        <v>14</v>
      </c>
      <c r="Q148" s="15">
        <f>IFERROR(P148/AR148,"")</f>
        <v>8.4337349397590355E-2</v>
      </c>
      <c r="R148" s="16">
        <v>2</v>
      </c>
      <c r="S148" s="14">
        <v>8121</v>
      </c>
      <c r="T148" s="15">
        <f>IFERROR(S148/F148,"")</f>
        <v>0.18348395842747403</v>
      </c>
      <c r="U148" s="16">
        <f>IFERROR(S148*1000/H148,"")</f>
        <v>1788.37260515305</v>
      </c>
      <c r="V148" s="17">
        <f>IF(T148="","",RANK(T148,$T$3:$T$168,0)+COUNTIF($T$3:T148,T148)-1)</f>
        <v>150</v>
      </c>
      <c r="W148" s="17">
        <f>IF(S148="","",RANK(S148,$S$3:$S$168,0)+COUNTIF($S$3:S148,S148)-1)</f>
        <v>155</v>
      </c>
      <c r="X148" s="14">
        <v>48</v>
      </c>
      <c r="Y148" s="14">
        <v>97</v>
      </c>
      <c r="Z148" s="15">
        <f>IFERROR((X148+Y148)/AR148,"")</f>
        <v>0.87349397590361444</v>
      </c>
      <c r="AA148" s="14">
        <v>30965</v>
      </c>
      <c r="AB148" s="15">
        <f>IFERROR(AA148/F148,"")</f>
        <v>0.69961590600994128</v>
      </c>
      <c r="AC148" s="16">
        <f>IFERROR(AA148*1000/H148,"")</f>
        <v>6818.9826029508922</v>
      </c>
      <c r="AD148" s="17">
        <f>IF(AB148="","",RANK(AB148,$AB$3:$AB$168,0)+COUNTIF($AB$3:AB148,AB148)-1)</f>
        <v>8</v>
      </c>
      <c r="AE148" s="17">
        <f>IF(AA148="","",RANK(AA148,$AA$3:$AA$168,0)+COUNTIF($AA$3:AA148,AA148)-1)</f>
        <v>124</v>
      </c>
      <c r="AF148" s="18">
        <v>89.05</v>
      </c>
      <c r="AG148" s="14">
        <v>43326245</v>
      </c>
      <c r="AH148" s="16">
        <f>IFERROR(AG148/AZ148,"")</f>
        <v>11425.697521097047</v>
      </c>
      <c r="AI148" s="14">
        <v>3432</v>
      </c>
      <c r="AJ148" s="15">
        <f>IFERROR(AI148/F148,"")</f>
        <v>7.7541798463624037E-2</v>
      </c>
      <c r="AK148" s="14">
        <v>57</v>
      </c>
      <c r="AL148" s="14">
        <v>70</v>
      </c>
      <c r="AM148" s="14">
        <v>70</v>
      </c>
      <c r="AN148" s="14">
        <v>397</v>
      </c>
      <c r="AO148" s="14">
        <v>354</v>
      </c>
      <c r="AP148" s="18">
        <v>1.8</v>
      </c>
      <c r="AQ148" s="19">
        <f>IFERROR(AL148*1000/AZ148,"")</f>
        <v>18.459915611814345</v>
      </c>
      <c r="AR148" s="14">
        <v>166</v>
      </c>
      <c r="AS148" s="14">
        <v>79</v>
      </c>
      <c r="AT148" s="14">
        <v>36</v>
      </c>
      <c r="AU148" s="14">
        <v>2</v>
      </c>
      <c r="AV148" s="14">
        <v>49</v>
      </c>
      <c r="AW148" s="15">
        <f>IFERROR(AS148/AR148,"")</f>
        <v>0.4759036144578313</v>
      </c>
      <c r="AX148" s="14">
        <v>2</v>
      </c>
      <c r="AY148" s="14">
        <v>5</v>
      </c>
      <c r="AZ148" s="14">
        <v>3792</v>
      </c>
      <c r="BA148" s="20">
        <v>190.81800000000001</v>
      </c>
      <c r="BB148" s="20">
        <v>19.87</v>
      </c>
      <c r="BC148" s="21">
        <v>0.59499999999999997</v>
      </c>
      <c r="BD148" s="18">
        <v>53.4</v>
      </c>
      <c r="BE148" s="18">
        <v>100</v>
      </c>
      <c r="BF148" s="18">
        <v>4.5999999999999996</v>
      </c>
      <c r="BG148" s="18">
        <v>4.8</v>
      </c>
      <c r="BH148" s="18">
        <v>58.89</v>
      </c>
      <c r="BI148" s="14">
        <v>397</v>
      </c>
      <c r="BJ148" s="18">
        <v>1.8</v>
      </c>
      <c r="BK148" s="15">
        <f>IFERROR(BI148/AZ148,"")</f>
        <v>0.10469409282700422</v>
      </c>
      <c r="BL148" s="22">
        <f>IFERROR(AI148+K148+S148+AA148-F148,"")</f>
        <v>-1</v>
      </c>
      <c r="BM148" s="22">
        <f>IFERROR(F148+G148-C148,"")</f>
        <v>-1</v>
      </c>
      <c r="BN148" s="22">
        <f>IF(I148="","",IFERROR(C148*1000/H148-I148,""))</f>
        <v>0.10596784849258256</v>
      </c>
    </row>
    <row r="149" spans="1:66">
      <c r="A149" s="13" t="s">
        <v>393</v>
      </c>
      <c r="B149" s="13" t="s">
        <v>394</v>
      </c>
      <c r="C149" s="14">
        <v>44911</v>
      </c>
      <c r="D149" s="14">
        <v>52614</v>
      </c>
      <c r="E149" s="14">
        <v>58994</v>
      </c>
      <c r="F149" s="14">
        <v>42208</v>
      </c>
      <c r="G149" s="14">
        <v>2703</v>
      </c>
      <c r="H149" s="14">
        <v>4015</v>
      </c>
      <c r="I149" s="14">
        <v>11185.81</v>
      </c>
      <c r="J149" s="14">
        <v>14311.89</v>
      </c>
      <c r="K149" s="14">
        <v>2284</v>
      </c>
      <c r="L149" s="15">
        <f>IFERROR(K149/F149,"")</f>
        <v>5.4112964366944655E-2</v>
      </c>
      <c r="M149" s="16">
        <f>IFERROR(K149*1000/H149,"")</f>
        <v>568.86674968866748</v>
      </c>
      <c r="N149" s="17">
        <f>IF(L149="","",RANK(L149,$L$3:$L$168,0)+COUNTIF($L$3:L149,L149)-1)</f>
        <v>84</v>
      </c>
      <c r="O149" s="17">
        <f>IF(K149="","",RANK(K149,$K$3:$K$168,0)+COUNTIF($K$3:K149,K149)-1)</f>
        <v>129</v>
      </c>
      <c r="P149" s="14">
        <v>19</v>
      </c>
      <c r="Q149" s="15">
        <f>IFERROR(P149/AR149,"")</f>
        <v>9.947643979057591E-2</v>
      </c>
      <c r="R149" s="16">
        <v>8</v>
      </c>
      <c r="S149" s="14">
        <v>13145</v>
      </c>
      <c r="T149" s="15">
        <f>IFERROR(S149/F149,"")</f>
        <v>0.31143385140257773</v>
      </c>
      <c r="U149" s="16">
        <f>IFERROR(S149*1000/H149,"")</f>
        <v>3273.972602739726</v>
      </c>
      <c r="V149" s="17">
        <f>IF(T149="","",RANK(T149,$T$3:$T$168,0)+COUNTIF($T$3:T149,T149)-1)</f>
        <v>50</v>
      </c>
      <c r="W149" s="17">
        <f>IF(S149="","",RANK(S149,$S$3:$S$168,0)+COUNTIF($S$3:S149,S149)-1)</f>
        <v>128</v>
      </c>
      <c r="X149" s="14">
        <v>78</v>
      </c>
      <c r="Y149" s="14">
        <v>87</v>
      </c>
      <c r="Z149" s="15">
        <f>IFERROR((X149+Y149)/AR149,"")</f>
        <v>0.86387434554973819</v>
      </c>
      <c r="AA149" s="14">
        <v>24771</v>
      </c>
      <c r="AB149" s="15">
        <f>IFERROR(AA149/F149,"")</f>
        <v>0.58687926459438966</v>
      </c>
      <c r="AC149" s="16">
        <f>IFERROR(AA149*1000/H149,"")</f>
        <v>6169.6139476961398</v>
      </c>
      <c r="AD149" s="17">
        <f>IF(AB149="","",RANK(AB149,$AB$3:$AB$168,0)+COUNTIF($AB$3:AB149,AB149)-1)</f>
        <v>60</v>
      </c>
      <c r="AE149" s="17">
        <f>IF(AA149="","",RANK(AA149,$AA$3:$AA$168,0)+COUNTIF($AA$3:AA149,AA149)-1)</f>
        <v>152</v>
      </c>
      <c r="AF149" s="18"/>
      <c r="AG149" s="14"/>
      <c r="AH149" s="16">
        <f>IFERROR(AG149/AZ149,"")</f>
        <v>0</v>
      </c>
      <c r="AI149" s="14">
        <v>2009</v>
      </c>
      <c r="AJ149" s="15">
        <f>IFERROR(AI149/F149,"")</f>
        <v>4.7597611827141777E-2</v>
      </c>
      <c r="AK149" s="14">
        <v>95</v>
      </c>
      <c r="AL149" s="14">
        <v>105</v>
      </c>
      <c r="AM149" s="14">
        <v>108</v>
      </c>
      <c r="AN149" s="14">
        <v>452</v>
      </c>
      <c r="AO149" s="14">
        <v>354</v>
      </c>
      <c r="AP149" s="18">
        <v>1.5</v>
      </c>
      <c r="AQ149" s="19">
        <f>IFERROR(AL149*1000/AZ149,"")</f>
        <v>25.473071324599708</v>
      </c>
      <c r="AR149" s="14">
        <v>191</v>
      </c>
      <c r="AS149" s="14">
        <v>52</v>
      </c>
      <c r="AT149" s="14">
        <v>75</v>
      </c>
      <c r="AU149" s="14">
        <v>10</v>
      </c>
      <c r="AV149" s="14">
        <v>54</v>
      </c>
      <c r="AW149" s="15">
        <f>IFERROR(AS149/AR149,"")</f>
        <v>0.27225130890052357</v>
      </c>
      <c r="AX149" s="14">
        <v>0</v>
      </c>
      <c r="AY149" s="14">
        <v>7</v>
      </c>
      <c r="AZ149" s="14">
        <v>4122</v>
      </c>
      <c r="BA149" s="20">
        <v>63.279000000000003</v>
      </c>
      <c r="BB149" s="20">
        <v>65.14</v>
      </c>
      <c r="BC149" s="21">
        <v>0.59699999999999998</v>
      </c>
      <c r="BD149" s="18">
        <v>50.8</v>
      </c>
      <c r="BE149" s="18">
        <v>98.87</v>
      </c>
      <c r="BF149" s="18">
        <v>5.5</v>
      </c>
      <c r="BG149" s="18">
        <v>4.7</v>
      </c>
      <c r="BH149" s="18">
        <v>0.85</v>
      </c>
      <c r="BI149" s="14">
        <v>452</v>
      </c>
      <c r="BJ149" s="18">
        <v>1.5</v>
      </c>
      <c r="BK149" s="15">
        <f>IFERROR(BI149/AZ149,"")</f>
        <v>0.10965550703541969</v>
      </c>
      <c r="BL149" s="22">
        <f>IFERROR(AI149+K149+S149+AA149-F149,"")</f>
        <v>1</v>
      </c>
      <c r="BM149" s="22">
        <f>IFERROR(F149+G149-C149,"")</f>
        <v>0</v>
      </c>
      <c r="BN149" s="22">
        <f>IF(I149="","",IFERROR(C149*1000/H149-I149,""))</f>
        <v>-6.7621419675560901E-3</v>
      </c>
    </row>
    <row r="150" spans="1:66">
      <c r="A150" s="13" t="s">
        <v>395</v>
      </c>
      <c r="B150" s="13" t="s">
        <v>396</v>
      </c>
      <c r="C150" s="14">
        <v>44403</v>
      </c>
      <c r="D150" s="14">
        <v>47194</v>
      </c>
      <c r="E150" s="14">
        <v>49863</v>
      </c>
      <c r="F150" s="14">
        <v>42348</v>
      </c>
      <c r="G150" s="14">
        <v>2055</v>
      </c>
      <c r="H150" s="14">
        <v>3217</v>
      </c>
      <c r="I150" s="14">
        <v>13802.59</v>
      </c>
      <c r="J150" s="14">
        <v>15709.84</v>
      </c>
      <c r="K150" s="14">
        <v>1976</v>
      </c>
      <c r="L150" s="15">
        <f>IFERROR(K150/F150,"")</f>
        <v>4.6660999338811751E-2</v>
      </c>
      <c r="M150" s="16">
        <f>IFERROR(K150*1000/H150,"")</f>
        <v>614.23686664594345</v>
      </c>
      <c r="N150" s="17">
        <f>IF(L150="","",RANK(L150,$L$3:$L$168,0)+COUNTIF($L$3:L150,L150)-1)</f>
        <v>95</v>
      </c>
      <c r="O150" s="17">
        <f>IF(K150="","",RANK(K150,$K$3:$K$168,0)+COUNTIF($K$3:K150,K150)-1)</f>
        <v>139</v>
      </c>
      <c r="P150" s="14">
        <v>26</v>
      </c>
      <c r="Q150" s="15">
        <f>IFERROR(P150/AR150,"")</f>
        <v>0.16149068322981366</v>
      </c>
      <c r="R150" s="16">
        <v>1</v>
      </c>
      <c r="S150" s="14">
        <v>9616</v>
      </c>
      <c r="T150" s="15">
        <f>IFERROR(S150/F150,"")</f>
        <v>0.2270709360536507</v>
      </c>
      <c r="U150" s="16">
        <f>IFERROR(S150*1000/H150,"")</f>
        <v>2989.1202984146721</v>
      </c>
      <c r="V150" s="17">
        <f>IF(T150="","",RANK(T150,$T$3:$T$168,0)+COUNTIF($T$3:T150,T150)-1)</f>
        <v>115</v>
      </c>
      <c r="W150" s="17">
        <f>IF(S150="","",RANK(S150,$S$3:$S$168,0)+COUNTIF($S$3:S150,S150)-1)</f>
        <v>146</v>
      </c>
      <c r="X150" s="14">
        <v>43</v>
      </c>
      <c r="Y150" s="14">
        <v>81</v>
      </c>
      <c r="Z150" s="15">
        <f>IFERROR((X150+Y150)/AR150,"")</f>
        <v>0.77018633540372672</v>
      </c>
      <c r="AA150" s="14">
        <v>24950</v>
      </c>
      <c r="AB150" s="15">
        <f>IFERROR(AA150/F150,"")</f>
        <v>0.58916595825068485</v>
      </c>
      <c r="AC150" s="16">
        <f>IFERROR(AA150*1000/H150,"")</f>
        <v>7755.6729872552069</v>
      </c>
      <c r="AD150" s="17">
        <f>IF(AB150="","",RANK(AB150,$AB$3:$AB$168,0)+COUNTIF($AB$3:AB150,AB150)-1)</f>
        <v>58</v>
      </c>
      <c r="AE150" s="17">
        <f>IF(AA150="","",RANK(AA150,$AA$3:$AA$168,0)+COUNTIF($AA$3:AA150,AA150)-1)</f>
        <v>149</v>
      </c>
      <c r="AF150" s="18">
        <v>95.72</v>
      </c>
      <c r="AG150" s="14">
        <v>35198036.259999998</v>
      </c>
      <c r="AH150" s="16">
        <f>IFERROR(AG150/AZ150,"")</f>
        <v>11089.488424700692</v>
      </c>
      <c r="AI150" s="14">
        <v>5807</v>
      </c>
      <c r="AJ150" s="15">
        <f>IFERROR(AI150/F150,"")</f>
        <v>0.13712572022291489</v>
      </c>
      <c r="AK150" s="14">
        <v>59</v>
      </c>
      <c r="AL150" s="14">
        <v>74</v>
      </c>
      <c r="AM150" s="14">
        <v>75</v>
      </c>
      <c r="AN150" s="14">
        <v>428</v>
      </c>
      <c r="AO150" s="14">
        <v>381</v>
      </c>
      <c r="AP150" s="18">
        <v>1.4</v>
      </c>
      <c r="AQ150" s="19">
        <f>IFERROR(AL150*1000/AZ150,"")</f>
        <v>23.314429741650915</v>
      </c>
      <c r="AR150" s="14">
        <v>161</v>
      </c>
      <c r="AS150" s="14">
        <v>77</v>
      </c>
      <c r="AT150" s="14">
        <v>41</v>
      </c>
      <c r="AU150" s="14">
        <v>3</v>
      </c>
      <c r="AV150" s="14">
        <v>40</v>
      </c>
      <c r="AW150" s="15">
        <f>IFERROR(AS150/AR150,"")</f>
        <v>0.47826086956521741</v>
      </c>
      <c r="AX150" s="14">
        <v>4</v>
      </c>
      <c r="AY150" s="14">
        <v>7</v>
      </c>
      <c r="AZ150" s="14">
        <v>3174</v>
      </c>
      <c r="BA150" s="20">
        <v>47.655999999999999</v>
      </c>
      <c r="BB150" s="20">
        <v>66.599999999999994</v>
      </c>
      <c r="BC150" s="21">
        <v>0.57599999999999996</v>
      </c>
      <c r="BD150" s="18">
        <v>48.3</v>
      </c>
      <c r="BE150" s="18">
        <v>98.29</v>
      </c>
      <c r="BF150" s="18">
        <v>4.4000000000000004</v>
      </c>
      <c r="BG150" s="18">
        <v>3.4</v>
      </c>
      <c r="BH150" s="18">
        <v>4.92</v>
      </c>
      <c r="BI150" s="14">
        <v>428</v>
      </c>
      <c r="BJ150" s="18">
        <v>1.4</v>
      </c>
      <c r="BK150" s="15">
        <f>IFERROR(BI150/AZ150,"")</f>
        <v>0.13484562066792691</v>
      </c>
      <c r="BL150" s="22">
        <f>IFERROR(AI150+K150+S150+AA150-F150,"")</f>
        <v>1</v>
      </c>
      <c r="BM150" s="22">
        <f>IFERROR(F150+G150-C150,"")</f>
        <v>0</v>
      </c>
      <c r="BN150" s="22">
        <f>IF(I150="","",IFERROR(C150*1000/H150-I150,""))</f>
        <v>2.1128380478330655E-2</v>
      </c>
    </row>
    <row r="151" spans="1:66">
      <c r="A151" s="13" t="s">
        <v>397</v>
      </c>
      <c r="B151" s="13" t="s">
        <v>398</v>
      </c>
      <c r="C151" s="14">
        <v>43930</v>
      </c>
      <c r="D151" s="14">
        <v>50385</v>
      </c>
      <c r="E151" s="14">
        <v>56062</v>
      </c>
      <c r="F151" s="14">
        <v>42517</v>
      </c>
      <c r="G151" s="14">
        <v>1413</v>
      </c>
      <c r="H151" s="14">
        <v>4298</v>
      </c>
      <c r="I151" s="14">
        <v>10221.11</v>
      </c>
      <c r="J151" s="14">
        <v>14250.66</v>
      </c>
      <c r="K151" s="14">
        <v>829</v>
      </c>
      <c r="L151" s="15">
        <f>IFERROR(K151/F151,"")</f>
        <v>1.94980831196933E-2</v>
      </c>
      <c r="M151" s="16">
        <f>IFERROR(K151*1000/H151,"")</f>
        <v>192.88040949278735</v>
      </c>
      <c r="N151" s="17">
        <f>IF(L151="","",RANK(L151,$L$3:$L$168,0)+COUNTIF($L$3:L151,L151)-1)</f>
        <v>165</v>
      </c>
      <c r="O151" s="17">
        <f>IF(K151="","",RANK(K151,$K$3:$K$168,0)+COUNTIF($K$3:K151,K151)-1)</f>
        <v>164</v>
      </c>
      <c r="P151" s="14">
        <v>10</v>
      </c>
      <c r="Q151" s="15">
        <f>IFERROR(P151/AR151,"")</f>
        <v>7.6335877862595422E-2</v>
      </c>
      <c r="R151" s="16">
        <v>3</v>
      </c>
      <c r="S151" s="14">
        <v>9234</v>
      </c>
      <c r="T151" s="15">
        <f>IFERROR(S151/F151,"")</f>
        <v>0.21718371474939435</v>
      </c>
      <c r="U151" s="16">
        <f>IFERROR(S151*1000/H151,"")</f>
        <v>2148.4411354118192</v>
      </c>
      <c r="V151" s="17">
        <f>IF(T151="","",RANK(T151,$T$3:$T$168,0)+COUNTIF($T$3:T151,T151)-1)</f>
        <v>131</v>
      </c>
      <c r="W151" s="17">
        <f>IF(S151="","",RANK(S151,$S$3:$S$168,0)+COUNTIF($S$3:S151,S151)-1)</f>
        <v>150</v>
      </c>
      <c r="X151" s="14">
        <v>51</v>
      </c>
      <c r="Y151" s="14">
        <v>62</v>
      </c>
      <c r="Z151" s="15">
        <f>IFERROR((X151+Y151)/AR151,"")</f>
        <v>0.86259541984732824</v>
      </c>
      <c r="AA151" s="14">
        <v>29928</v>
      </c>
      <c r="AB151" s="15">
        <f>IFERROR(AA151/F151,"")</f>
        <v>0.70390667262506768</v>
      </c>
      <c r="AC151" s="16">
        <f>IFERROR(AA151*1000/H151,"")</f>
        <v>6963.2387156817122</v>
      </c>
      <c r="AD151" s="17">
        <f>IF(AB151="","",RANK(AB151,$AB$3:$AB$168,0)+COUNTIF($AB$3:AB151,AB151)-1)</f>
        <v>7</v>
      </c>
      <c r="AE151" s="17">
        <f>IF(AA151="","",RANK(AA151,$AA$3:$AA$168,0)+COUNTIF($AA$3:AA151,AA151)-1)</f>
        <v>130</v>
      </c>
      <c r="AF151" s="18">
        <v>95.42</v>
      </c>
      <c r="AG151" s="14">
        <v>34622815.219999999</v>
      </c>
      <c r="AH151" s="16">
        <f>IFERROR(AG151/AZ151,"")</f>
        <v>8800.9189679715291</v>
      </c>
      <c r="AI151" s="14">
        <v>2526</v>
      </c>
      <c r="AJ151" s="15">
        <f>IFERROR(AI151/F151,"")</f>
        <v>5.9411529505844718E-2</v>
      </c>
      <c r="AK151" s="14">
        <v>58</v>
      </c>
      <c r="AL151" s="14">
        <v>66</v>
      </c>
      <c r="AM151" s="14">
        <v>68</v>
      </c>
      <c r="AN151" s="14">
        <v>228</v>
      </c>
      <c r="AO151" s="14">
        <v>176</v>
      </c>
      <c r="AP151" s="18">
        <v>2.6</v>
      </c>
      <c r="AQ151" s="19">
        <f>IFERROR(AL151*1000/AZ151,"")</f>
        <v>16.77681748856126</v>
      </c>
      <c r="AR151" s="14">
        <v>131</v>
      </c>
      <c r="AS151" s="14">
        <v>42</v>
      </c>
      <c r="AT151" s="14">
        <v>43</v>
      </c>
      <c r="AU151" s="14">
        <v>2</v>
      </c>
      <c r="AV151" s="14">
        <v>44</v>
      </c>
      <c r="AW151" s="15">
        <f>IFERROR(AS151/AR151,"")</f>
        <v>0.32061068702290074</v>
      </c>
      <c r="AX151" s="14">
        <v>0</v>
      </c>
      <c r="AY151" s="14">
        <v>8</v>
      </c>
      <c r="AZ151" s="14">
        <v>3934</v>
      </c>
      <c r="BA151" s="20">
        <v>81.39</v>
      </c>
      <c r="BB151" s="20">
        <v>48.34</v>
      </c>
      <c r="BC151" s="21">
        <v>0.58899999999999997</v>
      </c>
      <c r="BD151" s="18">
        <v>56.3</v>
      </c>
      <c r="BE151" s="18">
        <v>99.36</v>
      </c>
      <c r="BF151" s="18">
        <v>4.9000000000000004</v>
      </c>
      <c r="BG151" s="18">
        <v>5</v>
      </c>
      <c r="BH151" s="18">
        <v>3.33</v>
      </c>
      <c r="BI151" s="14">
        <v>228</v>
      </c>
      <c r="BJ151" s="18">
        <v>2.6</v>
      </c>
      <c r="BK151" s="15">
        <f>IFERROR(BI151/AZ151,"")</f>
        <v>5.7956278596847995E-2</v>
      </c>
      <c r="BL151" s="22">
        <f>IFERROR(AI151+K151+S151+AA151-F151,"")</f>
        <v>0</v>
      </c>
      <c r="BM151" s="22">
        <f>IFERROR(F151+G151-C151,"")</f>
        <v>0</v>
      </c>
      <c r="BN151" s="22">
        <f>IF(I151="","",IFERROR(C151*1000/H151-I151,""))</f>
        <v>-7.6961377384577645E-2</v>
      </c>
    </row>
    <row r="152" spans="1:66">
      <c r="A152" s="13" t="s">
        <v>399</v>
      </c>
      <c r="B152" s="13" t="s">
        <v>400</v>
      </c>
      <c r="C152" s="14">
        <v>43617</v>
      </c>
      <c r="D152" s="14">
        <v>44947</v>
      </c>
      <c r="E152" s="14">
        <v>47341</v>
      </c>
      <c r="F152" s="14">
        <v>41148</v>
      </c>
      <c r="G152" s="14">
        <v>2469</v>
      </c>
      <c r="H152" s="14">
        <v>2427</v>
      </c>
      <c r="I152" s="14">
        <v>17971.71</v>
      </c>
      <c r="J152" s="14">
        <v>20162.37</v>
      </c>
      <c r="K152" s="14">
        <v>1281</v>
      </c>
      <c r="L152" s="15">
        <f>IFERROR(K152/F152,"")</f>
        <v>3.1131525226013416E-2</v>
      </c>
      <c r="M152" s="16">
        <f>IFERROR(K152*1000/H152,"")</f>
        <v>527.81211372064274</v>
      </c>
      <c r="N152" s="17">
        <f>IF(L152="","",RANK(L152,$L$3:$L$168,0)+COUNTIF($L$3:L152,L152)-1)</f>
        <v>148</v>
      </c>
      <c r="O152" s="17">
        <f>IF(K152="","",RANK(K152,$K$3:$K$168,0)+COUNTIF($K$3:K152,K152)-1)</f>
        <v>155</v>
      </c>
      <c r="P152" s="14">
        <v>65</v>
      </c>
      <c r="Q152" s="15">
        <f>IFERROR(P152/AR152,"")</f>
        <v>0.32019704433497537</v>
      </c>
      <c r="R152" s="16">
        <v>2</v>
      </c>
      <c r="S152" s="14">
        <v>8684</v>
      </c>
      <c r="T152" s="15">
        <f>IFERROR(S152/F152,"")</f>
        <v>0.21104306406143677</v>
      </c>
      <c r="U152" s="16">
        <f>IFERROR(S152*1000/H152,"")</f>
        <v>3578.0799340749895</v>
      </c>
      <c r="V152" s="17">
        <f>IF(T152="","",RANK(T152,$T$3:$T$168,0)+COUNTIF($T$3:T152,T152)-1)</f>
        <v>137</v>
      </c>
      <c r="W152" s="17">
        <f>IF(S152="","",RANK(S152,$S$3:$S$168,0)+COUNTIF($S$3:S152,S152)-1)</f>
        <v>152</v>
      </c>
      <c r="X152" s="14">
        <v>48</v>
      </c>
      <c r="Y152" s="14">
        <v>83</v>
      </c>
      <c r="Z152" s="15">
        <f>IFERROR((X152+Y152)/AR152,"")</f>
        <v>0.64532019704433496</v>
      </c>
      <c r="AA152" s="14">
        <v>20312</v>
      </c>
      <c r="AB152" s="15">
        <f>IFERROR(AA152/F152,"")</f>
        <v>0.49363274035190047</v>
      </c>
      <c r="AC152" s="16">
        <f>IFERROR(AA152*1000/H152,"")</f>
        <v>8369.1800576843834</v>
      </c>
      <c r="AD152" s="17">
        <f>IF(AB152="","",RANK(AB152,$AB$3:$AB$168,0)+COUNTIF($AB$3:AB152,AB152)-1)</f>
        <v>92</v>
      </c>
      <c r="AE152" s="17">
        <f>IF(AA152="","",RANK(AA152,$AA$3:$AA$168,0)+COUNTIF($AA$3:AA152,AA152)-1)</f>
        <v>164</v>
      </c>
      <c r="AF152" s="18">
        <v>94.84</v>
      </c>
      <c r="AG152" s="14">
        <v>36103352.979999997</v>
      </c>
      <c r="AH152" s="16">
        <f>IFERROR(AG152/AZ152,"")</f>
        <v>15376.215068143099</v>
      </c>
      <c r="AI152" s="14">
        <v>10870</v>
      </c>
      <c r="AJ152" s="15">
        <f>IFERROR(AI152/F152,"")</f>
        <v>0.26416836784290854</v>
      </c>
      <c r="AK152" s="14">
        <v>63</v>
      </c>
      <c r="AL152" s="14">
        <v>71</v>
      </c>
      <c r="AM152" s="14">
        <v>71</v>
      </c>
      <c r="AN152" s="14">
        <v>219</v>
      </c>
      <c r="AO152" s="14">
        <v>167</v>
      </c>
      <c r="AP152" s="18">
        <v>1.6</v>
      </c>
      <c r="AQ152" s="19">
        <f>IFERROR(AL152*1000/AZ152,"")</f>
        <v>30.238500851788757</v>
      </c>
      <c r="AR152" s="14">
        <v>203</v>
      </c>
      <c r="AS152" s="14">
        <v>118</v>
      </c>
      <c r="AT152" s="14">
        <v>44</v>
      </c>
      <c r="AU152" s="14">
        <v>2</v>
      </c>
      <c r="AV152" s="14">
        <v>39</v>
      </c>
      <c r="AW152" s="15">
        <f>IFERROR(AS152/AR152,"")</f>
        <v>0.58128078817733986</v>
      </c>
      <c r="AX152" s="14">
        <v>1</v>
      </c>
      <c r="AY152" s="14">
        <v>6</v>
      </c>
      <c r="AZ152" s="14">
        <v>2348</v>
      </c>
      <c r="BA152" s="20">
        <v>135.45599999999999</v>
      </c>
      <c r="BB152" s="20">
        <v>17.329999999999998</v>
      </c>
      <c r="BC152" s="21">
        <v>0.64</v>
      </c>
      <c r="BD152" s="18">
        <v>40.200000000000003</v>
      </c>
      <c r="BE152" s="18">
        <v>99.03</v>
      </c>
      <c r="BF152" s="18">
        <v>5.4</v>
      </c>
      <c r="BG152" s="18">
        <v>5.2</v>
      </c>
      <c r="BH152" s="18">
        <v>26.96</v>
      </c>
      <c r="BI152" s="14">
        <v>219</v>
      </c>
      <c r="BJ152" s="18">
        <v>1.6</v>
      </c>
      <c r="BK152" s="15">
        <f>IFERROR(BI152/AZ152,"")</f>
        <v>9.3270868824531519E-2</v>
      </c>
      <c r="BL152" s="22">
        <f>IFERROR(AI152+K152+S152+AA152-F152,"")</f>
        <v>-1</v>
      </c>
      <c r="BM152" s="22">
        <f>IFERROR(F152+G152-C152,"")</f>
        <v>0</v>
      </c>
      <c r="BN152" s="22">
        <f>IF(I152="","",IFERROR(C152*1000/H152-I152,""))</f>
        <v>-0.1401606922117935</v>
      </c>
    </row>
    <row r="153" spans="1:66">
      <c r="A153" s="13" t="s">
        <v>401</v>
      </c>
      <c r="B153" s="13" t="s">
        <v>402</v>
      </c>
      <c r="C153" s="14">
        <v>43512</v>
      </c>
      <c r="D153" s="14">
        <v>48437</v>
      </c>
      <c r="E153" s="14">
        <v>53836</v>
      </c>
      <c r="F153" s="14">
        <v>42112</v>
      </c>
      <c r="G153" s="14">
        <v>1400</v>
      </c>
      <c r="H153" s="14">
        <v>4194</v>
      </c>
      <c r="I153" s="14">
        <v>10374.93</v>
      </c>
      <c r="J153" s="14">
        <v>13044.94</v>
      </c>
      <c r="K153" s="14">
        <v>1136</v>
      </c>
      <c r="L153" s="15">
        <f>IFERROR(K153/F153,"")</f>
        <v>2.6975683890577508E-2</v>
      </c>
      <c r="M153" s="16">
        <f>IFERROR(K153*1000/H153,"")</f>
        <v>270.86313781592753</v>
      </c>
      <c r="N153" s="17">
        <f>IF(L153="","",RANK(L153,$L$3:$L$168,0)+COUNTIF($L$3:L153,L153)-1)</f>
        <v>156</v>
      </c>
      <c r="O153" s="17">
        <f>IF(K153="","",RANK(K153,$K$3:$K$168,0)+COUNTIF($K$3:K153,K153)-1)</f>
        <v>158</v>
      </c>
      <c r="P153" s="14">
        <v>8</v>
      </c>
      <c r="Q153" s="15">
        <f>IFERROR(P153/AR153,"")</f>
        <v>5.1948051948051951E-2</v>
      </c>
      <c r="R153" s="16">
        <v>1</v>
      </c>
      <c r="S153" s="14">
        <v>9478</v>
      </c>
      <c r="T153" s="15">
        <f>IFERROR(S153/F153,"")</f>
        <v>0.22506648936170212</v>
      </c>
      <c r="U153" s="16">
        <f>IFERROR(S153*1000/H153,"")</f>
        <v>2259.8950882212685</v>
      </c>
      <c r="V153" s="17">
        <f>IF(T153="","",RANK(T153,$T$3:$T$168,0)+COUNTIF($T$3:T153,T153)-1)</f>
        <v>118</v>
      </c>
      <c r="W153" s="17">
        <f>IF(S153="","",RANK(S153,$S$3:$S$168,0)+COUNTIF($S$3:S153,S153)-1)</f>
        <v>148</v>
      </c>
      <c r="X153" s="14">
        <v>54</v>
      </c>
      <c r="Y153" s="14">
        <v>85</v>
      </c>
      <c r="Z153" s="15">
        <f>IFERROR((X153+Y153)/AR153,"")</f>
        <v>0.90259740259740262</v>
      </c>
      <c r="AA153" s="14">
        <v>28696</v>
      </c>
      <c r="AB153" s="15">
        <f>IFERROR(AA153/F153,"")</f>
        <v>0.68142097264437695</v>
      </c>
      <c r="AC153" s="16">
        <f>IFERROR(AA153*1000/H153,"")</f>
        <v>6842.1554601812113</v>
      </c>
      <c r="AD153" s="17">
        <f>IF(AB153="","",RANK(AB153,$AB$3:$AB$168,0)+COUNTIF($AB$3:AB153,AB153)-1)</f>
        <v>15</v>
      </c>
      <c r="AE153" s="17">
        <f>IF(AA153="","",RANK(AA153,$AA$3:$AA$168,0)+COUNTIF($AA$3:AA153,AA153)-1)</f>
        <v>136</v>
      </c>
      <c r="AF153" s="18">
        <v>95.68</v>
      </c>
      <c r="AG153" s="14">
        <v>38640485.93</v>
      </c>
      <c r="AH153" s="16">
        <f>IFERROR(AG153/AZ153,"")</f>
        <v>9362.8509643809066</v>
      </c>
      <c r="AI153" s="14">
        <v>2802</v>
      </c>
      <c r="AJ153" s="15">
        <f>IFERROR(AI153/F153,"")</f>
        <v>6.6536854103343465E-2</v>
      </c>
      <c r="AK153" s="14">
        <v>56</v>
      </c>
      <c r="AL153" s="14">
        <v>59</v>
      </c>
      <c r="AM153" s="14">
        <v>61</v>
      </c>
      <c r="AN153" s="14">
        <v>389</v>
      </c>
      <c r="AO153" s="14">
        <v>333</v>
      </c>
      <c r="AP153" s="18">
        <v>1.7</v>
      </c>
      <c r="AQ153" s="19">
        <f>IFERROR(AL153*1000/AZ153,"")</f>
        <v>14.296098861158226</v>
      </c>
      <c r="AR153" s="14">
        <v>154</v>
      </c>
      <c r="AS153" s="14">
        <v>73</v>
      </c>
      <c r="AT153" s="14">
        <v>33</v>
      </c>
      <c r="AU153" s="14">
        <v>2</v>
      </c>
      <c r="AV153" s="14">
        <v>46</v>
      </c>
      <c r="AW153" s="15">
        <f>IFERROR(AS153/AR153,"")</f>
        <v>0.47402597402597402</v>
      </c>
      <c r="AX153" s="14">
        <v>0</v>
      </c>
      <c r="AY153" s="14">
        <v>7</v>
      </c>
      <c r="AZ153" s="14">
        <v>4127</v>
      </c>
      <c r="BA153" s="20">
        <v>128.10599999999999</v>
      </c>
      <c r="BB153" s="20">
        <v>32.22</v>
      </c>
      <c r="BC153" s="21">
        <v>0.59099999999999997</v>
      </c>
      <c r="BD153" s="18">
        <v>50</v>
      </c>
      <c r="BE153" s="18">
        <v>99.27</v>
      </c>
      <c r="BF153" s="18">
        <v>5.5</v>
      </c>
      <c r="BG153" s="18">
        <v>5</v>
      </c>
      <c r="BH153" s="18">
        <v>7.73</v>
      </c>
      <c r="BI153" s="14">
        <v>389</v>
      </c>
      <c r="BJ153" s="18">
        <v>1.7</v>
      </c>
      <c r="BK153" s="15">
        <f>IFERROR(BI153/AZ153,"")</f>
        <v>9.4257329779500854E-2</v>
      </c>
      <c r="BL153" s="22">
        <f>IFERROR(AI153+K153+S153+AA153-F153,"")</f>
        <v>0</v>
      </c>
      <c r="BM153" s="22">
        <f>IFERROR(F153+G153-C153,"")</f>
        <v>0</v>
      </c>
      <c r="BN153" s="22">
        <f>IF(I153="","",IFERROR(C153*1000/H153-I153,""))</f>
        <v>-0.10882689556456171</v>
      </c>
    </row>
    <row r="154" spans="1:66">
      <c r="A154" s="13" t="s">
        <v>403</v>
      </c>
      <c r="B154" s="13" t="s">
        <v>404</v>
      </c>
      <c r="C154" s="14">
        <v>43450</v>
      </c>
      <c r="D154" s="14">
        <v>45690</v>
      </c>
      <c r="E154" s="14">
        <v>48290</v>
      </c>
      <c r="F154" s="14">
        <v>41725</v>
      </c>
      <c r="G154" s="14">
        <v>1725</v>
      </c>
      <c r="H154" s="14">
        <v>3214</v>
      </c>
      <c r="I154" s="14">
        <v>13519.06</v>
      </c>
      <c r="J154" s="14">
        <v>16458.77</v>
      </c>
      <c r="K154" s="14">
        <v>3794</v>
      </c>
      <c r="L154" s="15">
        <f>IFERROR(K154/F154,"")</f>
        <v>9.0928699820251646E-2</v>
      </c>
      <c r="M154" s="16">
        <f>IFERROR(K154*1000/H154,"")</f>
        <v>1180.4604853764779</v>
      </c>
      <c r="N154" s="17">
        <f>IF(L154="","",RANK(L154,$L$3:$L$168,0)+COUNTIF($L$3:L154,L154)-1)</f>
        <v>64</v>
      </c>
      <c r="O154" s="17">
        <f>IF(K154="","",RANK(K154,$K$3:$K$168,0)+COUNTIF($K$3:K154,K154)-1)</f>
        <v>105</v>
      </c>
      <c r="P154" s="14">
        <v>15</v>
      </c>
      <c r="Q154" s="15">
        <f>IFERROR(P154/AR154,"")</f>
        <v>0.10869565217391304</v>
      </c>
      <c r="R154" s="16">
        <v>2</v>
      </c>
      <c r="S154" s="14">
        <v>9584</v>
      </c>
      <c r="T154" s="15">
        <f>IFERROR(S154/F154,"")</f>
        <v>0.22969442780107849</v>
      </c>
      <c r="U154" s="16">
        <f>IFERROR(S154*1000/H154,"")</f>
        <v>2981.9539514623521</v>
      </c>
      <c r="V154" s="17">
        <f>IF(T154="","",RANK(T154,$T$3:$T$168,0)+COUNTIF($T$3:T154,T154)-1)</f>
        <v>111</v>
      </c>
      <c r="W154" s="17">
        <f>IF(S154="","",RANK(S154,$S$3:$S$168,0)+COUNTIF($S$3:S154,S154)-1)</f>
        <v>147</v>
      </c>
      <c r="X154" s="14">
        <v>58</v>
      </c>
      <c r="Y154" s="14">
        <v>58</v>
      </c>
      <c r="Z154" s="15">
        <f>IFERROR((X154+Y154)/AR154,"")</f>
        <v>0.84057971014492749</v>
      </c>
      <c r="AA154" s="14">
        <v>25054</v>
      </c>
      <c r="AB154" s="15">
        <f>IFERROR(AA154/F154,"")</f>
        <v>0.60045536249251052</v>
      </c>
      <c r="AC154" s="16">
        <f>IFERROR(AA154*1000/H154,"")</f>
        <v>7795.2706907280644</v>
      </c>
      <c r="AD154" s="17">
        <f>IF(AB154="","",RANK(AB154,$AB$3:$AB$168,0)+COUNTIF($AB$3:AB154,AB154)-1)</f>
        <v>52</v>
      </c>
      <c r="AE154" s="17">
        <f>IF(AA154="","",RANK(AA154,$AA$3:$AA$168,0)+COUNTIF($AA$3:AA154,AA154)-1)</f>
        <v>148</v>
      </c>
      <c r="AF154" s="18">
        <v>95.52</v>
      </c>
      <c r="AG154" s="14">
        <v>42196358.979999997</v>
      </c>
      <c r="AH154" s="16">
        <f>IFERROR(AG154/AZ154,"")</f>
        <v>14381.853776414449</v>
      </c>
      <c r="AI154" s="14">
        <v>3293</v>
      </c>
      <c r="AJ154" s="15">
        <f>IFERROR(AI154/F154,"")</f>
        <v>7.8921509886159383E-2</v>
      </c>
      <c r="AK154" s="14">
        <v>71</v>
      </c>
      <c r="AL154" s="14">
        <v>75</v>
      </c>
      <c r="AM154" s="14">
        <v>77</v>
      </c>
      <c r="AN154" s="14">
        <v>364</v>
      </c>
      <c r="AO154" s="14">
        <v>304</v>
      </c>
      <c r="AP154" s="18">
        <v>2.2000000000000002</v>
      </c>
      <c r="AQ154" s="19">
        <f>IFERROR(AL154*1000/AZ154,"")</f>
        <v>25.562372188139058</v>
      </c>
      <c r="AR154" s="14">
        <v>138</v>
      </c>
      <c r="AS154" s="14">
        <v>54</v>
      </c>
      <c r="AT154" s="14">
        <v>40</v>
      </c>
      <c r="AU154" s="14">
        <v>5</v>
      </c>
      <c r="AV154" s="14">
        <v>39</v>
      </c>
      <c r="AW154" s="15">
        <f>IFERROR(AS154/AR154,"")</f>
        <v>0.39130434782608697</v>
      </c>
      <c r="AX154" s="14">
        <v>1</v>
      </c>
      <c r="AY154" s="14">
        <v>6</v>
      </c>
      <c r="AZ154" s="14">
        <v>2934</v>
      </c>
      <c r="BA154" s="20">
        <v>100.07299999999999</v>
      </c>
      <c r="BB154" s="20">
        <v>29.32</v>
      </c>
      <c r="BC154" s="21">
        <v>0.65400000000000003</v>
      </c>
      <c r="BD154" s="18">
        <v>47.3</v>
      </c>
      <c r="BE154" s="18">
        <v>97.64</v>
      </c>
      <c r="BF154" s="18">
        <v>6.4</v>
      </c>
      <c r="BG154" s="18">
        <v>5.8</v>
      </c>
      <c r="BH154" s="18">
        <v>0.17</v>
      </c>
      <c r="BI154" s="14">
        <v>364</v>
      </c>
      <c r="BJ154" s="18">
        <v>2.2000000000000002</v>
      </c>
      <c r="BK154" s="15">
        <f>IFERROR(BI154/AZ154,"")</f>
        <v>0.12406271301976823</v>
      </c>
      <c r="BL154" s="22">
        <f>IFERROR(AI154+K154+S154+AA154-F154,"")</f>
        <v>0</v>
      </c>
      <c r="BM154" s="22">
        <f>IFERROR(F154+G154-C154,"")</f>
        <v>0</v>
      </c>
      <c r="BN154" s="22">
        <f>IF(I154="","",IFERROR(C154*1000/H154-I154,""))</f>
        <v>-8.0535158680504537E-2</v>
      </c>
    </row>
    <row r="155" spans="1:66">
      <c r="A155" s="13" t="s">
        <v>405</v>
      </c>
      <c r="B155" s="13" t="s">
        <v>406</v>
      </c>
      <c r="C155" s="14">
        <v>43202</v>
      </c>
      <c r="D155" s="14">
        <v>42294</v>
      </c>
      <c r="E155" s="14">
        <v>47870</v>
      </c>
      <c r="F155" s="14">
        <v>41871</v>
      </c>
      <c r="G155" s="14">
        <v>1331</v>
      </c>
      <c r="H155" s="14">
        <v>4232</v>
      </c>
      <c r="I155" s="14">
        <v>10208.370000000001</v>
      </c>
      <c r="J155" s="14">
        <v>15882.39</v>
      </c>
      <c r="K155" s="14">
        <v>1032</v>
      </c>
      <c r="L155" s="15">
        <f>IFERROR(K155/F155,"")</f>
        <v>2.4647130472164505E-2</v>
      </c>
      <c r="M155" s="16">
        <f>IFERROR(K155*1000/H155,"")</f>
        <v>243.85633270321361</v>
      </c>
      <c r="N155" s="17">
        <f>IF(L155="","",RANK(L155,$L$3:$L$168,0)+COUNTIF($L$3:L155,L155)-1)</f>
        <v>158</v>
      </c>
      <c r="O155" s="17">
        <f>IF(K155="","",RANK(K155,$K$3:$K$168,0)+COUNTIF($K$3:K155,K155)-1)</f>
        <v>160</v>
      </c>
      <c r="P155" s="14">
        <v>8</v>
      </c>
      <c r="Q155" s="15">
        <f>IFERROR(P155/AR155,"")</f>
        <v>6.9565217391304349E-2</v>
      </c>
      <c r="R155" s="16">
        <v>1</v>
      </c>
      <c r="S155" s="14">
        <v>8432</v>
      </c>
      <c r="T155" s="15">
        <f>IFERROR(S155/F155,"")</f>
        <v>0.20138043036946812</v>
      </c>
      <c r="U155" s="16">
        <f>IFERROR(S155*1000/H155,"")</f>
        <v>1992.4385633270322</v>
      </c>
      <c r="V155" s="17">
        <f>IF(T155="","",RANK(T155,$T$3:$T$168,0)+COUNTIF($T$3:T155,T155)-1)</f>
        <v>142</v>
      </c>
      <c r="W155" s="17">
        <f>IF(S155="","",RANK(S155,$S$3:$S$168,0)+COUNTIF($S$3:S155,S155)-1)</f>
        <v>154</v>
      </c>
      <c r="X155" s="14">
        <v>34</v>
      </c>
      <c r="Y155" s="14">
        <v>66</v>
      </c>
      <c r="Z155" s="15">
        <f>IFERROR((X155+Y155)/AR155,"")</f>
        <v>0.86956521739130432</v>
      </c>
      <c r="AA155" s="14">
        <v>30311</v>
      </c>
      <c r="AB155" s="15">
        <f>IFERROR(AA155/F155,"")</f>
        <v>0.72391392610637439</v>
      </c>
      <c r="AC155" s="16">
        <f>IFERROR(AA155*1000/H155,"")</f>
        <v>7162.3345935727784</v>
      </c>
      <c r="AD155" s="17">
        <f>IF(AB155="","",RANK(AB155,$AB$3:$AB$168,0)+COUNTIF($AB$3:AB155,AB155)-1)</f>
        <v>2</v>
      </c>
      <c r="AE155" s="17">
        <f>IF(AA155="","",RANK(AA155,$AA$3:$AA$168,0)+COUNTIF($AA$3:AA155,AA155)-1)</f>
        <v>129</v>
      </c>
      <c r="AF155" s="18">
        <v>93.72</v>
      </c>
      <c r="AG155" s="14">
        <v>42285175.229999997</v>
      </c>
      <c r="AH155" s="16">
        <f>IFERROR(AG155/AZ155,"")</f>
        <v>14029.587003981418</v>
      </c>
      <c r="AI155" s="14">
        <v>2096</v>
      </c>
      <c r="AJ155" s="15">
        <f>IFERROR(AI155/F155,"")</f>
        <v>5.0058513051993027E-2</v>
      </c>
      <c r="AK155" s="14">
        <v>61</v>
      </c>
      <c r="AL155" s="14">
        <v>60</v>
      </c>
      <c r="AM155" s="14">
        <v>61</v>
      </c>
      <c r="AN155" s="14">
        <v>293</v>
      </c>
      <c r="AO155" s="14">
        <v>256</v>
      </c>
      <c r="AP155" s="18">
        <v>2</v>
      </c>
      <c r="AQ155" s="19">
        <f>IFERROR(AL155*1000/AZ155,"")</f>
        <v>19.907100199071003</v>
      </c>
      <c r="AR155" s="14">
        <v>115</v>
      </c>
      <c r="AS155" s="14">
        <v>33</v>
      </c>
      <c r="AT155" s="14">
        <v>23</v>
      </c>
      <c r="AU155" s="14">
        <v>2</v>
      </c>
      <c r="AV155" s="14">
        <v>57</v>
      </c>
      <c r="AW155" s="15">
        <f>IFERROR(AS155/AR155,"")</f>
        <v>0.28695652173913044</v>
      </c>
      <c r="AX155" s="14">
        <v>0</v>
      </c>
      <c r="AY155" s="14">
        <v>7</v>
      </c>
      <c r="AZ155" s="14">
        <v>3014</v>
      </c>
      <c r="BA155" s="20">
        <v>71.620999999999995</v>
      </c>
      <c r="BB155" s="20">
        <v>42.08</v>
      </c>
      <c r="BC155" s="21">
        <v>0.55500000000000005</v>
      </c>
      <c r="BD155" s="18">
        <v>58.3</v>
      </c>
      <c r="BE155" s="18">
        <v>98.38</v>
      </c>
      <c r="BF155" s="18">
        <v>5.0999999999999996</v>
      </c>
      <c r="BG155" s="18">
        <v>4.5</v>
      </c>
      <c r="BH155" s="18">
        <v>6.3</v>
      </c>
      <c r="BI155" s="14">
        <v>292</v>
      </c>
      <c r="BJ155" s="18">
        <v>2</v>
      </c>
      <c r="BK155" s="15">
        <f>IFERROR(BI155/AZ155,"")</f>
        <v>9.6881220968812215E-2</v>
      </c>
      <c r="BL155" s="22">
        <f>IFERROR(AI155+K155+S155+AA155-F155,"")</f>
        <v>0</v>
      </c>
      <c r="BM155" s="22">
        <f>IFERROR(F155+G155-C155,"")</f>
        <v>0</v>
      </c>
      <c r="BN155" s="22">
        <f>IF(I155="","",IFERROR(C155*1000/H155-I155,""))</f>
        <v>4.2098298676137347E-2</v>
      </c>
    </row>
    <row r="156" spans="1:66">
      <c r="A156" s="13" t="s">
        <v>407</v>
      </c>
      <c r="B156" s="13" t="s">
        <v>408</v>
      </c>
      <c r="C156" s="14">
        <v>42147</v>
      </c>
      <c r="D156" s="14">
        <v>47189</v>
      </c>
      <c r="E156" s="14">
        <v>47291</v>
      </c>
      <c r="F156" s="14">
        <v>41100</v>
      </c>
      <c r="G156" s="14">
        <v>1046</v>
      </c>
      <c r="H156" s="14">
        <v>3945</v>
      </c>
      <c r="I156" s="14">
        <v>10683.63</v>
      </c>
      <c r="J156" s="14">
        <v>12648.01</v>
      </c>
      <c r="K156" s="14">
        <v>1185</v>
      </c>
      <c r="L156" s="15">
        <f>IFERROR(K156/F156,"")</f>
        <v>2.8832116788321167E-2</v>
      </c>
      <c r="M156" s="16">
        <f>IFERROR(K156*1000/H156,"")</f>
        <v>300.38022813688212</v>
      </c>
      <c r="N156" s="17">
        <f>IF(L156="","",RANK(L156,$L$3:$L$168,0)+COUNTIF($L$3:L156,L156)-1)</f>
        <v>154</v>
      </c>
      <c r="O156" s="17">
        <f>IF(K156="","",RANK(K156,$K$3:$K$168,0)+COUNTIF($K$3:K156,K156)-1)</f>
        <v>156</v>
      </c>
      <c r="P156" s="14">
        <v>20</v>
      </c>
      <c r="Q156" s="15">
        <f>IFERROR(P156/AR156,"")</f>
        <v>0.12269938650306748</v>
      </c>
      <c r="R156" s="16">
        <v>1</v>
      </c>
      <c r="S156" s="14">
        <v>7499</v>
      </c>
      <c r="T156" s="15">
        <f>IFERROR(S156/F156,"")</f>
        <v>0.1824574209245742</v>
      </c>
      <c r="U156" s="16">
        <f>IFERROR(S156*1000/H156,"")</f>
        <v>1900.8871989860584</v>
      </c>
      <c r="V156" s="17">
        <f>IF(T156="","",RANK(T156,$T$3:$T$168,0)+COUNTIF($T$3:T156,T156)-1)</f>
        <v>151</v>
      </c>
      <c r="W156" s="17">
        <f>IF(S156="","",RANK(S156,$S$3:$S$168,0)+COUNTIF($S$3:S156,S156)-1)</f>
        <v>161</v>
      </c>
      <c r="X156" s="14">
        <v>47</v>
      </c>
      <c r="Y156" s="14">
        <v>84</v>
      </c>
      <c r="Z156" s="15">
        <f>IFERROR((X156+Y156)/AR156,"")</f>
        <v>0.80368098159509205</v>
      </c>
      <c r="AA156" s="14">
        <v>29090</v>
      </c>
      <c r="AB156" s="15">
        <f>IFERROR(AA156/F156,"")</f>
        <v>0.70778588807785892</v>
      </c>
      <c r="AC156" s="16">
        <f>IFERROR(AA156*1000/H156,"")</f>
        <v>7373.8910012674269</v>
      </c>
      <c r="AD156" s="17">
        <f>IF(AB156="","",RANK(AB156,$AB$3:$AB$168,0)+COUNTIF($AB$3:AB156,AB156)-1)</f>
        <v>5</v>
      </c>
      <c r="AE156" s="17">
        <f>IF(AA156="","",RANK(AA156,$AA$3:$AA$168,0)+COUNTIF($AA$3:AA156,AA156)-1)</f>
        <v>135</v>
      </c>
      <c r="AF156" s="18">
        <v>95.48</v>
      </c>
      <c r="AG156" s="14">
        <v>41654535.939999998</v>
      </c>
      <c r="AH156" s="16">
        <f>IFERROR(AG156/AZ156,"")</f>
        <v>11140.555212623696</v>
      </c>
      <c r="AI156" s="14">
        <v>3326</v>
      </c>
      <c r="AJ156" s="15">
        <f>IFERROR(AI156/F156,"")</f>
        <v>8.0924574209245745E-2</v>
      </c>
      <c r="AK156" s="14">
        <v>51</v>
      </c>
      <c r="AL156" s="14">
        <v>71</v>
      </c>
      <c r="AM156" s="14">
        <v>73</v>
      </c>
      <c r="AN156" s="14">
        <v>238</v>
      </c>
      <c r="AO156" s="14">
        <v>200</v>
      </c>
      <c r="AP156" s="18">
        <v>2.1</v>
      </c>
      <c r="AQ156" s="19">
        <f>IFERROR(AL156*1000/AZ156,"")</f>
        <v>18.98903450120353</v>
      </c>
      <c r="AR156" s="14">
        <v>163</v>
      </c>
      <c r="AS156" s="14">
        <v>77</v>
      </c>
      <c r="AT156" s="14">
        <v>34</v>
      </c>
      <c r="AU156" s="14">
        <v>1</v>
      </c>
      <c r="AV156" s="14">
        <v>51</v>
      </c>
      <c r="AW156" s="15">
        <f>IFERROR(AS156/AR156,"")</f>
        <v>0.47239263803680981</v>
      </c>
      <c r="AX156" s="14">
        <v>2</v>
      </c>
      <c r="AY156" s="14">
        <v>10</v>
      </c>
      <c r="AZ156" s="14">
        <v>3739</v>
      </c>
      <c r="BA156" s="20">
        <v>44.640999999999998</v>
      </c>
      <c r="BB156" s="20">
        <v>83.76</v>
      </c>
      <c r="BC156" s="21">
        <v>0.59499999999999997</v>
      </c>
      <c r="BD156" s="18">
        <v>48.1</v>
      </c>
      <c r="BE156" s="18">
        <v>98.35</v>
      </c>
      <c r="BF156" s="18">
        <v>5.5</v>
      </c>
      <c r="BG156" s="18">
        <v>4.2</v>
      </c>
      <c r="BH156" s="18">
        <v>0.3</v>
      </c>
      <c r="BI156" s="14">
        <v>238</v>
      </c>
      <c r="BJ156" s="18">
        <v>2.1</v>
      </c>
      <c r="BK156" s="15">
        <f>IFERROR(BI156/AZ156,"")</f>
        <v>6.3653383257555499E-2</v>
      </c>
      <c r="BL156" s="22">
        <f>IFERROR(AI156+K156+S156+AA156-F156,"")</f>
        <v>0</v>
      </c>
      <c r="BM156" s="22">
        <f>IFERROR(F156+G156-C156,"")</f>
        <v>-1</v>
      </c>
      <c r="BN156" s="22">
        <f>IF(I156="","",IFERROR(C156*1000/H156-I156,""))</f>
        <v>2.0190114069919218E-2</v>
      </c>
    </row>
    <row r="157" spans="1:66">
      <c r="A157" s="13" t="s">
        <v>409</v>
      </c>
      <c r="B157" s="13" t="s">
        <v>410</v>
      </c>
      <c r="C157" s="14">
        <v>41829</v>
      </c>
      <c r="D157" s="14">
        <v>43979</v>
      </c>
      <c r="E157" s="14">
        <v>50550</v>
      </c>
      <c r="F157" s="14">
        <v>39511</v>
      </c>
      <c r="G157" s="14">
        <v>2317</v>
      </c>
      <c r="H157" s="14">
        <v>3900</v>
      </c>
      <c r="I157" s="14">
        <v>10725.27</v>
      </c>
      <c r="J157" s="14">
        <v>17049.05</v>
      </c>
      <c r="K157" s="14">
        <v>1290</v>
      </c>
      <c r="L157" s="15">
        <f>IFERROR(K157/F157,"")</f>
        <v>3.2649135683733642E-2</v>
      </c>
      <c r="M157" s="16">
        <f>IFERROR(K157*1000/H157,"")</f>
        <v>330.76923076923077</v>
      </c>
      <c r="N157" s="17">
        <f>IF(L157="","",RANK(L157,$L$3:$L$168,0)+COUNTIF($L$3:L157,L157)-1)</f>
        <v>144</v>
      </c>
      <c r="O157" s="17">
        <f>IF(K157="","",RANK(K157,$K$3:$K$168,0)+COUNTIF($K$3:K157,K157)-1)</f>
        <v>154</v>
      </c>
      <c r="P157" s="14">
        <v>11</v>
      </c>
      <c r="Q157" s="15">
        <f>IFERROR(P157/AR157,"")</f>
        <v>7.6388888888888895E-2</v>
      </c>
      <c r="R157" s="16">
        <v>3</v>
      </c>
      <c r="S157" s="14">
        <v>11231</v>
      </c>
      <c r="T157" s="15">
        <f>IFERROR(S157/F157,"")</f>
        <v>0.28424995570853684</v>
      </c>
      <c r="U157" s="16">
        <f>IFERROR(S157*1000/H157,"")</f>
        <v>2879.7435897435898</v>
      </c>
      <c r="V157" s="17">
        <f>IF(T157="","",RANK(T157,$T$3:$T$168,0)+COUNTIF($T$3:T157,T157)-1)</f>
        <v>65</v>
      </c>
      <c r="W157" s="17">
        <f>IF(S157="","",RANK(S157,$S$3:$S$168,0)+COUNTIF($S$3:S157,S157)-1)</f>
        <v>136</v>
      </c>
      <c r="X157" s="14">
        <v>51</v>
      </c>
      <c r="Y157" s="14">
        <v>71</v>
      </c>
      <c r="Z157" s="15">
        <f>IFERROR((X157+Y157)/AR157,"")</f>
        <v>0.84722222222222221</v>
      </c>
      <c r="AA157" s="14">
        <v>25145</v>
      </c>
      <c r="AB157" s="15">
        <f>IFERROR(AA157/F157,"")</f>
        <v>0.63640505175773832</v>
      </c>
      <c r="AC157" s="16">
        <f>IFERROR(AA157*1000/H157,"")</f>
        <v>6447.4358974358975</v>
      </c>
      <c r="AD157" s="17">
        <f>IF(AB157="","",RANK(AB157,$AB$3:$AB$168,0)+COUNTIF($AB$3:AB157,AB157)-1)</f>
        <v>37</v>
      </c>
      <c r="AE157" s="17">
        <f>IF(AA157="","",RANK(AA157,$AA$3:$AA$168,0)+COUNTIF($AA$3:AA157,AA157)-1)</f>
        <v>147</v>
      </c>
      <c r="AF157" s="18">
        <v>96.23</v>
      </c>
      <c r="AG157" s="14">
        <v>33453565.039999999</v>
      </c>
      <c r="AH157" s="16">
        <f>IFERROR(AG157/AZ157,"")</f>
        <v>11282.821261382798</v>
      </c>
      <c r="AI157" s="14">
        <v>1846</v>
      </c>
      <c r="AJ157" s="15">
        <f>IFERROR(AI157/F157,"")</f>
        <v>4.6721166257497913E-2</v>
      </c>
      <c r="AK157" s="14">
        <v>63</v>
      </c>
      <c r="AL157" s="14">
        <v>75</v>
      </c>
      <c r="AM157" s="14">
        <v>75</v>
      </c>
      <c r="AN157" s="14">
        <v>252</v>
      </c>
      <c r="AO157" s="14">
        <v>194</v>
      </c>
      <c r="AP157" s="18">
        <v>2.5</v>
      </c>
      <c r="AQ157" s="19">
        <f>IFERROR(AL157*1000/AZ157,"")</f>
        <v>25.295109612141651</v>
      </c>
      <c r="AR157" s="14">
        <v>144</v>
      </c>
      <c r="AS157" s="14">
        <v>58</v>
      </c>
      <c r="AT157" s="14">
        <v>41</v>
      </c>
      <c r="AU157" s="14">
        <v>5</v>
      </c>
      <c r="AV157" s="14">
        <v>40</v>
      </c>
      <c r="AW157" s="15">
        <f>IFERROR(AS157/AR157,"")</f>
        <v>0.40277777777777779</v>
      </c>
      <c r="AX157" s="14">
        <v>3</v>
      </c>
      <c r="AY157" s="14">
        <v>8</v>
      </c>
      <c r="AZ157" s="14">
        <v>2965</v>
      </c>
      <c r="BA157" s="20">
        <v>82.69</v>
      </c>
      <c r="BB157" s="20">
        <v>35.86</v>
      </c>
      <c r="BC157" s="21">
        <v>0.61399999999999999</v>
      </c>
      <c r="BD157" s="18">
        <v>50</v>
      </c>
      <c r="BE157" s="18">
        <v>100</v>
      </c>
      <c r="BF157" s="18">
        <v>6.2</v>
      </c>
      <c r="BG157" s="18">
        <v>5.2</v>
      </c>
      <c r="BH157" s="18">
        <v>53.53</v>
      </c>
      <c r="BI157" s="14">
        <v>252</v>
      </c>
      <c r="BJ157" s="18">
        <v>2.5</v>
      </c>
      <c r="BK157" s="15">
        <f>IFERROR(BI157/AZ157,"")</f>
        <v>8.4991568296795952E-2</v>
      </c>
      <c r="BL157" s="22">
        <f>IFERROR(AI157+K157+S157+AA157-F157,"")</f>
        <v>1</v>
      </c>
      <c r="BM157" s="22">
        <f>IFERROR(F157+G157-C157,"")</f>
        <v>-1</v>
      </c>
      <c r="BN157" s="22">
        <f>IF(I157="","",IFERROR(C157*1000/H157-I157,""))</f>
        <v>0.11461538461480814</v>
      </c>
    </row>
    <row r="158" spans="1:66">
      <c r="A158" s="13" t="s">
        <v>411</v>
      </c>
      <c r="B158" s="13" t="s">
        <v>412</v>
      </c>
      <c r="C158" s="14">
        <v>39069</v>
      </c>
      <c r="D158" s="14">
        <v>43862</v>
      </c>
      <c r="E158" s="14">
        <v>61994</v>
      </c>
      <c r="F158" s="14">
        <v>37398</v>
      </c>
      <c r="G158" s="14">
        <v>1671</v>
      </c>
      <c r="H158" s="14">
        <v>3081</v>
      </c>
      <c r="I158" s="14">
        <v>12680.57</v>
      </c>
      <c r="J158" s="14">
        <v>21100.639999999999</v>
      </c>
      <c r="K158" s="14">
        <v>1768</v>
      </c>
      <c r="L158" s="15">
        <f>IFERROR(K158/F158,"")</f>
        <v>4.7275255361249262E-2</v>
      </c>
      <c r="M158" s="16">
        <f>IFERROR(K158*1000/H158,"")</f>
        <v>573.83966244725741</v>
      </c>
      <c r="N158" s="17">
        <f>IF(L158="","",RANK(L158,$L$3:$L$168,0)+COUNTIF($L$3:L158,L158)-1)</f>
        <v>91</v>
      </c>
      <c r="O158" s="17">
        <f>IF(K158="","",RANK(K158,$K$3:$K$168,0)+COUNTIF($K$3:K158,K158)-1)</f>
        <v>145</v>
      </c>
      <c r="P158" s="14">
        <v>27</v>
      </c>
      <c r="Q158" s="15">
        <f>IFERROR(P158/AR158,"")</f>
        <v>0.11392405063291139</v>
      </c>
      <c r="R158" s="16">
        <v>8</v>
      </c>
      <c r="S158" s="14">
        <v>10633</v>
      </c>
      <c r="T158" s="15">
        <f>IFERROR(S158/F158,"")</f>
        <v>0.28432001711321458</v>
      </c>
      <c r="U158" s="16">
        <f>IFERROR(S158*1000/H158,"")</f>
        <v>3451.1522233041219</v>
      </c>
      <c r="V158" s="17">
        <f>IF(T158="","",RANK(T158,$T$3:$T$168,0)+COUNTIF($T$3:T158,T158)-1)</f>
        <v>64</v>
      </c>
      <c r="W158" s="17">
        <f>IF(S158="","",RANK(S158,$S$3:$S$168,0)+COUNTIF($S$3:S158,S158)-1)</f>
        <v>139</v>
      </c>
      <c r="X158" s="14">
        <v>52</v>
      </c>
      <c r="Y158" s="14">
        <v>147</v>
      </c>
      <c r="Z158" s="15">
        <f>IFERROR((X158+Y158)/AR158,"")</f>
        <v>0.83966244725738393</v>
      </c>
      <c r="AA158" s="14">
        <v>23689</v>
      </c>
      <c r="AB158" s="15">
        <f>IFERROR(AA158/F158,"")</f>
        <v>0.63342959516551689</v>
      </c>
      <c r="AC158" s="16">
        <f>IFERROR(AA158*1000/H158,"")</f>
        <v>7688.737422914638</v>
      </c>
      <c r="AD158" s="17">
        <f>IF(AB158="","",RANK(AB158,$AB$3:$AB$168,0)+COUNTIF($AB$3:AB158,AB158)-1)</f>
        <v>39</v>
      </c>
      <c r="AE158" s="17">
        <f>IF(AA158="","",RANK(AA158,$AA$3:$AA$168,0)+COUNTIF($AA$3:AA158,AA158)-1)</f>
        <v>154</v>
      </c>
      <c r="AF158" s="18">
        <v>93.82</v>
      </c>
      <c r="AG158" s="14">
        <v>34626463.079999998</v>
      </c>
      <c r="AH158" s="16">
        <f>IFERROR(AG158/AZ158,"")</f>
        <v>11785.726031313818</v>
      </c>
      <c r="AI158" s="14">
        <v>1308</v>
      </c>
      <c r="AJ158" s="15">
        <f>IFERROR(AI158/F158,"")</f>
        <v>3.497513236001925E-2</v>
      </c>
      <c r="AK158" s="14">
        <v>89</v>
      </c>
      <c r="AL158" s="14">
        <v>105</v>
      </c>
      <c r="AM158" s="14">
        <v>105</v>
      </c>
      <c r="AN158" s="14">
        <v>286</v>
      </c>
      <c r="AO158" s="14">
        <v>183</v>
      </c>
      <c r="AP158" s="18">
        <v>2</v>
      </c>
      <c r="AQ158" s="19">
        <f>IFERROR(AL158*1000/AZ158,"")</f>
        <v>35.738597685500338</v>
      </c>
      <c r="AR158" s="14">
        <v>237</v>
      </c>
      <c r="AS158" s="14">
        <v>125</v>
      </c>
      <c r="AT158" s="14">
        <v>48</v>
      </c>
      <c r="AU158" s="14">
        <v>4</v>
      </c>
      <c r="AV158" s="14">
        <v>60</v>
      </c>
      <c r="AW158" s="15">
        <f>IFERROR(AS158/AR158,"")</f>
        <v>0.52742616033755274</v>
      </c>
      <c r="AX158" s="14">
        <v>2</v>
      </c>
      <c r="AY158" s="14">
        <v>9</v>
      </c>
      <c r="AZ158" s="14">
        <v>2938</v>
      </c>
      <c r="BA158" s="20">
        <v>322.62799999999999</v>
      </c>
      <c r="BB158" s="20">
        <v>9.11</v>
      </c>
      <c r="BC158" s="21">
        <v>0.59699999999999998</v>
      </c>
      <c r="BD158" s="18">
        <v>52.9</v>
      </c>
      <c r="BE158" s="18">
        <v>98.27</v>
      </c>
      <c r="BF158" s="18">
        <v>3.9</v>
      </c>
      <c r="BG158" s="18">
        <v>4</v>
      </c>
      <c r="BH158" s="18">
        <v>3.37</v>
      </c>
      <c r="BI158" s="14">
        <v>286</v>
      </c>
      <c r="BJ158" s="18">
        <v>2</v>
      </c>
      <c r="BK158" s="15">
        <f>IFERROR(BI158/AZ158,"")</f>
        <v>9.7345132743362831E-2</v>
      </c>
      <c r="BL158" s="22">
        <f>IFERROR(AI158+K158+S158+AA158-F158,"")</f>
        <v>0</v>
      </c>
      <c r="BM158" s="22">
        <f>IFERROR(F158+G158-C158,"")</f>
        <v>0</v>
      </c>
      <c r="BN158" s="22">
        <f>IF(I158="","",IFERROR(C158*1000/H158-I158,""))</f>
        <v>5.3174294060227112E-2</v>
      </c>
    </row>
    <row r="159" spans="1:66">
      <c r="A159" s="13" t="s">
        <v>413</v>
      </c>
      <c r="B159" s="13" t="s">
        <v>414</v>
      </c>
      <c r="C159" s="14">
        <v>38240</v>
      </c>
      <c r="D159" s="14">
        <v>42744</v>
      </c>
      <c r="E159" s="14">
        <v>48944</v>
      </c>
      <c r="F159" s="14">
        <v>37215</v>
      </c>
      <c r="G159" s="14">
        <v>1025</v>
      </c>
      <c r="H159" s="14">
        <v>2732</v>
      </c>
      <c r="I159" s="14">
        <v>13997.23</v>
      </c>
      <c r="J159" s="14">
        <v>19066.57</v>
      </c>
      <c r="K159" s="14">
        <v>5959</v>
      </c>
      <c r="L159" s="15">
        <f>IFERROR(K159/F159,"")</f>
        <v>0.16012360607282011</v>
      </c>
      <c r="M159" s="16">
        <f>IFERROR(K159*1000/H159,"")</f>
        <v>2181.1859443631038</v>
      </c>
      <c r="N159" s="17">
        <f>IF(L159="","",RANK(L159,$L$3:$L$168,0)+COUNTIF($L$3:L159,L159)-1)</f>
        <v>44</v>
      </c>
      <c r="O159" s="17">
        <f>IF(K159="","",RANK(K159,$K$3:$K$168,0)+COUNTIF($K$3:K159,K159)-1)</f>
        <v>85</v>
      </c>
      <c r="P159" s="14">
        <v>29</v>
      </c>
      <c r="Q159" s="15">
        <f>IFERROR(P159/AR159,"")</f>
        <v>0.16022099447513813</v>
      </c>
      <c r="R159" s="16">
        <v>6</v>
      </c>
      <c r="S159" s="14">
        <v>7104</v>
      </c>
      <c r="T159" s="15">
        <f>IFERROR(S159/F159,"")</f>
        <v>0.19089076985086659</v>
      </c>
      <c r="U159" s="16">
        <f>IFERROR(S159*1000/H159,"")</f>
        <v>2600.2928257686676</v>
      </c>
      <c r="V159" s="17">
        <f>IF(T159="","",RANK(T159,$T$3:$T$168,0)+COUNTIF($T$3:T159,T159)-1)</f>
        <v>148</v>
      </c>
      <c r="W159" s="17">
        <f>IF(S159="","",RANK(S159,$S$3:$S$168,0)+COUNTIF($S$3:S159,S159)-1)</f>
        <v>162</v>
      </c>
      <c r="X159" s="14">
        <v>59</v>
      </c>
      <c r="Y159" s="14">
        <v>83</v>
      </c>
      <c r="Z159" s="15">
        <f>IFERROR((X159+Y159)/AR159,"")</f>
        <v>0.78453038674033149</v>
      </c>
      <c r="AA159" s="14">
        <v>22391</v>
      </c>
      <c r="AB159" s="15">
        <f>IFERROR(AA159/F159,"")</f>
        <v>0.60166599489453176</v>
      </c>
      <c r="AC159" s="16">
        <f>IFERROR(AA159*1000/H159,"")</f>
        <v>8195.827232796486</v>
      </c>
      <c r="AD159" s="17">
        <f>IF(AB159="","",RANK(AB159,$AB$3:$AB$168,0)+COUNTIF($AB$3:AB159,AB159)-1)</f>
        <v>50</v>
      </c>
      <c r="AE159" s="17">
        <f>IF(AA159="","",RANK(AA159,$AA$3:$AA$168,0)+COUNTIF($AA$3:AA159,AA159)-1)</f>
        <v>157</v>
      </c>
      <c r="AF159" s="18">
        <v>91.77</v>
      </c>
      <c r="AG159" s="14">
        <v>37141389.590000004</v>
      </c>
      <c r="AH159" s="16">
        <f>IFERROR(AG159/AZ159,"")</f>
        <v>14468.792204908455</v>
      </c>
      <c r="AI159" s="14">
        <v>1762</v>
      </c>
      <c r="AJ159" s="15">
        <f>IFERROR(AI159/F159,"")</f>
        <v>4.7346500067177215E-2</v>
      </c>
      <c r="AK159" s="14">
        <v>65</v>
      </c>
      <c r="AL159" s="14">
        <v>72</v>
      </c>
      <c r="AM159" s="14">
        <v>73</v>
      </c>
      <c r="AN159" s="14">
        <v>333</v>
      </c>
      <c r="AO159" s="14">
        <v>288</v>
      </c>
      <c r="AP159" s="18">
        <v>2</v>
      </c>
      <c r="AQ159" s="19">
        <f>IFERROR(AL159*1000/AZ159,"")</f>
        <v>28.048305414881185</v>
      </c>
      <c r="AR159" s="14">
        <v>181</v>
      </c>
      <c r="AS159" s="14">
        <v>78</v>
      </c>
      <c r="AT159" s="14">
        <v>51</v>
      </c>
      <c r="AU159" s="14">
        <v>7</v>
      </c>
      <c r="AV159" s="14">
        <v>45</v>
      </c>
      <c r="AW159" s="15">
        <f>IFERROR(AS159/AR159,"")</f>
        <v>0.43093922651933703</v>
      </c>
      <c r="AX159" s="14">
        <v>2</v>
      </c>
      <c r="AY159" s="14">
        <v>8</v>
      </c>
      <c r="AZ159" s="14">
        <v>2567</v>
      </c>
      <c r="BA159" s="20">
        <v>111.607</v>
      </c>
      <c r="BB159" s="20">
        <v>23</v>
      </c>
      <c r="BC159" s="21">
        <v>0.58899999999999997</v>
      </c>
      <c r="BD159" s="18">
        <v>48.2</v>
      </c>
      <c r="BE159" s="18">
        <v>100</v>
      </c>
      <c r="BF159" s="18">
        <v>4.5</v>
      </c>
      <c r="BG159" s="18">
        <v>3.8</v>
      </c>
      <c r="BH159" s="18">
        <v>0.71</v>
      </c>
      <c r="BI159" s="14">
        <v>333</v>
      </c>
      <c r="BJ159" s="18">
        <v>2</v>
      </c>
      <c r="BK159" s="15">
        <f>IFERROR(BI159/AZ159,"")</f>
        <v>0.12972341254382547</v>
      </c>
      <c r="BL159" s="22">
        <f>IFERROR(AI159+K159+S159+AA159-F159,"")</f>
        <v>1</v>
      </c>
      <c r="BM159" s="22">
        <f>IFERROR(F159+G159-C159,"")</f>
        <v>0</v>
      </c>
      <c r="BN159" s="22">
        <f>IF(I159="","",IFERROR(C159*1000/H159-I159,""))</f>
        <v>-0.15825768667673401</v>
      </c>
    </row>
    <row r="160" spans="1:66">
      <c r="A160" s="13" t="s">
        <v>415</v>
      </c>
      <c r="B160" s="13" t="s">
        <v>416</v>
      </c>
      <c r="C160" s="14">
        <v>37507</v>
      </c>
      <c r="D160" s="14">
        <v>37690</v>
      </c>
      <c r="E160" s="14">
        <v>42857</v>
      </c>
      <c r="F160" s="14">
        <v>36126</v>
      </c>
      <c r="G160" s="14">
        <v>1380</v>
      </c>
      <c r="H160" s="14">
        <v>3648</v>
      </c>
      <c r="I160" s="14">
        <v>10281.41</v>
      </c>
      <c r="J160" s="14">
        <v>15867.02</v>
      </c>
      <c r="K160" s="14">
        <v>1679</v>
      </c>
      <c r="L160" s="15">
        <f>IFERROR(K160/F160,"")</f>
        <v>4.6476222111498641E-2</v>
      </c>
      <c r="M160" s="16">
        <f>IFERROR(K160*1000/H160,"")</f>
        <v>460.25219298245617</v>
      </c>
      <c r="N160" s="17">
        <f>IF(L160="","",RANK(L160,$L$3:$L$168,0)+COUNTIF($L$3:L160,L160)-1)</f>
        <v>96</v>
      </c>
      <c r="O160" s="17">
        <f>IF(K160="","",RANK(K160,$K$3:$K$168,0)+COUNTIF($K$3:K160,K160)-1)</f>
        <v>148</v>
      </c>
      <c r="P160" s="14">
        <v>21</v>
      </c>
      <c r="Q160" s="15">
        <f>IFERROR(P160/AR160,"")</f>
        <v>0.15441176470588236</v>
      </c>
      <c r="R160" s="16">
        <v>9</v>
      </c>
      <c r="S160" s="14">
        <v>7704</v>
      </c>
      <c r="T160" s="15">
        <f>IFERROR(S160/F160,"")</f>
        <v>0.21325361235675136</v>
      </c>
      <c r="U160" s="16">
        <f>IFERROR(S160*1000/H160,"")</f>
        <v>2111.8421052631579</v>
      </c>
      <c r="V160" s="17">
        <f>IF(T160="","",RANK(T160,$T$3:$T$168,0)+COUNTIF($T$3:T160,T160)-1)</f>
        <v>134</v>
      </c>
      <c r="W160" s="17">
        <f>IF(S160="","",RANK(S160,$S$3:$S$168,0)+COUNTIF($S$3:S160,S160)-1)</f>
        <v>158</v>
      </c>
      <c r="X160" s="14">
        <v>39</v>
      </c>
      <c r="Y160" s="14">
        <v>61</v>
      </c>
      <c r="Z160" s="15">
        <f>IFERROR((X160+Y160)/AR160,"")</f>
        <v>0.73529411764705888</v>
      </c>
      <c r="AA160" s="14">
        <v>24804</v>
      </c>
      <c r="AB160" s="15">
        <f>IFERROR(AA160/F160,"")</f>
        <v>0.68659691081215746</v>
      </c>
      <c r="AC160" s="16">
        <f>IFERROR(AA160*1000/H160,"")</f>
        <v>6799.3421052631575</v>
      </c>
      <c r="AD160" s="17">
        <f>IF(AB160="","",RANK(AB160,$AB$3:$AB$168,0)+COUNTIF($AB$3:AB160,AB160)-1)</f>
        <v>14</v>
      </c>
      <c r="AE160" s="17">
        <f>IF(AA160="","",RANK(AA160,$AA$3:$AA$168,0)+COUNTIF($AA$3:AA160,AA160)-1)</f>
        <v>151</v>
      </c>
      <c r="AF160" s="18">
        <v>91.41</v>
      </c>
      <c r="AG160" s="14">
        <v>41501780.649999999</v>
      </c>
      <c r="AH160" s="16">
        <f>IFERROR(AG160/AZ160,"")</f>
        <v>15365.339004072564</v>
      </c>
      <c r="AI160" s="14">
        <v>1939</v>
      </c>
      <c r="AJ160" s="15">
        <f>IFERROR(AI160/F160,"")</f>
        <v>5.3673254719592535E-2</v>
      </c>
      <c r="AK160" s="14">
        <v>70</v>
      </c>
      <c r="AL160" s="14">
        <v>86</v>
      </c>
      <c r="AM160" s="14">
        <v>87</v>
      </c>
      <c r="AN160" s="14">
        <v>348</v>
      </c>
      <c r="AO160" s="14">
        <v>271</v>
      </c>
      <c r="AP160" s="18">
        <v>1.8</v>
      </c>
      <c r="AQ160" s="19">
        <f>IFERROR(AL160*1000/AZ160,"")</f>
        <v>31.840059237319512</v>
      </c>
      <c r="AR160" s="14">
        <v>136</v>
      </c>
      <c r="AS160" s="14">
        <v>42</v>
      </c>
      <c r="AT160" s="14">
        <v>41</v>
      </c>
      <c r="AU160" s="14">
        <v>4</v>
      </c>
      <c r="AV160" s="14">
        <v>49</v>
      </c>
      <c r="AW160" s="15">
        <f>IFERROR(AS160/AR160,"")</f>
        <v>0.30882352941176472</v>
      </c>
      <c r="AX160" s="14">
        <v>2</v>
      </c>
      <c r="AY160" s="14">
        <v>13</v>
      </c>
      <c r="AZ160" s="14">
        <v>2701</v>
      </c>
      <c r="BA160" s="20">
        <v>127.223</v>
      </c>
      <c r="BB160" s="20">
        <v>21.23</v>
      </c>
      <c r="BC160" s="21">
        <v>0.58399999999999996</v>
      </c>
      <c r="BD160" s="18">
        <v>50.1</v>
      </c>
      <c r="BE160" s="18">
        <v>98</v>
      </c>
      <c r="BF160" s="18">
        <v>4.7</v>
      </c>
      <c r="BG160" s="18"/>
      <c r="BH160" s="18">
        <v>41.84</v>
      </c>
      <c r="BI160" s="14">
        <v>348</v>
      </c>
      <c r="BJ160" s="18">
        <v>1.8</v>
      </c>
      <c r="BK160" s="15">
        <f>IFERROR(BI160/AZ160,"")</f>
        <v>0.12884116993706035</v>
      </c>
      <c r="BL160" s="22">
        <f>IFERROR(AI160+K160+S160+AA160-F160,"")</f>
        <v>0</v>
      </c>
      <c r="BM160" s="22">
        <f>IFERROR(F160+G160-C160,"")</f>
        <v>-1</v>
      </c>
      <c r="BN160" s="22">
        <f>IF(I160="","",IFERROR(C160*1000/H160-I160,""))</f>
        <v>0.11412280701733835</v>
      </c>
    </row>
    <row r="161" spans="1:66">
      <c r="A161" s="13" t="s">
        <v>417</v>
      </c>
      <c r="B161" s="13" t="s">
        <v>418</v>
      </c>
      <c r="C161" s="14">
        <v>36353</v>
      </c>
      <c r="D161" s="14">
        <v>44373</v>
      </c>
      <c r="E161" s="14">
        <v>51449</v>
      </c>
      <c r="F161" s="14">
        <v>34553</v>
      </c>
      <c r="G161" s="14">
        <v>1801</v>
      </c>
      <c r="H161" s="14">
        <v>2699</v>
      </c>
      <c r="I161" s="14">
        <v>13469.23</v>
      </c>
      <c r="J161" s="14">
        <v>19083.45</v>
      </c>
      <c r="K161" s="14">
        <v>3284</v>
      </c>
      <c r="L161" s="15">
        <f>IFERROR(K161/F161,"")</f>
        <v>9.5042398633982575E-2</v>
      </c>
      <c r="M161" s="16">
        <f>IFERROR(K161*1000/H161,"")</f>
        <v>1216.7469433123379</v>
      </c>
      <c r="N161" s="17">
        <f>IF(L161="","",RANK(L161,$L$3:$L$168,0)+COUNTIF($L$3:L161,L161)-1)</f>
        <v>60</v>
      </c>
      <c r="O161" s="17">
        <f>IF(K161="","",RANK(K161,$K$3:$K$168,0)+COUNTIF($K$3:K161,K161)-1)</f>
        <v>111</v>
      </c>
      <c r="P161" s="14">
        <v>42</v>
      </c>
      <c r="Q161" s="15">
        <f>IFERROR(P161/AR161,"")</f>
        <v>0.1875</v>
      </c>
      <c r="R161" s="16">
        <v>12</v>
      </c>
      <c r="S161" s="14">
        <v>7772</v>
      </c>
      <c r="T161" s="15">
        <f>IFERROR(S161/F161,"")</f>
        <v>0.22492981796081382</v>
      </c>
      <c r="U161" s="16">
        <f>IFERROR(S161*1000/H161,"")</f>
        <v>2879.5850314931458</v>
      </c>
      <c r="V161" s="17">
        <f>IF(T161="","",RANK(T161,$T$3:$T$168,0)+COUNTIF($T$3:T161,T161)-1)</f>
        <v>119</v>
      </c>
      <c r="W161" s="17">
        <f>IF(S161="","",RANK(S161,$S$3:$S$168,0)+COUNTIF($S$3:S161,S161)-1)</f>
        <v>157</v>
      </c>
      <c r="X161" s="14">
        <v>71</v>
      </c>
      <c r="Y161" s="14">
        <v>102</v>
      </c>
      <c r="Z161" s="15">
        <f>IFERROR((X161+Y161)/AR161,"")</f>
        <v>0.7723214285714286</v>
      </c>
      <c r="AA161" s="14">
        <v>20660</v>
      </c>
      <c r="AB161" s="15">
        <f>IFERROR(AA161/F161,"")</f>
        <v>0.59792203281914735</v>
      </c>
      <c r="AC161" s="16">
        <f>IFERROR(AA161*1000/H161,"")</f>
        <v>7654.6869210818822</v>
      </c>
      <c r="AD161" s="17">
        <f>IF(AB161="","",RANK(AB161,$AB$3:$AB$168,0)+COUNTIF($AB$3:AB161,AB161)-1)</f>
        <v>55</v>
      </c>
      <c r="AE161" s="17">
        <f>IF(AA161="","",RANK(AA161,$AA$3:$AA$168,0)+COUNTIF($AA$3:AA161,AA161)-1)</f>
        <v>162</v>
      </c>
      <c r="AF161" s="18">
        <v>91.74</v>
      </c>
      <c r="AG161" s="14">
        <v>37877323.119999997</v>
      </c>
      <c r="AH161" s="16">
        <f>IFERROR(AG161/AZ161,"")</f>
        <v>14049.452195845697</v>
      </c>
      <c r="AI161" s="14">
        <v>2836</v>
      </c>
      <c r="AJ161" s="15">
        <f>IFERROR(AI161/F161,"")</f>
        <v>8.207680953896912E-2</v>
      </c>
      <c r="AK161" s="14">
        <v>98</v>
      </c>
      <c r="AL161" s="14">
        <v>93</v>
      </c>
      <c r="AM161" s="14">
        <v>95</v>
      </c>
      <c r="AN161" s="14">
        <v>553</v>
      </c>
      <c r="AO161" s="14">
        <v>462</v>
      </c>
      <c r="AP161" s="18">
        <v>1.5</v>
      </c>
      <c r="AQ161" s="19">
        <f>IFERROR(AL161*1000/AZ161,"")</f>
        <v>34.495548961424333</v>
      </c>
      <c r="AR161" s="14">
        <v>224</v>
      </c>
      <c r="AS161" s="14">
        <v>110</v>
      </c>
      <c r="AT161" s="14">
        <v>57</v>
      </c>
      <c r="AU161" s="14">
        <v>4</v>
      </c>
      <c r="AV161" s="14">
        <v>53</v>
      </c>
      <c r="AW161" s="15">
        <f>IFERROR(AS161/AR161,"")</f>
        <v>0.49107142857142855</v>
      </c>
      <c r="AX161" s="14">
        <v>2</v>
      </c>
      <c r="AY161" s="14">
        <v>7</v>
      </c>
      <c r="AZ161" s="14">
        <v>2696</v>
      </c>
      <c r="BA161" s="20">
        <v>188.40299999999999</v>
      </c>
      <c r="BB161" s="20">
        <v>14.31</v>
      </c>
      <c r="BC161" s="21">
        <v>0.64200000000000002</v>
      </c>
      <c r="BD161" s="18">
        <v>41.7</v>
      </c>
      <c r="BE161" s="18">
        <v>100</v>
      </c>
      <c r="BF161" s="18">
        <v>6.4</v>
      </c>
      <c r="BG161" s="18">
        <v>3.9</v>
      </c>
      <c r="BH161" s="18">
        <v>68.349999999999994</v>
      </c>
      <c r="BI161" s="14">
        <v>553</v>
      </c>
      <c r="BJ161" s="18">
        <v>1.5</v>
      </c>
      <c r="BK161" s="15">
        <f>IFERROR(BI161/AZ161,"")</f>
        <v>0.20511869436201779</v>
      </c>
      <c r="BL161" s="22">
        <f>IFERROR(AI161+K161+S161+AA161-F161,"")</f>
        <v>-1</v>
      </c>
      <c r="BM161" s="22">
        <f>IFERROR(F161+G161-C161,"")</f>
        <v>1</v>
      </c>
      <c r="BN161" s="22">
        <f>IF(I161="","",IFERROR(C161*1000/H161-I161,""))</f>
        <v>-0.16738421637637657</v>
      </c>
    </row>
    <row r="162" spans="1:66">
      <c r="A162" s="13" t="s">
        <v>419</v>
      </c>
      <c r="B162" s="13" t="s">
        <v>420</v>
      </c>
      <c r="C162" s="14">
        <v>36126</v>
      </c>
      <c r="D162" s="14">
        <v>43026</v>
      </c>
      <c r="E162" s="14">
        <v>65240</v>
      </c>
      <c r="F162" s="14">
        <v>33704</v>
      </c>
      <c r="G162" s="14">
        <v>2422</v>
      </c>
      <c r="H162" s="14">
        <v>2419</v>
      </c>
      <c r="I162" s="14">
        <v>14934.43</v>
      </c>
      <c r="J162" s="14">
        <v>26726.71</v>
      </c>
      <c r="K162" s="14">
        <v>808</v>
      </c>
      <c r="L162" s="15">
        <f>IFERROR(K162/F162,"")</f>
        <v>2.3973415618324233E-2</v>
      </c>
      <c r="M162" s="16">
        <f>IFERROR(K162*1000/H162,"")</f>
        <v>334.02232327408018</v>
      </c>
      <c r="N162" s="17">
        <f>IF(L162="","",RANK(L162,$L$3:$L$168,0)+COUNTIF($L$3:L162,L162)-1)</f>
        <v>159</v>
      </c>
      <c r="O162" s="17">
        <f>IF(K162="","",RANK(K162,$K$3:$K$168,0)+COUNTIF($K$3:K162,K162)-1)</f>
        <v>165</v>
      </c>
      <c r="P162" s="14">
        <v>15</v>
      </c>
      <c r="Q162" s="15">
        <f>IFERROR(P162/AR162,"")</f>
        <v>0.13761467889908258</v>
      </c>
      <c r="R162" s="16">
        <v>12</v>
      </c>
      <c r="S162" s="14">
        <v>6585</v>
      </c>
      <c r="T162" s="15">
        <f>IFERROR(S162/F162,"")</f>
        <v>0.1953774032755756</v>
      </c>
      <c r="U162" s="16">
        <f>IFERROR(S162*1000/H162,"")</f>
        <v>2722.1992558908642</v>
      </c>
      <c r="V162" s="17">
        <f>IF(T162="","",RANK(T162,$T$3:$T$168,0)+COUNTIF($T$3:T162,T162)-1)</f>
        <v>146</v>
      </c>
      <c r="W162" s="17">
        <f>IF(S162="","",RANK(S162,$S$3:$S$168,0)+COUNTIF($S$3:S162,S162)-1)</f>
        <v>164</v>
      </c>
      <c r="X162" s="14">
        <v>37</v>
      </c>
      <c r="Y162" s="14">
        <v>49</v>
      </c>
      <c r="Z162" s="15">
        <f>IFERROR((X162+Y162)/AR162,"")</f>
        <v>0.78899082568807344</v>
      </c>
      <c r="AA162" s="14">
        <v>22804</v>
      </c>
      <c r="AB162" s="15">
        <f>IFERROR(AA162/F162,"")</f>
        <v>0.67659624970329935</v>
      </c>
      <c r="AC162" s="16">
        <f>IFERROR(AA162*1000/H162,"")</f>
        <v>9427.0359652749066</v>
      </c>
      <c r="AD162" s="17">
        <f>IF(AB162="","",RANK(AB162,$AB$3:$AB$168,0)+COUNTIF($AB$3:AB162,AB162)-1)</f>
        <v>19</v>
      </c>
      <c r="AE162" s="17">
        <f>IF(AA162="","",RANK(AA162,$AA$3:$AA$168,0)+COUNTIF($AA$3:AA162,AA162)-1)</f>
        <v>155</v>
      </c>
      <c r="AF162" s="18">
        <v>90.52</v>
      </c>
      <c r="AG162" s="14">
        <v>39205765.869999997</v>
      </c>
      <c r="AH162" s="16">
        <f>IFERROR(AG162/AZ162,"")</f>
        <v>16061.354309709135</v>
      </c>
      <c r="AI162" s="14">
        <v>3507</v>
      </c>
      <c r="AJ162" s="15">
        <f>IFERROR(AI162/F162,"")</f>
        <v>0.10405293140280085</v>
      </c>
      <c r="AK162" s="14">
        <v>51</v>
      </c>
      <c r="AL162" s="14">
        <v>66</v>
      </c>
      <c r="AM162" s="14">
        <v>66</v>
      </c>
      <c r="AN162" s="14">
        <v>263</v>
      </c>
      <c r="AO162" s="14">
        <v>231</v>
      </c>
      <c r="AP162" s="18">
        <v>1.9</v>
      </c>
      <c r="AQ162" s="19">
        <f>IFERROR(AL162*1000/AZ162,"")</f>
        <v>27.038099139696847</v>
      </c>
      <c r="AR162" s="14">
        <v>109</v>
      </c>
      <c r="AS162" s="14">
        <v>30</v>
      </c>
      <c r="AT162" s="14">
        <v>28</v>
      </c>
      <c r="AU162" s="14">
        <v>1</v>
      </c>
      <c r="AV162" s="14">
        <v>50</v>
      </c>
      <c r="AW162" s="15">
        <f>IFERROR(AS162/AR162,"")</f>
        <v>0.27522935779816515</v>
      </c>
      <c r="AX162" s="14">
        <v>1</v>
      </c>
      <c r="AY162" s="14">
        <v>7</v>
      </c>
      <c r="AZ162" s="14">
        <v>2441</v>
      </c>
      <c r="BA162" s="20">
        <v>294.98500000000001</v>
      </c>
      <c r="BB162" s="20">
        <v>8.27</v>
      </c>
      <c r="BC162" s="21">
        <v>0.55800000000000005</v>
      </c>
      <c r="BD162" s="18">
        <v>55.1</v>
      </c>
      <c r="BE162" s="18">
        <v>99.15</v>
      </c>
      <c r="BF162" s="18">
        <v>4.8</v>
      </c>
      <c r="BG162" s="18">
        <v>4.0999999999999996</v>
      </c>
      <c r="BH162" s="18">
        <v>1.73</v>
      </c>
      <c r="BI162" s="14">
        <v>263</v>
      </c>
      <c r="BJ162" s="18">
        <v>1.9</v>
      </c>
      <c r="BK162" s="15">
        <f>IFERROR(BI162/AZ162,"")</f>
        <v>0.10774272839000409</v>
      </c>
      <c r="BL162" s="22">
        <f>IFERROR(AI162+K162+S162+AA162-F162,"")</f>
        <v>0</v>
      </c>
      <c r="BM162" s="22">
        <f>IFERROR(F162+G162-C162,"")</f>
        <v>0</v>
      </c>
      <c r="BN162" s="22">
        <f>IF(I162="","",IFERROR(C162*1000/H162-I162,""))</f>
        <v>-0.159640347250388</v>
      </c>
    </row>
    <row r="163" spans="1:66">
      <c r="A163" s="13" t="s">
        <v>421</v>
      </c>
      <c r="B163" s="13" t="s">
        <v>422</v>
      </c>
      <c r="C163" s="14">
        <v>34929</v>
      </c>
      <c r="D163" s="14">
        <v>37971</v>
      </c>
      <c r="E163" s="14">
        <v>42669</v>
      </c>
      <c r="F163" s="14">
        <v>33229</v>
      </c>
      <c r="G163" s="14">
        <v>1700</v>
      </c>
      <c r="H163" s="14">
        <v>2264</v>
      </c>
      <c r="I163" s="14">
        <v>15427.96</v>
      </c>
      <c r="J163" s="14">
        <v>20967.759999999998</v>
      </c>
      <c r="K163" s="14">
        <v>1491</v>
      </c>
      <c r="L163" s="15">
        <f>IFERROR(K163/F163,"")</f>
        <v>4.4870444491257634E-2</v>
      </c>
      <c r="M163" s="16">
        <f>IFERROR(K163*1000/H163,"")</f>
        <v>658.56890459363956</v>
      </c>
      <c r="N163" s="17">
        <f>IF(L163="","",RANK(L163,$L$3:$L$168,0)+COUNTIF($L$3:L163,L163)-1)</f>
        <v>100</v>
      </c>
      <c r="O163" s="17">
        <f>IF(K163="","",RANK(K163,$K$3:$K$168,0)+COUNTIF($K$3:K163,K163)-1)</f>
        <v>152</v>
      </c>
      <c r="P163" s="14">
        <v>17</v>
      </c>
      <c r="Q163" s="15">
        <f>IFERROR(P163/AR163,"")</f>
        <v>0.10759493670886076</v>
      </c>
      <c r="R163" s="16">
        <v>2</v>
      </c>
      <c r="S163" s="14">
        <v>7640</v>
      </c>
      <c r="T163" s="15">
        <f>IFERROR(S163/F163,"")</f>
        <v>0.2299196484998044</v>
      </c>
      <c r="U163" s="16">
        <f>IFERROR(S163*1000/H163,"")</f>
        <v>3374.5583038869258</v>
      </c>
      <c r="V163" s="17">
        <f>IF(T163="","",RANK(T163,$T$3:$T$168,0)+COUNTIF($T$3:T163,T163)-1)</f>
        <v>110</v>
      </c>
      <c r="W163" s="17">
        <f>IF(S163="","",RANK(S163,$S$3:$S$168,0)+COUNTIF($S$3:S163,S163)-1)</f>
        <v>160</v>
      </c>
      <c r="X163" s="14">
        <v>39</v>
      </c>
      <c r="Y163" s="14">
        <v>93</v>
      </c>
      <c r="Z163" s="15">
        <f>IFERROR((X163+Y163)/AR163,"")</f>
        <v>0.83544303797468356</v>
      </c>
      <c r="AA163" s="14">
        <v>19281</v>
      </c>
      <c r="AB163" s="15">
        <f>IFERROR(AA163/F163,"")</f>
        <v>0.58024617051370786</v>
      </c>
      <c r="AC163" s="16">
        <f>IFERROR(AA163*1000/H163,"")</f>
        <v>8516.3427561837452</v>
      </c>
      <c r="AD163" s="17">
        <f>IF(AB163="","",RANK(AB163,$AB$3:$AB$168,0)+COUNTIF($AB$3:AB163,AB163)-1)</f>
        <v>64</v>
      </c>
      <c r="AE163" s="17">
        <f>IF(AA163="","",RANK(AA163,$AA$3:$AA$168,0)+COUNTIF($AA$3:AA163,AA163)-1)</f>
        <v>166</v>
      </c>
      <c r="AF163" s="18">
        <v>93.79</v>
      </c>
      <c r="AG163" s="14">
        <v>30806233.280000001</v>
      </c>
      <c r="AH163" s="16">
        <f>IFERROR(AG163/AZ163,"")</f>
        <v>15138.198171990172</v>
      </c>
      <c r="AI163" s="14">
        <v>4817</v>
      </c>
      <c r="AJ163" s="15">
        <f>IFERROR(AI163/F163,"")</f>
        <v>0.14496373649523006</v>
      </c>
      <c r="AK163" s="14">
        <v>57</v>
      </c>
      <c r="AL163" s="14">
        <v>55</v>
      </c>
      <c r="AM163" s="14">
        <v>55</v>
      </c>
      <c r="AN163" s="14">
        <v>328</v>
      </c>
      <c r="AO163" s="14">
        <v>289</v>
      </c>
      <c r="AP163" s="18">
        <v>2</v>
      </c>
      <c r="AQ163" s="19">
        <f>IFERROR(AL163*1000/AZ163,"")</f>
        <v>27.027027027027028</v>
      </c>
      <c r="AR163" s="14">
        <v>158</v>
      </c>
      <c r="AS163" s="14">
        <v>81</v>
      </c>
      <c r="AT163" s="14">
        <v>34</v>
      </c>
      <c r="AU163" s="14">
        <v>0</v>
      </c>
      <c r="AV163" s="14">
        <v>43</v>
      </c>
      <c r="AW163" s="15">
        <f>IFERROR(AS163/AR163,"")</f>
        <v>0.51265822784810122</v>
      </c>
      <c r="AX163" s="14">
        <v>2</v>
      </c>
      <c r="AY163" s="14">
        <v>7</v>
      </c>
      <c r="AZ163" s="14">
        <v>2035</v>
      </c>
      <c r="BA163" s="20">
        <v>127.348</v>
      </c>
      <c r="BB163" s="20">
        <v>15.98</v>
      </c>
      <c r="BC163" s="21">
        <v>0.67900000000000005</v>
      </c>
      <c r="BD163" s="18">
        <v>37.5</v>
      </c>
      <c r="BE163" s="18">
        <v>99.45</v>
      </c>
      <c r="BF163" s="18">
        <v>7.3</v>
      </c>
      <c r="BG163" s="18">
        <v>5.8</v>
      </c>
      <c r="BH163" s="18">
        <v>77</v>
      </c>
      <c r="BI163" s="14">
        <v>328</v>
      </c>
      <c r="BJ163" s="18">
        <v>2</v>
      </c>
      <c r="BK163" s="15">
        <f>IFERROR(BI163/AZ163,"")</f>
        <v>0.16117936117936119</v>
      </c>
      <c r="BL163" s="22">
        <f>IFERROR(AI163+K163+S163+AA163-F163,"")</f>
        <v>0</v>
      </c>
      <c r="BM163" s="22">
        <f>IFERROR(F163+G163-C163,"")</f>
        <v>0</v>
      </c>
      <c r="BN163" s="22">
        <f>IF(I163="","",IFERROR(C163*1000/H163-I163,""))</f>
        <v>4.3533568905331776E-2</v>
      </c>
    </row>
    <row r="164" spans="1:66">
      <c r="A164" s="13" t="s">
        <v>423</v>
      </c>
      <c r="B164" s="13" t="s">
        <v>424</v>
      </c>
      <c r="C164" s="14">
        <v>34552</v>
      </c>
      <c r="D164" s="14">
        <v>37809</v>
      </c>
      <c r="E164" s="14">
        <v>42554</v>
      </c>
      <c r="F164" s="14">
        <v>33061</v>
      </c>
      <c r="G164" s="14">
        <v>1491</v>
      </c>
      <c r="H164" s="14">
        <v>3293</v>
      </c>
      <c r="I164" s="14">
        <v>10492.59</v>
      </c>
      <c r="J164" s="14">
        <v>14444.7</v>
      </c>
      <c r="K164" s="14">
        <v>1001</v>
      </c>
      <c r="L164" s="15">
        <f>IFERROR(K164/F164,"")</f>
        <v>3.0277366080880795E-2</v>
      </c>
      <c r="M164" s="16">
        <f>IFERROR(K164*1000/H164,"")</f>
        <v>303.9781354388096</v>
      </c>
      <c r="N164" s="17">
        <f>IF(L164="","",RANK(L164,$L$3:$L$168,0)+COUNTIF($L$3:L164,L164)-1)</f>
        <v>151</v>
      </c>
      <c r="O164" s="17">
        <f>IF(K164="","",RANK(K164,$K$3:$K$168,0)+COUNTIF($K$3:K164,K164)-1)</f>
        <v>161</v>
      </c>
      <c r="P164" s="14">
        <v>11</v>
      </c>
      <c r="Q164" s="15">
        <f>IFERROR(P164/AR164,"")</f>
        <v>8.461538461538462E-2</v>
      </c>
      <c r="R164" s="16">
        <v>1</v>
      </c>
      <c r="S164" s="14">
        <v>8887</v>
      </c>
      <c r="T164" s="15">
        <f>IFERROR(S164/F164,"")</f>
        <v>0.26880614621457305</v>
      </c>
      <c r="U164" s="16">
        <f>IFERROR(S164*1000/H164,"")</f>
        <v>2698.7549347099907</v>
      </c>
      <c r="V164" s="17">
        <f>IF(T164="","",RANK(T164,$T$3:$T$168,0)+COUNTIF($T$3:T164,T164)-1)</f>
        <v>76</v>
      </c>
      <c r="W164" s="17">
        <f>IF(S164="","",RANK(S164,$S$3:$S$168,0)+COUNTIF($S$3:S164,S164)-1)</f>
        <v>151</v>
      </c>
      <c r="X164" s="14">
        <v>47</v>
      </c>
      <c r="Y164" s="14">
        <v>63</v>
      </c>
      <c r="Z164" s="15">
        <f>IFERROR((X164+Y164)/AR164,"")</f>
        <v>0.84615384615384615</v>
      </c>
      <c r="AA164" s="14">
        <v>22038</v>
      </c>
      <c r="AB164" s="15">
        <f>IFERROR(AA164/F164,"")</f>
        <v>0.66658600768276821</v>
      </c>
      <c r="AC164" s="16">
        <f>IFERROR(AA164*1000/H164,"")</f>
        <v>6692.3777710294562</v>
      </c>
      <c r="AD164" s="17">
        <f>IF(AB164="","",RANK(AB164,$AB$3:$AB$168,0)+COUNTIF($AB$3:AB164,AB164)-1)</f>
        <v>24</v>
      </c>
      <c r="AE164" s="17">
        <f>IF(AA164="","",RANK(AA164,$AA$3:$AA$168,0)+COUNTIF($AA$3:AA164,AA164)-1)</f>
        <v>158</v>
      </c>
      <c r="AF164" s="18">
        <v>96.92</v>
      </c>
      <c r="AG164" s="14">
        <v>32354939.949999999</v>
      </c>
      <c r="AH164" s="16">
        <f>IFERROR(AG164/AZ164,"")</f>
        <v>10982.668007467753</v>
      </c>
      <c r="AI164" s="14">
        <v>1135</v>
      </c>
      <c r="AJ164" s="15">
        <f>IFERROR(AI164/F164,"")</f>
        <v>3.4330480021777923E-2</v>
      </c>
      <c r="AK164" s="14">
        <v>50</v>
      </c>
      <c r="AL164" s="14">
        <v>61</v>
      </c>
      <c r="AM164" s="14">
        <v>61</v>
      </c>
      <c r="AN164" s="14">
        <v>302</v>
      </c>
      <c r="AO164" s="14">
        <v>261</v>
      </c>
      <c r="AP164" s="18">
        <v>1.8</v>
      </c>
      <c r="AQ164" s="19">
        <f>IFERROR(AL164*1000/AZ164,"")</f>
        <v>20.706042090970808</v>
      </c>
      <c r="AR164" s="14">
        <v>130</v>
      </c>
      <c r="AS164" s="14">
        <v>47</v>
      </c>
      <c r="AT164" s="14">
        <v>41</v>
      </c>
      <c r="AU164" s="14">
        <v>2</v>
      </c>
      <c r="AV164" s="14">
        <v>40</v>
      </c>
      <c r="AW164" s="15">
        <f>IFERROR(AS164/AR164,"")</f>
        <v>0.36153846153846153</v>
      </c>
      <c r="AX164" s="14">
        <v>1</v>
      </c>
      <c r="AY164" s="14">
        <v>8</v>
      </c>
      <c r="AZ164" s="14">
        <v>2946</v>
      </c>
      <c r="BA164" s="20">
        <v>50.683999999999997</v>
      </c>
      <c r="BB164" s="20">
        <v>58.12</v>
      </c>
      <c r="BC164" s="21">
        <v>0.61599999999999999</v>
      </c>
      <c r="BD164" s="18">
        <v>55.1</v>
      </c>
      <c r="BE164" s="18">
        <v>100</v>
      </c>
      <c r="BF164" s="18">
        <v>5.9</v>
      </c>
      <c r="BG164" s="18">
        <v>4.5</v>
      </c>
      <c r="BH164" s="18">
        <v>1.05</v>
      </c>
      <c r="BI164" s="14">
        <v>302</v>
      </c>
      <c r="BJ164" s="18">
        <v>1.8</v>
      </c>
      <c r="BK164" s="15">
        <f>IFERROR(BI164/AZ164,"")</f>
        <v>0.10251188051595383</v>
      </c>
      <c r="BL164" s="22">
        <f>IFERROR(AI164+K164+S164+AA164-F164,"")</f>
        <v>0</v>
      </c>
      <c r="BM164" s="22">
        <f>IFERROR(F164+G164-C164,"")</f>
        <v>0</v>
      </c>
      <c r="BN164" s="22">
        <f>IF(I164="","",IFERROR(C164*1000/H164-I164,""))</f>
        <v>-3.0024293957467307E-2</v>
      </c>
    </row>
    <row r="165" spans="1:66">
      <c r="A165" s="13" t="s">
        <v>425</v>
      </c>
      <c r="B165" s="13" t="s">
        <v>426</v>
      </c>
      <c r="C165" s="14">
        <v>32758</v>
      </c>
      <c r="D165" s="14">
        <v>36904</v>
      </c>
      <c r="E165" s="14">
        <v>42580</v>
      </c>
      <c r="F165" s="14">
        <v>31762</v>
      </c>
      <c r="G165" s="14">
        <v>995</v>
      </c>
      <c r="H165" s="14">
        <v>2801</v>
      </c>
      <c r="I165" s="14">
        <v>11694.99</v>
      </c>
      <c r="J165" s="14">
        <v>15770.38</v>
      </c>
      <c r="K165" s="14">
        <v>1082</v>
      </c>
      <c r="L165" s="15">
        <f>IFERROR(K165/F165,"")</f>
        <v>3.4065864869970403E-2</v>
      </c>
      <c r="M165" s="16">
        <f>IFERROR(K165*1000/H165,"")</f>
        <v>386.29061049625136</v>
      </c>
      <c r="N165" s="17">
        <f>IF(L165="","",RANK(L165,$L$3:$L$168,0)+COUNTIF($L$3:L165,L165)-1)</f>
        <v>140</v>
      </c>
      <c r="O165" s="17">
        <f>IF(K165="","",RANK(K165,$K$3:$K$168,0)+COUNTIF($K$3:K165,K165)-1)</f>
        <v>159</v>
      </c>
      <c r="P165" s="14">
        <v>11</v>
      </c>
      <c r="Q165" s="15">
        <f>IFERROR(P165/AR165,"")</f>
        <v>0.10784313725490197</v>
      </c>
      <c r="R165" s="16">
        <v>3</v>
      </c>
      <c r="S165" s="14">
        <v>6640</v>
      </c>
      <c r="T165" s="15">
        <f>IFERROR(S165/F165,"")</f>
        <v>0.20905484541275737</v>
      </c>
      <c r="U165" s="16">
        <f>IFERROR(S165*1000/H165,"")</f>
        <v>2370.5819350232059</v>
      </c>
      <c r="V165" s="17">
        <f>IF(T165="","",RANK(T165,$T$3:$T$168,0)+COUNTIF($T$3:T165,T165)-1)</f>
        <v>139</v>
      </c>
      <c r="W165" s="17">
        <f>IF(S165="","",RANK(S165,$S$3:$S$168,0)+COUNTIF($S$3:S165,S165)-1)</f>
        <v>163</v>
      </c>
      <c r="X165" s="14">
        <v>24</v>
      </c>
      <c r="Y165" s="14">
        <v>57</v>
      </c>
      <c r="Z165" s="15">
        <f>IFERROR((X165+Y165)/AR165,"")</f>
        <v>0.79411764705882348</v>
      </c>
      <c r="AA165" s="14">
        <v>20834</v>
      </c>
      <c r="AB165" s="15">
        <f>IFERROR(AA165/F165,"")</f>
        <v>0.65594106164599209</v>
      </c>
      <c r="AC165" s="16">
        <f>IFERROR(AA165*1000/H165,"")</f>
        <v>7438.0578364869689</v>
      </c>
      <c r="AD165" s="17">
        <f>IF(AB165="","",RANK(AB165,$AB$3:$AB$168,0)+COUNTIF($AB$3:AB165,AB165)-1)</f>
        <v>28</v>
      </c>
      <c r="AE165" s="17">
        <f>IF(AA165="","",RANK(AA165,$AA$3:$AA$168,0)+COUNTIF($AA$3:AA165,AA165)-1)</f>
        <v>161</v>
      </c>
      <c r="AF165" s="18">
        <v>97.85</v>
      </c>
      <c r="AG165" s="14">
        <v>29338823.190000001</v>
      </c>
      <c r="AH165" s="16">
        <f>IFERROR(AG165/AZ165,"")</f>
        <v>10866.230811111112</v>
      </c>
      <c r="AI165" s="14">
        <v>3207</v>
      </c>
      <c r="AJ165" s="15">
        <f>IFERROR(AI165/F165,"")</f>
        <v>0.10096971223474592</v>
      </c>
      <c r="AK165" s="14">
        <v>58</v>
      </c>
      <c r="AL165" s="14">
        <v>66</v>
      </c>
      <c r="AM165" s="14">
        <v>68</v>
      </c>
      <c r="AN165" s="14">
        <v>374</v>
      </c>
      <c r="AO165" s="14">
        <v>339</v>
      </c>
      <c r="AP165" s="18">
        <v>1.5</v>
      </c>
      <c r="AQ165" s="19">
        <f>IFERROR(AL165*1000/AZ165,"")</f>
        <v>24.444444444444443</v>
      </c>
      <c r="AR165" s="14">
        <v>102</v>
      </c>
      <c r="AS165" s="14">
        <v>29</v>
      </c>
      <c r="AT165" s="14">
        <v>22</v>
      </c>
      <c r="AU165" s="14">
        <v>3</v>
      </c>
      <c r="AV165" s="14">
        <v>48</v>
      </c>
      <c r="AW165" s="15">
        <f>IFERROR(AS165/AR165,"")</f>
        <v>0.28431372549019607</v>
      </c>
      <c r="AX165" s="14">
        <v>1</v>
      </c>
      <c r="AY165" s="14">
        <v>9</v>
      </c>
      <c r="AZ165" s="14">
        <v>2700</v>
      </c>
      <c r="BA165" s="20">
        <v>181.55799999999999</v>
      </c>
      <c r="BB165" s="20">
        <v>14.87</v>
      </c>
      <c r="BC165" s="21">
        <v>0.60599999999999998</v>
      </c>
      <c r="BD165" s="18">
        <v>49</v>
      </c>
      <c r="BE165" s="18">
        <v>100</v>
      </c>
      <c r="BF165" s="18">
        <v>5.7</v>
      </c>
      <c r="BG165" s="18">
        <v>4.4000000000000004</v>
      </c>
      <c r="BH165" s="18">
        <v>13.89</v>
      </c>
      <c r="BI165" s="14">
        <v>374</v>
      </c>
      <c r="BJ165" s="18">
        <v>1.5</v>
      </c>
      <c r="BK165" s="15">
        <f>IFERROR(BI165/AZ165,"")</f>
        <v>0.13851851851851851</v>
      </c>
      <c r="BL165" s="22">
        <f>IFERROR(AI165+K165+S165+AA165-F165,"")</f>
        <v>1</v>
      </c>
      <c r="BM165" s="22">
        <f>IFERROR(F165+G165-C165,"")</f>
        <v>-1</v>
      </c>
      <c r="BN165" s="22">
        <f>IF(I165="","",IFERROR(C165*1000/H165-I165,""))</f>
        <v>0.11888968225684948</v>
      </c>
    </row>
    <row r="166" spans="1:66">
      <c r="A166" s="13" t="s">
        <v>427</v>
      </c>
      <c r="B166" s="13" t="s">
        <v>428</v>
      </c>
      <c r="C166" s="14">
        <v>32472</v>
      </c>
      <c r="D166" s="14">
        <v>37505</v>
      </c>
      <c r="E166" s="14">
        <v>43556</v>
      </c>
      <c r="F166" s="14">
        <v>31296</v>
      </c>
      <c r="G166" s="14">
        <v>1176</v>
      </c>
      <c r="H166" s="14">
        <v>2606</v>
      </c>
      <c r="I166" s="14">
        <v>12460.48</v>
      </c>
      <c r="J166" s="14">
        <v>18629.47</v>
      </c>
      <c r="K166" s="14">
        <v>1477</v>
      </c>
      <c r="L166" s="15">
        <f>IFERROR(K166/F166,"")</f>
        <v>4.7194529652351741E-2</v>
      </c>
      <c r="M166" s="16">
        <f>IFERROR(K166*1000/H166,"")</f>
        <v>566.76899462778204</v>
      </c>
      <c r="N166" s="17">
        <f>IF(L166="","",RANK(L166,$L$3:$L$168,0)+COUNTIF($L$3:L166,L166)-1)</f>
        <v>92</v>
      </c>
      <c r="O166" s="17">
        <f>IF(K166="","",RANK(K166,$K$3:$K$168,0)+COUNTIF($K$3:K166,K166)-1)</f>
        <v>153</v>
      </c>
      <c r="P166" s="14">
        <v>19</v>
      </c>
      <c r="Q166" s="15">
        <f>IFERROR(P166/AR166,"")</f>
        <v>0.14393939393939395</v>
      </c>
      <c r="R166" s="16">
        <v>3</v>
      </c>
      <c r="S166" s="14">
        <v>7701</v>
      </c>
      <c r="T166" s="15">
        <f>IFERROR(S166/F166,"")</f>
        <v>0.24606978527607362</v>
      </c>
      <c r="U166" s="16">
        <f>IFERROR(S166*1000/H166,"")</f>
        <v>2955.1036070606292</v>
      </c>
      <c r="V166" s="17">
        <f>IF(T166="","",RANK(T166,$T$3:$T$168,0)+COUNTIF($T$3:T166,T166)-1)</f>
        <v>94</v>
      </c>
      <c r="W166" s="17">
        <f>IF(S166="","",RANK(S166,$S$3:$S$168,0)+COUNTIF($S$3:S166,S166)-1)</f>
        <v>159</v>
      </c>
      <c r="X166" s="14">
        <v>46</v>
      </c>
      <c r="Y166" s="14">
        <v>60</v>
      </c>
      <c r="Z166" s="15">
        <f>IFERROR((X166+Y166)/AR166,"")</f>
        <v>0.80303030303030298</v>
      </c>
      <c r="AA166" s="14">
        <v>20648</v>
      </c>
      <c r="AB166" s="15">
        <f>IFERROR(AA166/F166,"")</f>
        <v>0.65976482617586907</v>
      </c>
      <c r="AC166" s="16">
        <f>IFERROR(AA166*1000/H166,"")</f>
        <v>7923.2540291634687</v>
      </c>
      <c r="AD166" s="17">
        <f>IF(AB166="","",RANK(AB166,$AB$3:$AB$168,0)+COUNTIF($AB$3:AB166,AB166)-1)</f>
        <v>27</v>
      </c>
      <c r="AE166" s="17">
        <f>IF(AA166="","",RANK(AA166,$AA$3:$AA$168,0)+COUNTIF($AA$3:AA166,AA166)-1)</f>
        <v>163</v>
      </c>
      <c r="AF166" s="18">
        <v>95.09</v>
      </c>
      <c r="AG166" s="14">
        <v>33725197.090000004</v>
      </c>
      <c r="AH166" s="16">
        <f>IFERROR(AG166/AZ166,"")</f>
        <v>14424.806283147991</v>
      </c>
      <c r="AI166" s="14">
        <v>1470</v>
      </c>
      <c r="AJ166" s="15">
        <f>IFERROR(AI166/F166,"")</f>
        <v>4.6970858895705521E-2</v>
      </c>
      <c r="AK166" s="14">
        <v>67</v>
      </c>
      <c r="AL166" s="14">
        <v>68</v>
      </c>
      <c r="AM166" s="14">
        <v>68</v>
      </c>
      <c r="AN166" s="14">
        <v>393</v>
      </c>
      <c r="AO166" s="14">
        <v>330</v>
      </c>
      <c r="AP166" s="18">
        <v>1.8</v>
      </c>
      <c r="AQ166" s="19">
        <f>IFERROR(AL166*1000/AZ166,"")</f>
        <v>29.084687767322499</v>
      </c>
      <c r="AR166" s="14">
        <v>132</v>
      </c>
      <c r="AS166" s="14">
        <v>49</v>
      </c>
      <c r="AT166" s="14">
        <v>41</v>
      </c>
      <c r="AU166" s="14">
        <v>5</v>
      </c>
      <c r="AV166" s="14">
        <v>37</v>
      </c>
      <c r="AW166" s="15">
        <f>IFERROR(AS166/AR166,"")</f>
        <v>0.37121212121212122</v>
      </c>
      <c r="AX166" s="14">
        <v>1</v>
      </c>
      <c r="AY166" s="14">
        <v>6</v>
      </c>
      <c r="AZ166" s="14">
        <v>2338</v>
      </c>
      <c r="BA166" s="20">
        <v>124.093</v>
      </c>
      <c r="BB166" s="20">
        <v>18.84</v>
      </c>
      <c r="BC166" s="21">
        <v>0.61199999999999999</v>
      </c>
      <c r="BD166" s="18">
        <v>49.5</v>
      </c>
      <c r="BE166" s="18">
        <v>100</v>
      </c>
      <c r="BF166" s="18">
        <v>6</v>
      </c>
      <c r="BG166" s="18">
        <v>4.5999999999999996</v>
      </c>
      <c r="BH166" s="18">
        <v>25.32</v>
      </c>
      <c r="BI166" s="14">
        <v>393</v>
      </c>
      <c r="BJ166" s="18">
        <v>1.8</v>
      </c>
      <c r="BK166" s="15">
        <f>IFERROR(BI166/AZ166,"")</f>
        <v>0.16809238665526091</v>
      </c>
      <c r="BL166" s="22">
        <f>IFERROR(AI166+K166+S166+AA166-F166,"")</f>
        <v>0</v>
      </c>
      <c r="BM166" s="22">
        <f>IFERROR(F166+G166-C166,"")</f>
        <v>0</v>
      </c>
      <c r="BN166" s="22">
        <f>IF(I166="","",IFERROR(C166*1000/H166-I166,""))</f>
        <v>-4.1749808133317856E-3</v>
      </c>
    </row>
    <row r="167" spans="1:66">
      <c r="A167" s="13" t="s">
        <v>429</v>
      </c>
      <c r="B167" s="13" t="s">
        <v>430</v>
      </c>
      <c r="C167" s="14">
        <v>32366</v>
      </c>
      <c r="D167" s="14">
        <v>37849</v>
      </c>
      <c r="E167" s="14">
        <v>45922</v>
      </c>
      <c r="F167" s="14">
        <v>31374</v>
      </c>
      <c r="G167" s="14">
        <v>992</v>
      </c>
      <c r="H167" s="14">
        <v>2063</v>
      </c>
      <c r="I167" s="14">
        <v>15688.66</v>
      </c>
      <c r="J167" s="14">
        <v>20176.560000000001</v>
      </c>
      <c r="K167" s="14">
        <v>987</v>
      </c>
      <c r="L167" s="15">
        <f>IFERROR(K167/F167,"")</f>
        <v>3.1459170013386883E-2</v>
      </c>
      <c r="M167" s="16">
        <f>IFERROR(K167*1000/H167,"")</f>
        <v>478.429471643238</v>
      </c>
      <c r="N167" s="17">
        <f>IF(L167="","",RANK(L167,$L$3:$L$168,0)+COUNTIF($L$3:L167,L167)-1)</f>
        <v>146</v>
      </c>
      <c r="O167" s="17">
        <f>IF(K167="","",RANK(K167,$K$3:$K$168,0)+COUNTIF($K$3:K167,K167)-1)</f>
        <v>162</v>
      </c>
      <c r="P167" s="14">
        <v>10</v>
      </c>
      <c r="Q167" s="15">
        <f>IFERROR(P167/AR167,"")</f>
        <v>7.9365079365079361E-2</v>
      </c>
      <c r="R167" s="16">
        <v>3</v>
      </c>
      <c r="S167" s="14">
        <v>8061</v>
      </c>
      <c r="T167" s="15">
        <f>IFERROR(S167/F167,"")</f>
        <v>0.25693249187225092</v>
      </c>
      <c r="U167" s="16">
        <f>IFERROR(S167*1000/H167,"")</f>
        <v>3907.4163839069315</v>
      </c>
      <c r="V167" s="17">
        <f>IF(T167="","",RANK(T167,$T$3:$T$168,0)+COUNTIF($T$3:T167,T167)-1)</f>
        <v>89</v>
      </c>
      <c r="W167" s="17">
        <f>IF(S167="","",RANK(S167,$S$3:$S$168,0)+COUNTIF($S$3:S167,S167)-1)</f>
        <v>156</v>
      </c>
      <c r="X167" s="14">
        <v>27</v>
      </c>
      <c r="Y167" s="14">
        <v>81</v>
      </c>
      <c r="Z167" s="15">
        <f>IFERROR((X167+Y167)/AR167,"")</f>
        <v>0.8571428571428571</v>
      </c>
      <c r="AA167" s="14">
        <v>21099</v>
      </c>
      <c r="AB167" s="15">
        <f>IFERROR(AA167/F167,"")</f>
        <v>0.67249952189711226</v>
      </c>
      <c r="AC167" s="16">
        <f>IFERROR(AA167*1000/H167,"")</f>
        <v>10227.338826951041</v>
      </c>
      <c r="AD167" s="17">
        <f>IF(AB167="","",RANK(AB167,$AB$3:$AB$168,0)+COUNTIF($AB$3:AB167,AB167)-1)</f>
        <v>20</v>
      </c>
      <c r="AE167" s="17">
        <f>IF(AA167="","",RANK(AA167,$AA$3:$AA$168,0)+COUNTIF($AA$3:AA167,AA167)-1)</f>
        <v>160</v>
      </c>
      <c r="AF167" s="18">
        <v>93.45</v>
      </c>
      <c r="AG167" s="14">
        <v>36194716.700000003</v>
      </c>
      <c r="AH167" s="16">
        <f>IFERROR(AG167/AZ167,"")</f>
        <v>15902.77535149385</v>
      </c>
      <c r="AI167" s="14">
        <v>1227</v>
      </c>
      <c r="AJ167" s="15">
        <f>IFERROR(AI167/F167,"")</f>
        <v>3.9108816217249952E-2</v>
      </c>
      <c r="AK167" s="14">
        <v>60</v>
      </c>
      <c r="AL167" s="14">
        <v>76</v>
      </c>
      <c r="AM167" s="14">
        <v>76</v>
      </c>
      <c r="AN167" s="14">
        <v>394</v>
      </c>
      <c r="AO167" s="14">
        <v>339</v>
      </c>
      <c r="AP167" s="18">
        <v>1.9</v>
      </c>
      <c r="AQ167" s="19">
        <f>IFERROR(AL167*1000/AZ167,"")</f>
        <v>33.391915641476274</v>
      </c>
      <c r="AR167" s="14">
        <v>126</v>
      </c>
      <c r="AS167" s="14">
        <v>37</v>
      </c>
      <c r="AT167" s="14">
        <v>36</v>
      </c>
      <c r="AU167" s="14">
        <v>3</v>
      </c>
      <c r="AV167" s="14">
        <v>50</v>
      </c>
      <c r="AW167" s="15">
        <f>IFERROR(AS167/AR167,"")</f>
        <v>0.29365079365079366</v>
      </c>
      <c r="AX167" s="14">
        <v>1</v>
      </c>
      <c r="AY167" s="14">
        <v>7</v>
      </c>
      <c r="AZ167" s="14">
        <v>2276</v>
      </c>
      <c r="BA167" s="20">
        <v>71.945999999999998</v>
      </c>
      <c r="BB167" s="20">
        <v>31.63</v>
      </c>
      <c r="BC167" s="21">
        <v>0.59799999999999998</v>
      </c>
      <c r="BD167" s="18">
        <v>50.2</v>
      </c>
      <c r="BE167" s="18">
        <v>99.42</v>
      </c>
      <c r="BF167" s="18">
        <v>5.5</v>
      </c>
      <c r="BG167" s="18">
        <v>4.2</v>
      </c>
      <c r="BH167" s="18">
        <v>37.35</v>
      </c>
      <c r="BI167" s="14">
        <v>394</v>
      </c>
      <c r="BJ167" s="18">
        <v>1.9</v>
      </c>
      <c r="BK167" s="15">
        <f>IFERROR(BI167/AZ167,"")</f>
        <v>0.17311072056239016</v>
      </c>
      <c r="BL167" s="22">
        <f>IFERROR(AI167+K167+S167+AA167-F167,"")</f>
        <v>0</v>
      </c>
      <c r="BM167" s="22">
        <f>IFERROR(F167+G167-C167,"")</f>
        <v>0</v>
      </c>
      <c r="BN167" s="22">
        <f>IF(I167="","",IFERROR(C167*1000/H167-I167,""))</f>
        <v>0.1427144934568787</v>
      </c>
    </row>
    <row r="168" spans="1:66">
      <c r="A168" s="13" t="s">
        <v>431</v>
      </c>
      <c r="B168" s="13" t="s">
        <v>432</v>
      </c>
      <c r="C168" s="14">
        <v>27991</v>
      </c>
      <c r="D168" s="14">
        <v>28717</v>
      </c>
      <c r="E168" s="14">
        <v>33800</v>
      </c>
      <c r="F168" s="14">
        <v>27290</v>
      </c>
      <c r="G168" s="14">
        <v>700</v>
      </c>
      <c r="H168" s="14">
        <v>2653</v>
      </c>
      <c r="I168" s="14">
        <v>10550.56</v>
      </c>
      <c r="J168" s="14">
        <v>16281.41</v>
      </c>
      <c r="K168" s="14">
        <v>560</v>
      </c>
      <c r="L168" s="15">
        <f>IFERROR(K168/F168,"")</f>
        <v>2.0520337119824112E-2</v>
      </c>
      <c r="M168" s="16">
        <f>IFERROR(K168*1000/H168,"")</f>
        <v>211.08179419525067</v>
      </c>
      <c r="N168" s="17">
        <f>IF(L168="","",RANK(L168,$L$3:$L$168,0)+COUNTIF($L$3:L168,L168)-1)</f>
        <v>163</v>
      </c>
      <c r="O168" s="17">
        <f>IF(K168="","",RANK(K168,$K$3:$K$168,0)+COUNTIF($K$3:K168,K168)-1)</f>
        <v>166</v>
      </c>
      <c r="P168" s="14">
        <v>3</v>
      </c>
      <c r="Q168" s="15">
        <f>IFERROR(P168/AR168,"")</f>
        <v>2.5862068965517241E-2</v>
      </c>
      <c r="R168" s="16">
        <v>2</v>
      </c>
      <c r="S168" s="14">
        <v>5316</v>
      </c>
      <c r="T168" s="15">
        <f>IFERROR(S168/F168,"")</f>
        <v>0.19479662880175888</v>
      </c>
      <c r="U168" s="16">
        <f>IFERROR(S168*1000/H168,"")</f>
        <v>2003.7693177534866</v>
      </c>
      <c r="V168" s="17">
        <f>IF(T168="","",RANK(T168,$T$3:$T$168,0)+COUNTIF($T$3:T168,T168)-1)</f>
        <v>147</v>
      </c>
      <c r="W168" s="17">
        <f>IF(S168="","",RANK(S168,$S$3:$S$168,0)+COUNTIF($S$3:S168,S168)-1)</f>
        <v>166</v>
      </c>
      <c r="X168" s="14">
        <v>25</v>
      </c>
      <c r="Y168" s="14">
        <v>80</v>
      </c>
      <c r="Z168" s="15">
        <f>IFERROR((X168+Y168)/AR168,"")</f>
        <v>0.90517241379310343</v>
      </c>
      <c r="AA168" s="14">
        <v>19827</v>
      </c>
      <c r="AB168" s="15">
        <f>IFERROR(AA168/F168,"")</f>
        <v>0.7265298644192012</v>
      </c>
      <c r="AC168" s="16">
        <f>IFERROR(AA168*1000/H168,"")</f>
        <v>7473.4263098379197</v>
      </c>
      <c r="AD168" s="17">
        <f>IF(AB168="","",RANK(AB168,$AB$3:$AB$168,0)+COUNTIF($AB$3:AB168,AB168)-1)</f>
        <v>1</v>
      </c>
      <c r="AE168" s="17">
        <f>IF(AA168="","",RANK(AA168,$AA$3:$AA$168,0)+COUNTIF($AA$3:AA168,AA168)-1)</f>
        <v>165</v>
      </c>
      <c r="AF168" s="18">
        <v>98.01</v>
      </c>
      <c r="AG168" s="14">
        <v>30154071.870000001</v>
      </c>
      <c r="AH168" s="16">
        <f>IFERROR(AG168/AZ168,"")</f>
        <v>14525.082789017342</v>
      </c>
      <c r="AI168" s="14">
        <v>1587</v>
      </c>
      <c r="AJ168" s="15">
        <f>IFERROR(AI168/F168,"")</f>
        <v>5.8153169659215832E-2</v>
      </c>
      <c r="AK168" s="14">
        <v>37</v>
      </c>
      <c r="AL168" s="14">
        <v>45</v>
      </c>
      <c r="AM168" s="14">
        <v>45</v>
      </c>
      <c r="AN168" s="14">
        <v>366</v>
      </c>
      <c r="AO168" s="14">
        <v>344</v>
      </c>
      <c r="AP168" s="18">
        <v>0.9</v>
      </c>
      <c r="AQ168" s="19">
        <f>IFERROR(AL168*1000/AZ168,"")</f>
        <v>21.676300578034681</v>
      </c>
      <c r="AR168" s="14">
        <v>116</v>
      </c>
      <c r="AS168" s="14">
        <v>63</v>
      </c>
      <c r="AT168" s="14">
        <v>14</v>
      </c>
      <c r="AU168" s="14">
        <v>3</v>
      </c>
      <c r="AV168" s="14">
        <v>36</v>
      </c>
      <c r="AW168" s="15">
        <f>IFERROR(AS168/AR168,"")</f>
        <v>0.5431034482758621</v>
      </c>
      <c r="AX168" s="14">
        <v>1</v>
      </c>
      <c r="AY168" s="14">
        <v>7</v>
      </c>
      <c r="AZ168" s="14">
        <v>2076</v>
      </c>
      <c r="BA168" s="20">
        <v>88.173000000000002</v>
      </c>
      <c r="BB168" s="20">
        <v>23.54</v>
      </c>
      <c r="BC168" s="21">
        <v>0.53</v>
      </c>
      <c r="BD168" s="18">
        <v>61.4</v>
      </c>
      <c r="BE168" s="18">
        <v>100</v>
      </c>
      <c r="BF168" s="18">
        <v>4.5999999999999996</v>
      </c>
      <c r="BG168" s="18">
        <v>4.8</v>
      </c>
      <c r="BH168" s="18">
        <v>18.75</v>
      </c>
      <c r="BI168" s="14">
        <v>366</v>
      </c>
      <c r="BJ168" s="18">
        <v>0.9</v>
      </c>
      <c r="BK168" s="15">
        <f>IFERROR(BI168/AZ168,"")</f>
        <v>0.17630057803468208</v>
      </c>
      <c r="BL168" s="22">
        <f>IFERROR(AI168+K168+S168+AA168-F168,"")</f>
        <v>0</v>
      </c>
      <c r="BM168" s="22">
        <f>IFERROR(F168+G168-C168,"")</f>
        <v>-1</v>
      </c>
      <c r="BN168" s="22">
        <f>IF(I168="","",IFERROR(C168*1000/H168-I168,""))</f>
        <v>0.13732378439635795</v>
      </c>
    </row>
    <row r="169" spans="1:66">
      <c r="A169" s="13" t="s">
        <v>433</v>
      </c>
      <c r="B169" s="13" t="s">
        <v>434</v>
      </c>
      <c r="C169" s="14">
        <v>23238</v>
      </c>
      <c r="D169" s="14">
        <v>25575</v>
      </c>
      <c r="E169" s="14">
        <v>29717</v>
      </c>
      <c r="F169" s="14">
        <v>22324</v>
      </c>
      <c r="G169" s="14">
        <v>914</v>
      </c>
      <c r="H169" s="14">
        <v>1731</v>
      </c>
      <c r="I169" s="14">
        <v>13424.72</v>
      </c>
      <c r="J169" s="14">
        <v>16309.97</v>
      </c>
      <c r="K169" s="14">
        <v>879</v>
      </c>
      <c r="L169" s="15">
        <f>IFERROR(K169/F169,"")</f>
        <v>3.9374664038702739E-2</v>
      </c>
      <c r="M169" s="16">
        <f>IFERROR(K169*1000/H169,"")</f>
        <v>507.79896013864817</v>
      </c>
      <c r="N169" s="17" t="e">
        <f>IF(L169="","",RANK(L169,$L$3:$L$168,0)+COUNTIF($L$3:L169,L169)-1)</f>
        <v>#N/A</v>
      </c>
      <c r="O169" s="17" t="e">
        <f>IF(K169="","",RANK(K169,$K$3:$K$168,0)+COUNTIF($K$3:K169,K169)-1)</f>
        <v>#N/A</v>
      </c>
      <c r="P169" s="14">
        <v>4</v>
      </c>
      <c r="Q169" s="15">
        <f>IFERROR(P169/AR169,"")</f>
        <v>3.7735849056603772E-2</v>
      </c>
      <c r="R169" s="16">
        <v>0</v>
      </c>
      <c r="S169" s="14">
        <v>5477</v>
      </c>
      <c r="T169" s="15">
        <f>IFERROR(S169/F169,"")</f>
        <v>0.24534133667801469</v>
      </c>
      <c r="U169" s="16">
        <f>IFERROR(S169*1000/H169,"")</f>
        <v>3164.0670132871173</v>
      </c>
      <c r="V169" s="17" t="e">
        <f>IF(T169="","",RANK(T169,$T$3:$T$168,0)+COUNTIF($T$3:T169,T169)-1)</f>
        <v>#N/A</v>
      </c>
      <c r="W169" s="17" t="e">
        <f>IF(S169="","",RANK(S169,$S$3:$S$168,0)+COUNTIF($S$3:S169,S169)-1)</f>
        <v>#N/A</v>
      </c>
      <c r="X169" s="14">
        <v>35</v>
      </c>
      <c r="Y169" s="14">
        <v>59</v>
      </c>
      <c r="Z169" s="15">
        <f>IFERROR((X169+Y169)/AR169,"")</f>
        <v>0.8867924528301887</v>
      </c>
      <c r="AA169" s="14">
        <v>14892</v>
      </c>
      <c r="AB169" s="15">
        <f>IFERROR(AA169/F169,"")</f>
        <v>0.66708475183658844</v>
      </c>
      <c r="AC169" s="16">
        <f>IFERROR(AA169*1000/H169,"")</f>
        <v>8603.1195840554592</v>
      </c>
      <c r="AD169" s="17" t="e">
        <f>IF(AB169="","",RANK(AB169,$AB$3:$AB$168,0)+COUNTIF($AB$3:AB169,AB169)-1)</f>
        <v>#N/A</v>
      </c>
      <c r="AE169" s="17" t="e">
        <f>IF(AA169="","",RANK(AA169,$AA$3:$AA$168,0)+COUNTIF($AA$3:AA169,AA169)-1)</f>
        <v>#N/A</v>
      </c>
      <c r="AF169" s="18">
        <v>95.78</v>
      </c>
      <c r="AG169" s="14">
        <v>31347370.460000001</v>
      </c>
      <c r="AH169" s="16">
        <f>IFERROR(AG169/AZ169,"")</f>
        <v>17204.923413830955</v>
      </c>
      <c r="AI169" s="14">
        <v>1075</v>
      </c>
      <c r="AJ169" s="15">
        <f>IFERROR(AI169/F169,"")</f>
        <v>4.8154452607059667E-2</v>
      </c>
      <c r="AK169" s="14">
        <v>52</v>
      </c>
      <c r="AL169" s="14">
        <v>55</v>
      </c>
      <c r="AM169" s="14">
        <v>56</v>
      </c>
      <c r="AN169" s="14">
        <v>161</v>
      </c>
      <c r="AO169" s="14">
        <v>129</v>
      </c>
      <c r="AP169" s="18">
        <v>1.8</v>
      </c>
      <c r="AQ169" s="19">
        <f>IFERROR(AL169*1000/AZ169,"")</f>
        <v>30.186608122941823</v>
      </c>
      <c r="AR169" s="14">
        <v>106</v>
      </c>
      <c r="AS169" s="14">
        <v>41</v>
      </c>
      <c r="AT169" s="14">
        <v>21</v>
      </c>
      <c r="AU169" s="14">
        <v>3</v>
      </c>
      <c r="AV169" s="14">
        <v>41</v>
      </c>
      <c r="AW169" s="15">
        <f>IFERROR(AS169/AR169,"")</f>
        <v>0.3867924528301887</v>
      </c>
      <c r="AX169" s="14">
        <v>0</v>
      </c>
      <c r="AY169" s="14">
        <v>8</v>
      </c>
      <c r="AZ169" s="14">
        <v>1822</v>
      </c>
      <c r="BA169" s="20">
        <v>37.905000000000001</v>
      </c>
      <c r="BB169" s="20">
        <v>48.07</v>
      </c>
      <c r="BC169" s="21">
        <v>0.59199999999999997</v>
      </c>
      <c r="BD169" s="18">
        <v>53.5</v>
      </c>
      <c r="BE169" s="18">
        <v>100</v>
      </c>
      <c r="BF169" s="18">
        <v>6.4</v>
      </c>
      <c r="BG169" s="18">
        <v>4.8</v>
      </c>
      <c r="BH169" s="18">
        <v>95.83</v>
      </c>
      <c r="BI169" s="14">
        <v>161</v>
      </c>
      <c r="BJ169" s="18">
        <v>1.8</v>
      </c>
      <c r="BK169" s="15">
        <f>IFERROR(BI169/AZ169,"")</f>
        <v>8.8364434687156976E-2</v>
      </c>
      <c r="BL169" s="22">
        <f>IFERROR(AI169+K169+S169+AA169-F169,"")</f>
        <v>-1</v>
      </c>
      <c r="BM169" s="22">
        <f>IFERROR(F169+G169-C169,"")</f>
        <v>0</v>
      </c>
      <c r="BN169" s="22">
        <f>IF(I169="","",IFERROR(C169*1000/H169-I169,""))</f>
        <v>-0.10994800693151774</v>
      </c>
    </row>
    <row r="171" spans="1:66">
      <c r="A171" s="23" t="s">
        <v>435</v>
      </c>
    </row>
  </sheetData>
  <autoFilter ref="A2:BN168" xr:uid="{00000000-0009-0000-0000-000001000000}">
    <sortState xmlns:xlrd2="http://schemas.microsoft.com/office/spreadsheetml/2017/richdata2" ref="A3:BN169">
      <sortCondition descending="1" ref="C2:C168"/>
    </sortState>
  </autoFilter>
  <mergeCells count="9">
    <mergeCell ref="AI1:AJ1"/>
    <mergeCell ref="AK1:AY1"/>
    <mergeCell ref="AZ1:BK1"/>
    <mergeCell ref="BL1:BN1"/>
    <mergeCell ref="A1:B1"/>
    <mergeCell ref="C1:J1"/>
    <mergeCell ref="K1:R1"/>
    <mergeCell ref="S1:Z1"/>
    <mergeCell ref="AA1:A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topLeftCell="A41" zoomScaleNormal="100" workbookViewId="0">
      <selection activeCell="N8" sqref="N8"/>
    </sheetView>
  </sheetViews>
  <sheetFormatPr defaultColWidth="8.7109375" defaultRowHeight="15"/>
  <cols>
    <col min="1" max="1" width="4" customWidth="1"/>
    <col min="2" max="2" width="24" customWidth="1"/>
    <col min="3" max="3" width="13" customWidth="1"/>
    <col min="4" max="4" width="9" customWidth="1"/>
    <col min="5" max="5" width="13" customWidth="1"/>
    <col min="6" max="6" width="3" customWidth="1"/>
    <col min="7" max="7" width="4" customWidth="1"/>
    <col min="8" max="8" width="24" customWidth="1"/>
    <col min="9" max="9" width="13" customWidth="1"/>
    <col min="10" max="10" width="9" customWidth="1"/>
    <col min="11" max="11" width="13" customWidth="1"/>
  </cols>
  <sheetData>
    <row r="1" spans="1:11">
      <c r="A1" s="24" t="s">
        <v>436</v>
      </c>
    </row>
    <row r="2" spans="1:11">
      <c r="A2" s="23" t="s">
        <v>437</v>
      </c>
    </row>
    <row r="4" spans="1:11">
      <c r="A4" s="25" t="s">
        <v>438</v>
      </c>
      <c r="B4" s="26"/>
      <c r="C4" s="26"/>
      <c r="D4" s="26"/>
      <c r="E4" s="26"/>
      <c r="G4" s="25" t="s">
        <v>439</v>
      </c>
      <c r="H4" s="26"/>
      <c r="I4" s="26"/>
      <c r="J4" s="26"/>
      <c r="K4" s="26"/>
    </row>
    <row r="5" spans="1:11" ht="22.35">
      <c r="A5" s="27" t="s">
        <v>440</v>
      </c>
      <c r="B5" s="27" t="s">
        <v>40</v>
      </c>
      <c r="C5" s="27" t="s">
        <v>441</v>
      </c>
      <c r="D5" s="27" t="s">
        <v>442</v>
      </c>
      <c r="E5" s="27" t="s">
        <v>443</v>
      </c>
      <c r="G5" s="27" t="s">
        <v>440</v>
      </c>
      <c r="H5" s="27" t="s">
        <v>40</v>
      </c>
      <c r="I5" s="27" t="s">
        <v>441</v>
      </c>
      <c r="J5" s="27" t="s">
        <v>442</v>
      </c>
      <c r="K5" s="27" t="s">
        <v>443</v>
      </c>
    </row>
    <row r="6" spans="1:11">
      <c r="A6" s="28">
        <v>1</v>
      </c>
      <c r="B6" s="29" t="str">
        <f>INDEX(Municipios_RN!$B$3:$B$168,MATCH(A6,Municipios_RN!$N$3:$N$168,0))</f>
        <v>São Bento do Norte</v>
      </c>
      <c r="C6" s="30">
        <f>INDEX(Municipios_RN!$K$3:$K$168,MATCH(A6,Municipios_RN!$N$3:$N$168,0))</f>
        <v>452181</v>
      </c>
      <c r="D6" s="31">
        <f>INDEX(Municipios_RN!$L$3:$L$168,MATCH(A6,Municipios_RN!$N$3:$N$168,0))</f>
        <v>0.88742809705205272</v>
      </c>
      <c r="E6" s="30">
        <f>INDEX(Municipios_RN!$I$3:$I$168,MATCH(A6,Municipios_RN!$N$3:$N$168,0))</f>
        <v>204406.89</v>
      </c>
      <c r="G6" s="28">
        <v>1</v>
      </c>
      <c r="H6" s="29" t="str">
        <f>INDEX(Municipios_RN!$B$3:$B$168,MATCH(G6,Municipios_RN!$O$3:$O$168,0))</f>
        <v>Natal</v>
      </c>
      <c r="I6" s="30">
        <f>INDEX(Municipios_RN!$K$3:$K$168,MATCH(G6,Municipios_RN!$O$3:$O$168,0))</f>
        <v>2556518</v>
      </c>
      <c r="J6" s="31">
        <f>INDEX(Municipios_RN!$L$3:$L$168,MATCH(G6,Municipios_RN!$O$3:$O$168,0))</f>
        <v>0.12305445134370278</v>
      </c>
      <c r="K6" s="30">
        <f>INDEX(Municipios_RN!$I$3:$I$168,MATCH(G6,Municipios_RN!$O$3:$O$168,0))</f>
        <v>26972.15</v>
      </c>
    </row>
    <row r="7" spans="1:11">
      <c r="A7" s="28">
        <v>2</v>
      </c>
      <c r="B7" s="29" t="str">
        <f>INDEX(Municipios_RN!$B$3:$B$168,MATCH(A7,Municipios_RN!$N$3:$N$168,0))</f>
        <v>Parazinho</v>
      </c>
      <c r="C7" s="30">
        <f>INDEX(Municipios_RN!$K$3:$K$168,MATCH(A7,Municipios_RN!$N$3:$N$168,0))</f>
        <v>528052</v>
      </c>
      <c r="D7" s="31">
        <f>INDEX(Municipios_RN!$L$3:$L$168,MATCH(A7,Municipios_RN!$N$3:$N$168,0))</f>
        <v>0.88741672884694245</v>
      </c>
      <c r="E7" s="30">
        <f>INDEX(Municipios_RN!$I$3:$I$168,MATCH(A7,Municipios_RN!$N$3:$N$168,0))</f>
        <v>114233.9</v>
      </c>
      <c r="G7" s="28">
        <v>2</v>
      </c>
      <c r="H7" s="29" t="str">
        <f>INDEX(Municipios_RN!$B$3:$B$168,MATCH(G7,Municipios_RN!$O$3:$O$168,0))</f>
        <v>Guamaré</v>
      </c>
      <c r="I7" s="30">
        <f>INDEX(Municipios_RN!$K$3:$K$168,MATCH(G7,Municipios_RN!$O$3:$O$168,0))</f>
        <v>1471020</v>
      </c>
      <c r="J7" s="31">
        <f>INDEX(Municipios_RN!$L$3:$L$168,MATCH(G7,Municipios_RN!$O$3:$O$168,0))</f>
        <v>0.74999923522531786</v>
      </c>
      <c r="K7" s="30">
        <f>INDEX(Municipios_RN!$I$3:$I$168,MATCH(G7,Municipios_RN!$O$3:$O$168,0))</f>
        <v>125584.68</v>
      </c>
    </row>
    <row r="8" spans="1:11">
      <c r="A8" s="28">
        <v>3</v>
      </c>
      <c r="B8" s="29" t="str">
        <f>INDEX(Municipios_RN!$B$3:$B$168,MATCH(A8,Municipios_RN!$N$3:$N$168,0))</f>
        <v>Bodó</v>
      </c>
      <c r="C8" s="30">
        <f>INDEX(Municipios_RN!$K$3:$K$168,MATCH(A8,Municipios_RN!$N$3:$N$168,0))</f>
        <v>246251</v>
      </c>
      <c r="D8" s="31">
        <f>INDEX(Municipios_RN!$L$3:$L$168,MATCH(A8,Municipios_RN!$N$3:$N$168,0))</f>
        <v>0.8671420522572012</v>
      </c>
      <c r="E8" s="30">
        <f>INDEX(Municipios_RN!$I$3:$I$168,MATCH(A8,Municipios_RN!$N$3:$N$168,0))</f>
        <v>132000.71</v>
      </c>
      <c r="G8" s="28">
        <v>3</v>
      </c>
      <c r="H8" s="29" t="str">
        <f>INDEX(Municipios_RN!$B$3:$B$168,MATCH(G8,Municipios_RN!$O$3:$O$168,0))</f>
        <v>Mossoró</v>
      </c>
      <c r="I8" s="30">
        <f>INDEX(Municipios_RN!$K$3:$K$168,MATCH(G8,Municipios_RN!$O$3:$O$168,0))</f>
        <v>1285190</v>
      </c>
      <c r="J8" s="31">
        <f>INDEX(Municipios_RN!$L$3:$L$168,MATCH(G8,Municipios_RN!$O$3:$O$168,0))</f>
        <v>0.18630159465084706</v>
      </c>
      <c r="K8" s="30">
        <f>INDEX(Municipios_RN!$I$3:$I$168,MATCH(G8,Municipios_RN!$O$3:$O$168,0))</f>
        <v>26569.89</v>
      </c>
    </row>
    <row r="9" spans="1:11">
      <c r="A9" s="28">
        <v>4</v>
      </c>
      <c r="B9" s="29" t="str">
        <f>INDEX(Municipios_RN!$B$3:$B$168,MATCH(A9,Municipios_RN!$N$3:$N$168,0))</f>
        <v>Pedra Grande</v>
      </c>
      <c r="C9" s="30">
        <f>INDEX(Municipios_RN!$K$3:$K$168,MATCH(A9,Municipios_RN!$N$3:$N$168,0))</f>
        <v>213403</v>
      </c>
      <c r="D9" s="31">
        <f>INDEX(Municipios_RN!$L$3:$L$168,MATCH(A9,Municipios_RN!$N$3:$N$168,0))</f>
        <v>0.78084933551899771</v>
      </c>
      <c r="E9" s="30">
        <f>INDEX(Municipios_RN!$I$3:$I$168,MATCH(A9,Municipios_RN!$N$3:$N$168,0))</f>
        <v>92722.93</v>
      </c>
      <c r="G9" s="28">
        <v>4</v>
      </c>
      <c r="H9" s="29" t="str">
        <f>INDEX(Municipios_RN!$B$3:$B$168,MATCH(G9,Municipios_RN!$O$3:$O$168,0))</f>
        <v>João Câmara</v>
      </c>
      <c r="I9" s="30">
        <f>INDEX(Municipios_RN!$K$3:$K$168,MATCH(G9,Municipios_RN!$O$3:$O$168,0))</f>
        <v>712023</v>
      </c>
      <c r="J9" s="31">
        <f>INDEX(Municipios_RN!$L$3:$L$168,MATCH(G9,Municipios_RN!$O$3:$O$168,0))</f>
        <v>0.59439616059197276</v>
      </c>
      <c r="K9" s="30">
        <f>INDEX(Municipios_RN!$I$3:$I$168,MATCH(G9,Municipios_RN!$O$3:$O$168,0))</f>
        <v>35911.56</v>
      </c>
    </row>
    <row r="10" spans="1:11">
      <c r="A10" s="28">
        <v>5</v>
      </c>
      <c r="B10" s="29" t="str">
        <f>INDEX(Municipios_RN!$B$3:$B$168,MATCH(A10,Municipios_RN!$N$3:$N$168,0))</f>
        <v>Guamaré</v>
      </c>
      <c r="C10" s="30">
        <f>INDEX(Municipios_RN!$K$3:$K$168,MATCH(A10,Municipios_RN!$N$3:$N$168,0))</f>
        <v>1471020</v>
      </c>
      <c r="D10" s="31">
        <f>INDEX(Municipios_RN!$L$3:$L$168,MATCH(A10,Municipios_RN!$N$3:$N$168,0))</f>
        <v>0.74999923522531786</v>
      </c>
      <c r="E10" s="30">
        <f>INDEX(Municipios_RN!$I$3:$I$168,MATCH(A10,Municipios_RN!$N$3:$N$168,0))</f>
        <v>125584.68</v>
      </c>
      <c r="G10" s="28">
        <v>5</v>
      </c>
      <c r="H10" s="29" t="str">
        <f>INDEX(Municipios_RN!$B$3:$B$168,MATCH(G10,Municipios_RN!$O$3:$O$168,0))</f>
        <v>Parnamirim</v>
      </c>
      <c r="I10" s="30">
        <f>INDEX(Municipios_RN!$K$3:$K$168,MATCH(G10,Municipios_RN!$O$3:$O$168,0))</f>
        <v>577662</v>
      </c>
      <c r="J10" s="31">
        <f>INDEX(Municipios_RN!$L$3:$L$168,MATCH(G10,Municipios_RN!$O$3:$O$168,0))</f>
        <v>0.10165973022586416</v>
      </c>
      <c r="K10" s="30">
        <f>INDEX(Municipios_RN!$I$3:$I$168,MATCH(G10,Municipios_RN!$O$3:$O$168,0))</f>
        <v>25121.5</v>
      </c>
    </row>
    <row r="11" spans="1:11">
      <c r="A11" s="28">
        <v>6</v>
      </c>
      <c r="B11" s="29" t="str">
        <f>INDEX(Municipios_RN!$B$3:$B$168,MATCH(A11,Municipios_RN!$N$3:$N$168,0))</f>
        <v>Serra do Mel</v>
      </c>
      <c r="C11" s="30">
        <f>INDEX(Municipios_RN!$K$3:$K$168,MATCH(A11,Municipios_RN!$N$3:$N$168,0))</f>
        <v>565336</v>
      </c>
      <c r="D11" s="31">
        <f>INDEX(Municipios_RN!$L$3:$L$168,MATCH(A11,Municipios_RN!$N$3:$N$168,0))</f>
        <v>0.73239538800362747</v>
      </c>
      <c r="E11" s="30">
        <f>INDEX(Municipios_RN!$I$3:$I$168,MATCH(A11,Municipios_RN!$N$3:$N$168,0))</f>
        <v>70243</v>
      </c>
      <c r="G11" s="28">
        <v>6</v>
      </c>
      <c r="H11" s="29" t="str">
        <f>INDEX(Municipios_RN!$B$3:$B$168,MATCH(G11,Municipios_RN!$O$3:$O$168,0))</f>
        <v>Serra do Mel</v>
      </c>
      <c r="I11" s="30">
        <f>INDEX(Municipios_RN!$K$3:$K$168,MATCH(G11,Municipios_RN!$O$3:$O$168,0))</f>
        <v>565336</v>
      </c>
      <c r="J11" s="31">
        <f>INDEX(Municipios_RN!$L$3:$L$168,MATCH(G11,Municipios_RN!$O$3:$O$168,0))</f>
        <v>0.73239538800362747</v>
      </c>
      <c r="K11" s="30">
        <f>INDEX(Municipios_RN!$I$3:$I$168,MATCH(G11,Municipios_RN!$O$3:$O$168,0))</f>
        <v>70243</v>
      </c>
    </row>
    <row r="12" spans="1:11">
      <c r="A12" s="28">
        <v>7</v>
      </c>
      <c r="B12" s="29" t="str">
        <f>INDEX(Municipios_RN!$B$3:$B$168,MATCH(A12,Municipios_RN!$N$3:$N$168,0))</f>
        <v>Ruy Barbosa</v>
      </c>
      <c r="C12" s="30">
        <f>INDEX(Municipios_RN!$K$3:$K$168,MATCH(A12,Municipios_RN!$N$3:$N$168,0))</f>
        <v>84829</v>
      </c>
      <c r="D12" s="31">
        <f>INDEX(Municipios_RN!$L$3:$L$168,MATCH(A12,Municipios_RN!$N$3:$N$168,0))</f>
        <v>0.68346546778819817</v>
      </c>
      <c r="E12" s="30">
        <f>INDEX(Municipios_RN!$I$3:$I$168,MATCH(A12,Municipios_RN!$N$3:$N$168,0))</f>
        <v>35371.660000000003</v>
      </c>
      <c r="G12" s="28">
        <v>7</v>
      </c>
      <c r="H12" s="29" t="str">
        <f>INDEX(Municipios_RN!$B$3:$B$168,MATCH(G12,Municipios_RN!$O$3:$O$168,0))</f>
        <v>Macau</v>
      </c>
      <c r="I12" s="30">
        <f>INDEX(Municipios_RN!$K$3:$K$168,MATCH(G12,Municipios_RN!$O$3:$O$168,0))</f>
        <v>546975</v>
      </c>
      <c r="J12" s="31">
        <f>INDEX(Municipios_RN!$L$3:$L$168,MATCH(G12,Municipios_RN!$O$3:$O$168,0))</f>
        <v>0.51328309748132572</v>
      </c>
      <c r="K12" s="30">
        <f>INDEX(Municipios_RN!$I$3:$I$168,MATCH(G12,Municipios_RN!$O$3:$O$168,0))</f>
        <v>34442.58</v>
      </c>
    </row>
    <row r="13" spans="1:11">
      <c r="A13" s="28">
        <v>8</v>
      </c>
      <c r="B13" s="29" t="str">
        <f>INDEX(Municipios_RN!$B$3:$B$168,MATCH(A13,Municipios_RN!$N$3:$N$168,0))</f>
        <v>São Miguel do Gostoso</v>
      </c>
      <c r="C13" s="30">
        <f>INDEX(Municipios_RN!$K$3:$K$168,MATCH(A13,Municipios_RN!$N$3:$N$168,0))</f>
        <v>310242</v>
      </c>
      <c r="D13" s="31">
        <f>INDEX(Municipios_RN!$L$3:$L$168,MATCH(A13,Municipios_RN!$N$3:$N$168,0))</f>
        <v>0.66665520627628283</v>
      </c>
      <c r="E13" s="30">
        <f>INDEX(Municipios_RN!$I$3:$I$168,MATCH(A13,Municipios_RN!$N$3:$N$168,0))</f>
        <v>47182.94</v>
      </c>
      <c r="G13" s="28">
        <v>8</v>
      </c>
      <c r="H13" s="29" t="str">
        <f>INDEX(Municipios_RN!$B$3:$B$168,MATCH(G13,Municipios_RN!$O$3:$O$168,0))</f>
        <v>Parazinho</v>
      </c>
      <c r="I13" s="30">
        <f>INDEX(Municipios_RN!$K$3:$K$168,MATCH(G13,Municipios_RN!$O$3:$O$168,0))</f>
        <v>528052</v>
      </c>
      <c r="J13" s="31">
        <f>INDEX(Municipios_RN!$L$3:$L$168,MATCH(G13,Municipios_RN!$O$3:$O$168,0))</f>
        <v>0.88741672884694245</v>
      </c>
      <c r="K13" s="30">
        <f>INDEX(Municipios_RN!$I$3:$I$168,MATCH(G13,Municipios_RN!$O$3:$O$168,0))</f>
        <v>114233.9</v>
      </c>
    </row>
    <row r="14" spans="1:11">
      <c r="A14" s="28">
        <v>9</v>
      </c>
      <c r="B14" s="29" t="str">
        <f>INDEX(Municipios_RN!$B$3:$B$168,MATCH(A14,Municipios_RN!$N$3:$N$168,0))</f>
        <v>João Câmara</v>
      </c>
      <c r="C14" s="30">
        <f>INDEX(Municipios_RN!$K$3:$K$168,MATCH(A14,Municipios_RN!$N$3:$N$168,0))</f>
        <v>712023</v>
      </c>
      <c r="D14" s="31">
        <f>INDEX(Municipios_RN!$L$3:$L$168,MATCH(A14,Municipios_RN!$N$3:$N$168,0))</f>
        <v>0.59439616059197276</v>
      </c>
      <c r="E14" s="30">
        <f>INDEX(Municipios_RN!$I$3:$I$168,MATCH(A14,Municipios_RN!$N$3:$N$168,0))</f>
        <v>35911.56</v>
      </c>
      <c r="G14" s="28">
        <v>9</v>
      </c>
      <c r="H14" s="29" t="str">
        <f>INDEX(Municipios_RN!$B$3:$B$168,MATCH(G14,Municipios_RN!$O$3:$O$168,0))</f>
        <v>Macaíba</v>
      </c>
      <c r="I14" s="30">
        <f>INDEX(Municipios_RN!$K$3:$K$168,MATCH(G14,Municipios_RN!$O$3:$O$168,0))</f>
        <v>485851</v>
      </c>
      <c r="J14" s="31">
        <f>INDEX(Municipios_RN!$L$3:$L$168,MATCH(G14,Municipios_RN!$O$3:$O$168,0))</f>
        <v>0.31123386340458459</v>
      </c>
      <c r="K14" s="30">
        <f>INDEX(Municipios_RN!$I$3:$I$168,MATCH(G14,Municipios_RN!$O$3:$O$168,0))</f>
        <v>22071.55</v>
      </c>
    </row>
    <row r="15" spans="1:11">
      <c r="A15" s="28">
        <v>10</v>
      </c>
      <c r="B15" s="29" t="str">
        <f>INDEX(Municipios_RN!$B$3:$B$168,MATCH(A15,Municipios_RN!$N$3:$N$168,0))</f>
        <v>Alto do Rodrigues</v>
      </c>
      <c r="C15" s="30">
        <f>INDEX(Municipios_RN!$K$3:$K$168,MATCH(A15,Municipios_RN!$N$3:$N$168,0))</f>
        <v>304515</v>
      </c>
      <c r="D15" s="31">
        <f>INDEX(Municipios_RN!$L$3:$L$168,MATCH(A15,Municipios_RN!$N$3:$N$168,0))</f>
        <v>0.52828483298694362</v>
      </c>
      <c r="E15" s="30">
        <f>INDEX(Municipios_RN!$I$3:$I$168,MATCH(A15,Municipios_RN!$N$3:$N$168,0))</f>
        <v>41300.160000000003</v>
      </c>
      <c r="G15" s="28">
        <v>10</v>
      </c>
      <c r="H15" s="29" t="str">
        <f>INDEX(Municipios_RN!$B$3:$B$168,MATCH(G15,Municipios_RN!$O$3:$O$168,0))</f>
        <v>Assú</v>
      </c>
      <c r="I15" s="30">
        <f>INDEX(Municipios_RN!$K$3:$K$168,MATCH(G15,Municipios_RN!$O$3:$O$168,0))</f>
        <v>483176</v>
      </c>
      <c r="J15" s="31">
        <f>INDEX(Municipios_RN!$L$3:$L$168,MATCH(G15,Municipios_RN!$O$3:$O$168,0))</f>
        <v>0.35316372056579171</v>
      </c>
      <c r="K15" s="30">
        <f>INDEX(Municipios_RN!$I$3:$I$168,MATCH(G15,Municipios_RN!$O$3:$O$168,0))</f>
        <v>24982.76</v>
      </c>
    </row>
    <row r="16" spans="1:11">
      <c r="A16" s="28">
        <v>11</v>
      </c>
      <c r="B16" s="29" t="str">
        <f>INDEX(Municipios_RN!$B$3:$B$168,MATCH(A16,Municipios_RN!$N$3:$N$168,0))</f>
        <v>Macau</v>
      </c>
      <c r="C16" s="30">
        <f>INDEX(Municipios_RN!$K$3:$K$168,MATCH(A16,Municipios_RN!$N$3:$N$168,0))</f>
        <v>546975</v>
      </c>
      <c r="D16" s="31">
        <f>INDEX(Municipios_RN!$L$3:$L$168,MATCH(A16,Municipios_RN!$N$3:$N$168,0))</f>
        <v>0.51328309748132572</v>
      </c>
      <c r="E16" s="30">
        <f>INDEX(Municipios_RN!$I$3:$I$168,MATCH(A16,Municipios_RN!$N$3:$N$168,0))</f>
        <v>34442.58</v>
      </c>
      <c r="G16" s="28">
        <v>11</v>
      </c>
      <c r="H16" s="29" t="str">
        <f>INDEX(Municipios_RN!$B$3:$B$168,MATCH(G16,Municipios_RN!$O$3:$O$168,0))</f>
        <v>São Bento do Norte</v>
      </c>
      <c r="I16" s="30">
        <f>INDEX(Municipios_RN!$K$3:$K$168,MATCH(G16,Municipios_RN!$O$3:$O$168,0))</f>
        <v>452181</v>
      </c>
      <c r="J16" s="31">
        <f>INDEX(Municipios_RN!$L$3:$L$168,MATCH(G16,Municipios_RN!$O$3:$O$168,0))</f>
        <v>0.88742809705205272</v>
      </c>
      <c r="K16" s="30">
        <f>INDEX(Municipios_RN!$I$3:$I$168,MATCH(G16,Municipios_RN!$O$3:$O$168,0))</f>
        <v>204406.89</v>
      </c>
    </row>
    <row r="17" spans="1:11">
      <c r="A17" s="28">
        <v>12</v>
      </c>
      <c r="B17" s="29" t="str">
        <f>INDEX(Municipios_RN!$B$3:$B$168,MATCH(A17,Municipios_RN!$N$3:$N$168,0))</f>
        <v>Galinhos</v>
      </c>
      <c r="C17" s="30">
        <f>INDEX(Municipios_RN!$K$3:$K$168,MATCH(A17,Municipios_RN!$N$3:$N$168,0))</f>
        <v>78754</v>
      </c>
      <c r="D17" s="31">
        <f>INDEX(Municipios_RN!$L$3:$L$168,MATCH(A17,Municipios_RN!$N$3:$N$168,0))</f>
        <v>0.512748059794781</v>
      </c>
      <c r="E17" s="30">
        <f>INDEX(Municipios_RN!$I$3:$I$168,MATCH(A17,Municipios_RN!$N$3:$N$168,0))</f>
        <v>56016.480000000003</v>
      </c>
      <c r="G17" s="28">
        <v>12</v>
      </c>
      <c r="H17" s="29" t="str">
        <f>INDEX(Municipios_RN!$B$3:$B$168,MATCH(G17,Municipios_RN!$O$3:$O$168,0))</f>
        <v>Areia Branca</v>
      </c>
      <c r="I17" s="30">
        <f>INDEX(Municipios_RN!$K$3:$K$168,MATCH(G17,Municipios_RN!$O$3:$O$168,0))</f>
        <v>388193</v>
      </c>
      <c r="J17" s="31">
        <f>INDEX(Municipios_RN!$L$3:$L$168,MATCH(G17,Municipios_RN!$O$3:$O$168,0))</f>
        <v>0.45332702727952168</v>
      </c>
      <c r="K17" s="30">
        <f>INDEX(Municipios_RN!$I$3:$I$168,MATCH(G17,Municipios_RN!$O$3:$O$168,0))</f>
        <v>33242.230000000003</v>
      </c>
    </row>
    <row r="18" spans="1:11">
      <c r="A18" s="28">
        <v>13</v>
      </c>
      <c r="B18" s="29" t="str">
        <f>INDEX(Municipios_RN!$B$3:$B$168,MATCH(A18,Municipios_RN!$N$3:$N$168,0))</f>
        <v>Felipe Guerra</v>
      </c>
      <c r="C18" s="30">
        <f>INDEX(Municipios_RN!$K$3:$K$168,MATCH(A18,Municipios_RN!$N$3:$N$168,0))</f>
        <v>81301</v>
      </c>
      <c r="D18" s="31">
        <f>INDEX(Municipios_RN!$L$3:$L$168,MATCH(A18,Municipios_RN!$N$3:$N$168,0))</f>
        <v>0.47879037719737344</v>
      </c>
      <c r="E18" s="30">
        <f>INDEX(Municipios_RN!$I$3:$I$168,MATCH(A18,Municipios_RN!$N$3:$N$168,0))</f>
        <v>28927.42</v>
      </c>
      <c r="G18" s="28">
        <v>13</v>
      </c>
      <c r="H18" s="29" t="str">
        <f>INDEX(Municipios_RN!$B$3:$B$168,MATCH(G18,Municipios_RN!$O$3:$O$168,0))</f>
        <v>São Miguel do Gostoso</v>
      </c>
      <c r="I18" s="30">
        <f>INDEX(Municipios_RN!$K$3:$K$168,MATCH(G18,Municipios_RN!$O$3:$O$168,0))</f>
        <v>310242</v>
      </c>
      <c r="J18" s="31">
        <f>INDEX(Municipios_RN!$L$3:$L$168,MATCH(G18,Municipios_RN!$O$3:$O$168,0))</f>
        <v>0.66665520627628283</v>
      </c>
      <c r="K18" s="30">
        <f>INDEX(Municipios_RN!$I$3:$I$168,MATCH(G18,Municipios_RN!$O$3:$O$168,0))</f>
        <v>47182.94</v>
      </c>
    </row>
    <row r="19" spans="1:11">
      <c r="A19" s="28">
        <v>14</v>
      </c>
      <c r="B19" s="29" t="str">
        <f>INDEX(Municipios_RN!$B$3:$B$168,MATCH(A19,Municipios_RN!$N$3:$N$168,0))</f>
        <v>Riachuelo</v>
      </c>
      <c r="C19" s="30">
        <f>INDEX(Municipios_RN!$K$3:$K$168,MATCH(A19,Municipios_RN!$N$3:$N$168,0))</f>
        <v>84834</v>
      </c>
      <c r="D19" s="31">
        <f>INDEX(Municipios_RN!$L$3:$L$168,MATCH(A19,Municipios_RN!$N$3:$N$168,0))</f>
        <v>0.47051580698835277</v>
      </c>
      <c r="E19" s="30">
        <f>INDEX(Municipios_RN!$I$3:$I$168,MATCH(A19,Municipios_RN!$N$3:$N$168,0))</f>
        <v>23123.45</v>
      </c>
      <c r="G19" s="28">
        <v>14</v>
      </c>
      <c r="H19" s="29" t="str">
        <f>INDEX(Municipios_RN!$B$3:$B$168,MATCH(G19,Municipios_RN!$O$3:$O$168,0))</f>
        <v>Alto do Rodrigues</v>
      </c>
      <c r="I19" s="30">
        <f>INDEX(Municipios_RN!$K$3:$K$168,MATCH(G19,Municipios_RN!$O$3:$O$168,0))</f>
        <v>304515</v>
      </c>
      <c r="J19" s="31">
        <f>INDEX(Municipios_RN!$L$3:$L$168,MATCH(G19,Municipios_RN!$O$3:$O$168,0))</f>
        <v>0.52828483298694362</v>
      </c>
      <c r="K19" s="30">
        <f>INDEX(Municipios_RN!$I$3:$I$168,MATCH(G19,Municipios_RN!$O$3:$O$168,0))</f>
        <v>41300.160000000003</v>
      </c>
    </row>
    <row r="20" spans="1:11">
      <c r="A20" s="28">
        <v>15</v>
      </c>
      <c r="B20" s="29" t="str">
        <f>INDEX(Municipios_RN!$B$3:$B$168,MATCH(A20,Municipios_RN!$N$3:$N$168,0))</f>
        <v>Governador Dix-Sept Rosado</v>
      </c>
      <c r="C20" s="30">
        <f>INDEX(Municipios_RN!$K$3:$K$168,MATCH(A20,Municipios_RN!$N$3:$N$168,0))</f>
        <v>171946</v>
      </c>
      <c r="D20" s="31">
        <f>INDEX(Municipios_RN!$L$3:$L$168,MATCH(A20,Municipios_RN!$N$3:$N$168,0))</f>
        <v>0.46745669909986326</v>
      </c>
      <c r="E20" s="30">
        <f>INDEX(Municipios_RN!$I$3:$I$168,MATCH(A20,Municipios_RN!$N$3:$N$168,0))</f>
        <v>29451.69</v>
      </c>
      <c r="G20" s="28">
        <v>15</v>
      </c>
      <c r="H20" s="29" t="str">
        <f>INDEX(Municipios_RN!$B$3:$B$168,MATCH(G20,Municipios_RN!$O$3:$O$168,0))</f>
        <v>Touros</v>
      </c>
      <c r="I20" s="30">
        <f>INDEX(Municipios_RN!$K$3:$K$168,MATCH(G20,Municipios_RN!$O$3:$O$168,0))</f>
        <v>286754</v>
      </c>
      <c r="J20" s="31">
        <f>INDEX(Municipios_RN!$L$3:$L$168,MATCH(G20,Municipios_RN!$O$3:$O$168,0))</f>
        <v>0.37390096815203572</v>
      </c>
      <c r="K20" s="30">
        <f>INDEX(Municipios_RN!$I$3:$I$168,MATCH(G20,Municipios_RN!$O$3:$O$168,0))</f>
        <v>24167.69</v>
      </c>
    </row>
    <row r="23" spans="1:11">
      <c r="A23" s="32" t="s">
        <v>444</v>
      </c>
      <c r="B23" s="33"/>
      <c r="C23" s="33"/>
      <c r="D23" s="33"/>
      <c r="E23" s="33"/>
      <c r="G23" s="32" t="s">
        <v>445</v>
      </c>
      <c r="H23" s="33"/>
      <c r="I23" s="33"/>
      <c r="J23" s="33"/>
      <c r="K23" s="33"/>
    </row>
    <row r="24" spans="1:11" ht="22.35">
      <c r="A24" s="34" t="s">
        <v>440</v>
      </c>
      <c r="B24" s="34" t="s">
        <v>40</v>
      </c>
      <c r="C24" s="34" t="s">
        <v>441</v>
      </c>
      <c r="D24" s="34" t="s">
        <v>442</v>
      </c>
      <c r="E24" s="34" t="s">
        <v>443</v>
      </c>
      <c r="G24" s="34" t="s">
        <v>440</v>
      </c>
      <c r="H24" s="34" t="s">
        <v>40</v>
      </c>
      <c r="I24" s="34" t="s">
        <v>441</v>
      </c>
      <c r="J24" s="34" t="s">
        <v>442</v>
      </c>
      <c r="K24" s="34" t="s">
        <v>443</v>
      </c>
    </row>
    <row r="25" spans="1:11">
      <c r="A25" s="28">
        <v>1</v>
      </c>
      <c r="B25" s="29" t="str">
        <f>INDEX(Municipios_RN!$B$3:$B$168,MATCH(A25,Municipios_RN!$V$3:$V$168,0))</f>
        <v>Natal</v>
      </c>
      <c r="C25" s="30">
        <f>INDEX(Municipios_RN!$S$3:$S$168,MATCH(A25,Municipios_RN!$V$3:$V$168,0))</f>
        <v>13347894</v>
      </c>
      <c r="D25" s="31">
        <f>INDEX(Municipios_RN!$T$3:$T$168,MATCH(A25,Municipios_RN!$V$3:$V$168,0))</f>
        <v>0.64248238141249248</v>
      </c>
      <c r="E25" s="30">
        <f>INDEX(Municipios_RN!$I$3:$I$168,MATCH(A25,Municipios_RN!$V$3:$V$168,0))</f>
        <v>26972.15</v>
      </c>
      <c r="G25" s="28">
        <v>1</v>
      </c>
      <c r="H25" s="29" t="str">
        <f>INDEX(Municipios_RN!$B$3:$B$168,MATCH(G25,Municipios_RN!$W$3:$W$168,0))</f>
        <v>Natal</v>
      </c>
      <c r="I25" s="30">
        <f>INDEX(Municipios_RN!$S$3:$S$168,MATCH(G25,Municipios_RN!$W$3:$W$168,0))</f>
        <v>13347894</v>
      </c>
      <c r="J25" s="31">
        <f>INDEX(Municipios_RN!$T$3:$T$168,MATCH(G25,Municipios_RN!$W$3:$W$168,0))</f>
        <v>0.64248238141249248</v>
      </c>
      <c r="K25" s="30">
        <f>INDEX(Municipios_RN!$I$3:$I$168,MATCH(G25,Municipios_RN!$W$3:$W$168,0))</f>
        <v>26972.15</v>
      </c>
    </row>
    <row r="26" spans="1:11">
      <c r="A26" s="28">
        <v>2</v>
      </c>
      <c r="B26" s="29" t="str">
        <f>INDEX(Municipios_RN!$B$3:$B$168,MATCH(A26,Municipios_RN!$V$3:$V$168,0))</f>
        <v>Pau dos Ferros</v>
      </c>
      <c r="C26" s="30">
        <f>INDEX(Municipios_RN!$S$3:$S$168,MATCH(A26,Municipios_RN!$V$3:$V$168,0))</f>
        <v>389068</v>
      </c>
      <c r="D26" s="31">
        <f>INDEX(Municipios_RN!$T$3:$T$168,MATCH(A26,Municipios_RN!$V$3:$V$168,0))</f>
        <v>0.63507204930823524</v>
      </c>
      <c r="E26" s="30">
        <f>INDEX(Municipios_RN!$I$3:$I$168,MATCH(A26,Municipios_RN!$V$3:$V$168,0))</f>
        <v>23028.639999999999</v>
      </c>
      <c r="G26" s="28">
        <v>2</v>
      </c>
      <c r="H26" s="29" t="str">
        <f>INDEX(Municipios_RN!$B$3:$B$168,MATCH(G26,Municipios_RN!$W$3:$W$168,0))</f>
        <v>Mossoró</v>
      </c>
      <c r="I26" s="30">
        <f>INDEX(Municipios_RN!$S$3:$S$168,MATCH(G26,Municipios_RN!$W$3:$W$168,0))</f>
        <v>3766138</v>
      </c>
      <c r="J26" s="31">
        <f>INDEX(Municipios_RN!$T$3:$T$168,MATCH(G26,Municipios_RN!$W$3:$W$168,0))</f>
        <v>0.54594068976194321</v>
      </c>
      <c r="K26" s="30">
        <f>INDEX(Municipios_RN!$I$3:$I$168,MATCH(G26,Municipios_RN!$W$3:$W$168,0))</f>
        <v>26569.89</v>
      </c>
    </row>
    <row r="27" spans="1:11">
      <c r="A27" s="28">
        <v>3</v>
      </c>
      <c r="B27" s="29" t="str">
        <f>INDEX(Municipios_RN!$B$3:$B$168,MATCH(A27,Municipios_RN!$V$3:$V$168,0))</f>
        <v>Parnamirim</v>
      </c>
      <c r="C27" s="30">
        <f>INDEX(Municipios_RN!$S$3:$S$168,MATCH(A27,Municipios_RN!$V$3:$V$168,0))</f>
        <v>3470184</v>
      </c>
      <c r="D27" s="31">
        <f>INDEX(Municipios_RN!$T$3:$T$168,MATCH(A27,Municipios_RN!$V$3:$V$168,0))</f>
        <v>0.61069962932322053</v>
      </c>
      <c r="E27" s="30">
        <f>INDEX(Municipios_RN!$I$3:$I$168,MATCH(A27,Municipios_RN!$V$3:$V$168,0))</f>
        <v>25121.5</v>
      </c>
      <c r="G27" s="28">
        <v>3</v>
      </c>
      <c r="H27" s="29" t="str">
        <f>INDEX(Municipios_RN!$B$3:$B$168,MATCH(G27,Municipios_RN!$W$3:$W$168,0))</f>
        <v>Parnamirim</v>
      </c>
      <c r="I27" s="30">
        <f>INDEX(Municipios_RN!$S$3:$S$168,MATCH(G27,Municipios_RN!$W$3:$W$168,0))</f>
        <v>3470184</v>
      </c>
      <c r="J27" s="31">
        <f>INDEX(Municipios_RN!$T$3:$T$168,MATCH(G27,Municipios_RN!$W$3:$W$168,0))</f>
        <v>0.61069962932322053</v>
      </c>
      <c r="K27" s="30">
        <f>INDEX(Municipios_RN!$I$3:$I$168,MATCH(G27,Municipios_RN!$W$3:$W$168,0))</f>
        <v>25121.5</v>
      </c>
    </row>
    <row r="28" spans="1:11">
      <c r="A28" s="28">
        <v>4</v>
      </c>
      <c r="B28" s="29" t="str">
        <f>INDEX(Municipios_RN!$B$3:$B$168,MATCH(A28,Municipios_RN!$V$3:$V$168,0))</f>
        <v>Tibau do Sul</v>
      </c>
      <c r="C28" s="30">
        <f>INDEX(Municipios_RN!$S$3:$S$168,MATCH(A28,Municipios_RN!$V$3:$V$168,0))</f>
        <v>228062</v>
      </c>
      <c r="D28" s="31">
        <f>INDEX(Municipios_RN!$T$3:$T$168,MATCH(A28,Municipios_RN!$V$3:$V$168,0))</f>
        <v>0.59719916414846319</v>
      </c>
      <c r="E28" s="30">
        <f>INDEX(Municipios_RN!$I$3:$I$168,MATCH(A28,Municipios_RN!$V$3:$V$168,0))</f>
        <v>28299.21</v>
      </c>
      <c r="G28" s="28">
        <v>4</v>
      </c>
      <c r="H28" s="29" t="str">
        <f>INDEX(Municipios_RN!$B$3:$B$168,MATCH(G28,Municipios_RN!$W$3:$W$168,0))</f>
        <v>São Gonçalo do Amarante</v>
      </c>
      <c r="I28" s="30">
        <f>INDEX(Municipios_RN!$S$3:$S$168,MATCH(G28,Municipios_RN!$W$3:$W$168,0))</f>
        <v>878071</v>
      </c>
      <c r="J28" s="31">
        <f>INDEX(Municipios_RN!$T$3:$T$168,MATCH(G28,Municipios_RN!$W$3:$W$168,0))</f>
        <v>0.52417079661549149</v>
      </c>
      <c r="K28" s="30">
        <f>INDEX(Municipios_RN!$I$3:$I$168,MATCH(G28,Municipios_RN!$W$3:$W$168,0))</f>
        <v>18162.97</v>
      </c>
    </row>
    <row r="29" spans="1:11">
      <c r="A29" s="28">
        <v>5</v>
      </c>
      <c r="B29" s="29" t="str">
        <f>INDEX(Municipios_RN!$B$3:$B$168,MATCH(A29,Municipios_RN!$V$3:$V$168,0))</f>
        <v>Caicó</v>
      </c>
      <c r="C29" s="30">
        <f>INDEX(Municipios_RN!$S$3:$S$168,MATCH(A29,Municipios_RN!$V$3:$V$168,0))</f>
        <v>687110</v>
      </c>
      <c r="D29" s="31">
        <f>INDEX(Municipios_RN!$T$3:$T$168,MATCH(A29,Municipios_RN!$V$3:$V$168,0))</f>
        <v>0.56572145107786853</v>
      </c>
      <c r="E29" s="30">
        <f>INDEX(Municipios_RN!$I$3:$I$168,MATCH(A29,Municipios_RN!$V$3:$V$168,0))</f>
        <v>20295.64</v>
      </c>
      <c r="G29" s="28">
        <v>5</v>
      </c>
      <c r="H29" s="29" t="str">
        <f>INDEX(Municipios_RN!$B$3:$B$168,MATCH(G29,Municipios_RN!$W$3:$W$168,0))</f>
        <v>Caicó</v>
      </c>
      <c r="I29" s="30">
        <f>INDEX(Municipios_RN!$S$3:$S$168,MATCH(G29,Municipios_RN!$W$3:$W$168,0))</f>
        <v>687110</v>
      </c>
      <c r="J29" s="31">
        <f>INDEX(Municipios_RN!$T$3:$T$168,MATCH(G29,Municipios_RN!$W$3:$W$168,0))</f>
        <v>0.56572145107786853</v>
      </c>
      <c r="K29" s="30">
        <f>INDEX(Municipios_RN!$I$3:$I$168,MATCH(G29,Municipios_RN!$W$3:$W$168,0))</f>
        <v>20295.64</v>
      </c>
    </row>
    <row r="30" spans="1:11">
      <c r="A30" s="28">
        <v>6</v>
      </c>
      <c r="B30" s="29" t="str">
        <f>INDEX(Municipios_RN!$B$3:$B$168,MATCH(A30,Municipios_RN!$V$3:$V$168,0))</f>
        <v>Mossoró</v>
      </c>
      <c r="C30" s="30">
        <f>INDEX(Municipios_RN!$S$3:$S$168,MATCH(A30,Municipios_RN!$V$3:$V$168,0))</f>
        <v>3766138</v>
      </c>
      <c r="D30" s="31">
        <f>INDEX(Municipios_RN!$T$3:$T$168,MATCH(A30,Municipios_RN!$V$3:$V$168,0))</f>
        <v>0.54594068976194321</v>
      </c>
      <c r="E30" s="30">
        <f>INDEX(Municipios_RN!$I$3:$I$168,MATCH(A30,Municipios_RN!$V$3:$V$168,0))</f>
        <v>26569.89</v>
      </c>
      <c r="G30" s="28">
        <v>6</v>
      </c>
      <c r="H30" s="29" t="str">
        <f>INDEX(Municipios_RN!$B$3:$B$168,MATCH(G30,Municipios_RN!$W$3:$W$168,0))</f>
        <v>Macaíba</v>
      </c>
      <c r="I30" s="30">
        <f>INDEX(Municipios_RN!$S$3:$S$168,MATCH(G30,Municipios_RN!$W$3:$W$168,0))</f>
        <v>605895</v>
      </c>
      <c r="J30" s="31">
        <f>INDEX(Municipios_RN!$T$3:$T$168,MATCH(G30,Municipios_RN!$W$3:$W$168,0))</f>
        <v>0.38813348468464776</v>
      </c>
      <c r="K30" s="30">
        <f>INDEX(Municipios_RN!$I$3:$I$168,MATCH(G30,Municipios_RN!$W$3:$W$168,0))</f>
        <v>22071.55</v>
      </c>
    </row>
    <row r="31" spans="1:11">
      <c r="A31" s="28">
        <v>7</v>
      </c>
      <c r="B31" s="29" t="str">
        <f>INDEX(Municipios_RN!$B$3:$B$168,MATCH(A31,Municipios_RN!$V$3:$V$168,0))</f>
        <v>São Gonçalo do Amarante</v>
      </c>
      <c r="C31" s="30">
        <f>INDEX(Municipios_RN!$S$3:$S$168,MATCH(A31,Municipios_RN!$V$3:$V$168,0))</f>
        <v>878071</v>
      </c>
      <c r="D31" s="31">
        <f>INDEX(Municipios_RN!$T$3:$T$168,MATCH(A31,Municipios_RN!$V$3:$V$168,0))</f>
        <v>0.52417079661549149</v>
      </c>
      <c r="E31" s="30">
        <f>INDEX(Municipios_RN!$I$3:$I$168,MATCH(A31,Municipios_RN!$V$3:$V$168,0))</f>
        <v>18162.97</v>
      </c>
      <c r="G31" s="28">
        <v>7</v>
      </c>
      <c r="H31" s="29" t="str">
        <f>INDEX(Municipios_RN!$B$3:$B$168,MATCH(G31,Municipios_RN!$W$3:$W$168,0))</f>
        <v>Assú</v>
      </c>
      <c r="I31" s="30">
        <f>INDEX(Municipios_RN!$S$3:$S$168,MATCH(G31,Municipios_RN!$W$3:$W$168,0))</f>
        <v>518977</v>
      </c>
      <c r="J31" s="31">
        <f>INDEX(Municipios_RN!$T$3:$T$168,MATCH(G31,Municipios_RN!$W$3:$W$168,0))</f>
        <v>0.37933144073396213</v>
      </c>
      <c r="K31" s="30">
        <f>INDEX(Municipios_RN!$I$3:$I$168,MATCH(G31,Municipios_RN!$W$3:$W$168,0))</f>
        <v>24982.76</v>
      </c>
    </row>
    <row r="32" spans="1:11">
      <c r="A32" s="28">
        <v>8</v>
      </c>
      <c r="B32" s="29" t="str">
        <f>INDEX(Municipios_RN!$B$3:$B$168,MATCH(A32,Municipios_RN!$V$3:$V$168,0))</f>
        <v>Currais Novos</v>
      </c>
      <c r="C32" s="30">
        <f>INDEX(Municipios_RN!$S$3:$S$168,MATCH(A32,Municipios_RN!$V$3:$V$168,0))</f>
        <v>364932</v>
      </c>
      <c r="D32" s="31">
        <f>INDEX(Municipios_RN!$T$3:$T$168,MATCH(A32,Municipios_RN!$V$3:$V$168,0))</f>
        <v>0.50896361278085378</v>
      </c>
      <c r="E32" s="30">
        <f>INDEX(Municipios_RN!$I$3:$I$168,MATCH(A32,Municipios_RN!$V$3:$V$168,0))</f>
        <v>17862.919999999998</v>
      </c>
      <c r="G32" s="28">
        <v>8</v>
      </c>
      <c r="H32" s="29" t="str">
        <f>INDEX(Municipios_RN!$B$3:$B$168,MATCH(G32,Municipios_RN!$W$3:$W$168,0))</f>
        <v>São José de Mipibu</v>
      </c>
      <c r="I32" s="30">
        <f>INDEX(Municipios_RN!$S$3:$S$168,MATCH(G32,Municipios_RN!$W$3:$W$168,0))</f>
        <v>435717</v>
      </c>
      <c r="J32" s="31">
        <f>INDEX(Municipios_RN!$T$3:$T$168,MATCH(G32,Municipios_RN!$W$3:$W$168,0))</f>
        <v>0.49587056200643914</v>
      </c>
      <c r="K32" s="30">
        <f>INDEX(Municipios_RN!$I$3:$I$168,MATCH(G32,Municipios_RN!$W$3:$W$168,0))</f>
        <v>23357.62</v>
      </c>
    </row>
    <row r="33" spans="1:11">
      <c r="A33" s="28">
        <v>9</v>
      </c>
      <c r="B33" s="29" t="str">
        <f>INDEX(Municipios_RN!$B$3:$B$168,MATCH(A33,Municipios_RN!$V$3:$V$168,0))</f>
        <v>São José de Mipibu</v>
      </c>
      <c r="C33" s="30">
        <f>INDEX(Municipios_RN!$S$3:$S$168,MATCH(A33,Municipios_RN!$V$3:$V$168,0))</f>
        <v>435717</v>
      </c>
      <c r="D33" s="31">
        <f>INDEX(Municipios_RN!$T$3:$T$168,MATCH(A33,Municipios_RN!$V$3:$V$168,0))</f>
        <v>0.49587056200643914</v>
      </c>
      <c r="E33" s="30">
        <f>INDEX(Municipios_RN!$I$3:$I$168,MATCH(A33,Municipios_RN!$V$3:$V$168,0))</f>
        <v>23357.62</v>
      </c>
      <c r="G33" s="28">
        <v>9</v>
      </c>
      <c r="H33" s="29" t="str">
        <f>INDEX(Municipios_RN!$B$3:$B$168,MATCH(G33,Municipios_RN!$W$3:$W$168,0))</f>
        <v>Pau dos Ferros</v>
      </c>
      <c r="I33" s="30">
        <f>INDEX(Municipios_RN!$S$3:$S$168,MATCH(G33,Municipios_RN!$W$3:$W$168,0))</f>
        <v>389068</v>
      </c>
      <c r="J33" s="31">
        <f>INDEX(Municipios_RN!$T$3:$T$168,MATCH(G33,Municipios_RN!$W$3:$W$168,0))</f>
        <v>0.63507204930823524</v>
      </c>
      <c r="K33" s="30">
        <f>INDEX(Municipios_RN!$I$3:$I$168,MATCH(G33,Municipios_RN!$W$3:$W$168,0))</f>
        <v>23028.639999999999</v>
      </c>
    </row>
    <row r="34" spans="1:11">
      <c r="A34" s="28">
        <v>10</v>
      </c>
      <c r="B34" s="29" t="str">
        <f>INDEX(Municipios_RN!$B$3:$B$168,MATCH(A34,Municipios_RN!$V$3:$V$168,0))</f>
        <v>Santa Cruz</v>
      </c>
      <c r="C34" s="30">
        <f>INDEX(Municipios_RN!$S$3:$S$168,MATCH(A34,Municipios_RN!$V$3:$V$168,0))</f>
        <v>268281</v>
      </c>
      <c r="D34" s="31">
        <f>INDEX(Municipios_RN!$T$3:$T$168,MATCH(A34,Municipios_RN!$V$3:$V$168,0))</f>
        <v>0.48134499073304904</v>
      </c>
      <c r="E34" s="30">
        <f>INDEX(Municipios_RN!$I$3:$I$168,MATCH(A34,Municipios_RN!$V$3:$V$168,0))</f>
        <v>15362.6</v>
      </c>
      <c r="G34" s="28">
        <v>10</v>
      </c>
      <c r="H34" s="29" t="str">
        <f>INDEX(Municipios_RN!$B$3:$B$168,MATCH(G34,Municipios_RN!$W$3:$W$168,0))</f>
        <v>Ceará-Mirim</v>
      </c>
      <c r="I34" s="30">
        <f>INDEX(Municipios_RN!$S$3:$S$168,MATCH(G34,Municipios_RN!$W$3:$W$168,0))</f>
        <v>365315</v>
      </c>
      <c r="J34" s="31">
        <f>INDEX(Municipios_RN!$T$3:$T$168,MATCH(G34,Municipios_RN!$W$3:$W$168,0))</f>
        <v>0.40377139939232304</v>
      </c>
      <c r="K34" s="30">
        <f>INDEX(Municipios_RN!$I$3:$I$168,MATCH(G34,Municipios_RN!$W$3:$W$168,0))</f>
        <v>13494.28</v>
      </c>
    </row>
    <row r="35" spans="1:11">
      <c r="A35" s="28">
        <v>11</v>
      </c>
      <c r="B35" s="29" t="str">
        <f>INDEX(Municipios_RN!$B$3:$B$168,MATCH(A35,Municipios_RN!$V$3:$V$168,0))</f>
        <v>Angicos</v>
      </c>
      <c r="C35" s="30">
        <f>INDEX(Municipios_RN!$S$3:$S$168,MATCH(A35,Municipios_RN!$V$3:$V$168,0))</f>
        <v>78364</v>
      </c>
      <c r="D35" s="31">
        <f>INDEX(Municipios_RN!$T$3:$T$168,MATCH(A35,Municipios_RN!$V$3:$V$168,0))</f>
        <v>0.48035994507650059</v>
      </c>
      <c r="E35" s="30">
        <f>INDEX(Municipios_RN!$I$3:$I$168,MATCH(A35,Municipios_RN!$V$3:$V$168,0))</f>
        <v>15405.14</v>
      </c>
      <c r="G35" s="28">
        <v>11</v>
      </c>
      <c r="H35" s="29" t="str">
        <f>INDEX(Municipios_RN!$B$3:$B$168,MATCH(G35,Municipios_RN!$W$3:$W$168,0))</f>
        <v>Currais Novos</v>
      </c>
      <c r="I35" s="30">
        <f>INDEX(Municipios_RN!$S$3:$S$168,MATCH(G35,Municipios_RN!$W$3:$W$168,0))</f>
        <v>364932</v>
      </c>
      <c r="J35" s="31">
        <f>INDEX(Municipios_RN!$T$3:$T$168,MATCH(G35,Municipios_RN!$W$3:$W$168,0))</f>
        <v>0.50896361278085378</v>
      </c>
      <c r="K35" s="30">
        <f>INDEX(Municipios_RN!$I$3:$I$168,MATCH(G35,Municipios_RN!$W$3:$W$168,0))</f>
        <v>17862.919999999998</v>
      </c>
    </row>
    <row r="36" spans="1:11">
      <c r="A36" s="28">
        <v>12</v>
      </c>
      <c r="B36" s="29" t="str">
        <f>INDEX(Municipios_RN!$B$3:$B$168,MATCH(A36,Municipios_RN!$V$3:$V$168,0))</f>
        <v>Nova Cruz</v>
      </c>
      <c r="C36" s="30">
        <f>INDEX(Municipios_RN!$S$3:$S$168,MATCH(A36,Municipios_RN!$V$3:$V$168,0))</f>
        <v>234694</v>
      </c>
      <c r="D36" s="31">
        <f>INDEX(Municipios_RN!$T$3:$T$168,MATCH(A36,Municipios_RN!$V$3:$V$168,0))</f>
        <v>0.47641415597227915</v>
      </c>
      <c r="E36" s="30">
        <f>INDEX(Municipios_RN!$I$3:$I$168,MATCH(A36,Municipios_RN!$V$3:$V$168,0))</f>
        <v>14925.04</v>
      </c>
      <c r="G36" s="28">
        <v>12</v>
      </c>
      <c r="H36" s="29" t="str">
        <f>INDEX(Municipios_RN!$B$3:$B$168,MATCH(G36,Municipios_RN!$W$3:$W$168,0))</f>
        <v>Macau</v>
      </c>
      <c r="I36" s="30">
        <f>INDEX(Municipios_RN!$S$3:$S$168,MATCH(G36,Municipios_RN!$W$3:$W$168,0))</f>
        <v>290912</v>
      </c>
      <c r="J36" s="31">
        <f>INDEX(Municipios_RN!$T$3:$T$168,MATCH(G36,Municipios_RN!$W$3:$W$168,0))</f>
        <v>0.27299275552719493</v>
      </c>
      <c r="K36" s="30">
        <f>INDEX(Municipios_RN!$I$3:$I$168,MATCH(G36,Municipios_RN!$W$3:$W$168,0))</f>
        <v>34442.58</v>
      </c>
    </row>
    <row r="37" spans="1:11">
      <c r="A37" s="28">
        <v>13</v>
      </c>
      <c r="B37" s="29" t="str">
        <f>INDEX(Municipios_RN!$B$3:$B$168,MATCH(A37,Municipios_RN!$V$3:$V$168,0))</f>
        <v>São Miguel</v>
      </c>
      <c r="C37" s="30">
        <f>INDEX(Municipios_RN!$S$3:$S$168,MATCH(A37,Municipios_RN!$V$3:$V$168,0))</f>
        <v>129482</v>
      </c>
      <c r="D37" s="31">
        <f>INDEX(Municipios_RN!$T$3:$T$168,MATCH(A37,Municipios_RN!$V$3:$V$168,0))</f>
        <v>0.45244160245994725</v>
      </c>
      <c r="E37" s="30">
        <f>INDEX(Municipios_RN!$I$3:$I$168,MATCH(A37,Municipios_RN!$V$3:$V$168,0))</f>
        <v>13440.66</v>
      </c>
      <c r="G37" s="28">
        <v>13</v>
      </c>
      <c r="H37" s="29" t="str">
        <f>INDEX(Municipios_RN!$B$3:$B$168,MATCH(G37,Municipios_RN!$W$3:$W$168,0))</f>
        <v>Areia Branca</v>
      </c>
      <c r="I37" s="30">
        <f>INDEX(Municipios_RN!$S$3:$S$168,MATCH(G37,Municipios_RN!$W$3:$W$168,0))</f>
        <v>273953</v>
      </c>
      <c r="J37" s="31">
        <f>INDEX(Municipios_RN!$T$3:$T$168,MATCH(G37,Municipios_RN!$W$3:$W$168,0))</f>
        <v>0.31991895553064276</v>
      </c>
      <c r="K37" s="30">
        <f>INDEX(Municipios_RN!$I$3:$I$168,MATCH(G37,Municipios_RN!$W$3:$W$168,0))</f>
        <v>33242.230000000003</v>
      </c>
    </row>
    <row r="38" spans="1:11">
      <c r="A38" s="28">
        <v>14</v>
      </c>
      <c r="B38" s="29" t="str">
        <f>INDEX(Municipios_RN!$B$3:$B$168,MATCH(A38,Municipios_RN!$V$3:$V$168,0))</f>
        <v>Umarizal</v>
      </c>
      <c r="C38" s="30">
        <f>INDEX(Municipios_RN!$S$3:$S$168,MATCH(A38,Municipios_RN!$V$3:$V$168,0))</f>
        <v>61441</v>
      </c>
      <c r="D38" s="31">
        <f>INDEX(Municipios_RN!$T$3:$T$168,MATCH(A38,Municipios_RN!$V$3:$V$168,0))</f>
        <v>0.44404373875273728</v>
      </c>
      <c r="E38" s="30">
        <f>INDEX(Municipios_RN!$I$3:$I$168,MATCH(A38,Municipios_RN!$V$3:$V$168,0))</f>
        <v>14421.11</v>
      </c>
      <c r="G38" s="28">
        <v>14</v>
      </c>
      <c r="H38" s="29" t="str">
        <f>INDEX(Municipios_RN!$B$3:$B$168,MATCH(G38,Municipios_RN!$W$3:$W$168,0))</f>
        <v>Santa Cruz</v>
      </c>
      <c r="I38" s="30">
        <f>INDEX(Municipios_RN!$S$3:$S$168,MATCH(G38,Municipios_RN!$W$3:$W$168,0))</f>
        <v>268281</v>
      </c>
      <c r="J38" s="31">
        <f>INDEX(Municipios_RN!$T$3:$T$168,MATCH(G38,Municipios_RN!$W$3:$W$168,0))</f>
        <v>0.48134499073304904</v>
      </c>
      <c r="K38" s="30">
        <f>INDEX(Municipios_RN!$I$3:$I$168,MATCH(G38,Municipios_RN!$W$3:$W$168,0))</f>
        <v>15362.6</v>
      </c>
    </row>
    <row r="39" spans="1:11">
      <c r="A39" s="28">
        <v>15</v>
      </c>
      <c r="B39" s="29" t="str">
        <f>INDEX(Municipios_RN!$B$3:$B$168,MATCH(A39,Municipios_RN!$V$3:$V$168,0))</f>
        <v>Patu</v>
      </c>
      <c r="C39" s="30">
        <f>INDEX(Municipios_RN!$S$3:$S$168,MATCH(A39,Municipios_RN!$V$3:$V$168,0))</f>
        <v>64954</v>
      </c>
      <c r="D39" s="31">
        <f>INDEX(Municipios_RN!$T$3:$T$168,MATCH(A39,Municipios_RN!$V$3:$V$168,0))</f>
        <v>0.44203534703932817</v>
      </c>
      <c r="E39" s="30">
        <f>INDEX(Municipios_RN!$I$3:$I$168,MATCH(A39,Municipios_RN!$V$3:$V$168,0))</f>
        <v>12511.61</v>
      </c>
      <c r="G39" s="28">
        <v>15</v>
      </c>
      <c r="H39" s="29" t="str">
        <f>INDEX(Municipios_RN!$B$3:$B$168,MATCH(G39,Municipios_RN!$W$3:$W$168,0))</f>
        <v>Guamaré</v>
      </c>
      <c r="I39" s="30">
        <f>INDEX(Municipios_RN!$S$3:$S$168,MATCH(G39,Municipios_RN!$W$3:$W$168,0))</f>
        <v>258287</v>
      </c>
      <c r="J39" s="31">
        <f>INDEX(Municipios_RN!$T$3:$T$168,MATCH(G39,Municipios_RN!$W$3:$W$168,0))</f>
        <v>0.13168757220747623</v>
      </c>
      <c r="K39" s="30">
        <f>INDEX(Municipios_RN!$I$3:$I$168,MATCH(G39,Municipios_RN!$W$3:$W$168,0))</f>
        <v>125584.68</v>
      </c>
    </row>
    <row r="42" spans="1:11">
      <c r="A42" s="35" t="s">
        <v>446</v>
      </c>
      <c r="B42" s="36"/>
      <c r="C42" s="36"/>
      <c r="D42" s="36"/>
      <c r="E42" s="36"/>
      <c r="G42" s="35" t="s">
        <v>447</v>
      </c>
      <c r="H42" s="36"/>
      <c r="I42" s="36"/>
      <c r="J42" s="36"/>
      <c r="K42" s="36"/>
    </row>
    <row r="43" spans="1:11" ht="22.35">
      <c r="A43" s="37" t="s">
        <v>440</v>
      </c>
      <c r="B43" s="37" t="s">
        <v>40</v>
      </c>
      <c r="C43" s="37" t="s">
        <v>441</v>
      </c>
      <c r="D43" s="37" t="s">
        <v>442</v>
      </c>
      <c r="E43" s="37" t="s">
        <v>443</v>
      </c>
      <c r="G43" s="37" t="s">
        <v>440</v>
      </c>
      <c r="H43" s="37" t="s">
        <v>40</v>
      </c>
      <c r="I43" s="37" t="s">
        <v>441</v>
      </c>
      <c r="J43" s="37" t="s">
        <v>442</v>
      </c>
      <c r="K43" s="37" t="s">
        <v>443</v>
      </c>
    </row>
    <row r="44" spans="1:11">
      <c r="A44" s="28">
        <v>1</v>
      </c>
      <c r="B44" s="29" t="str">
        <f>INDEX(Municipios_RN!$B$3:$B$168,MATCH(A44,Municipios_RN!$AD$3:$AD$168,0))</f>
        <v>João Dias</v>
      </c>
      <c r="C44" s="30">
        <f>INDEX(Municipios_RN!$AA$3:$AA$168,MATCH(A44,Municipios_RN!$AD$3:$AD$168,0))</f>
        <v>19827</v>
      </c>
      <c r="D44" s="31">
        <f>INDEX(Municipios_RN!$AB$3:$AB$168,MATCH(A44,Municipios_RN!$AD$3:$AD$168,0))</f>
        <v>0.7265298644192012</v>
      </c>
      <c r="E44" s="30">
        <f>INDEX(Municipios_RN!$I$3:$I$168,MATCH(A44,Municipios_RN!$AD$3:$AD$168,0))</f>
        <v>10550.56</v>
      </c>
      <c r="G44" s="28">
        <v>1</v>
      </c>
      <c r="H44" s="29" t="str">
        <f>INDEX(Municipios_RN!$B$3:$B$168,MATCH(G44,Municipios_RN!$AE$3:$AE$168,0))</f>
        <v>Natal</v>
      </c>
      <c r="I44" s="30">
        <f>INDEX(Municipios_RN!$AA$3:$AA$168,MATCH(G44,Municipios_RN!$AE$3:$AE$168,0))</f>
        <v>4851091</v>
      </c>
      <c r="J44" s="31">
        <f>INDEX(Municipios_RN!$AB$3:$AB$168,MATCH(G44,Municipios_RN!$AE$3:$AE$168,0))</f>
        <v>0.23350054309157006</v>
      </c>
      <c r="K44" s="30">
        <f>INDEX(Municipios_RN!$I$3:$I$168,MATCH(G44,Municipios_RN!$AE$3:$AE$168,0))</f>
        <v>26972.15</v>
      </c>
    </row>
    <row r="45" spans="1:11">
      <c r="A45" s="28">
        <v>2</v>
      </c>
      <c r="B45" s="29" t="str">
        <f>INDEX(Municipios_RN!$B$3:$B$168,MATCH(A45,Municipios_RN!$AD$3:$AD$168,0))</f>
        <v>Venha-Ver</v>
      </c>
      <c r="C45" s="30">
        <f>INDEX(Municipios_RN!$AA$3:$AA$168,MATCH(A45,Municipios_RN!$AD$3:$AD$168,0))</f>
        <v>30311</v>
      </c>
      <c r="D45" s="31">
        <f>INDEX(Municipios_RN!$AB$3:$AB$168,MATCH(A45,Municipios_RN!$AD$3:$AD$168,0))</f>
        <v>0.72391392610637439</v>
      </c>
      <c r="E45" s="30">
        <f>INDEX(Municipios_RN!$I$3:$I$168,MATCH(A45,Municipios_RN!$AD$3:$AD$168,0))</f>
        <v>10208.370000000001</v>
      </c>
      <c r="G45" s="28">
        <v>2</v>
      </c>
      <c r="H45" s="29" t="str">
        <f>INDEX(Municipios_RN!$B$3:$B$168,MATCH(G45,Municipios_RN!$AE$3:$AE$168,0))</f>
        <v>Mossoró</v>
      </c>
      <c r="I45" s="30">
        <f>INDEX(Municipios_RN!$AA$3:$AA$168,MATCH(G45,Municipios_RN!$AE$3:$AE$168,0))</f>
        <v>1662885</v>
      </c>
      <c r="J45" s="31">
        <f>INDEX(Municipios_RN!$AB$3:$AB$168,MATCH(G45,Municipios_RN!$AE$3:$AE$168,0))</f>
        <v>0.24105239475950932</v>
      </c>
      <c r="K45" s="30">
        <f>INDEX(Municipios_RN!$I$3:$I$168,MATCH(G45,Municipios_RN!$AE$3:$AE$168,0))</f>
        <v>26569.89</v>
      </c>
    </row>
    <row r="46" spans="1:11">
      <c r="A46" s="28">
        <v>3</v>
      </c>
      <c r="B46" s="29" t="str">
        <f>INDEX(Municipios_RN!$B$3:$B$168,MATCH(A46,Municipios_RN!$AD$3:$AD$168,0))</f>
        <v>Campo Redondo</v>
      </c>
      <c r="C46" s="30">
        <f>INDEX(Municipios_RN!$AA$3:$AA$168,MATCH(A46,Municipios_RN!$AD$3:$AD$168,0))</f>
        <v>73375</v>
      </c>
      <c r="D46" s="31">
        <f>INDEX(Municipios_RN!$AB$3:$AB$168,MATCH(A46,Municipios_RN!$AD$3:$AD$168,0))</f>
        <v>0.71041293508253855</v>
      </c>
      <c r="E46" s="30">
        <f>INDEX(Municipios_RN!$I$3:$I$168,MATCH(A46,Municipios_RN!$AD$3:$AD$168,0))</f>
        <v>9413.4599999999991</v>
      </c>
      <c r="G46" s="28">
        <v>3</v>
      </c>
      <c r="H46" s="29" t="str">
        <f>INDEX(Municipios_RN!$B$3:$B$168,MATCH(G46,Municipios_RN!$AE$3:$AE$168,0))</f>
        <v>Parnamirim</v>
      </c>
      <c r="I46" s="30">
        <f>INDEX(Municipios_RN!$AA$3:$AA$168,MATCH(G46,Municipios_RN!$AE$3:$AE$168,0))</f>
        <v>1550432</v>
      </c>
      <c r="J46" s="31">
        <f>INDEX(Municipios_RN!$AB$3:$AB$168,MATCH(G46,Municipios_RN!$AE$3:$AE$168,0))</f>
        <v>0.27285246191293011</v>
      </c>
      <c r="K46" s="30">
        <f>INDEX(Municipios_RN!$I$3:$I$168,MATCH(G46,Municipios_RN!$AE$3:$AE$168,0))</f>
        <v>25121.5</v>
      </c>
    </row>
    <row r="47" spans="1:11">
      <c r="A47" s="28">
        <v>4</v>
      </c>
      <c r="B47" s="29" t="str">
        <f>INDEX(Municipios_RN!$B$3:$B$168,MATCH(A47,Municipios_RN!$AD$3:$AD$168,0))</f>
        <v>Coronel João Pessoa</v>
      </c>
      <c r="C47" s="30">
        <f>INDEX(Municipios_RN!$AA$3:$AA$168,MATCH(A47,Municipios_RN!$AD$3:$AD$168,0))</f>
        <v>33140</v>
      </c>
      <c r="D47" s="31">
        <f>INDEX(Municipios_RN!$AB$3:$AB$168,MATCH(A47,Municipios_RN!$AD$3:$AD$168,0))</f>
        <v>0.70966636686796003</v>
      </c>
      <c r="E47" s="30">
        <f>INDEX(Municipios_RN!$I$3:$I$168,MATCH(A47,Municipios_RN!$AD$3:$AD$168,0))</f>
        <v>9793.8700000000008</v>
      </c>
      <c r="G47" s="28">
        <v>4</v>
      </c>
      <c r="H47" s="29" t="str">
        <f>INDEX(Municipios_RN!$B$3:$B$168,MATCH(G47,Municipios_RN!$AE$3:$AE$168,0))</f>
        <v>São Gonçalo do Amarante</v>
      </c>
      <c r="I47" s="30">
        <f>INDEX(Municipios_RN!$AA$3:$AA$168,MATCH(G47,Municipios_RN!$AE$3:$AE$168,0))</f>
        <v>589005</v>
      </c>
      <c r="J47" s="31">
        <f>INDEX(Municipios_RN!$AB$3:$AB$168,MATCH(G47,Municipios_RN!$AE$3:$AE$168,0))</f>
        <v>0.35161076958526999</v>
      </c>
      <c r="K47" s="30">
        <f>INDEX(Municipios_RN!$I$3:$I$168,MATCH(G47,Municipios_RN!$AE$3:$AE$168,0))</f>
        <v>18162.97</v>
      </c>
    </row>
    <row r="48" spans="1:11">
      <c r="A48" s="28">
        <v>5</v>
      </c>
      <c r="B48" s="29" t="str">
        <f>INDEX(Municipios_RN!$B$3:$B$168,MATCH(A48,Municipios_RN!$AD$3:$AD$168,0))</f>
        <v>Jundiá</v>
      </c>
      <c r="C48" s="30">
        <f>INDEX(Municipios_RN!$AA$3:$AA$168,MATCH(A48,Municipios_RN!$AD$3:$AD$168,0))</f>
        <v>29090</v>
      </c>
      <c r="D48" s="31">
        <f>INDEX(Municipios_RN!$AB$3:$AB$168,MATCH(A48,Municipios_RN!$AD$3:$AD$168,0))</f>
        <v>0.70778588807785892</v>
      </c>
      <c r="E48" s="30">
        <f>INDEX(Municipios_RN!$I$3:$I$168,MATCH(A48,Municipios_RN!$AD$3:$AD$168,0))</f>
        <v>10683.63</v>
      </c>
      <c r="G48" s="28">
        <v>5</v>
      </c>
      <c r="H48" s="29" t="str">
        <f>INDEX(Municipios_RN!$B$3:$B$168,MATCH(G48,Municipios_RN!$AE$3:$AE$168,0))</f>
        <v>Macaíba</v>
      </c>
      <c r="I48" s="30">
        <f>INDEX(Municipios_RN!$AA$3:$AA$168,MATCH(G48,Municipios_RN!$AE$3:$AE$168,0))</f>
        <v>433168</v>
      </c>
      <c r="J48" s="31">
        <f>INDEX(Municipios_RN!$AB$3:$AB$168,MATCH(G48,Municipios_RN!$AE$3:$AE$168,0))</f>
        <v>0.27748538161542757</v>
      </c>
      <c r="K48" s="30">
        <f>INDEX(Municipios_RN!$I$3:$I$168,MATCH(G48,Municipios_RN!$AE$3:$AE$168,0))</f>
        <v>22071.55</v>
      </c>
    </row>
    <row r="49" spans="1:11">
      <c r="A49" s="28">
        <v>6</v>
      </c>
      <c r="B49" s="29" t="str">
        <f>INDEX(Municipios_RN!$B$3:$B$168,MATCH(A49,Municipios_RN!$AD$3:$AD$168,0))</f>
        <v>Luís Gomes</v>
      </c>
      <c r="C49" s="30">
        <f>INDEX(Municipios_RN!$AA$3:$AA$168,MATCH(A49,Municipios_RN!$AD$3:$AD$168,0))</f>
        <v>59670</v>
      </c>
      <c r="D49" s="31">
        <f>INDEX(Municipios_RN!$AB$3:$AB$168,MATCH(A49,Municipios_RN!$AD$3:$AD$168,0))</f>
        <v>0.70653847064674258</v>
      </c>
      <c r="E49" s="30">
        <f>INDEX(Municipios_RN!$I$3:$I$168,MATCH(A49,Municipios_RN!$AD$3:$AD$168,0))</f>
        <v>8631.4599999999991</v>
      </c>
      <c r="G49" s="28">
        <v>6</v>
      </c>
      <c r="H49" s="29" t="str">
        <f>INDEX(Municipios_RN!$B$3:$B$168,MATCH(G49,Municipios_RN!$AE$3:$AE$168,0))</f>
        <v>Ceará-Mirim</v>
      </c>
      <c r="I49" s="30">
        <f>INDEX(Municipios_RN!$AA$3:$AA$168,MATCH(G49,Municipios_RN!$AE$3:$AE$168,0))</f>
        <v>419272</v>
      </c>
      <c r="J49" s="31">
        <f>INDEX(Municipios_RN!$AB$3:$AB$168,MATCH(G49,Municipios_RN!$AE$3:$AE$168,0))</f>
        <v>0.46340840689820584</v>
      </c>
      <c r="K49" s="30">
        <f>INDEX(Municipios_RN!$I$3:$I$168,MATCH(G49,Municipios_RN!$AE$3:$AE$168,0))</f>
        <v>13494.28</v>
      </c>
    </row>
    <row r="50" spans="1:11">
      <c r="A50" s="28">
        <v>7</v>
      </c>
      <c r="B50" s="29" t="str">
        <f>INDEX(Municipios_RN!$B$3:$B$168,MATCH(A50,Municipios_RN!$AD$3:$AD$168,0))</f>
        <v>Paraná</v>
      </c>
      <c r="C50" s="30">
        <f>INDEX(Municipios_RN!$AA$3:$AA$168,MATCH(A50,Municipios_RN!$AD$3:$AD$168,0))</f>
        <v>29928</v>
      </c>
      <c r="D50" s="31">
        <f>INDEX(Municipios_RN!$AB$3:$AB$168,MATCH(A50,Municipios_RN!$AD$3:$AD$168,0))</f>
        <v>0.70390667262506768</v>
      </c>
      <c r="E50" s="30">
        <f>INDEX(Municipios_RN!$I$3:$I$168,MATCH(A50,Municipios_RN!$AD$3:$AD$168,0))</f>
        <v>10221.11</v>
      </c>
      <c r="G50" s="28">
        <v>7</v>
      </c>
      <c r="H50" s="29" t="str">
        <f>INDEX(Municipios_RN!$B$3:$B$168,MATCH(G50,Municipios_RN!$AE$3:$AE$168,0))</f>
        <v>Caicó</v>
      </c>
      <c r="I50" s="30">
        <f>INDEX(Municipios_RN!$AA$3:$AA$168,MATCH(G50,Municipios_RN!$AE$3:$AE$168,0))</f>
        <v>392190</v>
      </c>
      <c r="J50" s="31">
        <f>INDEX(Municipios_RN!$AB$3:$AB$168,MATCH(G50,Municipios_RN!$AE$3:$AE$168,0))</f>
        <v>0.32290360480596886</v>
      </c>
      <c r="K50" s="30">
        <f>INDEX(Municipios_RN!$I$3:$I$168,MATCH(G50,Municipios_RN!$AE$3:$AE$168,0))</f>
        <v>20295.64</v>
      </c>
    </row>
    <row r="51" spans="1:11">
      <c r="A51" s="28">
        <v>8</v>
      </c>
      <c r="B51" s="29" t="str">
        <f>INDEX(Municipios_RN!$B$3:$B$168,MATCH(A51,Municipios_RN!$AD$3:$AD$168,0))</f>
        <v>São Bento do Trairí</v>
      </c>
      <c r="C51" s="30">
        <f>INDEX(Municipios_RN!$AA$3:$AA$168,MATCH(A51,Municipios_RN!$AD$3:$AD$168,0))</f>
        <v>30965</v>
      </c>
      <c r="D51" s="31">
        <f>INDEX(Municipios_RN!$AB$3:$AB$168,MATCH(A51,Municipios_RN!$AD$3:$AD$168,0))</f>
        <v>0.69961590600994128</v>
      </c>
      <c r="E51" s="30">
        <f>INDEX(Municipios_RN!$I$3:$I$168,MATCH(A51,Municipios_RN!$AD$3:$AD$168,0))</f>
        <v>10046.799999999999</v>
      </c>
      <c r="G51" s="28">
        <v>8</v>
      </c>
      <c r="H51" s="29" t="str">
        <f>INDEX(Municipios_RN!$B$3:$B$168,MATCH(G51,Municipios_RN!$AE$3:$AE$168,0))</f>
        <v>Assú</v>
      </c>
      <c r="I51" s="30">
        <f>INDEX(Municipios_RN!$AA$3:$AA$168,MATCH(G51,Municipios_RN!$AE$3:$AE$168,0))</f>
        <v>330939</v>
      </c>
      <c r="J51" s="31">
        <f>INDEX(Municipios_RN!$AB$3:$AB$168,MATCH(G51,Municipios_RN!$AE$3:$AE$168,0))</f>
        <v>0.24189042609799025</v>
      </c>
      <c r="K51" s="30">
        <f>INDEX(Municipios_RN!$I$3:$I$168,MATCH(G51,Municipios_RN!$AE$3:$AE$168,0))</f>
        <v>24982.76</v>
      </c>
    </row>
    <row r="52" spans="1:11">
      <c r="A52" s="28">
        <v>9</v>
      </c>
      <c r="B52" s="29" t="str">
        <f>INDEX(Municipios_RN!$B$3:$B$168,MATCH(A52,Municipios_RN!$AD$3:$AD$168,0))</f>
        <v>Sítio Novo</v>
      </c>
      <c r="C52" s="30">
        <f>INDEX(Municipios_RN!$AA$3:$AA$168,MATCH(A52,Municipios_RN!$AD$3:$AD$168,0))</f>
        <v>36020</v>
      </c>
      <c r="D52" s="31">
        <f>INDEX(Municipios_RN!$AB$3:$AB$168,MATCH(A52,Municipios_RN!$AD$3:$AD$168,0))</f>
        <v>0.6938531774314719</v>
      </c>
      <c r="E52" s="30">
        <f>INDEX(Municipios_RN!$I$3:$I$168,MATCH(A52,Municipios_RN!$AD$3:$AD$168,0))</f>
        <v>9604.1299999999992</v>
      </c>
      <c r="G52" s="28">
        <v>9</v>
      </c>
      <c r="H52" s="29" t="str">
        <f>INDEX(Municipios_RN!$B$3:$B$168,MATCH(G52,Municipios_RN!$AE$3:$AE$168,0))</f>
        <v>São José de Mipibu</v>
      </c>
      <c r="I52" s="30">
        <f>INDEX(Municipios_RN!$AA$3:$AA$168,MATCH(G52,Municipios_RN!$AE$3:$AE$168,0))</f>
        <v>261506</v>
      </c>
      <c r="J52" s="31">
        <f>INDEX(Municipios_RN!$AB$3:$AB$168,MATCH(G52,Municipios_RN!$AE$3:$AE$168,0))</f>
        <v>0.29760860188621485</v>
      </c>
      <c r="K52" s="30">
        <f>INDEX(Municipios_RN!$I$3:$I$168,MATCH(G52,Municipios_RN!$AE$3:$AE$168,0))</f>
        <v>23357.62</v>
      </c>
    </row>
    <row r="53" spans="1:11">
      <c r="A53" s="28">
        <v>10</v>
      </c>
      <c r="B53" s="29" t="str">
        <f>INDEX(Municipios_RN!$B$3:$B$168,MATCH(A53,Municipios_RN!$AD$3:$AD$168,0))</f>
        <v>Januário Cicco</v>
      </c>
      <c r="C53" s="30">
        <f>INDEX(Municipios_RN!$AA$3:$AA$168,MATCH(A53,Municipios_RN!$AD$3:$AD$168,0))</f>
        <v>55623</v>
      </c>
      <c r="D53" s="31">
        <f>INDEX(Municipios_RN!$AB$3:$AB$168,MATCH(A53,Municipios_RN!$AD$3:$AD$168,0))</f>
        <v>0.6923708876358341</v>
      </c>
      <c r="E53" s="30">
        <f>INDEX(Municipios_RN!$I$3:$I$168,MATCH(A53,Municipios_RN!$AD$3:$AD$168,0))</f>
        <v>8189.32</v>
      </c>
      <c r="G53" s="28">
        <v>10</v>
      </c>
      <c r="H53" s="29" t="str">
        <f>INDEX(Municipios_RN!$B$3:$B$168,MATCH(G53,Municipios_RN!$AE$3:$AE$168,0))</f>
        <v>Currais Novos</v>
      </c>
      <c r="I53" s="30">
        <f>INDEX(Municipios_RN!$AA$3:$AA$168,MATCH(G53,Municipios_RN!$AE$3:$AE$168,0))</f>
        <v>252593</v>
      </c>
      <c r="J53" s="31">
        <f>INDEX(Municipios_RN!$AB$3:$AB$168,MATCH(G53,Municipios_RN!$AE$3:$AE$168,0))</f>
        <v>0.35228657898774074</v>
      </c>
      <c r="K53" s="30">
        <f>INDEX(Municipios_RN!$I$3:$I$168,MATCH(G53,Municipios_RN!$AE$3:$AE$168,0))</f>
        <v>17862.919999999998</v>
      </c>
    </row>
    <row r="54" spans="1:11">
      <c r="A54" s="28">
        <v>11</v>
      </c>
      <c r="B54" s="29" t="str">
        <f>INDEX(Municipios_RN!$B$3:$B$168,MATCH(A54,Municipios_RN!$AD$3:$AD$168,0))</f>
        <v>Japi</v>
      </c>
      <c r="C54" s="30">
        <f>INDEX(Municipios_RN!$AA$3:$AA$168,MATCH(A54,Municipios_RN!$AD$3:$AD$168,0))</f>
        <v>34372</v>
      </c>
      <c r="D54" s="31">
        <f>INDEX(Municipios_RN!$AB$3:$AB$168,MATCH(A54,Municipios_RN!$AD$3:$AD$168,0))</f>
        <v>0.68811435206502369</v>
      </c>
      <c r="E54" s="30">
        <f>INDEX(Municipios_RN!$I$3:$I$168,MATCH(A54,Municipios_RN!$AD$3:$AD$168,0))</f>
        <v>10445.129999999999</v>
      </c>
      <c r="G54" s="28">
        <v>11</v>
      </c>
      <c r="H54" s="29" t="str">
        <f>INDEX(Municipios_RN!$B$3:$B$168,MATCH(G54,Municipios_RN!$AE$3:$AE$168,0))</f>
        <v>Santa Cruz</v>
      </c>
      <c r="I54" s="30">
        <f>INDEX(Municipios_RN!$AA$3:$AA$168,MATCH(G54,Municipios_RN!$AE$3:$AE$168,0))</f>
        <v>224065</v>
      </c>
      <c r="J54" s="31">
        <f>INDEX(Municipios_RN!$AB$3:$AB$168,MATCH(G54,Municipios_RN!$AE$3:$AE$168,0))</f>
        <v>0.40201343124783578</v>
      </c>
      <c r="K54" s="30">
        <f>INDEX(Municipios_RN!$I$3:$I$168,MATCH(G54,Municipios_RN!$AE$3:$AE$168,0))</f>
        <v>15362.6</v>
      </c>
    </row>
    <row r="55" spans="1:11">
      <c r="A55" s="28">
        <v>12</v>
      </c>
      <c r="B55" s="29" t="str">
        <f>INDEX(Municipios_RN!$B$3:$B$168,MATCH(A55,Municipios_RN!$AD$3:$AD$168,0))</f>
        <v>Barcelona</v>
      </c>
      <c r="C55" s="30">
        <f>INDEX(Municipios_RN!$AA$3:$AA$168,MATCH(A55,Municipios_RN!$AD$3:$AD$168,0))</f>
        <v>30481</v>
      </c>
      <c r="D55" s="31">
        <f>INDEX(Municipios_RN!$AB$3:$AB$168,MATCH(A55,Municipios_RN!$AD$3:$AD$168,0))</f>
        <v>0.68790340780862103</v>
      </c>
      <c r="E55" s="30">
        <f>INDEX(Municipios_RN!$I$3:$I$168,MATCH(A55,Municipios_RN!$AD$3:$AD$168,0))</f>
        <v>11497.52</v>
      </c>
      <c r="G55" s="28">
        <v>12</v>
      </c>
      <c r="H55" s="29" t="str">
        <f>INDEX(Municipios_RN!$B$3:$B$168,MATCH(G55,Municipios_RN!$AE$3:$AE$168,0))</f>
        <v>João Câmara</v>
      </c>
      <c r="I55" s="30">
        <f>INDEX(Municipios_RN!$AA$3:$AA$168,MATCH(G55,Municipios_RN!$AE$3:$AE$168,0))</f>
        <v>222640</v>
      </c>
      <c r="J55" s="31">
        <f>INDEX(Municipios_RN!$AB$3:$AB$168,MATCH(G55,Municipios_RN!$AE$3:$AE$168,0))</f>
        <v>0.18585967194064912</v>
      </c>
      <c r="K55" s="30">
        <f>INDEX(Municipios_RN!$I$3:$I$168,MATCH(G55,Municipios_RN!$AE$3:$AE$168,0))</f>
        <v>35911.56</v>
      </c>
    </row>
    <row r="56" spans="1:11">
      <c r="A56" s="28">
        <v>13</v>
      </c>
      <c r="B56" s="29" t="str">
        <f>INDEX(Municipios_RN!$B$3:$B$168,MATCH(A56,Municipios_RN!$AD$3:$AD$168,0))</f>
        <v>Lajes Pintadas</v>
      </c>
      <c r="C56" s="30">
        <f>INDEX(Municipios_RN!$AA$3:$AA$168,MATCH(A56,Municipios_RN!$AD$3:$AD$168,0))</f>
        <v>34222</v>
      </c>
      <c r="D56" s="31">
        <f>INDEX(Municipios_RN!$AB$3:$AB$168,MATCH(A56,Municipios_RN!$AD$3:$AD$168,0))</f>
        <v>0.68660968660968658</v>
      </c>
      <c r="E56" s="30">
        <f>INDEX(Municipios_RN!$I$3:$I$168,MATCH(A56,Municipios_RN!$AD$3:$AD$168,0))</f>
        <v>10820.77</v>
      </c>
      <c r="G56" s="28">
        <v>13</v>
      </c>
      <c r="H56" s="29" t="str">
        <f>INDEX(Municipios_RN!$B$3:$B$168,MATCH(G56,Municipios_RN!$AE$3:$AE$168,0))</f>
        <v>Nova Cruz</v>
      </c>
      <c r="I56" s="30">
        <f>INDEX(Municipios_RN!$AA$3:$AA$168,MATCH(G56,Municipios_RN!$AE$3:$AE$168,0))</f>
        <v>212905</v>
      </c>
      <c r="J56" s="31">
        <f>INDEX(Municipios_RN!$AB$3:$AB$168,MATCH(G56,Municipios_RN!$AE$3:$AE$168,0))</f>
        <v>0.4321838473811776</v>
      </c>
      <c r="K56" s="30">
        <f>INDEX(Municipios_RN!$I$3:$I$168,MATCH(G56,Municipios_RN!$AE$3:$AE$168,0))</f>
        <v>14925.04</v>
      </c>
    </row>
    <row r="57" spans="1:11">
      <c r="A57" s="28">
        <v>14</v>
      </c>
      <c r="B57" s="29" t="str">
        <f>INDEX(Municipios_RN!$B$3:$B$168,MATCH(A57,Municipios_RN!$AD$3:$AD$168,0))</f>
        <v>Riacho da Cruz</v>
      </c>
      <c r="C57" s="30">
        <f>INDEX(Municipios_RN!$AA$3:$AA$168,MATCH(A57,Municipios_RN!$AD$3:$AD$168,0))</f>
        <v>24804</v>
      </c>
      <c r="D57" s="31">
        <f>INDEX(Municipios_RN!$AB$3:$AB$168,MATCH(A57,Municipios_RN!$AD$3:$AD$168,0))</f>
        <v>0.68659691081215746</v>
      </c>
      <c r="E57" s="30">
        <f>INDEX(Municipios_RN!$I$3:$I$168,MATCH(A57,Municipios_RN!$AD$3:$AD$168,0))</f>
        <v>10281.41</v>
      </c>
      <c r="G57" s="28">
        <v>14</v>
      </c>
      <c r="H57" s="29" t="str">
        <f>INDEX(Municipios_RN!$B$3:$B$168,MATCH(G57,Municipios_RN!$AE$3:$AE$168,0))</f>
        <v>Touros</v>
      </c>
      <c r="I57" s="30">
        <f>INDEX(Municipios_RN!$AA$3:$AA$168,MATCH(G57,Municipios_RN!$AE$3:$AE$168,0))</f>
        <v>207128</v>
      </c>
      <c r="J57" s="31">
        <f>INDEX(Municipios_RN!$AB$3:$AB$168,MATCH(G57,Municipios_RN!$AE$3:$AE$168,0))</f>
        <v>0.27007595266812268</v>
      </c>
      <c r="K57" s="30">
        <f>INDEX(Municipios_RN!$I$3:$I$168,MATCH(G57,Municipios_RN!$AE$3:$AE$168,0))</f>
        <v>24167.69</v>
      </c>
    </row>
    <row r="58" spans="1:11">
      <c r="A58" s="28">
        <v>15</v>
      </c>
      <c r="B58" s="29" t="str">
        <f>INDEX(Municipios_RN!$B$3:$B$168,MATCH(A58,Municipios_RN!$AD$3:$AD$168,0))</f>
        <v>Riacho de Santana</v>
      </c>
      <c r="C58" s="30">
        <f>INDEX(Municipios_RN!$AA$3:$AA$168,MATCH(A58,Municipios_RN!$AD$3:$AD$168,0))</f>
        <v>28696</v>
      </c>
      <c r="D58" s="31">
        <f>INDEX(Municipios_RN!$AB$3:$AB$168,MATCH(A58,Municipios_RN!$AD$3:$AD$168,0))</f>
        <v>0.68142097264437695</v>
      </c>
      <c r="E58" s="30">
        <f>INDEX(Municipios_RN!$I$3:$I$168,MATCH(A58,Municipios_RN!$AD$3:$AD$168,0))</f>
        <v>10374.93</v>
      </c>
      <c r="G58" s="28">
        <v>15</v>
      </c>
      <c r="H58" s="29" t="str">
        <f>INDEX(Municipios_RN!$B$3:$B$168,MATCH(G58,Municipios_RN!$AE$3:$AE$168,0))</f>
        <v>Canguaretama</v>
      </c>
      <c r="I58" s="30">
        <f>INDEX(Municipios_RN!$AA$3:$AA$168,MATCH(G58,Municipios_RN!$AE$3:$AE$168,0))</f>
        <v>197510</v>
      </c>
      <c r="J58" s="31">
        <f>INDEX(Municipios_RN!$AB$3:$AB$168,MATCH(G58,Municipios_RN!$AE$3:$AE$168,0))</f>
        <v>0.35568545671302049</v>
      </c>
      <c r="K58" s="30">
        <f>INDEX(Municipios_RN!$I$3:$I$168,MATCH(G58,Municipios_RN!$AE$3:$AE$168,0))</f>
        <v>17397.39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tabSelected="1" zoomScaleNormal="100" workbookViewId="0">
      <selection activeCell="C7" sqref="C7"/>
    </sheetView>
  </sheetViews>
  <sheetFormatPr defaultColWidth="8.7109375" defaultRowHeight="15"/>
  <cols>
    <col min="1" max="1" width="30" customWidth="1"/>
    <col min="2" max="12" width="13" customWidth="1"/>
  </cols>
  <sheetData>
    <row r="1" spans="1:12">
      <c r="A1" s="24" t="s">
        <v>448</v>
      </c>
    </row>
    <row r="2" spans="1:12">
      <c r="A2" s="23" t="s">
        <v>449</v>
      </c>
    </row>
    <row r="4" spans="1:12" ht="48" customHeight="1">
      <c r="A4" s="38" t="s">
        <v>450</v>
      </c>
      <c r="B4" s="39" t="s">
        <v>89</v>
      </c>
      <c r="C4" s="39" t="s">
        <v>451</v>
      </c>
      <c r="D4" s="39" t="s">
        <v>452</v>
      </c>
      <c r="E4" s="39" t="s">
        <v>453</v>
      </c>
      <c r="F4" s="39" t="s">
        <v>454</v>
      </c>
      <c r="G4" s="39" t="s">
        <v>455</v>
      </c>
      <c r="H4" s="39" t="s">
        <v>456</v>
      </c>
      <c r="I4" s="39" t="s">
        <v>457</v>
      </c>
      <c r="J4" s="39" t="s">
        <v>77</v>
      </c>
      <c r="K4" s="39" t="s">
        <v>458</v>
      </c>
      <c r="L4" s="39" t="s">
        <v>459</v>
      </c>
    </row>
    <row r="5" spans="1:12">
      <c r="A5" s="40" t="s">
        <v>50</v>
      </c>
      <c r="B5" s="41">
        <f>CORREL(Municipios_RN!$L$3:$L$168,Municipios_RN!$BC$3:$BC$168)</f>
        <v>-1.5173354170515855E-2</v>
      </c>
      <c r="C5" s="41">
        <f>CORREL(Municipios_RN!$L$3:$L$168,Municipios_RN!$BD$3:$BD$168)</f>
        <v>1.1517000349622944E-3</v>
      </c>
      <c r="D5" s="41">
        <f>CORREL(Municipios_RN!$L$3:$L$168,Municipios_RN!$BJ$3:$BJ$168)</f>
        <v>0.30713204481265971</v>
      </c>
      <c r="E5" s="41">
        <f>CORREL(Municipios_RN!$L$3:$L$168,Municipios_RN!$BK$3:$BK$168)</f>
        <v>0.34047417614045483</v>
      </c>
      <c r="F5" s="41">
        <f>CORREL(Municipios_RN!$L$3:$L$168,Municipios_RN!$BG$3:$BG$168)</f>
        <v>-3.3136675576202632E-2</v>
      </c>
      <c r="G5" s="41">
        <f>CORREL(Municipios_RN!$L$3:$L$168,Municipios_RN!$BE$3:$BE$168)</f>
        <v>-0.19555464321639093</v>
      </c>
      <c r="H5" s="41">
        <f>CORREL(Municipios_RN!$L$3:$L$168,Municipios_RN!$BH$3:$BH$168)</f>
        <v>-8.919140415241622E-2</v>
      </c>
      <c r="I5" s="41">
        <f>CORREL(Municipios_RN!$L$3:$L$168,Municipios_RN!$BB$3:$BB$168)</f>
        <v>-3.6873338100983359E-2</v>
      </c>
      <c r="J5" s="41">
        <f>CORREL(Municipios_RN!$L$3:$L$168,Municipios_RN!$AQ$3:$AQ$168)</f>
        <v>0.18103728043819498</v>
      </c>
      <c r="K5" s="41">
        <f>CORREL(Municipios_RN!$L$3:$L$168,Municipios_RN!$AW$3:$AW$168)</f>
        <v>-0.15255639461686732</v>
      </c>
      <c r="L5" s="41">
        <f>CORREL(Municipios_RN!$L$3:$L$168,Municipios_RN!$AF$3:$AF$168)</f>
        <v>-0.18618837933747787</v>
      </c>
    </row>
    <row r="6" spans="1:12">
      <c r="A6" s="40" t="s">
        <v>58</v>
      </c>
      <c r="B6" s="41">
        <f>CORREL(Municipios_RN!$T$3:$T$168,Municipios_RN!$BC$3:$BC$168)</f>
        <v>0.60913653740651297</v>
      </c>
      <c r="C6" s="41">
        <f>CORREL(Municipios_RN!$T$3:$T$168,Municipios_RN!$BD$3:$BD$168)</f>
        <v>-0.51578832522523299</v>
      </c>
      <c r="D6" s="41">
        <f>CORREL(Municipios_RN!$T$3:$T$168,Municipios_RN!$BJ$3:$BJ$168)</f>
        <v>-0.1071049511518069</v>
      </c>
      <c r="E6" s="41">
        <f>CORREL(Municipios_RN!$T$3:$T$168,Municipios_RN!$BK$3:$BK$168)</f>
        <v>0.26733292046929613</v>
      </c>
      <c r="F6" s="41">
        <f>CORREL(Municipios_RN!$T$3:$T$168,Municipios_RN!$BG$3:$BG$168)</f>
        <v>-3.8757979545144404E-3</v>
      </c>
      <c r="G6" s="41">
        <f>CORREL(Municipios_RN!$T$3:$T$168,Municipios_RN!$BE$3:$BE$168)</f>
        <v>-2.1874155907676739E-2</v>
      </c>
      <c r="H6" s="41">
        <f>CORREL(Municipios_RN!$T$3:$T$168,Municipios_RN!$BH$3:$BH$168)</f>
        <v>0.25360028213057884</v>
      </c>
      <c r="I6" s="41">
        <f>CORREL(Municipios_RN!$T$3:$T$168,Municipios_RN!$BB$3:$BB$168)</f>
        <v>0.38297916367035245</v>
      </c>
      <c r="J6" s="41">
        <f>CORREL(Municipios_RN!$T$3:$T$168,Municipios_RN!$AQ$3:$AQ$168)</f>
        <v>0.335215355212652</v>
      </c>
      <c r="K6" s="41">
        <f>CORREL(Municipios_RN!$T$3:$T$168,Municipios_RN!$AW$3:$AW$168)</f>
        <v>0.22877588975813778</v>
      </c>
      <c r="L6" s="41">
        <f>CORREL(Municipios_RN!$T$3:$T$168,Municipios_RN!$AF$3:$AF$168)</f>
        <v>-0.4784568147014816</v>
      </c>
    </row>
    <row r="7" spans="1:12">
      <c r="A7" s="40" t="s">
        <v>64</v>
      </c>
      <c r="B7" s="41">
        <f>CORREL(Municipios_RN!$AB$3:$AB$168,Municipios_RN!$BC$3:$BC$168)</f>
        <v>-0.31405308419584171</v>
      </c>
      <c r="C7" s="59">
        <f>CORREL(Municipios_RN!$AB$3:$AB$168,Municipios_RN!$BD$3:$BD$168)</f>
        <v>0.36041382983521075</v>
      </c>
      <c r="D7" s="41">
        <f>CORREL(Municipios_RN!$AB$3:$AB$168,Municipios_RN!$BJ$3:$BJ$168)</f>
        <v>-0.1939863791670422</v>
      </c>
      <c r="E7" s="41">
        <f>CORREL(Municipios_RN!$AB$3:$AB$168,Municipios_RN!$BK$3:$BK$168)</f>
        <v>-0.56551697348310181</v>
      </c>
      <c r="F7" s="41">
        <f>CORREL(Municipios_RN!$AB$3:$AB$168,Municipios_RN!$BG$3:$BG$168)</f>
        <v>4.4747428879548447E-2</v>
      </c>
      <c r="G7" s="41">
        <f>CORREL(Municipios_RN!$AB$3:$AB$168,Municipios_RN!$BE$3:$BE$168)</f>
        <v>0.1862698760880187</v>
      </c>
      <c r="H7" s="41">
        <f>CORREL(Municipios_RN!$AB$3:$AB$168,Municipios_RN!$BH$3:$BH$168)</f>
        <v>-6.1127419157643074E-2</v>
      </c>
      <c r="I7" s="41">
        <f>CORREL(Municipios_RN!$AB$3:$AB$168,Municipios_RN!$BB$3:$BB$168)</f>
        <v>-0.15699694547857235</v>
      </c>
      <c r="J7" s="41">
        <f>CORREL(Municipios_RN!$AB$3:$AB$168,Municipios_RN!$AQ$3:$AQ$168)</f>
        <v>-0.37746159493019865</v>
      </c>
      <c r="K7" s="41">
        <f>CORREL(Municipios_RN!$AB$3:$AB$168,Municipios_RN!$AW$3:$AW$168)</f>
        <v>-4.7697458057155043E-2</v>
      </c>
      <c r="L7" s="41">
        <f>CORREL(Municipios_RN!$AB$3:$AB$168,Municipios_RN!$AF$3:$AF$168)</f>
        <v>0.42687919248314071</v>
      </c>
    </row>
    <row r="8" spans="1:12">
      <c r="A8" s="40" t="s">
        <v>443</v>
      </c>
      <c r="B8" s="41">
        <f>CORREL(Municipios_RN!$I$3:$I$168,Municipios_RN!$BC$3:$BC$168)</f>
        <v>-3.2252492755506894E-2</v>
      </c>
      <c r="C8" s="41">
        <f>CORREL(Municipios_RN!$I$3:$I$168,Municipios_RN!$BD$3:$BD$168)</f>
        <v>-4.4017083816388712E-2</v>
      </c>
      <c r="D8" s="41">
        <f>CORREL(Municipios_RN!$I$3:$I$168,Municipios_RN!$BJ$3:$BJ$168)</f>
        <v>0.2939012548436426</v>
      </c>
      <c r="E8" s="41">
        <f>CORREL(Municipios_RN!$I$3:$I$168,Municipios_RN!$BK$3:$BK$168)</f>
        <v>0.36587217333353944</v>
      </c>
      <c r="F8" s="41">
        <f>CORREL(Municipios_RN!$I$3:$I$168,Municipios_RN!$BG$3:$BG$168)</f>
        <v>-3.5685936183540511E-2</v>
      </c>
      <c r="G8" s="41">
        <f>CORREL(Municipios_RN!$I$3:$I$168,Municipios_RN!$BE$3:$BE$168)</f>
        <v>-0.11746972895868858</v>
      </c>
      <c r="H8" s="41">
        <f>CORREL(Municipios_RN!$I$3:$I$168,Municipios_RN!$BH$3:$BH$168)</f>
        <v>-7.3368813849358255E-2</v>
      </c>
      <c r="I8" s="41">
        <f>CORREL(Municipios_RN!$I$3:$I$168,Municipios_RN!$BB$3:$BB$168)</f>
        <v>1.51737953154887E-2</v>
      </c>
      <c r="J8" s="41">
        <f>CORREL(Municipios_RN!$I$3:$I$168,Municipios_RN!$AQ$3:$AQ$168)</f>
        <v>0.24146261784905951</v>
      </c>
      <c r="K8" s="41">
        <f>CORREL(Municipios_RN!$I$3:$I$168,Municipios_RN!$AW$3:$AW$168)</f>
        <v>-0.12183348374992503</v>
      </c>
      <c r="L8" s="41">
        <f>CORREL(Municipios_RN!$I$3:$I$168,Municipios_RN!$AF$3:$AF$168)</f>
        <v>-0.2183116722921124</v>
      </c>
    </row>
  </sheetData>
  <conditionalFormatting sqref="B5:L8">
    <cfRule type="colorScale" priority="2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76"/>
  <sheetViews>
    <sheetView zoomScaleNormal="100" workbookViewId="0">
      <pane xSplit="6" ySplit="1" topLeftCell="G2" activePane="bottomRight" state="frozen"/>
      <selection pane="bottomRight"/>
      <selection pane="bottomLeft" activeCell="A2" sqref="A2"/>
      <selection pane="topRight" activeCell="G1" sqref="G1"/>
    </sheetView>
  </sheetViews>
  <sheetFormatPr defaultColWidth="8.7109375" defaultRowHeight="15"/>
  <cols>
    <col min="1" max="1" width="10" customWidth="1"/>
    <col min="2" max="2" width="24" customWidth="1"/>
    <col min="3" max="3" width="18" customWidth="1"/>
    <col min="4" max="4" width="26" customWidth="1"/>
    <col min="5" max="5" width="16" customWidth="1"/>
    <col min="6" max="6" width="13" customWidth="1"/>
    <col min="7" max="28" width="11" customWidth="1"/>
    <col min="29" max="30" width="12" customWidth="1"/>
  </cols>
  <sheetData>
    <row r="1" spans="1:30" ht="39.75" customHeight="1">
      <c r="A1" s="42" t="s">
        <v>39</v>
      </c>
      <c r="B1" s="42" t="s">
        <v>40</v>
      </c>
      <c r="C1" s="42" t="s">
        <v>460</v>
      </c>
      <c r="D1" s="42" t="s">
        <v>461</v>
      </c>
      <c r="E1" s="42" t="s">
        <v>462</v>
      </c>
      <c r="F1" s="42" t="s">
        <v>463</v>
      </c>
      <c r="G1" s="42" t="s">
        <v>464</v>
      </c>
      <c r="H1" s="42" t="s">
        <v>465</v>
      </c>
      <c r="I1" s="42" t="s">
        <v>466</v>
      </c>
      <c r="J1" s="42" t="s">
        <v>467</v>
      </c>
      <c r="K1" s="42" t="s">
        <v>468</v>
      </c>
      <c r="L1" s="42" t="s">
        <v>469</v>
      </c>
      <c r="M1" s="42" t="s">
        <v>470</v>
      </c>
      <c r="N1" s="42" t="s">
        <v>471</v>
      </c>
      <c r="O1" s="42" t="s">
        <v>472</v>
      </c>
      <c r="P1" s="42" t="s">
        <v>473</v>
      </c>
      <c r="Q1" s="42" t="s">
        <v>474</v>
      </c>
      <c r="R1" s="42" t="s">
        <v>475</v>
      </c>
      <c r="S1" s="42" t="s">
        <v>476</v>
      </c>
      <c r="T1" s="42" t="s">
        <v>477</v>
      </c>
      <c r="U1" s="42" t="s">
        <v>478</v>
      </c>
      <c r="V1" s="42" t="s">
        <v>479</v>
      </c>
      <c r="W1" s="42" t="s">
        <v>480</v>
      </c>
      <c r="X1" s="42" t="s">
        <v>481</v>
      </c>
      <c r="Y1" s="42" t="s">
        <v>482</v>
      </c>
      <c r="Z1" s="42" t="s">
        <v>483</v>
      </c>
      <c r="AA1" s="42" t="s">
        <v>484</v>
      </c>
      <c r="AB1" s="42" t="s">
        <v>485</v>
      </c>
      <c r="AC1" s="42" t="s">
        <v>486</v>
      </c>
      <c r="AD1" s="42" t="s">
        <v>487</v>
      </c>
    </row>
    <row r="2" spans="1:30">
      <c r="A2" s="43" t="s">
        <v>488</v>
      </c>
      <c r="B2" s="43" t="s">
        <v>489</v>
      </c>
      <c r="C2" s="43" t="s">
        <v>490</v>
      </c>
      <c r="D2" s="43" t="s">
        <v>491</v>
      </c>
      <c r="E2" s="43" t="s">
        <v>492</v>
      </c>
      <c r="F2" s="43" t="s">
        <v>493</v>
      </c>
      <c r="G2" s="44">
        <v>13566803</v>
      </c>
      <c r="H2" s="44">
        <v>14865441</v>
      </c>
      <c r="I2" s="44">
        <v>17252398</v>
      </c>
      <c r="J2" s="44">
        <v>19966918</v>
      </c>
      <c r="K2" s="44">
        <v>22890124</v>
      </c>
      <c r="L2" s="44">
        <v>26318259</v>
      </c>
      <c r="M2" s="44">
        <v>28898860</v>
      </c>
      <c r="N2" s="44">
        <v>30941054</v>
      </c>
      <c r="O2" s="44">
        <v>36184502</v>
      </c>
      <c r="P2" s="44">
        <v>40992925</v>
      </c>
      <c r="Q2" s="44">
        <v>46412208</v>
      </c>
      <c r="R2" s="44">
        <v>51518457</v>
      </c>
      <c r="S2" s="44">
        <v>54022584</v>
      </c>
      <c r="T2" s="44">
        <v>57250867</v>
      </c>
      <c r="U2" s="44">
        <v>59677389</v>
      </c>
      <c r="V2" s="44">
        <v>64305995</v>
      </c>
      <c r="W2" s="44">
        <v>66969562</v>
      </c>
      <c r="X2" s="44">
        <v>71336780</v>
      </c>
      <c r="Y2" s="44">
        <v>71577107</v>
      </c>
      <c r="Z2" s="44">
        <v>80180733</v>
      </c>
      <c r="AA2" s="44">
        <v>93819291</v>
      </c>
      <c r="AB2" s="44">
        <v>101740275</v>
      </c>
    </row>
    <row r="3" spans="1:30">
      <c r="A3" s="43" t="s">
        <v>488</v>
      </c>
      <c r="B3" s="43" t="s">
        <v>489</v>
      </c>
      <c r="C3" s="43" t="s">
        <v>490</v>
      </c>
      <c r="D3" s="43" t="s">
        <v>494</v>
      </c>
      <c r="E3" s="43" t="s">
        <v>492</v>
      </c>
      <c r="F3" s="43" t="s">
        <v>493</v>
      </c>
      <c r="G3" s="44">
        <v>12082744</v>
      </c>
      <c r="H3" s="44">
        <v>13181222</v>
      </c>
      <c r="I3" s="44">
        <v>15296138</v>
      </c>
      <c r="J3" s="44">
        <v>17753703</v>
      </c>
      <c r="K3" s="44">
        <v>20252165</v>
      </c>
      <c r="L3" s="44">
        <v>23513864</v>
      </c>
      <c r="M3" s="44">
        <v>25678022</v>
      </c>
      <c r="N3" s="44">
        <v>27525533</v>
      </c>
      <c r="O3" s="44">
        <v>32149190</v>
      </c>
      <c r="P3" s="44">
        <v>36403024</v>
      </c>
      <c r="Q3" s="44">
        <v>41257031</v>
      </c>
      <c r="R3" s="44">
        <v>45903800</v>
      </c>
      <c r="S3" s="44">
        <v>48235009</v>
      </c>
      <c r="T3" s="44">
        <v>51183888</v>
      </c>
      <c r="U3" s="44">
        <v>53133028</v>
      </c>
      <c r="V3" s="44">
        <v>57389774</v>
      </c>
      <c r="W3" s="44">
        <v>59575711</v>
      </c>
      <c r="X3" s="44">
        <v>63866962</v>
      </c>
      <c r="Y3" s="44">
        <v>63816254</v>
      </c>
      <c r="Z3" s="44">
        <v>71064332</v>
      </c>
      <c r="AA3" s="44"/>
      <c r="AB3" s="44"/>
    </row>
    <row r="4" spans="1:30">
      <c r="A4" s="43" t="s">
        <v>488</v>
      </c>
      <c r="B4" s="43" t="s">
        <v>489</v>
      </c>
      <c r="C4" s="43" t="s">
        <v>490</v>
      </c>
      <c r="D4" s="43" t="s">
        <v>495</v>
      </c>
      <c r="E4" s="43" t="s">
        <v>492</v>
      </c>
      <c r="F4" s="43" t="s">
        <v>493</v>
      </c>
      <c r="G4" s="44">
        <v>3583308</v>
      </c>
      <c r="H4" s="44">
        <v>3329619</v>
      </c>
      <c r="I4" s="44">
        <v>4126394</v>
      </c>
      <c r="J4" s="44">
        <v>5095576</v>
      </c>
      <c r="K4" s="44">
        <v>5593218</v>
      </c>
      <c r="L4" s="44">
        <v>6684589</v>
      </c>
      <c r="M4" s="44">
        <v>7287363</v>
      </c>
      <c r="N4" s="44">
        <v>5827912</v>
      </c>
      <c r="O4" s="44">
        <v>7683076</v>
      </c>
      <c r="P4" s="44">
        <v>8955950</v>
      </c>
      <c r="Q4" s="44">
        <v>10261649</v>
      </c>
      <c r="R4" s="44">
        <v>10736594</v>
      </c>
      <c r="S4" s="44">
        <v>10559610</v>
      </c>
      <c r="T4" s="44">
        <v>10741879</v>
      </c>
      <c r="U4" s="44">
        <v>10096238</v>
      </c>
      <c r="V4" s="44">
        <v>10694795</v>
      </c>
      <c r="W4" s="44">
        <v>11372518</v>
      </c>
      <c r="X4" s="44">
        <v>11751480</v>
      </c>
      <c r="Y4" s="44">
        <v>11811274</v>
      </c>
      <c r="Z4" s="44">
        <v>14728096</v>
      </c>
      <c r="AA4" s="44"/>
      <c r="AB4" s="44"/>
    </row>
    <row r="5" spans="1:30">
      <c r="A5" s="43" t="s">
        <v>488</v>
      </c>
      <c r="B5" s="43" t="s">
        <v>489</v>
      </c>
      <c r="C5" s="43" t="s">
        <v>490</v>
      </c>
      <c r="D5" s="43" t="s">
        <v>496</v>
      </c>
      <c r="E5" s="43" t="s">
        <v>492</v>
      </c>
      <c r="F5" s="43" t="s">
        <v>493</v>
      </c>
      <c r="G5" s="44">
        <v>4644959</v>
      </c>
      <c r="H5" s="44">
        <v>5362006</v>
      </c>
      <c r="I5" s="44">
        <v>6232894</v>
      </c>
      <c r="J5" s="44">
        <v>7046830</v>
      </c>
      <c r="K5" s="44">
        <v>8216777</v>
      </c>
      <c r="L5" s="44">
        <v>9487810</v>
      </c>
      <c r="M5" s="44">
        <v>10170111</v>
      </c>
      <c r="N5" s="44">
        <v>12295758</v>
      </c>
      <c r="O5" s="44">
        <v>14253228</v>
      </c>
      <c r="P5" s="44">
        <v>15864659</v>
      </c>
      <c r="Q5" s="44">
        <v>18625292</v>
      </c>
      <c r="R5" s="44">
        <v>20935627</v>
      </c>
      <c r="S5" s="44">
        <v>22328626</v>
      </c>
      <c r="T5" s="44">
        <v>23931525</v>
      </c>
      <c r="U5" s="44">
        <v>25368841</v>
      </c>
      <c r="V5" s="44">
        <v>27524283</v>
      </c>
      <c r="W5" s="44">
        <v>28127591</v>
      </c>
      <c r="X5" s="44">
        <v>30468869</v>
      </c>
      <c r="Y5" s="44">
        <v>29207942</v>
      </c>
      <c r="Z5" s="44">
        <v>32321165</v>
      </c>
      <c r="AA5" s="44"/>
      <c r="AB5" s="44"/>
    </row>
    <row r="6" spans="1:30">
      <c r="A6" s="43" t="s">
        <v>488</v>
      </c>
      <c r="B6" s="43" t="s">
        <v>489</v>
      </c>
      <c r="C6" s="43" t="s">
        <v>490</v>
      </c>
      <c r="D6" s="43" t="s">
        <v>497</v>
      </c>
      <c r="E6" s="43" t="s">
        <v>492</v>
      </c>
      <c r="F6" s="43" t="s">
        <v>493</v>
      </c>
      <c r="G6" s="44">
        <v>3301515</v>
      </c>
      <c r="H6" s="44">
        <v>3635129</v>
      </c>
      <c r="I6" s="44">
        <v>4037607</v>
      </c>
      <c r="J6" s="44">
        <v>4741070</v>
      </c>
      <c r="K6" s="44">
        <v>5441218</v>
      </c>
      <c r="L6" s="44">
        <v>6452111</v>
      </c>
      <c r="M6" s="44">
        <v>7204441</v>
      </c>
      <c r="N6" s="44">
        <v>8151092</v>
      </c>
      <c r="O6" s="44">
        <v>9064264</v>
      </c>
      <c r="P6" s="44">
        <v>10250044</v>
      </c>
      <c r="Q6" s="44">
        <v>11068186</v>
      </c>
      <c r="R6" s="44">
        <v>12746686</v>
      </c>
      <c r="S6" s="44">
        <v>13806018</v>
      </c>
      <c r="T6" s="44">
        <v>14871849</v>
      </c>
      <c r="U6" s="44">
        <v>15801841</v>
      </c>
      <c r="V6" s="44">
        <v>17010128</v>
      </c>
      <c r="W6" s="44">
        <v>17478831</v>
      </c>
      <c r="X6" s="44">
        <v>18952562</v>
      </c>
      <c r="Y6" s="44">
        <v>19786450</v>
      </c>
      <c r="Z6" s="44">
        <v>20873316</v>
      </c>
      <c r="AA6" s="44"/>
      <c r="AB6" s="44"/>
    </row>
    <row r="7" spans="1:30">
      <c r="A7" s="45" t="s">
        <v>233</v>
      </c>
      <c r="B7" s="45" t="s">
        <v>234</v>
      </c>
      <c r="C7" s="45" t="s">
        <v>490</v>
      </c>
      <c r="D7" s="45" t="s">
        <v>491</v>
      </c>
      <c r="E7" s="45" t="s">
        <v>492</v>
      </c>
      <c r="F7" s="45" t="s">
        <v>493</v>
      </c>
      <c r="G7" s="14">
        <v>25575</v>
      </c>
      <c r="H7" s="14">
        <v>28144</v>
      </c>
      <c r="I7" s="14">
        <v>31036</v>
      </c>
      <c r="J7" s="14">
        <v>35205</v>
      </c>
      <c r="K7" s="14">
        <v>39731</v>
      </c>
      <c r="L7" s="14">
        <v>43491</v>
      </c>
      <c r="M7" s="14">
        <v>48200</v>
      </c>
      <c r="N7" s="14">
        <v>53885</v>
      </c>
      <c r="O7" s="14">
        <v>60084</v>
      </c>
      <c r="P7" s="14">
        <v>72737</v>
      </c>
      <c r="Q7" s="14">
        <v>87926</v>
      </c>
      <c r="R7" s="14">
        <v>98156</v>
      </c>
      <c r="S7" s="14">
        <v>105627</v>
      </c>
      <c r="T7" s="14">
        <v>112644</v>
      </c>
      <c r="U7" s="14">
        <v>109315</v>
      </c>
      <c r="V7" s="14">
        <v>119101</v>
      </c>
      <c r="W7" s="14">
        <v>124825</v>
      </c>
      <c r="X7" s="14">
        <v>129939</v>
      </c>
      <c r="Y7" s="14">
        <v>132249</v>
      </c>
      <c r="Z7" s="14">
        <v>141992</v>
      </c>
      <c r="AA7" s="14">
        <v>173700</v>
      </c>
      <c r="AB7" s="14">
        <v>195828</v>
      </c>
    </row>
    <row r="8" spans="1:30">
      <c r="A8" s="45" t="s">
        <v>233</v>
      </c>
      <c r="B8" s="45" t="s">
        <v>234</v>
      </c>
      <c r="C8" s="45" t="s">
        <v>490</v>
      </c>
      <c r="D8" s="45" t="s">
        <v>494</v>
      </c>
      <c r="E8" s="45" t="s">
        <v>492</v>
      </c>
      <c r="F8" s="45" t="s">
        <v>493</v>
      </c>
      <c r="G8" s="14">
        <v>24455</v>
      </c>
      <c r="H8" s="14">
        <v>27040</v>
      </c>
      <c r="I8" s="14">
        <v>29631</v>
      </c>
      <c r="J8" s="14">
        <v>33467</v>
      </c>
      <c r="K8" s="14">
        <v>37290</v>
      </c>
      <c r="L8" s="14">
        <v>40626</v>
      </c>
      <c r="M8" s="14">
        <v>45166</v>
      </c>
      <c r="N8" s="14">
        <v>50558</v>
      </c>
      <c r="O8" s="14">
        <v>55263</v>
      </c>
      <c r="P8" s="14">
        <v>66150</v>
      </c>
      <c r="Q8" s="14">
        <v>78801</v>
      </c>
      <c r="R8" s="14">
        <v>88387</v>
      </c>
      <c r="S8" s="14">
        <v>95385</v>
      </c>
      <c r="T8" s="14">
        <v>101580</v>
      </c>
      <c r="U8" s="14">
        <v>103757</v>
      </c>
      <c r="V8" s="14">
        <v>113378</v>
      </c>
      <c r="W8" s="14">
        <v>116168</v>
      </c>
      <c r="X8" s="14">
        <v>121379</v>
      </c>
      <c r="Y8" s="14">
        <v>123671</v>
      </c>
      <c r="Z8" s="14">
        <v>130775</v>
      </c>
      <c r="AA8" s="14"/>
      <c r="AB8" s="14"/>
    </row>
    <row r="9" spans="1:30">
      <c r="A9" s="45" t="s">
        <v>233</v>
      </c>
      <c r="B9" s="45" t="s">
        <v>234</v>
      </c>
      <c r="C9" s="45" t="s">
        <v>490</v>
      </c>
      <c r="D9" s="45" t="s">
        <v>495</v>
      </c>
      <c r="E9" s="45" t="s">
        <v>492</v>
      </c>
      <c r="F9" s="45" t="s">
        <v>493</v>
      </c>
      <c r="G9" s="14">
        <v>2123</v>
      </c>
      <c r="H9" s="14">
        <v>1911</v>
      </c>
      <c r="I9" s="14">
        <v>2034</v>
      </c>
      <c r="J9" s="14">
        <v>2354</v>
      </c>
      <c r="K9" s="14">
        <v>2808</v>
      </c>
      <c r="L9" s="14">
        <v>3200</v>
      </c>
      <c r="M9" s="14">
        <v>3439</v>
      </c>
      <c r="N9" s="14">
        <v>3304</v>
      </c>
      <c r="O9" s="14">
        <v>3781</v>
      </c>
      <c r="P9" s="14">
        <v>4295</v>
      </c>
      <c r="Q9" s="14">
        <v>6462</v>
      </c>
      <c r="R9" s="14">
        <v>7171</v>
      </c>
      <c r="S9" s="14">
        <v>8607</v>
      </c>
      <c r="T9" s="14">
        <v>7522</v>
      </c>
      <c r="U9" s="14">
        <v>9551</v>
      </c>
      <c r="V9" s="14">
        <v>10001</v>
      </c>
      <c r="W9" s="14">
        <v>9594</v>
      </c>
      <c r="X9" s="14">
        <v>8865</v>
      </c>
      <c r="Y9" s="14">
        <v>8348</v>
      </c>
      <c r="Z9" s="14">
        <v>8762</v>
      </c>
      <c r="AA9" s="14"/>
      <c r="AB9" s="14"/>
    </row>
    <row r="10" spans="1:30">
      <c r="A10" s="45" t="s">
        <v>233</v>
      </c>
      <c r="B10" s="45" t="s">
        <v>234</v>
      </c>
      <c r="C10" s="45" t="s">
        <v>490</v>
      </c>
      <c r="D10" s="45" t="s">
        <v>496</v>
      </c>
      <c r="E10" s="45" t="s">
        <v>492</v>
      </c>
      <c r="F10" s="45" t="s">
        <v>493</v>
      </c>
      <c r="G10" s="14">
        <v>6424</v>
      </c>
      <c r="H10" s="14">
        <v>6980</v>
      </c>
      <c r="I10" s="14">
        <v>7725</v>
      </c>
      <c r="J10" s="14">
        <v>8296</v>
      </c>
      <c r="K10" s="14">
        <v>9010</v>
      </c>
      <c r="L10" s="14">
        <v>10064</v>
      </c>
      <c r="M10" s="14">
        <v>9844</v>
      </c>
      <c r="N10" s="14">
        <v>11328</v>
      </c>
      <c r="O10" s="14">
        <v>13216</v>
      </c>
      <c r="P10" s="14">
        <v>15945</v>
      </c>
      <c r="Q10" s="14">
        <v>24719</v>
      </c>
      <c r="R10" s="14">
        <v>26658</v>
      </c>
      <c r="S10" s="14">
        <v>29252</v>
      </c>
      <c r="T10" s="14">
        <v>31765</v>
      </c>
      <c r="U10" s="14">
        <v>30592</v>
      </c>
      <c r="V10" s="14">
        <v>34840</v>
      </c>
      <c r="W10" s="14">
        <v>37273</v>
      </c>
      <c r="X10" s="14">
        <v>39854</v>
      </c>
      <c r="Y10" s="14">
        <v>38915</v>
      </c>
      <c r="Z10" s="14">
        <v>41690</v>
      </c>
      <c r="AA10" s="14"/>
      <c r="AB10" s="14"/>
    </row>
    <row r="11" spans="1:30">
      <c r="A11" s="45" t="s">
        <v>233</v>
      </c>
      <c r="B11" s="45" t="s">
        <v>234</v>
      </c>
      <c r="C11" s="45" t="s">
        <v>490</v>
      </c>
      <c r="D11" s="45" t="s">
        <v>497</v>
      </c>
      <c r="E11" s="45" t="s">
        <v>492</v>
      </c>
      <c r="F11" s="45" t="s">
        <v>493</v>
      </c>
      <c r="G11" s="14">
        <v>12857</v>
      </c>
      <c r="H11" s="14">
        <v>14121</v>
      </c>
      <c r="I11" s="14">
        <v>14956</v>
      </c>
      <c r="J11" s="14">
        <v>17822</v>
      </c>
      <c r="K11" s="14">
        <v>20201</v>
      </c>
      <c r="L11" s="14">
        <v>23253</v>
      </c>
      <c r="M11" s="14">
        <v>26271</v>
      </c>
      <c r="N11" s="14">
        <v>28326</v>
      </c>
      <c r="O11" s="14">
        <v>31252</v>
      </c>
      <c r="P11" s="14">
        <v>35049</v>
      </c>
      <c r="Q11" s="14">
        <v>37650</v>
      </c>
      <c r="R11" s="14">
        <v>42709</v>
      </c>
      <c r="S11" s="14">
        <v>45112</v>
      </c>
      <c r="T11" s="14">
        <v>49105</v>
      </c>
      <c r="U11" s="14">
        <v>51034</v>
      </c>
      <c r="V11" s="14">
        <v>55724</v>
      </c>
      <c r="W11" s="14">
        <v>55327</v>
      </c>
      <c r="X11" s="14">
        <v>60058</v>
      </c>
      <c r="Y11" s="14">
        <v>62026</v>
      </c>
      <c r="Z11" s="14">
        <v>63154</v>
      </c>
      <c r="AA11" s="14"/>
      <c r="AB11" s="14"/>
    </row>
    <row r="12" spans="1:30">
      <c r="A12" s="45" t="s">
        <v>233</v>
      </c>
      <c r="B12" s="45" t="s">
        <v>234</v>
      </c>
      <c r="C12" s="45" t="s">
        <v>498</v>
      </c>
      <c r="D12" s="45" t="s">
        <v>491</v>
      </c>
      <c r="E12" s="45" t="s">
        <v>499</v>
      </c>
      <c r="F12" s="45" t="s">
        <v>500</v>
      </c>
      <c r="G12" s="14">
        <v>48585.7</v>
      </c>
      <c r="H12" s="14">
        <v>46862.5</v>
      </c>
      <c r="I12" s="14">
        <v>47960</v>
      </c>
      <c r="J12" s="14">
        <v>50639.9</v>
      </c>
      <c r="K12" s="14">
        <v>53523.8</v>
      </c>
      <c r="L12" s="14">
        <v>55045.2</v>
      </c>
      <c r="M12" s="14">
        <v>56082.5</v>
      </c>
      <c r="N12" s="14">
        <v>58423.9</v>
      </c>
      <c r="O12" s="14">
        <v>60084</v>
      </c>
      <c r="P12" s="14">
        <v>67151</v>
      </c>
      <c r="Q12" s="14">
        <v>75200.3</v>
      </c>
      <c r="R12" s="14">
        <v>78089.399999999994</v>
      </c>
      <c r="S12" s="14">
        <v>77919</v>
      </c>
      <c r="T12" s="14">
        <v>77250.399999999994</v>
      </c>
      <c r="U12" s="14">
        <v>69347.7</v>
      </c>
      <c r="V12" s="14">
        <v>72880.100000000006</v>
      </c>
      <c r="W12" s="14">
        <v>73098</v>
      </c>
      <c r="X12" s="14">
        <v>73008.7</v>
      </c>
      <c r="Y12" s="14">
        <v>69789.5</v>
      </c>
      <c r="Z12" s="14">
        <v>66282.899999999994</v>
      </c>
      <c r="AA12" s="14"/>
      <c r="AB12" s="14"/>
      <c r="AC12" s="15">
        <f>IFERROR(Z12/G12-1,"")</f>
        <v>0.36424709328053306</v>
      </c>
      <c r="AD12" s="15">
        <f>IFERROR((Z12/G12)^(1/19)-1,"")</f>
        <v>1.6481861993022706E-2</v>
      </c>
    </row>
    <row r="13" spans="1:30">
      <c r="A13" s="45" t="s">
        <v>233</v>
      </c>
      <c r="B13" s="45" t="s">
        <v>234</v>
      </c>
      <c r="C13" s="45" t="s">
        <v>498</v>
      </c>
      <c r="D13" s="45" t="s">
        <v>495</v>
      </c>
      <c r="E13" s="45" t="s">
        <v>499</v>
      </c>
      <c r="F13" s="45" t="s">
        <v>500</v>
      </c>
      <c r="G13" s="14">
        <v>4032.4</v>
      </c>
      <c r="H13" s="14">
        <v>3182.3</v>
      </c>
      <c r="I13" s="14">
        <v>3143.8</v>
      </c>
      <c r="J13" s="14">
        <v>3385.7</v>
      </c>
      <c r="K13" s="14">
        <v>3782.2</v>
      </c>
      <c r="L13" s="14">
        <v>4050.1</v>
      </c>
      <c r="M13" s="14">
        <v>4001.5</v>
      </c>
      <c r="N13" s="14">
        <v>3582.3</v>
      </c>
      <c r="O13" s="14">
        <v>3781</v>
      </c>
      <c r="P13" s="14">
        <v>3965.2</v>
      </c>
      <c r="Q13" s="14">
        <v>5526.7</v>
      </c>
      <c r="R13" s="14">
        <v>5705</v>
      </c>
      <c r="S13" s="14">
        <v>6349.2</v>
      </c>
      <c r="T13" s="14">
        <v>5158.5</v>
      </c>
      <c r="U13" s="14">
        <v>6059</v>
      </c>
      <c r="V13" s="14">
        <v>6119.8</v>
      </c>
      <c r="W13" s="14">
        <v>5618.3</v>
      </c>
      <c r="X13" s="14">
        <v>4981</v>
      </c>
      <c r="Y13" s="14">
        <v>4405.3</v>
      </c>
      <c r="Z13" s="14">
        <v>4090.2</v>
      </c>
      <c r="AA13" s="14"/>
      <c r="AB13" s="14"/>
      <c r="AC13" s="15">
        <f>IFERROR(Z13/G13-1,"")</f>
        <v>1.4333895446880129E-2</v>
      </c>
      <c r="AD13" s="15">
        <f>IFERROR((Z13/G13)^(1/19)-1,"")</f>
        <v>7.4934042678354018E-4</v>
      </c>
    </row>
    <row r="14" spans="1:30">
      <c r="A14" s="45" t="s">
        <v>233</v>
      </c>
      <c r="B14" s="45" t="s">
        <v>234</v>
      </c>
      <c r="C14" s="45" t="s">
        <v>498</v>
      </c>
      <c r="D14" s="45" t="s">
        <v>496</v>
      </c>
      <c r="E14" s="45" t="s">
        <v>499</v>
      </c>
      <c r="F14" s="45" t="s">
        <v>500</v>
      </c>
      <c r="G14" s="14">
        <v>12203.2</v>
      </c>
      <c r="H14" s="14">
        <v>11622.6</v>
      </c>
      <c r="I14" s="14">
        <v>11936.8</v>
      </c>
      <c r="J14" s="14">
        <v>11933.1</v>
      </c>
      <c r="K14" s="14">
        <v>12138.4</v>
      </c>
      <c r="L14" s="14">
        <v>12737.9</v>
      </c>
      <c r="M14" s="14">
        <v>11453.9</v>
      </c>
      <c r="N14" s="14">
        <v>12282.2</v>
      </c>
      <c r="O14" s="14">
        <v>13216</v>
      </c>
      <c r="P14" s="14">
        <v>14720.5</v>
      </c>
      <c r="Q14" s="14">
        <v>21141.4</v>
      </c>
      <c r="R14" s="14">
        <v>21208.1</v>
      </c>
      <c r="S14" s="14">
        <v>21578.6</v>
      </c>
      <c r="T14" s="14">
        <v>21784.2</v>
      </c>
      <c r="U14" s="14">
        <v>19407.099999999999</v>
      </c>
      <c r="V14" s="14">
        <v>21319.200000000001</v>
      </c>
      <c r="W14" s="14">
        <v>21827.200000000001</v>
      </c>
      <c r="X14" s="14">
        <v>22392.7</v>
      </c>
      <c r="Y14" s="14">
        <v>20535.900000000001</v>
      </c>
      <c r="Z14" s="14">
        <v>19461.7</v>
      </c>
      <c r="AA14" s="14"/>
      <c r="AB14" s="14"/>
      <c r="AC14" s="15">
        <f>IFERROR(Z14/G14-1,"")</f>
        <v>0.59480300249114992</v>
      </c>
      <c r="AD14" s="15">
        <f>IFERROR((Z14/G14)^(1/19)-1,"")</f>
        <v>2.487002637185709E-2</v>
      </c>
    </row>
    <row r="15" spans="1:30">
      <c r="A15" s="45" t="s">
        <v>233</v>
      </c>
      <c r="B15" s="45" t="s">
        <v>234</v>
      </c>
      <c r="C15" s="45" t="s">
        <v>498</v>
      </c>
      <c r="D15" s="45" t="s">
        <v>497</v>
      </c>
      <c r="E15" s="45" t="s">
        <v>499</v>
      </c>
      <c r="F15" s="45" t="s">
        <v>500</v>
      </c>
      <c r="G15" s="14">
        <v>24424.7</v>
      </c>
      <c r="H15" s="14">
        <v>23513</v>
      </c>
      <c r="I15" s="14">
        <v>23111.4</v>
      </c>
      <c r="J15" s="14">
        <v>25635</v>
      </c>
      <c r="K15" s="14">
        <v>27214.2</v>
      </c>
      <c r="L15" s="14">
        <v>29431.1</v>
      </c>
      <c r="M15" s="14">
        <v>30566.799999999999</v>
      </c>
      <c r="N15" s="14">
        <v>30712</v>
      </c>
      <c r="O15" s="14">
        <v>31252</v>
      </c>
      <c r="P15" s="14">
        <v>32357.3</v>
      </c>
      <c r="Q15" s="14">
        <v>32200.799999999999</v>
      </c>
      <c r="R15" s="14">
        <v>33977.699999999997</v>
      </c>
      <c r="S15" s="14">
        <v>33278.199999999997</v>
      </c>
      <c r="T15" s="14">
        <v>33675.800000000003</v>
      </c>
      <c r="U15" s="14">
        <v>32375.200000000001</v>
      </c>
      <c r="V15" s="14">
        <v>34098.5</v>
      </c>
      <c r="W15" s="14">
        <v>32399.7</v>
      </c>
      <c r="X15" s="14">
        <v>33744.699999999997</v>
      </c>
      <c r="Y15" s="14">
        <v>32731.9</v>
      </c>
      <c r="Z15" s="14">
        <v>29481.200000000001</v>
      </c>
      <c r="AA15" s="14"/>
      <c r="AB15" s="14"/>
      <c r="AC15" s="15">
        <f>IFERROR(Z15/G15-1,"")</f>
        <v>0.20702403714272855</v>
      </c>
      <c r="AD15" s="15">
        <f>IFERROR((Z15/G15)^(1/19)-1,"")</f>
        <v>9.9522425077920307E-3</v>
      </c>
    </row>
    <row r="16" spans="1:30">
      <c r="A16" s="45" t="s">
        <v>233</v>
      </c>
      <c r="B16" s="45" t="s">
        <v>234</v>
      </c>
      <c r="C16" s="45" t="s">
        <v>498</v>
      </c>
      <c r="D16" s="45" t="s">
        <v>501</v>
      </c>
      <c r="E16" s="45" t="s">
        <v>499</v>
      </c>
      <c r="F16" s="45" t="s">
        <v>500</v>
      </c>
      <c r="G16" s="14">
        <v>5797.3</v>
      </c>
      <c r="H16" s="14">
        <v>6706.3</v>
      </c>
      <c r="I16" s="14">
        <v>7596.9</v>
      </c>
      <c r="J16" s="14">
        <v>7185.9</v>
      </c>
      <c r="K16" s="14">
        <v>7100.4</v>
      </c>
      <c r="L16" s="14">
        <v>5200.3999999999996</v>
      </c>
      <c r="M16" s="14">
        <v>6529.5</v>
      </c>
      <c r="N16" s="14">
        <v>8240.2000000000007</v>
      </c>
      <c r="O16" s="14">
        <v>7014</v>
      </c>
      <c r="P16" s="14">
        <v>10026</v>
      </c>
      <c r="Q16" s="14">
        <v>8527.9</v>
      </c>
      <c r="R16" s="14">
        <v>9427.4</v>
      </c>
      <c r="S16" s="14">
        <v>9157.6</v>
      </c>
      <c r="T16" s="14">
        <v>9044.2000000000007</v>
      </c>
      <c r="U16" s="14">
        <v>7980.6</v>
      </c>
      <c r="V16" s="14">
        <v>7840.5</v>
      </c>
      <c r="W16" s="14">
        <v>8183.2</v>
      </c>
      <c r="X16" s="14">
        <v>7080.7</v>
      </c>
      <c r="Y16" s="14">
        <v>7589</v>
      </c>
      <c r="Z16" s="14">
        <v>8014.6</v>
      </c>
      <c r="AA16" s="14"/>
      <c r="AB16" s="14"/>
      <c r="AC16" s="15">
        <f>IFERROR(Z16/G16-1,"")</f>
        <v>0.38247115036309998</v>
      </c>
      <c r="AD16" s="15">
        <f>IFERROR((Z16/G16)^(1/19)-1,"")</f>
        <v>1.7192036410693445E-2</v>
      </c>
    </row>
    <row r="17" spans="1:30">
      <c r="A17" s="45" t="s">
        <v>113</v>
      </c>
      <c r="B17" s="45" t="s">
        <v>114</v>
      </c>
      <c r="C17" s="45" t="s">
        <v>490</v>
      </c>
      <c r="D17" s="45" t="s">
        <v>491</v>
      </c>
      <c r="E17" s="45" t="s">
        <v>492</v>
      </c>
      <c r="F17" s="45" t="s">
        <v>493</v>
      </c>
      <c r="G17" s="14">
        <v>202278</v>
      </c>
      <c r="H17" s="14">
        <v>192702</v>
      </c>
      <c r="I17" s="14">
        <v>215069</v>
      </c>
      <c r="J17" s="14">
        <v>265624</v>
      </c>
      <c r="K17" s="14">
        <v>286096</v>
      </c>
      <c r="L17" s="14">
        <v>323551</v>
      </c>
      <c r="M17" s="14">
        <v>358395</v>
      </c>
      <c r="N17" s="14">
        <v>351654</v>
      </c>
      <c r="O17" s="14">
        <v>442987</v>
      </c>
      <c r="P17" s="14">
        <v>605536</v>
      </c>
      <c r="Q17" s="14">
        <v>699354</v>
      </c>
      <c r="R17" s="14">
        <v>818416</v>
      </c>
      <c r="S17" s="14">
        <v>830663</v>
      </c>
      <c r="T17" s="14">
        <v>853302</v>
      </c>
      <c r="U17" s="14">
        <v>780970</v>
      </c>
      <c r="V17" s="14">
        <v>894304</v>
      </c>
      <c r="W17" s="14">
        <v>1134910</v>
      </c>
      <c r="X17" s="14">
        <v>1278677</v>
      </c>
      <c r="Y17" s="14">
        <v>1169390</v>
      </c>
      <c r="Z17" s="14">
        <v>1467562</v>
      </c>
      <c r="AA17" s="14">
        <v>2146108</v>
      </c>
      <c r="AB17" s="14">
        <v>2170177</v>
      </c>
    </row>
    <row r="18" spans="1:30">
      <c r="A18" s="45" t="s">
        <v>113</v>
      </c>
      <c r="B18" s="45" t="s">
        <v>114</v>
      </c>
      <c r="C18" s="45" t="s">
        <v>490</v>
      </c>
      <c r="D18" s="45" t="s">
        <v>494</v>
      </c>
      <c r="E18" s="45" t="s">
        <v>492</v>
      </c>
      <c r="F18" s="45" t="s">
        <v>493</v>
      </c>
      <c r="G18" s="14">
        <v>194927</v>
      </c>
      <c r="H18" s="14">
        <v>184748</v>
      </c>
      <c r="I18" s="14">
        <v>205662</v>
      </c>
      <c r="J18" s="14">
        <v>253711</v>
      </c>
      <c r="K18" s="14">
        <v>272715</v>
      </c>
      <c r="L18" s="14">
        <v>306932</v>
      </c>
      <c r="M18" s="14">
        <v>339211</v>
      </c>
      <c r="N18" s="14">
        <v>331506</v>
      </c>
      <c r="O18" s="14">
        <v>416423</v>
      </c>
      <c r="P18" s="14">
        <v>572134</v>
      </c>
      <c r="Q18" s="14">
        <v>658911</v>
      </c>
      <c r="R18" s="14">
        <v>766528</v>
      </c>
      <c r="S18" s="14">
        <v>782781</v>
      </c>
      <c r="T18" s="14">
        <v>794969</v>
      </c>
      <c r="U18" s="14">
        <v>718414</v>
      </c>
      <c r="V18" s="14">
        <v>824196</v>
      </c>
      <c r="W18" s="14">
        <v>1049846</v>
      </c>
      <c r="X18" s="14">
        <v>1195857</v>
      </c>
      <c r="Y18" s="14">
        <v>1082354</v>
      </c>
      <c r="Z18" s="14">
        <v>1368136</v>
      </c>
      <c r="AA18" s="14"/>
      <c r="AB18" s="14"/>
    </row>
    <row r="19" spans="1:30">
      <c r="A19" s="45" t="s">
        <v>113</v>
      </c>
      <c r="B19" s="45" t="s">
        <v>114</v>
      </c>
      <c r="C19" s="45" t="s">
        <v>490</v>
      </c>
      <c r="D19" s="45" t="s">
        <v>495</v>
      </c>
      <c r="E19" s="45" t="s">
        <v>492</v>
      </c>
      <c r="F19" s="45" t="s">
        <v>493</v>
      </c>
      <c r="G19" s="14">
        <v>80294</v>
      </c>
      <c r="H19" s="14">
        <v>60358</v>
      </c>
      <c r="I19" s="14">
        <v>66252</v>
      </c>
      <c r="J19" s="14">
        <v>96220</v>
      </c>
      <c r="K19" s="14">
        <v>96938</v>
      </c>
      <c r="L19" s="14">
        <v>102252</v>
      </c>
      <c r="M19" s="14">
        <v>120243</v>
      </c>
      <c r="N19" s="14">
        <v>81827</v>
      </c>
      <c r="O19" s="14">
        <v>124631</v>
      </c>
      <c r="P19" s="14">
        <v>208583</v>
      </c>
      <c r="Q19" s="14">
        <v>235206</v>
      </c>
      <c r="R19" s="14">
        <v>268381</v>
      </c>
      <c r="S19" s="14">
        <v>258084</v>
      </c>
      <c r="T19" s="14">
        <v>221817</v>
      </c>
      <c r="U19" s="14">
        <v>123623</v>
      </c>
      <c r="V19" s="14">
        <v>168078</v>
      </c>
      <c r="W19" s="14">
        <v>320991</v>
      </c>
      <c r="X19" s="14">
        <v>384654</v>
      </c>
      <c r="Y19" s="14">
        <v>266296</v>
      </c>
      <c r="Z19" s="14">
        <v>483176</v>
      </c>
      <c r="AA19" s="14"/>
      <c r="AB19" s="14"/>
    </row>
    <row r="20" spans="1:30">
      <c r="A20" s="45" t="s">
        <v>113</v>
      </c>
      <c r="B20" s="45" t="s">
        <v>114</v>
      </c>
      <c r="C20" s="45" t="s">
        <v>490</v>
      </c>
      <c r="D20" s="45" t="s">
        <v>496</v>
      </c>
      <c r="E20" s="45" t="s">
        <v>492</v>
      </c>
      <c r="F20" s="45" t="s">
        <v>493</v>
      </c>
      <c r="G20" s="14">
        <v>55513</v>
      </c>
      <c r="H20" s="14">
        <v>57657</v>
      </c>
      <c r="I20" s="14">
        <v>66780</v>
      </c>
      <c r="J20" s="14">
        <v>74419</v>
      </c>
      <c r="K20" s="14">
        <v>84009</v>
      </c>
      <c r="L20" s="14">
        <v>97089</v>
      </c>
      <c r="M20" s="14">
        <v>99379</v>
      </c>
      <c r="N20" s="14">
        <v>112815</v>
      </c>
      <c r="O20" s="14">
        <v>140599</v>
      </c>
      <c r="P20" s="14">
        <v>191148</v>
      </c>
      <c r="Q20" s="14">
        <v>238543</v>
      </c>
      <c r="R20" s="14">
        <v>283376</v>
      </c>
      <c r="S20" s="14">
        <v>293910</v>
      </c>
      <c r="T20" s="14">
        <v>323652</v>
      </c>
      <c r="U20" s="14">
        <v>322613</v>
      </c>
      <c r="V20" s="14">
        <v>369740</v>
      </c>
      <c r="W20" s="14">
        <v>438998</v>
      </c>
      <c r="X20" s="14">
        <v>487758</v>
      </c>
      <c r="Y20" s="14">
        <v>472291</v>
      </c>
      <c r="Z20" s="14">
        <v>518977</v>
      </c>
      <c r="AA20" s="14"/>
      <c r="AB20" s="14"/>
    </row>
    <row r="21" spans="1:30">
      <c r="A21" s="45" t="s">
        <v>113</v>
      </c>
      <c r="B21" s="45" t="s">
        <v>114</v>
      </c>
      <c r="C21" s="45" t="s">
        <v>490</v>
      </c>
      <c r="D21" s="45" t="s">
        <v>497</v>
      </c>
      <c r="E21" s="45" t="s">
        <v>492</v>
      </c>
      <c r="F21" s="45" t="s">
        <v>493</v>
      </c>
      <c r="G21" s="14">
        <v>51878</v>
      </c>
      <c r="H21" s="14">
        <v>56399</v>
      </c>
      <c r="I21" s="14">
        <v>62443</v>
      </c>
      <c r="J21" s="14">
        <v>72201</v>
      </c>
      <c r="K21" s="14">
        <v>80921</v>
      </c>
      <c r="L21" s="14">
        <v>97223</v>
      </c>
      <c r="M21" s="14">
        <v>109888</v>
      </c>
      <c r="N21" s="14">
        <v>123095</v>
      </c>
      <c r="O21" s="14">
        <v>138255</v>
      </c>
      <c r="P21" s="14">
        <v>157601</v>
      </c>
      <c r="Q21" s="14">
        <v>170966</v>
      </c>
      <c r="R21" s="14">
        <v>198368</v>
      </c>
      <c r="S21" s="14">
        <v>213728</v>
      </c>
      <c r="T21" s="14">
        <v>231216</v>
      </c>
      <c r="U21" s="14">
        <v>252411</v>
      </c>
      <c r="V21" s="14">
        <v>265222</v>
      </c>
      <c r="W21" s="14">
        <v>268791</v>
      </c>
      <c r="X21" s="14">
        <v>293134</v>
      </c>
      <c r="Y21" s="14">
        <v>313417</v>
      </c>
      <c r="Z21" s="14">
        <v>330939</v>
      </c>
      <c r="AA21" s="14"/>
      <c r="AB21" s="14"/>
    </row>
    <row r="22" spans="1:30">
      <c r="A22" s="45" t="s">
        <v>113</v>
      </c>
      <c r="B22" s="45" t="s">
        <v>114</v>
      </c>
      <c r="C22" s="45" t="s">
        <v>498</v>
      </c>
      <c r="D22" s="45" t="s">
        <v>491</v>
      </c>
      <c r="E22" s="45" t="s">
        <v>499</v>
      </c>
      <c r="F22" s="45" t="s">
        <v>500</v>
      </c>
      <c r="G22" s="14">
        <v>384277.1</v>
      </c>
      <c r="H22" s="14">
        <v>320870.90000000002</v>
      </c>
      <c r="I22" s="14">
        <v>332350.09999999998</v>
      </c>
      <c r="J22" s="14">
        <v>382081.5</v>
      </c>
      <c r="K22" s="14">
        <v>385419.6</v>
      </c>
      <c r="L22" s="14">
        <v>409508.8</v>
      </c>
      <c r="M22" s="14">
        <v>417002.8</v>
      </c>
      <c r="N22" s="14">
        <v>381275</v>
      </c>
      <c r="O22" s="14">
        <v>442987</v>
      </c>
      <c r="P22" s="14">
        <v>559032.4</v>
      </c>
      <c r="Q22" s="14">
        <v>598134.80000000005</v>
      </c>
      <c r="R22" s="14">
        <v>651102.30000000005</v>
      </c>
      <c r="S22" s="14">
        <v>612763.69999999995</v>
      </c>
      <c r="T22" s="14">
        <v>585187.80000000005</v>
      </c>
      <c r="U22" s="14">
        <v>495435</v>
      </c>
      <c r="V22" s="14">
        <v>547240.9</v>
      </c>
      <c r="W22" s="14">
        <v>664607.69999999995</v>
      </c>
      <c r="X22" s="14">
        <v>718449.1</v>
      </c>
      <c r="Y22" s="14">
        <v>617102.19999999995</v>
      </c>
      <c r="Z22" s="14">
        <v>685068.6</v>
      </c>
      <c r="AA22" s="14"/>
      <c r="AB22" s="14"/>
      <c r="AC22" s="15">
        <f>IFERROR(Z22/G22-1,"")</f>
        <v>0.78274635673059878</v>
      </c>
      <c r="AD22" s="15">
        <f>IFERROR((Z22/G22)^(1/19)-1,"")</f>
        <v>3.0896914738874681E-2</v>
      </c>
    </row>
    <row r="23" spans="1:30">
      <c r="A23" s="45" t="s">
        <v>113</v>
      </c>
      <c r="B23" s="45" t="s">
        <v>114</v>
      </c>
      <c r="C23" s="45" t="s">
        <v>498</v>
      </c>
      <c r="D23" s="45" t="s">
        <v>495</v>
      </c>
      <c r="E23" s="45" t="s">
        <v>499</v>
      </c>
      <c r="F23" s="45" t="s">
        <v>500</v>
      </c>
      <c r="G23" s="14">
        <v>152537.60000000001</v>
      </c>
      <c r="H23" s="14">
        <v>100503.3</v>
      </c>
      <c r="I23" s="14">
        <v>102380.1</v>
      </c>
      <c r="J23" s="14">
        <v>138404.79999999999</v>
      </c>
      <c r="K23" s="14">
        <v>130591.8</v>
      </c>
      <c r="L23" s="14">
        <v>129417.5</v>
      </c>
      <c r="M23" s="14">
        <v>139906</v>
      </c>
      <c r="N23" s="14">
        <v>88719.6</v>
      </c>
      <c r="O23" s="14">
        <v>124631</v>
      </c>
      <c r="P23" s="14">
        <v>192564.4</v>
      </c>
      <c r="Q23" s="14">
        <v>201164.1</v>
      </c>
      <c r="R23" s="14">
        <v>213514.2</v>
      </c>
      <c r="S23" s="14">
        <v>190383.5</v>
      </c>
      <c r="T23" s="14">
        <v>152120.29999999999</v>
      </c>
      <c r="U23" s="14">
        <v>78424.5</v>
      </c>
      <c r="V23" s="14">
        <v>102850</v>
      </c>
      <c r="W23" s="14">
        <v>187973.6</v>
      </c>
      <c r="X23" s="14">
        <v>216125.2</v>
      </c>
      <c r="Y23" s="14">
        <v>140527.79999999999</v>
      </c>
      <c r="Z23" s="14">
        <v>225550.1</v>
      </c>
      <c r="AA23" s="14"/>
      <c r="AB23" s="14"/>
      <c r="AC23" s="15">
        <f>IFERROR(Z23/G23-1,"")</f>
        <v>0.47865247650415377</v>
      </c>
      <c r="AD23" s="15">
        <f>IFERROR((Z23/G23)^(1/19)-1,"")</f>
        <v>2.0799201929274425E-2</v>
      </c>
    </row>
    <row r="24" spans="1:30">
      <c r="A24" s="45" t="s">
        <v>113</v>
      </c>
      <c r="B24" s="45" t="s">
        <v>114</v>
      </c>
      <c r="C24" s="45" t="s">
        <v>498</v>
      </c>
      <c r="D24" s="45" t="s">
        <v>496</v>
      </c>
      <c r="E24" s="45" t="s">
        <v>499</v>
      </c>
      <c r="F24" s="45" t="s">
        <v>500</v>
      </c>
      <c r="G24" s="14">
        <v>105461.1</v>
      </c>
      <c r="H24" s="14">
        <v>96005.8</v>
      </c>
      <c r="I24" s="14">
        <v>103196.8</v>
      </c>
      <c r="J24" s="14">
        <v>107046.39999999999</v>
      </c>
      <c r="K24" s="14">
        <v>113173.7</v>
      </c>
      <c r="L24" s="14">
        <v>122883.1</v>
      </c>
      <c r="M24" s="14">
        <v>115630.39999999999</v>
      </c>
      <c r="N24" s="14">
        <v>122317.8</v>
      </c>
      <c r="O24" s="14">
        <v>140599</v>
      </c>
      <c r="P24" s="14">
        <v>176468.3</v>
      </c>
      <c r="Q24" s="14">
        <v>204018.1</v>
      </c>
      <c r="R24" s="14">
        <v>225443.7</v>
      </c>
      <c r="S24" s="14">
        <v>216811.6</v>
      </c>
      <c r="T24" s="14">
        <v>221958</v>
      </c>
      <c r="U24" s="14">
        <v>204660.6</v>
      </c>
      <c r="V24" s="14">
        <v>226250.6</v>
      </c>
      <c r="W24" s="14">
        <v>257079</v>
      </c>
      <c r="X24" s="14">
        <v>274056.2</v>
      </c>
      <c r="Y24" s="14">
        <v>249234.1</v>
      </c>
      <c r="Z24" s="14">
        <v>242263.2</v>
      </c>
      <c r="AA24" s="14"/>
      <c r="AB24" s="14"/>
      <c r="AC24" s="15">
        <f>IFERROR(Z24/G24-1,"")</f>
        <v>1.2971806666154628</v>
      </c>
      <c r="AD24" s="15">
        <f>IFERROR((Z24/G24)^(1/19)-1,"")</f>
        <v>4.4744927439603233E-2</v>
      </c>
    </row>
    <row r="25" spans="1:30">
      <c r="A25" s="45" t="s">
        <v>113</v>
      </c>
      <c r="B25" s="45" t="s">
        <v>114</v>
      </c>
      <c r="C25" s="45" t="s">
        <v>498</v>
      </c>
      <c r="D25" s="45" t="s">
        <v>497</v>
      </c>
      <c r="E25" s="45" t="s">
        <v>499</v>
      </c>
      <c r="F25" s="45" t="s">
        <v>500</v>
      </c>
      <c r="G25" s="14">
        <v>98554.5</v>
      </c>
      <c r="H25" s="14">
        <v>93911.2</v>
      </c>
      <c r="I25" s="14">
        <v>96493.9</v>
      </c>
      <c r="J25" s="14">
        <v>103856.2</v>
      </c>
      <c r="K25" s="14">
        <v>109013.7</v>
      </c>
      <c r="L25" s="14">
        <v>123052.3</v>
      </c>
      <c r="M25" s="14">
        <v>127858</v>
      </c>
      <c r="N25" s="14">
        <v>133463.70000000001</v>
      </c>
      <c r="O25" s="14">
        <v>138255</v>
      </c>
      <c r="P25" s="14">
        <v>145497.60000000001</v>
      </c>
      <c r="Q25" s="14">
        <v>146221.70000000001</v>
      </c>
      <c r="R25" s="14">
        <v>157814.39999999999</v>
      </c>
      <c r="S25" s="14">
        <v>157662.9</v>
      </c>
      <c r="T25" s="14">
        <v>158566.1</v>
      </c>
      <c r="U25" s="14">
        <v>160125.5</v>
      </c>
      <c r="V25" s="14">
        <v>162294.20000000001</v>
      </c>
      <c r="W25" s="14">
        <v>157405.1</v>
      </c>
      <c r="X25" s="14">
        <v>164702.9</v>
      </c>
      <c r="Y25" s="14">
        <v>165394.20000000001</v>
      </c>
      <c r="Z25" s="14">
        <v>154488</v>
      </c>
      <c r="AA25" s="14"/>
      <c r="AB25" s="14"/>
      <c r="AC25" s="15">
        <f>IFERROR(Z25/G25-1,"")</f>
        <v>0.56753877296318289</v>
      </c>
      <c r="AD25" s="15">
        <f>IFERROR((Z25/G25)^(1/19)-1,"")</f>
        <v>2.3940325338105861E-2</v>
      </c>
    </row>
    <row r="26" spans="1:30">
      <c r="A26" s="45" t="s">
        <v>113</v>
      </c>
      <c r="B26" s="45" t="s">
        <v>114</v>
      </c>
      <c r="C26" s="45" t="s">
        <v>498</v>
      </c>
      <c r="D26" s="45" t="s">
        <v>501</v>
      </c>
      <c r="E26" s="45" t="s">
        <v>499</v>
      </c>
      <c r="F26" s="45" t="s">
        <v>500</v>
      </c>
      <c r="G26" s="14">
        <v>13758.7</v>
      </c>
      <c r="H26" s="14">
        <v>17205.7</v>
      </c>
      <c r="I26" s="14">
        <v>15742.4</v>
      </c>
      <c r="J26" s="14">
        <v>15637.8</v>
      </c>
      <c r="K26" s="14">
        <v>14612.6</v>
      </c>
      <c r="L26" s="14">
        <v>13121.4</v>
      </c>
      <c r="M26" s="14">
        <v>11287.8</v>
      </c>
      <c r="N26" s="14">
        <v>14928.8</v>
      </c>
      <c r="O26" s="14">
        <v>12938</v>
      </c>
      <c r="P26" s="14">
        <v>13664.3</v>
      </c>
      <c r="Q26" s="14">
        <v>12140.5</v>
      </c>
      <c r="R26" s="14">
        <v>13049.6</v>
      </c>
      <c r="S26" s="14">
        <v>12584.1</v>
      </c>
      <c r="T26" s="14">
        <v>12539</v>
      </c>
      <c r="U26" s="14">
        <v>12540.5</v>
      </c>
      <c r="V26" s="14">
        <v>12945.7</v>
      </c>
      <c r="W26" s="14">
        <v>12336.9</v>
      </c>
      <c r="X26" s="14">
        <v>17030.8</v>
      </c>
      <c r="Y26" s="14">
        <v>16016.1</v>
      </c>
      <c r="Z26" s="14">
        <v>16358.8</v>
      </c>
      <c r="AA26" s="14"/>
      <c r="AB26" s="14"/>
      <c r="AC26" s="15">
        <f>IFERROR(Z26/G26-1,"")</f>
        <v>0.18897860989773729</v>
      </c>
      <c r="AD26" s="15">
        <f>IFERROR((Z26/G26)^(1/19)-1,"")</f>
        <v>9.1518681315783112E-3</v>
      </c>
    </row>
    <row r="27" spans="1:30">
      <c r="A27" s="45" t="s">
        <v>241</v>
      </c>
      <c r="B27" s="45" t="s">
        <v>242</v>
      </c>
      <c r="C27" s="45" t="s">
        <v>490</v>
      </c>
      <c r="D27" s="45" t="s">
        <v>491</v>
      </c>
      <c r="E27" s="45" t="s">
        <v>492</v>
      </c>
      <c r="F27" s="45" t="s">
        <v>493</v>
      </c>
      <c r="G27" s="14">
        <v>18553</v>
      </c>
      <c r="H27" s="14">
        <v>22245</v>
      </c>
      <c r="I27" s="14">
        <v>25580</v>
      </c>
      <c r="J27" s="14">
        <v>27537</v>
      </c>
      <c r="K27" s="14">
        <v>29493</v>
      </c>
      <c r="L27" s="14">
        <v>33756</v>
      </c>
      <c r="M27" s="14">
        <v>33815</v>
      </c>
      <c r="N27" s="14">
        <v>42163</v>
      </c>
      <c r="O27" s="14">
        <v>47835</v>
      </c>
      <c r="P27" s="14">
        <v>51449</v>
      </c>
      <c r="Q27" s="14">
        <v>58794</v>
      </c>
      <c r="R27" s="14">
        <v>65569</v>
      </c>
      <c r="S27" s="14">
        <v>67542</v>
      </c>
      <c r="T27" s="14">
        <v>79301</v>
      </c>
      <c r="U27" s="14">
        <v>84824</v>
      </c>
      <c r="V27" s="14">
        <v>95929</v>
      </c>
      <c r="W27" s="14">
        <v>95641</v>
      </c>
      <c r="X27" s="14">
        <v>101916</v>
      </c>
      <c r="Y27" s="14">
        <v>138830</v>
      </c>
      <c r="Z27" s="14">
        <v>138262</v>
      </c>
      <c r="AA27" s="14">
        <v>193263</v>
      </c>
      <c r="AB27" s="14">
        <v>160921</v>
      </c>
    </row>
    <row r="28" spans="1:30">
      <c r="A28" s="45" t="s">
        <v>241</v>
      </c>
      <c r="B28" s="45" t="s">
        <v>242</v>
      </c>
      <c r="C28" s="45" t="s">
        <v>490</v>
      </c>
      <c r="D28" s="45" t="s">
        <v>494</v>
      </c>
      <c r="E28" s="45" t="s">
        <v>492</v>
      </c>
      <c r="F28" s="45" t="s">
        <v>493</v>
      </c>
      <c r="G28" s="14">
        <v>18084</v>
      </c>
      <c r="H28" s="14">
        <v>21690</v>
      </c>
      <c r="I28" s="14">
        <v>24878</v>
      </c>
      <c r="J28" s="14">
        <v>26692</v>
      </c>
      <c r="K28" s="14">
        <v>28328</v>
      </c>
      <c r="L28" s="14">
        <v>31910</v>
      </c>
      <c r="M28" s="14">
        <v>32346</v>
      </c>
      <c r="N28" s="14">
        <v>40563</v>
      </c>
      <c r="O28" s="14">
        <v>45603</v>
      </c>
      <c r="P28" s="14">
        <v>48627</v>
      </c>
      <c r="Q28" s="14">
        <v>55217</v>
      </c>
      <c r="R28" s="14">
        <v>62368</v>
      </c>
      <c r="S28" s="14">
        <v>64066</v>
      </c>
      <c r="T28" s="14">
        <v>74803</v>
      </c>
      <c r="U28" s="14">
        <v>81595</v>
      </c>
      <c r="V28" s="14">
        <v>92791</v>
      </c>
      <c r="W28" s="14">
        <v>91888</v>
      </c>
      <c r="X28" s="14">
        <v>98363</v>
      </c>
      <c r="Y28" s="14">
        <v>134600</v>
      </c>
      <c r="Z28" s="14">
        <v>132004</v>
      </c>
      <c r="AA28" s="14"/>
      <c r="AB28" s="14"/>
    </row>
    <row r="29" spans="1:30">
      <c r="A29" s="45" t="s">
        <v>241</v>
      </c>
      <c r="B29" s="45" t="s">
        <v>242</v>
      </c>
      <c r="C29" s="45" t="s">
        <v>490</v>
      </c>
      <c r="D29" s="45" t="s">
        <v>495</v>
      </c>
      <c r="E29" s="45" t="s">
        <v>492</v>
      </c>
      <c r="F29" s="45" t="s">
        <v>493</v>
      </c>
      <c r="G29" s="14">
        <v>1565</v>
      </c>
      <c r="H29" s="14">
        <v>1827</v>
      </c>
      <c r="I29" s="14">
        <v>2562</v>
      </c>
      <c r="J29" s="14">
        <v>1371</v>
      </c>
      <c r="K29" s="14">
        <v>1043</v>
      </c>
      <c r="L29" s="14">
        <v>1366</v>
      </c>
      <c r="M29" s="14">
        <v>1169</v>
      </c>
      <c r="N29" s="14">
        <v>1543</v>
      </c>
      <c r="O29" s="14">
        <v>2266</v>
      </c>
      <c r="P29" s="14">
        <v>1855</v>
      </c>
      <c r="Q29" s="14">
        <v>2314</v>
      </c>
      <c r="R29" s="14">
        <v>2171</v>
      </c>
      <c r="S29" s="14">
        <v>2066</v>
      </c>
      <c r="T29" s="14">
        <v>3009</v>
      </c>
      <c r="U29" s="14">
        <v>3484</v>
      </c>
      <c r="V29" s="14">
        <v>3562</v>
      </c>
      <c r="W29" s="14">
        <v>3679</v>
      </c>
      <c r="X29" s="14">
        <v>4338</v>
      </c>
      <c r="Y29" s="14">
        <v>29599</v>
      </c>
      <c r="Z29" s="14">
        <v>21455</v>
      </c>
      <c r="AA29" s="14"/>
      <c r="AB29" s="14"/>
    </row>
    <row r="30" spans="1:30">
      <c r="A30" s="45" t="s">
        <v>241</v>
      </c>
      <c r="B30" s="45" t="s">
        <v>242</v>
      </c>
      <c r="C30" s="45" t="s">
        <v>490</v>
      </c>
      <c r="D30" s="45" t="s">
        <v>496</v>
      </c>
      <c r="E30" s="45" t="s">
        <v>492</v>
      </c>
      <c r="F30" s="45" t="s">
        <v>493</v>
      </c>
      <c r="G30" s="14">
        <v>3737</v>
      </c>
      <c r="H30" s="14">
        <v>4396</v>
      </c>
      <c r="I30" s="14">
        <v>5084</v>
      </c>
      <c r="J30" s="14">
        <v>5460</v>
      </c>
      <c r="K30" s="14">
        <v>5813</v>
      </c>
      <c r="L30" s="14">
        <v>6636</v>
      </c>
      <c r="M30" s="14">
        <v>6043</v>
      </c>
      <c r="N30" s="14">
        <v>7793</v>
      </c>
      <c r="O30" s="14">
        <v>9063</v>
      </c>
      <c r="P30" s="14">
        <v>10187</v>
      </c>
      <c r="Q30" s="14">
        <v>12127</v>
      </c>
      <c r="R30" s="14">
        <v>13755</v>
      </c>
      <c r="S30" s="14">
        <v>13956</v>
      </c>
      <c r="T30" s="14">
        <v>17467</v>
      </c>
      <c r="U30" s="14">
        <v>18887</v>
      </c>
      <c r="V30" s="14">
        <v>21481</v>
      </c>
      <c r="W30" s="14">
        <v>20156</v>
      </c>
      <c r="X30" s="14">
        <v>21516</v>
      </c>
      <c r="Y30" s="14">
        <v>26497</v>
      </c>
      <c r="Z30" s="14">
        <v>28612</v>
      </c>
      <c r="AA30" s="14"/>
      <c r="AB30" s="14"/>
    </row>
    <row r="31" spans="1:30">
      <c r="A31" s="45" t="s">
        <v>241</v>
      </c>
      <c r="B31" s="45" t="s">
        <v>242</v>
      </c>
      <c r="C31" s="45" t="s">
        <v>490</v>
      </c>
      <c r="D31" s="45" t="s">
        <v>497</v>
      </c>
      <c r="E31" s="45" t="s">
        <v>492</v>
      </c>
      <c r="F31" s="45" t="s">
        <v>493</v>
      </c>
      <c r="G31" s="14">
        <v>11490</v>
      </c>
      <c r="H31" s="14">
        <v>12795</v>
      </c>
      <c r="I31" s="14">
        <v>14156</v>
      </c>
      <c r="J31" s="14">
        <v>16996</v>
      </c>
      <c r="K31" s="14">
        <v>18688</v>
      </c>
      <c r="L31" s="14">
        <v>20938</v>
      </c>
      <c r="M31" s="14">
        <v>22614</v>
      </c>
      <c r="N31" s="14">
        <v>27781</v>
      </c>
      <c r="O31" s="14">
        <v>31499</v>
      </c>
      <c r="P31" s="14">
        <v>32781</v>
      </c>
      <c r="Q31" s="14">
        <v>37352</v>
      </c>
      <c r="R31" s="14">
        <v>42771</v>
      </c>
      <c r="S31" s="14">
        <v>44035</v>
      </c>
      <c r="T31" s="14">
        <v>49711</v>
      </c>
      <c r="U31" s="14">
        <v>53203</v>
      </c>
      <c r="V31" s="14">
        <v>61385</v>
      </c>
      <c r="W31" s="14">
        <v>59240</v>
      </c>
      <c r="X31" s="14">
        <v>65458</v>
      </c>
      <c r="Y31" s="14">
        <v>68103</v>
      </c>
      <c r="Z31" s="14">
        <v>73059</v>
      </c>
      <c r="AA31" s="14"/>
      <c r="AB31" s="14"/>
    </row>
    <row r="32" spans="1:30">
      <c r="A32" s="45" t="s">
        <v>241</v>
      </c>
      <c r="B32" s="45" t="s">
        <v>242</v>
      </c>
      <c r="C32" s="45" t="s">
        <v>498</v>
      </c>
      <c r="D32" s="45" t="s">
        <v>491</v>
      </c>
      <c r="E32" s="45" t="s">
        <v>499</v>
      </c>
      <c r="F32" s="45" t="s">
        <v>500</v>
      </c>
      <c r="G32" s="14">
        <v>35245.199999999997</v>
      </c>
      <c r="H32" s="14">
        <v>37040.6</v>
      </c>
      <c r="I32" s="14">
        <v>39528.800000000003</v>
      </c>
      <c r="J32" s="14">
        <v>39609.4</v>
      </c>
      <c r="K32" s="14">
        <v>39731.5</v>
      </c>
      <c r="L32" s="14">
        <v>42724.4</v>
      </c>
      <c r="M32" s="14">
        <v>39344.9</v>
      </c>
      <c r="N32" s="14">
        <v>45714.5</v>
      </c>
      <c r="O32" s="14">
        <v>47835</v>
      </c>
      <c r="P32" s="14">
        <v>47497.8</v>
      </c>
      <c r="Q32" s="14">
        <v>50284.6</v>
      </c>
      <c r="R32" s="14">
        <v>52164.3</v>
      </c>
      <c r="S32" s="14">
        <v>49824.4</v>
      </c>
      <c r="T32" s="14">
        <v>54384</v>
      </c>
      <c r="U32" s="14">
        <v>53811</v>
      </c>
      <c r="V32" s="14">
        <v>58700.7</v>
      </c>
      <c r="W32" s="14">
        <v>56007.7</v>
      </c>
      <c r="X32" s="14">
        <v>57263.5</v>
      </c>
      <c r="Y32" s="14">
        <v>73262.399999999994</v>
      </c>
      <c r="Z32" s="14">
        <v>64541.7</v>
      </c>
      <c r="AA32" s="14"/>
      <c r="AB32" s="14"/>
      <c r="AC32" s="15">
        <f>IFERROR(Z32/G32-1,"")</f>
        <v>0.8312195703244698</v>
      </c>
      <c r="AD32" s="15">
        <f>IFERROR((Z32/G32)^(1/19)-1,"")</f>
        <v>3.235352067980668E-2</v>
      </c>
    </row>
    <row r="33" spans="1:30">
      <c r="A33" s="45" t="s">
        <v>241</v>
      </c>
      <c r="B33" s="45" t="s">
        <v>242</v>
      </c>
      <c r="C33" s="45" t="s">
        <v>498</v>
      </c>
      <c r="D33" s="45" t="s">
        <v>495</v>
      </c>
      <c r="E33" s="45" t="s">
        <v>499</v>
      </c>
      <c r="F33" s="45" t="s">
        <v>500</v>
      </c>
      <c r="G33" s="14">
        <v>2973.5</v>
      </c>
      <c r="H33" s="14">
        <v>3041.4</v>
      </c>
      <c r="I33" s="14">
        <v>3959.2</v>
      </c>
      <c r="J33" s="14">
        <v>1972.7</v>
      </c>
      <c r="K33" s="14">
        <v>1405.1</v>
      </c>
      <c r="L33" s="14">
        <v>1729.4</v>
      </c>
      <c r="M33" s="14">
        <v>1359.9</v>
      </c>
      <c r="N33" s="14">
        <v>1673</v>
      </c>
      <c r="O33" s="14">
        <v>2266</v>
      </c>
      <c r="P33" s="14">
        <v>1712.5</v>
      </c>
      <c r="Q33" s="14">
        <v>1979.1</v>
      </c>
      <c r="R33" s="14">
        <v>1727.2</v>
      </c>
      <c r="S33" s="14">
        <v>1524</v>
      </c>
      <c r="T33" s="14">
        <v>2063.5</v>
      </c>
      <c r="U33" s="14">
        <v>2210.1999999999998</v>
      </c>
      <c r="V33" s="14">
        <v>2179.6999999999998</v>
      </c>
      <c r="W33" s="14">
        <v>2154.4</v>
      </c>
      <c r="X33" s="14">
        <v>2437.4</v>
      </c>
      <c r="Y33" s="14">
        <v>15619.8</v>
      </c>
      <c r="Z33" s="14">
        <v>10015.4</v>
      </c>
      <c r="AA33" s="14"/>
      <c r="AB33" s="14"/>
      <c r="AC33" s="15">
        <f>IFERROR(Z33/G33-1,"")</f>
        <v>2.3682192702202789</v>
      </c>
      <c r="AD33" s="15">
        <f>IFERROR((Z33/G33)^(1/19)-1,"")</f>
        <v>6.6001739776041513E-2</v>
      </c>
    </row>
    <row r="34" spans="1:30">
      <c r="A34" s="45" t="s">
        <v>241</v>
      </c>
      <c r="B34" s="45" t="s">
        <v>242</v>
      </c>
      <c r="C34" s="45" t="s">
        <v>498</v>
      </c>
      <c r="D34" s="45" t="s">
        <v>496</v>
      </c>
      <c r="E34" s="45" t="s">
        <v>499</v>
      </c>
      <c r="F34" s="45" t="s">
        <v>500</v>
      </c>
      <c r="G34" s="14">
        <v>7099.3</v>
      </c>
      <c r="H34" s="14">
        <v>7319.8</v>
      </c>
      <c r="I34" s="14">
        <v>7855.7</v>
      </c>
      <c r="J34" s="14">
        <v>7853.4</v>
      </c>
      <c r="K34" s="14">
        <v>7831.3</v>
      </c>
      <c r="L34" s="14">
        <v>8399.5</v>
      </c>
      <c r="M34" s="14">
        <v>7030.9</v>
      </c>
      <c r="N34" s="14">
        <v>8449.4</v>
      </c>
      <c r="O34" s="14">
        <v>9063</v>
      </c>
      <c r="P34" s="14">
        <v>9404.7000000000007</v>
      </c>
      <c r="Q34" s="14">
        <v>10371.799999999999</v>
      </c>
      <c r="R34" s="14">
        <v>10943</v>
      </c>
      <c r="S34" s="14">
        <v>10295.1</v>
      </c>
      <c r="T34" s="14">
        <v>11978.7</v>
      </c>
      <c r="U34" s="14">
        <v>11981.6</v>
      </c>
      <c r="V34" s="14">
        <v>13144.6</v>
      </c>
      <c r="W34" s="14">
        <v>11803.4</v>
      </c>
      <c r="X34" s="14">
        <v>12089.2</v>
      </c>
      <c r="Y34" s="14">
        <v>13982.8</v>
      </c>
      <c r="Z34" s="14">
        <v>13356.3</v>
      </c>
      <c r="AA34" s="14"/>
      <c r="AB34" s="14"/>
      <c r="AC34" s="15">
        <f>IFERROR(Z34/G34-1,"")</f>
        <v>0.88135449973941071</v>
      </c>
      <c r="AD34" s="15">
        <f>IFERROR((Z34/G34)^(1/19)-1,"")</f>
        <v>3.3822126505308026E-2</v>
      </c>
    </row>
    <row r="35" spans="1:30">
      <c r="A35" s="45" t="s">
        <v>241</v>
      </c>
      <c r="B35" s="45" t="s">
        <v>242</v>
      </c>
      <c r="C35" s="45" t="s">
        <v>498</v>
      </c>
      <c r="D35" s="45" t="s">
        <v>497</v>
      </c>
      <c r="E35" s="45" t="s">
        <v>499</v>
      </c>
      <c r="F35" s="45" t="s">
        <v>500</v>
      </c>
      <c r="G35" s="14">
        <v>21827.3</v>
      </c>
      <c r="H35" s="14">
        <v>21305.8</v>
      </c>
      <c r="I35" s="14">
        <v>21875.9</v>
      </c>
      <c r="J35" s="14">
        <v>24447.3</v>
      </c>
      <c r="K35" s="14">
        <v>25176</v>
      </c>
      <c r="L35" s="14">
        <v>26500.1</v>
      </c>
      <c r="M35" s="14">
        <v>26312.2</v>
      </c>
      <c r="N35" s="14">
        <v>30121.1</v>
      </c>
      <c r="O35" s="14">
        <v>31499</v>
      </c>
      <c r="P35" s="14">
        <v>30263.5</v>
      </c>
      <c r="Q35" s="14">
        <v>31946</v>
      </c>
      <c r="R35" s="14">
        <v>34027.1</v>
      </c>
      <c r="S35" s="14">
        <v>32483.8</v>
      </c>
      <c r="T35" s="14">
        <v>34091.4</v>
      </c>
      <c r="U35" s="14">
        <v>33751.1</v>
      </c>
      <c r="V35" s="14">
        <v>37562.6</v>
      </c>
      <c r="W35" s="14">
        <v>34691.199999999997</v>
      </c>
      <c r="X35" s="14">
        <v>36778.800000000003</v>
      </c>
      <c r="Y35" s="14">
        <v>35938.800000000003</v>
      </c>
      <c r="Z35" s="14">
        <v>34105.4</v>
      </c>
      <c r="AA35" s="14"/>
      <c r="AB35" s="14"/>
      <c r="AC35" s="15">
        <f>IFERROR(Z35/G35-1,"")</f>
        <v>0.56251116720803784</v>
      </c>
      <c r="AD35" s="15">
        <f>IFERROR((Z35/G35)^(1/19)-1,"")</f>
        <v>2.3767214344631027E-2</v>
      </c>
    </row>
    <row r="36" spans="1:30">
      <c r="A36" s="45" t="s">
        <v>241</v>
      </c>
      <c r="B36" s="45" t="s">
        <v>242</v>
      </c>
      <c r="C36" s="45" t="s">
        <v>498</v>
      </c>
      <c r="D36" s="45" t="s">
        <v>501</v>
      </c>
      <c r="E36" s="45" t="s">
        <v>499</v>
      </c>
      <c r="F36" s="45" t="s">
        <v>500</v>
      </c>
      <c r="G36" s="14">
        <v>2454.6</v>
      </c>
      <c r="H36" s="14">
        <v>4449.3999999999996</v>
      </c>
      <c r="I36" s="14">
        <v>4754.3999999999996</v>
      </c>
      <c r="J36" s="14">
        <v>4120.3</v>
      </c>
      <c r="K36" s="14">
        <v>3750.4</v>
      </c>
      <c r="L36" s="14">
        <v>3758.8</v>
      </c>
      <c r="M36" s="14">
        <v>2932.8</v>
      </c>
      <c r="N36" s="14">
        <v>3736.3</v>
      </c>
      <c r="O36" s="14">
        <v>2775</v>
      </c>
      <c r="P36" s="14">
        <v>3511.9</v>
      </c>
      <c r="Q36" s="14">
        <v>2928.4</v>
      </c>
      <c r="R36" s="14">
        <v>2920.5</v>
      </c>
      <c r="S36" s="14">
        <v>2956.6</v>
      </c>
      <c r="T36" s="14">
        <v>3166.3</v>
      </c>
      <c r="U36" s="14">
        <v>3819.6</v>
      </c>
      <c r="V36" s="14">
        <v>3893.6</v>
      </c>
      <c r="W36" s="14">
        <v>5160.3</v>
      </c>
      <c r="X36" s="14">
        <v>3961.2</v>
      </c>
      <c r="Y36" s="14">
        <v>5488.7</v>
      </c>
      <c r="Z36" s="14">
        <v>4144.3</v>
      </c>
      <c r="AA36" s="14"/>
      <c r="AB36" s="14"/>
      <c r="AC36" s="15">
        <f>IFERROR(Z36/G36-1,"")</f>
        <v>0.68838099894076432</v>
      </c>
      <c r="AD36" s="15">
        <f>IFERROR((Z36/G36)^(1/19)-1,"")</f>
        <v>2.7950327555762211E-2</v>
      </c>
    </row>
    <row r="37" spans="1:30">
      <c r="A37" s="45" t="s">
        <v>423</v>
      </c>
      <c r="B37" s="45" t="s">
        <v>424</v>
      </c>
      <c r="C37" s="45" t="s">
        <v>490</v>
      </c>
      <c r="D37" s="45" t="s">
        <v>491</v>
      </c>
      <c r="E37" s="45" t="s">
        <v>492</v>
      </c>
      <c r="F37" s="45" t="s">
        <v>493</v>
      </c>
      <c r="G37" s="14">
        <v>6677</v>
      </c>
      <c r="H37" s="14">
        <v>6751</v>
      </c>
      <c r="I37" s="14">
        <v>7108</v>
      </c>
      <c r="J37" s="14">
        <v>8318</v>
      </c>
      <c r="K37" s="14">
        <v>8949</v>
      </c>
      <c r="L37" s="14">
        <v>11134</v>
      </c>
      <c r="M37" s="14">
        <v>12667</v>
      </c>
      <c r="N37" s="14">
        <v>14174</v>
      </c>
      <c r="O37" s="14">
        <v>15134</v>
      </c>
      <c r="P37" s="14">
        <v>16916</v>
      </c>
      <c r="Q37" s="14">
        <v>19063</v>
      </c>
      <c r="R37" s="14">
        <v>19942</v>
      </c>
      <c r="S37" s="14">
        <v>21627</v>
      </c>
      <c r="T37" s="14">
        <v>24111</v>
      </c>
      <c r="U37" s="14">
        <v>24593</v>
      </c>
      <c r="V37" s="14">
        <v>25490</v>
      </c>
      <c r="W37" s="14">
        <v>28606</v>
      </c>
      <c r="X37" s="14">
        <v>30474</v>
      </c>
      <c r="Y37" s="14">
        <v>33678</v>
      </c>
      <c r="Z37" s="14">
        <v>34552</v>
      </c>
      <c r="AA37" s="14">
        <v>37809</v>
      </c>
      <c r="AB37" s="14">
        <v>42554</v>
      </c>
    </row>
    <row r="38" spans="1:30">
      <c r="A38" s="45" t="s">
        <v>423</v>
      </c>
      <c r="B38" s="45" t="s">
        <v>424</v>
      </c>
      <c r="C38" s="45" t="s">
        <v>490</v>
      </c>
      <c r="D38" s="45" t="s">
        <v>494</v>
      </c>
      <c r="E38" s="45" t="s">
        <v>492</v>
      </c>
      <c r="F38" s="45" t="s">
        <v>493</v>
      </c>
      <c r="G38" s="14">
        <v>6404</v>
      </c>
      <c r="H38" s="14">
        <v>6505</v>
      </c>
      <c r="I38" s="14">
        <v>6831</v>
      </c>
      <c r="J38" s="14">
        <v>7985</v>
      </c>
      <c r="K38" s="14">
        <v>8606</v>
      </c>
      <c r="L38" s="14">
        <v>10662</v>
      </c>
      <c r="M38" s="14">
        <v>12085</v>
      </c>
      <c r="N38" s="14">
        <v>13634</v>
      </c>
      <c r="O38" s="14">
        <v>14435</v>
      </c>
      <c r="P38" s="14">
        <v>16200</v>
      </c>
      <c r="Q38" s="14">
        <v>18268</v>
      </c>
      <c r="R38" s="14">
        <v>19212</v>
      </c>
      <c r="S38" s="14">
        <v>20798</v>
      </c>
      <c r="T38" s="14">
        <v>23142</v>
      </c>
      <c r="U38" s="14">
        <v>23901</v>
      </c>
      <c r="V38" s="14">
        <v>24842</v>
      </c>
      <c r="W38" s="14">
        <v>27436</v>
      </c>
      <c r="X38" s="14">
        <v>29301</v>
      </c>
      <c r="Y38" s="14">
        <v>32298</v>
      </c>
      <c r="Z38" s="14">
        <v>33061</v>
      </c>
      <c r="AA38" s="14"/>
      <c r="AB38" s="14"/>
    </row>
    <row r="39" spans="1:30">
      <c r="A39" s="45" t="s">
        <v>423</v>
      </c>
      <c r="B39" s="45" t="s">
        <v>424</v>
      </c>
      <c r="C39" s="45" t="s">
        <v>490</v>
      </c>
      <c r="D39" s="45" t="s">
        <v>495</v>
      </c>
      <c r="E39" s="45" t="s">
        <v>492</v>
      </c>
      <c r="F39" s="45" t="s">
        <v>493</v>
      </c>
      <c r="G39" s="14">
        <v>339</v>
      </c>
      <c r="H39" s="14">
        <v>201</v>
      </c>
      <c r="I39" s="14">
        <v>238</v>
      </c>
      <c r="J39" s="14">
        <v>276</v>
      </c>
      <c r="K39" s="14">
        <v>287</v>
      </c>
      <c r="L39" s="14">
        <v>373</v>
      </c>
      <c r="M39" s="14">
        <v>407</v>
      </c>
      <c r="N39" s="14">
        <v>590</v>
      </c>
      <c r="O39" s="14">
        <v>527</v>
      </c>
      <c r="P39" s="14">
        <v>459</v>
      </c>
      <c r="Q39" s="14">
        <v>653</v>
      </c>
      <c r="R39" s="14">
        <v>671</v>
      </c>
      <c r="S39" s="14">
        <v>621</v>
      </c>
      <c r="T39" s="14">
        <v>900</v>
      </c>
      <c r="U39" s="14">
        <v>949</v>
      </c>
      <c r="V39" s="14">
        <v>1456</v>
      </c>
      <c r="W39" s="14">
        <v>1070</v>
      </c>
      <c r="X39" s="14">
        <v>1193</v>
      </c>
      <c r="Y39" s="14">
        <v>834</v>
      </c>
      <c r="Z39" s="14">
        <v>1001</v>
      </c>
      <c r="AA39" s="14"/>
      <c r="AB39" s="14"/>
    </row>
    <row r="40" spans="1:30">
      <c r="A40" s="45" t="s">
        <v>423</v>
      </c>
      <c r="B40" s="45" t="s">
        <v>424</v>
      </c>
      <c r="C40" s="45" t="s">
        <v>490</v>
      </c>
      <c r="D40" s="45" t="s">
        <v>496</v>
      </c>
      <c r="E40" s="45" t="s">
        <v>492</v>
      </c>
      <c r="F40" s="45" t="s">
        <v>493</v>
      </c>
      <c r="G40" s="14">
        <v>1317</v>
      </c>
      <c r="H40" s="14">
        <v>1381</v>
      </c>
      <c r="I40" s="14">
        <v>1529</v>
      </c>
      <c r="J40" s="14">
        <v>1766</v>
      </c>
      <c r="K40" s="14">
        <v>1615</v>
      </c>
      <c r="L40" s="14">
        <v>2047</v>
      </c>
      <c r="M40" s="14">
        <v>2063</v>
      </c>
      <c r="N40" s="14">
        <v>2458</v>
      </c>
      <c r="O40" s="14">
        <v>2723</v>
      </c>
      <c r="P40" s="14">
        <v>3351</v>
      </c>
      <c r="Q40" s="14">
        <v>4398</v>
      </c>
      <c r="R40" s="14">
        <v>3774</v>
      </c>
      <c r="S40" s="14">
        <v>3832</v>
      </c>
      <c r="T40" s="14">
        <v>4755</v>
      </c>
      <c r="U40" s="14">
        <v>5165</v>
      </c>
      <c r="V40" s="14">
        <v>5051</v>
      </c>
      <c r="W40" s="14">
        <v>7232</v>
      </c>
      <c r="X40" s="14">
        <v>8023</v>
      </c>
      <c r="Y40" s="14">
        <v>9063</v>
      </c>
      <c r="Z40" s="14">
        <v>8887</v>
      </c>
      <c r="AA40" s="14"/>
      <c r="AB40" s="14"/>
    </row>
    <row r="41" spans="1:30">
      <c r="A41" s="45" t="s">
        <v>423</v>
      </c>
      <c r="B41" s="45" t="s">
        <v>424</v>
      </c>
      <c r="C41" s="45" t="s">
        <v>490</v>
      </c>
      <c r="D41" s="45" t="s">
        <v>497</v>
      </c>
      <c r="E41" s="45" t="s">
        <v>492</v>
      </c>
      <c r="F41" s="45" t="s">
        <v>493</v>
      </c>
      <c r="G41" s="14">
        <v>4211</v>
      </c>
      <c r="H41" s="14">
        <v>4306</v>
      </c>
      <c r="I41" s="14">
        <v>4453</v>
      </c>
      <c r="J41" s="14">
        <v>5423</v>
      </c>
      <c r="K41" s="14">
        <v>6040</v>
      </c>
      <c r="L41" s="14">
        <v>7673</v>
      </c>
      <c r="M41" s="14">
        <v>8619</v>
      </c>
      <c r="N41" s="14">
        <v>9610</v>
      </c>
      <c r="O41" s="14">
        <v>10270</v>
      </c>
      <c r="P41" s="14">
        <v>11576</v>
      </c>
      <c r="Q41" s="14">
        <v>12630</v>
      </c>
      <c r="R41" s="14">
        <v>14130</v>
      </c>
      <c r="S41" s="14">
        <v>15420</v>
      </c>
      <c r="T41" s="14">
        <v>16649</v>
      </c>
      <c r="U41" s="14">
        <v>17116</v>
      </c>
      <c r="V41" s="14">
        <v>17365</v>
      </c>
      <c r="W41" s="14">
        <v>18098</v>
      </c>
      <c r="X41" s="14">
        <v>19341</v>
      </c>
      <c r="Y41" s="14">
        <v>21278</v>
      </c>
      <c r="Z41" s="14">
        <v>22038</v>
      </c>
      <c r="AA41" s="14"/>
      <c r="AB41" s="14"/>
    </row>
    <row r="42" spans="1:30">
      <c r="A42" s="45" t="s">
        <v>423</v>
      </c>
      <c r="B42" s="45" t="s">
        <v>424</v>
      </c>
      <c r="C42" s="45" t="s">
        <v>498</v>
      </c>
      <c r="D42" s="45" t="s">
        <v>491</v>
      </c>
      <c r="E42" s="45" t="s">
        <v>499</v>
      </c>
      <c r="F42" s="45" t="s">
        <v>500</v>
      </c>
      <c r="G42" s="14">
        <v>12683.8</v>
      </c>
      <c r="H42" s="14">
        <v>11240.5</v>
      </c>
      <c r="I42" s="14">
        <v>10984.7</v>
      </c>
      <c r="J42" s="14">
        <v>11965.5</v>
      </c>
      <c r="K42" s="14">
        <v>12055.2</v>
      </c>
      <c r="L42" s="14">
        <v>14092.6</v>
      </c>
      <c r="M42" s="14">
        <v>14738.7</v>
      </c>
      <c r="N42" s="14">
        <v>15367.9</v>
      </c>
      <c r="O42" s="14">
        <v>15134</v>
      </c>
      <c r="P42" s="14">
        <v>15616.9</v>
      </c>
      <c r="Q42" s="14">
        <v>16304</v>
      </c>
      <c r="R42" s="14">
        <v>15865.1</v>
      </c>
      <c r="S42" s="14">
        <v>15953.8</v>
      </c>
      <c r="T42" s="14">
        <v>16535.099999999999</v>
      </c>
      <c r="U42" s="14">
        <v>15601.4</v>
      </c>
      <c r="V42" s="14">
        <v>15597.8</v>
      </c>
      <c r="W42" s="14">
        <v>16751.8</v>
      </c>
      <c r="X42" s="14">
        <v>17122.400000000001</v>
      </c>
      <c r="Y42" s="14">
        <v>17772.3</v>
      </c>
      <c r="Z42" s="14">
        <v>16129.1</v>
      </c>
      <c r="AA42" s="14"/>
      <c r="AB42" s="14"/>
      <c r="AC42" s="15">
        <f>IFERROR(Z42/G42-1,"")</f>
        <v>0.27162995316860883</v>
      </c>
      <c r="AD42" s="15">
        <f>IFERROR((Z42/G42)^(1/19)-1,"")</f>
        <v>1.2727658254412244E-2</v>
      </c>
    </row>
    <row r="43" spans="1:30">
      <c r="A43" s="45" t="s">
        <v>423</v>
      </c>
      <c r="B43" s="45" t="s">
        <v>424</v>
      </c>
      <c r="C43" s="45" t="s">
        <v>498</v>
      </c>
      <c r="D43" s="45" t="s">
        <v>495</v>
      </c>
      <c r="E43" s="45" t="s">
        <v>499</v>
      </c>
      <c r="F43" s="45" t="s">
        <v>500</v>
      </c>
      <c r="G43" s="14">
        <v>644</v>
      </c>
      <c r="H43" s="14">
        <v>334.2</v>
      </c>
      <c r="I43" s="14">
        <v>367.1</v>
      </c>
      <c r="J43" s="14">
        <v>397</v>
      </c>
      <c r="K43" s="14">
        <v>387.2</v>
      </c>
      <c r="L43" s="14">
        <v>472.1</v>
      </c>
      <c r="M43" s="14">
        <v>473.8</v>
      </c>
      <c r="N43" s="14">
        <v>639.70000000000005</v>
      </c>
      <c r="O43" s="14">
        <v>527</v>
      </c>
      <c r="P43" s="14">
        <v>423.7</v>
      </c>
      <c r="Q43" s="14">
        <v>558.5</v>
      </c>
      <c r="R43" s="14">
        <v>533.79999999999995</v>
      </c>
      <c r="S43" s="14">
        <v>458.1</v>
      </c>
      <c r="T43" s="14">
        <v>617.20000000000005</v>
      </c>
      <c r="U43" s="14">
        <v>602</v>
      </c>
      <c r="V43" s="14">
        <v>891</v>
      </c>
      <c r="W43" s="14">
        <v>626.6</v>
      </c>
      <c r="X43" s="14">
        <v>670.3</v>
      </c>
      <c r="Y43" s="14">
        <v>440.1</v>
      </c>
      <c r="Z43" s="14">
        <v>467.3</v>
      </c>
      <c r="AA43" s="14"/>
      <c r="AB43" s="14"/>
      <c r="AC43" s="15">
        <f>IFERROR(Z43/G43-1,"")</f>
        <v>-0.27437888198757765</v>
      </c>
      <c r="AD43" s="15">
        <f>IFERROR((Z43/G43)^(1/19)-1,"")</f>
        <v>-1.6738707602008351E-2</v>
      </c>
    </row>
    <row r="44" spans="1:30">
      <c r="A44" s="45" t="s">
        <v>423</v>
      </c>
      <c r="B44" s="45" t="s">
        <v>424</v>
      </c>
      <c r="C44" s="45" t="s">
        <v>498</v>
      </c>
      <c r="D44" s="45" t="s">
        <v>496</v>
      </c>
      <c r="E44" s="45" t="s">
        <v>499</v>
      </c>
      <c r="F44" s="45" t="s">
        <v>500</v>
      </c>
      <c r="G44" s="14">
        <v>2501.9</v>
      </c>
      <c r="H44" s="14">
        <v>2300.1</v>
      </c>
      <c r="I44" s="14">
        <v>2362.1</v>
      </c>
      <c r="J44" s="14">
        <v>2540.9</v>
      </c>
      <c r="K44" s="14">
        <v>2175.6999999999998</v>
      </c>
      <c r="L44" s="14">
        <v>2590.3000000000002</v>
      </c>
      <c r="M44" s="14">
        <v>2400.3000000000002</v>
      </c>
      <c r="N44" s="14">
        <v>2665</v>
      </c>
      <c r="O44" s="14">
        <v>2723</v>
      </c>
      <c r="P44" s="14">
        <v>3093.7</v>
      </c>
      <c r="Q44" s="14">
        <v>3761.5</v>
      </c>
      <c r="R44" s="14">
        <v>3002.5</v>
      </c>
      <c r="S44" s="14">
        <v>2826.8</v>
      </c>
      <c r="T44" s="14">
        <v>3260.9</v>
      </c>
      <c r="U44" s="14">
        <v>3276.6</v>
      </c>
      <c r="V44" s="14">
        <v>3090.8</v>
      </c>
      <c r="W44" s="14">
        <v>4235.1000000000004</v>
      </c>
      <c r="X44" s="14">
        <v>4507.8999999999996</v>
      </c>
      <c r="Y44" s="14">
        <v>4782.7</v>
      </c>
      <c r="Z44" s="14">
        <v>4148.5</v>
      </c>
      <c r="AA44" s="14"/>
      <c r="AB44" s="14"/>
      <c r="AC44" s="15">
        <f>IFERROR(Z44/G44-1,"")</f>
        <v>0.65813981374155639</v>
      </c>
      <c r="AD44" s="15">
        <f>IFERROR((Z44/G44)^(1/19)-1,"")</f>
        <v>2.6972957387709773E-2</v>
      </c>
    </row>
    <row r="45" spans="1:30">
      <c r="A45" s="45" t="s">
        <v>423</v>
      </c>
      <c r="B45" s="45" t="s">
        <v>424</v>
      </c>
      <c r="C45" s="45" t="s">
        <v>498</v>
      </c>
      <c r="D45" s="45" t="s">
        <v>497</v>
      </c>
      <c r="E45" s="45" t="s">
        <v>499</v>
      </c>
      <c r="F45" s="45" t="s">
        <v>500</v>
      </c>
      <c r="G45" s="14">
        <v>8000.2</v>
      </c>
      <c r="H45" s="14">
        <v>7170.1</v>
      </c>
      <c r="I45" s="14">
        <v>6881.8</v>
      </c>
      <c r="J45" s="14">
        <v>7800.2</v>
      </c>
      <c r="K45" s="14">
        <v>8137.5</v>
      </c>
      <c r="L45" s="14">
        <v>9711.2999999999993</v>
      </c>
      <c r="M45" s="14">
        <v>10028.5</v>
      </c>
      <c r="N45" s="14">
        <v>10419.5</v>
      </c>
      <c r="O45" s="14">
        <v>10270</v>
      </c>
      <c r="P45" s="14">
        <v>10687</v>
      </c>
      <c r="Q45" s="14">
        <v>10802</v>
      </c>
      <c r="R45" s="14">
        <v>11241.3</v>
      </c>
      <c r="S45" s="14">
        <v>11375</v>
      </c>
      <c r="T45" s="14">
        <v>11417.8</v>
      </c>
      <c r="U45" s="14">
        <v>10858.1</v>
      </c>
      <c r="V45" s="14">
        <v>10626</v>
      </c>
      <c r="W45" s="14">
        <v>10598.3</v>
      </c>
      <c r="X45" s="14">
        <v>10867.1</v>
      </c>
      <c r="Y45" s="14">
        <v>11228.7</v>
      </c>
      <c r="Z45" s="14">
        <v>10288</v>
      </c>
      <c r="AA45" s="14"/>
      <c r="AB45" s="14"/>
      <c r="AC45" s="15">
        <f>IFERROR(Z45/G45-1,"")</f>
        <v>0.28596785080372999</v>
      </c>
      <c r="AD45" s="15">
        <f>IFERROR((Z45/G45)^(1/19)-1,"")</f>
        <v>1.3325456984078832E-2</v>
      </c>
    </row>
    <row r="46" spans="1:30">
      <c r="A46" s="45" t="s">
        <v>423</v>
      </c>
      <c r="B46" s="45" t="s">
        <v>424</v>
      </c>
      <c r="C46" s="45" t="s">
        <v>498</v>
      </c>
      <c r="D46" s="45" t="s">
        <v>501</v>
      </c>
      <c r="E46" s="45" t="s">
        <v>499</v>
      </c>
      <c r="F46" s="45" t="s">
        <v>500</v>
      </c>
      <c r="G46" s="14">
        <v>1020.5</v>
      </c>
      <c r="H46" s="14">
        <v>1027</v>
      </c>
      <c r="I46" s="14">
        <v>944.6</v>
      </c>
      <c r="J46" s="14">
        <v>747.8</v>
      </c>
      <c r="K46" s="14">
        <v>893.1</v>
      </c>
      <c r="L46" s="14">
        <v>721.2</v>
      </c>
      <c r="M46" s="14">
        <v>1158.7</v>
      </c>
      <c r="N46" s="14">
        <v>1058.2</v>
      </c>
      <c r="O46" s="14">
        <v>915</v>
      </c>
      <c r="P46" s="14">
        <v>751.5</v>
      </c>
      <c r="Q46" s="14">
        <v>502</v>
      </c>
      <c r="R46" s="14">
        <v>506.8</v>
      </c>
      <c r="S46" s="14">
        <v>682.4</v>
      </c>
      <c r="T46" s="14">
        <v>574</v>
      </c>
      <c r="U46" s="14">
        <v>425.7</v>
      </c>
      <c r="V46" s="14">
        <v>594.20000000000005</v>
      </c>
      <c r="W46" s="14">
        <v>606.70000000000005</v>
      </c>
      <c r="X46" s="14">
        <v>417.5</v>
      </c>
      <c r="Y46" s="14">
        <v>592.6</v>
      </c>
      <c r="Z46" s="14">
        <v>529.79999999999995</v>
      </c>
      <c r="AA46" s="14"/>
      <c r="AB46" s="14"/>
      <c r="AC46" s="15">
        <f>IFERROR(Z46/G46-1,"")</f>
        <v>-0.4808427241548261</v>
      </c>
      <c r="AD46" s="15">
        <f>IFERROR((Z46/G46)^(1/19)-1,"")</f>
        <v>-3.3914121568480726E-2</v>
      </c>
    </row>
    <row r="47" spans="1:30">
      <c r="A47" s="45" t="s">
        <v>227</v>
      </c>
      <c r="B47" s="45" t="s">
        <v>228</v>
      </c>
      <c r="C47" s="45" t="s">
        <v>490</v>
      </c>
      <c r="D47" s="45" t="s">
        <v>491</v>
      </c>
      <c r="E47" s="45" t="s">
        <v>492</v>
      </c>
      <c r="F47" s="45" t="s">
        <v>493</v>
      </c>
      <c r="G47" s="14">
        <v>28803</v>
      </c>
      <c r="H47" s="14">
        <v>30660</v>
      </c>
      <c r="I47" s="14">
        <v>32179</v>
      </c>
      <c r="J47" s="14">
        <v>37594</v>
      </c>
      <c r="K47" s="14">
        <v>44242</v>
      </c>
      <c r="L47" s="14">
        <v>50744</v>
      </c>
      <c r="M47" s="14">
        <v>54460</v>
      </c>
      <c r="N47" s="14">
        <v>58582</v>
      </c>
      <c r="O47" s="14">
        <v>61503</v>
      </c>
      <c r="P47" s="14">
        <v>70505</v>
      </c>
      <c r="Q47" s="14">
        <v>77498</v>
      </c>
      <c r="R47" s="14">
        <v>92574</v>
      </c>
      <c r="S47" s="14">
        <v>100071</v>
      </c>
      <c r="T47" s="14">
        <v>112704</v>
      </c>
      <c r="U47" s="14">
        <v>119003</v>
      </c>
      <c r="V47" s="14">
        <v>125198</v>
      </c>
      <c r="W47" s="14">
        <v>140266</v>
      </c>
      <c r="X47" s="14">
        <v>153813</v>
      </c>
      <c r="Y47" s="14">
        <v>156960</v>
      </c>
      <c r="Z47" s="14">
        <v>150789</v>
      </c>
      <c r="AA47" s="14">
        <v>178559</v>
      </c>
      <c r="AB47" s="14">
        <v>209117</v>
      </c>
    </row>
    <row r="48" spans="1:30">
      <c r="A48" s="45" t="s">
        <v>227</v>
      </c>
      <c r="B48" s="45" t="s">
        <v>228</v>
      </c>
      <c r="C48" s="45" t="s">
        <v>490</v>
      </c>
      <c r="D48" s="45" t="s">
        <v>494</v>
      </c>
      <c r="E48" s="45" t="s">
        <v>492</v>
      </c>
      <c r="F48" s="45" t="s">
        <v>493</v>
      </c>
      <c r="G48" s="14">
        <v>27918</v>
      </c>
      <c r="H48" s="14">
        <v>29799</v>
      </c>
      <c r="I48" s="14">
        <v>31250</v>
      </c>
      <c r="J48" s="14">
        <v>36423</v>
      </c>
      <c r="K48" s="14">
        <v>42106</v>
      </c>
      <c r="L48" s="14">
        <v>48488</v>
      </c>
      <c r="M48" s="14">
        <v>51874</v>
      </c>
      <c r="N48" s="14">
        <v>56146</v>
      </c>
      <c r="O48" s="14">
        <v>58598</v>
      </c>
      <c r="P48" s="14">
        <v>66804</v>
      </c>
      <c r="Q48" s="14">
        <v>73098</v>
      </c>
      <c r="R48" s="14">
        <v>88175</v>
      </c>
      <c r="S48" s="14">
        <v>94157</v>
      </c>
      <c r="T48" s="14">
        <v>106961</v>
      </c>
      <c r="U48" s="14">
        <v>114230</v>
      </c>
      <c r="V48" s="14">
        <v>120061</v>
      </c>
      <c r="W48" s="14">
        <v>132274</v>
      </c>
      <c r="X48" s="14">
        <v>145415</v>
      </c>
      <c r="Y48" s="14">
        <v>147146</v>
      </c>
      <c r="Z48" s="14">
        <v>140719</v>
      </c>
      <c r="AA48" s="14"/>
      <c r="AB48" s="14"/>
    </row>
    <row r="49" spans="1:30">
      <c r="A49" s="45" t="s">
        <v>227</v>
      </c>
      <c r="B49" s="45" t="s">
        <v>228</v>
      </c>
      <c r="C49" s="45" t="s">
        <v>490</v>
      </c>
      <c r="D49" s="45" t="s">
        <v>495</v>
      </c>
      <c r="E49" s="45" t="s">
        <v>492</v>
      </c>
      <c r="F49" s="45" t="s">
        <v>493</v>
      </c>
      <c r="G49" s="14">
        <v>1380</v>
      </c>
      <c r="H49" s="14">
        <v>1091</v>
      </c>
      <c r="I49" s="14">
        <v>1179</v>
      </c>
      <c r="J49" s="14">
        <v>1355</v>
      </c>
      <c r="K49" s="14">
        <v>1374</v>
      </c>
      <c r="L49" s="14">
        <v>1512</v>
      </c>
      <c r="M49" s="14">
        <v>1515</v>
      </c>
      <c r="N49" s="14">
        <v>1734</v>
      </c>
      <c r="O49" s="14">
        <v>2275</v>
      </c>
      <c r="P49" s="14">
        <v>1807</v>
      </c>
      <c r="Q49" s="14">
        <v>2073</v>
      </c>
      <c r="R49" s="14">
        <v>2144</v>
      </c>
      <c r="S49" s="14">
        <v>1996</v>
      </c>
      <c r="T49" s="14">
        <v>2319</v>
      </c>
      <c r="U49" s="14">
        <v>5467</v>
      </c>
      <c r="V49" s="14">
        <v>2897</v>
      </c>
      <c r="W49" s="14">
        <v>3034</v>
      </c>
      <c r="X49" s="14">
        <v>4760</v>
      </c>
      <c r="Y49" s="14">
        <v>2584</v>
      </c>
      <c r="Z49" s="14">
        <v>3027</v>
      </c>
      <c r="AA49" s="14"/>
      <c r="AB49" s="14"/>
    </row>
    <row r="50" spans="1:30">
      <c r="A50" s="45" t="s">
        <v>227</v>
      </c>
      <c r="B50" s="45" t="s">
        <v>228</v>
      </c>
      <c r="C50" s="45" t="s">
        <v>490</v>
      </c>
      <c r="D50" s="45" t="s">
        <v>496</v>
      </c>
      <c r="E50" s="45" t="s">
        <v>492</v>
      </c>
      <c r="F50" s="45" t="s">
        <v>493</v>
      </c>
      <c r="G50" s="14">
        <v>8903</v>
      </c>
      <c r="H50" s="14">
        <v>9789</v>
      </c>
      <c r="I50" s="14">
        <v>9817</v>
      </c>
      <c r="J50" s="14">
        <v>11070</v>
      </c>
      <c r="K50" s="14">
        <v>14142</v>
      </c>
      <c r="L50" s="14">
        <v>14545</v>
      </c>
      <c r="M50" s="14">
        <v>14051</v>
      </c>
      <c r="N50" s="14">
        <v>14821</v>
      </c>
      <c r="O50" s="14">
        <v>16718</v>
      </c>
      <c r="P50" s="14">
        <v>20442</v>
      </c>
      <c r="Q50" s="14">
        <v>25202</v>
      </c>
      <c r="R50" s="14">
        <v>32215</v>
      </c>
      <c r="S50" s="14">
        <v>31463</v>
      </c>
      <c r="T50" s="14">
        <v>41120</v>
      </c>
      <c r="U50" s="14">
        <v>43114</v>
      </c>
      <c r="V50" s="14">
        <v>46063</v>
      </c>
      <c r="W50" s="14">
        <v>56535</v>
      </c>
      <c r="X50" s="14">
        <v>62448</v>
      </c>
      <c r="Y50" s="14">
        <v>62673</v>
      </c>
      <c r="Z50" s="14">
        <v>58180</v>
      </c>
      <c r="AA50" s="14"/>
      <c r="AB50" s="14"/>
    </row>
    <row r="51" spans="1:30">
      <c r="A51" s="45" t="s">
        <v>227</v>
      </c>
      <c r="B51" s="45" t="s">
        <v>228</v>
      </c>
      <c r="C51" s="45" t="s">
        <v>490</v>
      </c>
      <c r="D51" s="45" t="s">
        <v>497</v>
      </c>
      <c r="E51" s="45" t="s">
        <v>492</v>
      </c>
      <c r="F51" s="45" t="s">
        <v>493</v>
      </c>
      <c r="G51" s="14">
        <v>15542</v>
      </c>
      <c r="H51" s="14">
        <v>16118</v>
      </c>
      <c r="I51" s="14">
        <v>17240</v>
      </c>
      <c r="J51" s="14">
        <v>21263</v>
      </c>
      <c r="K51" s="14">
        <v>23078</v>
      </c>
      <c r="L51" s="14">
        <v>29551</v>
      </c>
      <c r="M51" s="14">
        <v>31682</v>
      </c>
      <c r="N51" s="14">
        <v>34700</v>
      </c>
      <c r="O51" s="14">
        <v>35995</v>
      </c>
      <c r="P51" s="14">
        <v>40572</v>
      </c>
      <c r="Q51" s="14">
        <v>42801</v>
      </c>
      <c r="R51" s="14">
        <v>50536</v>
      </c>
      <c r="S51" s="14">
        <v>53996</v>
      </c>
      <c r="T51" s="14">
        <v>59610</v>
      </c>
      <c r="U51" s="14">
        <v>62456</v>
      </c>
      <c r="V51" s="14">
        <v>67581</v>
      </c>
      <c r="W51" s="14">
        <v>68180</v>
      </c>
      <c r="X51" s="14">
        <v>73796</v>
      </c>
      <c r="Y51" s="14">
        <v>76206</v>
      </c>
      <c r="Z51" s="14">
        <v>72752</v>
      </c>
      <c r="AA51" s="14"/>
      <c r="AB51" s="14"/>
    </row>
    <row r="52" spans="1:30">
      <c r="A52" s="45" t="s">
        <v>227</v>
      </c>
      <c r="B52" s="45" t="s">
        <v>228</v>
      </c>
      <c r="C52" s="45" t="s">
        <v>498</v>
      </c>
      <c r="D52" s="45" t="s">
        <v>491</v>
      </c>
      <c r="E52" s="45" t="s">
        <v>499</v>
      </c>
      <c r="F52" s="45" t="s">
        <v>500</v>
      </c>
      <c r="G52" s="14">
        <v>54718.7</v>
      </c>
      <c r="H52" s="14">
        <v>51051.7</v>
      </c>
      <c r="I52" s="14">
        <v>49726.400000000001</v>
      </c>
      <c r="J52" s="14">
        <v>54075.7</v>
      </c>
      <c r="K52" s="14">
        <v>59601.599999999999</v>
      </c>
      <c r="L52" s="14">
        <v>64225</v>
      </c>
      <c r="M52" s="14">
        <v>63365.2</v>
      </c>
      <c r="N52" s="14">
        <v>63516.6</v>
      </c>
      <c r="O52" s="14">
        <v>61503</v>
      </c>
      <c r="P52" s="14">
        <v>65090.400000000001</v>
      </c>
      <c r="Q52" s="14">
        <v>66281.5</v>
      </c>
      <c r="R52" s="14">
        <v>73648.5</v>
      </c>
      <c r="S52" s="14">
        <v>73820.399999999994</v>
      </c>
      <c r="T52" s="14">
        <v>77291.5</v>
      </c>
      <c r="U52" s="14">
        <v>75493.600000000006</v>
      </c>
      <c r="V52" s="14">
        <v>76610.899999999994</v>
      </c>
      <c r="W52" s="14">
        <v>82140.3</v>
      </c>
      <c r="X52" s="14">
        <v>86422.8</v>
      </c>
      <c r="Y52" s="14">
        <v>82829.8</v>
      </c>
      <c r="Z52" s="14">
        <v>70389.399999999994</v>
      </c>
      <c r="AA52" s="14"/>
      <c r="AB52" s="14"/>
      <c r="AC52" s="15">
        <f>IFERROR(Z52/G52-1,"")</f>
        <v>0.2863865552361442</v>
      </c>
      <c r="AD52" s="15">
        <f>IFERROR((Z52/G52)^(1/19)-1,"")</f>
        <v>1.3342819226964897E-2</v>
      </c>
    </row>
    <row r="53" spans="1:30">
      <c r="A53" s="45" t="s">
        <v>227</v>
      </c>
      <c r="B53" s="45" t="s">
        <v>228</v>
      </c>
      <c r="C53" s="45" t="s">
        <v>498</v>
      </c>
      <c r="D53" s="45" t="s">
        <v>495</v>
      </c>
      <c r="E53" s="45" t="s">
        <v>499</v>
      </c>
      <c r="F53" s="45" t="s">
        <v>500</v>
      </c>
      <c r="G53" s="14">
        <v>2622.4</v>
      </c>
      <c r="H53" s="14">
        <v>1816.4</v>
      </c>
      <c r="I53" s="14">
        <v>1821.7</v>
      </c>
      <c r="J53" s="14">
        <v>1949.6</v>
      </c>
      <c r="K53" s="14">
        <v>1851.6</v>
      </c>
      <c r="L53" s="14">
        <v>1913.2</v>
      </c>
      <c r="M53" s="14">
        <v>1762.8</v>
      </c>
      <c r="N53" s="14">
        <v>1880.1</v>
      </c>
      <c r="O53" s="14">
        <v>2275</v>
      </c>
      <c r="P53" s="14">
        <v>1668.2</v>
      </c>
      <c r="Q53" s="14">
        <v>1773</v>
      </c>
      <c r="R53" s="14">
        <v>1705.7</v>
      </c>
      <c r="S53" s="14">
        <v>1472.4</v>
      </c>
      <c r="T53" s="14">
        <v>1590.4</v>
      </c>
      <c r="U53" s="14">
        <v>3468.2</v>
      </c>
      <c r="V53" s="14">
        <v>1772.7</v>
      </c>
      <c r="W53" s="14">
        <v>1776.7</v>
      </c>
      <c r="X53" s="14">
        <v>2674.5</v>
      </c>
      <c r="Y53" s="14">
        <v>1363.6</v>
      </c>
      <c r="Z53" s="14">
        <v>1413</v>
      </c>
      <c r="AA53" s="14"/>
      <c r="AB53" s="14"/>
      <c r="AC53" s="15">
        <f>IFERROR(Z53/G53-1,"")</f>
        <v>-0.46118059792556443</v>
      </c>
      <c r="AD53" s="15">
        <f>IFERROR((Z53/G53)^(1/19)-1,"")</f>
        <v>-3.2022120223394013E-2</v>
      </c>
    </row>
    <row r="54" spans="1:30">
      <c r="A54" s="45" t="s">
        <v>227</v>
      </c>
      <c r="B54" s="45" t="s">
        <v>228</v>
      </c>
      <c r="C54" s="45" t="s">
        <v>498</v>
      </c>
      <c r="D54" s="45" t="s">
        <v>496</v>
      </c>
      <c r="E54" s="45" t="s">
        <v>499</v>
      </c>
      <c r="F54" s="45" t="s">
        <v>500</v>
      </c>
      <c r="G54" s="14">
        <v>16912.5</v>
      </c>
      <c r="H54" s="14">
        <v>16299.3</v>
      </c>
      <c r="I54" s="14">
        <v>15171.1</v>
      </c>
      <c r="J54" s="14">
        <v>15923.4</v>
      </c>
      <c r="K54" s="14">
        <v>19051.900000000001</v>
      </c>
      <c r="L54" s="14">
        <v>18409.400000000001</v>
      </c>
      <c r="M54" s="14">
        <v>16349.3</v>
      </c>
      <c r="N54" s="14">
        <v>16069.4</v>
      </c>
      <c r="O54" s="14">
        <v>16718</v>
      </c>
      <c r="P54" s="14">
        <v>18872.099999999999</v>
      </c>
      <c r="Q54" s="14">
        <v>21554.5</v>
      </c>
      <c r="R54" s="14">
        <v>25629.1</v>
      </c>
      <c r="S54" s="14">
        <v>23209.599999999999</v>
      </c>
      <c r="T54" s="14">
        <v>28199.8</v>
      </c>
      <c r="U54" s="14">
        <v>27350.799999999999</v>
      </c>
      <c r="V54" s="14">
        <v>28186.799999999999</v>
      </c>
      <c r="W54" s="14">
        <v>33107.1</v>
      </c>
      <c r="X54" s="14">
        <v>35087.599999999999</v>
      </c>
      <c r="Y54" s="14">
        <v>33073.4</v>
      </c>
      <c r="Z54" s="14">
        <v>27158.799999999999</v>
      </c>
      <c r="AA54" s="14"/>
      <c r="AB54" s="14"/>
      <c r="AC54" s="15">
        <f>IFERROR(Z54/G54-1,"")</f>
        <v>0.60584183296378424</v>
      </c>
      <c r="AD54" s="15">
        <f>IFERROR((Z54/G54)^(1/19)-1,"")</f>
        <v>2.5242170631937677E-2</v>
      </c>
    </row>
    <row r="55" spans="1:30">
      <c r="A55" s="45" t="s">
        <v>227</v>
      </c>
      <c r="B55" s="45" t="s">
        <v>228</v>
      </c>
      <c r="C55" s="45" t="s">
        <v>498</v>
      </c>
      <c r="D55" s="45" t="s">
        <v>497</v>
      </c>
      <c r="E55" s="45" t="s">
        <v>499</v>
      </c>
      <c r="F55" s="45" t="s">
        <v>500</v>
      </c>
      <c r="G55" s="14">
        <v>29526.2</v>
      </c>
      <c r="H55" s="14">
        <v>26838.6</v>
      </c>
      <c r="I55" s="14">
        <v>26641.599999999999</v>
      </c>
      <c r="J55" s="14">
        <v>30584.7</v>
      </c>
      <c r="K55" s="14">
        <v>31090.400000000001</v>
      </c>
      <c r="L55" s="14">
        <v>37402.300000000003</v>
      </c>
      <c r="M55" s="14">
        <v>36863.4</v>
      </c>
      <c r="N55" s="14">
        <v>37622.9</v>
      </c>
      <c r="O55" s="14">
        <v>35995</v>
      </c>
      <c r="P55" s="14">
        <v>37456.199999999997</v>
      </c>
      <c r="Q55" s="14">
        <v>36606.300000000003</v>
      </c>
      <c r="R55" s="14">
        <v>40204.6</v>
      </c>
      <c r="S55" s="14">
        <v>39831.800000000003</v>
      </c>
      <c r="T55" s="14">
        <v>40880.1</v>
      </c>
      <c r="U55" s="14">
        <v>39621.1</v>
      </c>
      <c r="V55" s="14">
        <v>41354</v>
      </c>
      <c r="W55" s="14">
        <v>39926.5</v>
      </c>
      <c r="X55" s="14">
        <v>41463.699999999997</v>
      </c>
      <c r="Y55" s="14">
        <v>40214.9</v>
      </c>
      <c r="Z55" s="14">
        <v>33962.1</v>
      </c>
      <c r="AA55" s="14"/>
      <c r="AB55" s="14"/>
      <c r="AC55" s="15">
        <f>IFERROR(Z55/G55-1,"")</f>
        <v>0.15023606153179192</v>
      </c>
      <c r="AD55" s="15">
        <f>IFERROR((Z55/G55)^(1/19)-1,"")</f>
        <v>7.3938951717582579E-3</v>
      </c>
    </row>
    <row r="56" spans="1:30">
      <c r="A56" s="45" t="s">
        <v>227</v>
      </c>
      <c r="B56" s="45" t="s">
        <v>228</v>
      </c>
      <c r="C56" s="45" t="s">
        <v>498</v>
      </c>
      <c r="D56" s="45" t="s">
        <v>501</v>
      </c>
      <c r="E56" s="45" t="s">
        <v>499</v>
      </c>
      <c r="F56" s="45" t="s">
        <v>500</v>
      </c>
      <c r="G56" s="14">
        <v>3976.3</v>
      </c>
      <c r="H56" s="14">
        <v>4664.5</v>
      </c>
      <c r="I56" s="14">
        <v>4656.2</v>
      </c>
      <c r="J56" s="14">
        <v>3934</v>
      </c>
      <c r="K56" s="14">
        <v>4729.8</v>
      </c>
      <c r="L56" s="14">
        <v>3644.5</v>
      </c>
      <c r="M56" s="14">
        <v>5381.7</v>
      </c>
      <c r="N56" s="14">
        <v>5303</v>
      </c>
      <c r="O56" s="14">
        <v>3609</v>
      </c>
      <c r="P56" s="14">
        <v>3677.1</v>
      </c>
      <c r="Q56" s="14">
        <v>2584.6</v>
      </c>
      <c r="R56" s="14">
        <v>2609.4</v>
      </c>
      <c r="S56" s="14">
        <v>4943.8999999999996</v>
      </c>
      <c r="T56" s="14">
        <v>2682.8</v>
      </c>
      <c r="U56" s="14">
        <v>2025.6</v>
      </c>
      <c r="V56" s="14">
        <v>2154</v>
      </c>
      <c r="W56" s="14">
        <v>2649.3</v>
      </c>
      <c r="X56" s="14">
        <v>2478.4</v>
      </c>
      <c r="Y56" s="14">
        <v>2998.5</v>
      </c>
      <c r="Z56" s="14">
        <v>3155.6</v>
      </c>
      <c r="AA56" s="14"/>
      <c r="AB56" s="14"/>
      <c r="AC56" s="15">
        <f>IFERROR(Z56/G56-1,"")</f>
        <v>-0.20639790760254517</v>
      </c>
      <c r="AD56" s="15">
        <f>IFERROR((Z56/G56)^(1/19)-1,"")</f>
        <v>-1.2093285830415579E-2</v>
      </c>
    </row>
    <row r="57" spans="1:30">
      <c r="A57" s="45" t="s">
        <v>375</v>
      </c>
      <c r="B57" s="45" t="s">
        <v>376</v>
      </c>
      <c r="C57" s="45" t="s">
        <v>490</v>
      </c>
      <c r="D57" s="45" t="s">
        <v>491</v>
      </c>
      <c r="E57" s="45" t="s">
        <v>492</v>
      </c>
      <c r="F57" s="45" t="s">
        <v>493</v>
      </c>
      <c r="G57" s="14">
        <v>9948</v>
      </c>
      <c r="H57" s="14">
        <v>10502</v>
      </c>
      <c r="I57" s="14">
        <v>11433</v>
      </c>
      <c r="J57" s="14">
        <v>12436</v>
      </c>
      <c r="K57" s="14">
        <v>14448</v>
      </c>
      <c r="L57" s="14">
        <v>16612</v>
      </c>
      <c r="M57" s="14">
        <v>18535</v>
      </c>
      <c r="N57" s="14">
        <v>19246</v>
      </c>
      <c r="O57" s="14">
        <v>19440</v>
      </c>
      <c r="P57" s="14">
        <v>25013</v>
      </c>
      <c r="Q57" s="14">
        <v>27369</v>
      </c>
      <c r="R57" s="14">
        <v>29979</v>
      </c>
      <c r="S57" s="14">
        <v>31135</v>
      </c>
      <c r="T57" s="14">
        <v>34276</v>
      </c>
      <c r="U57" s="14">
        <v>34031</v>
      </c>
      <c r="V57" s="14">
        <v>36038</v>
      </c>
      <c r="W57" s="14">
        <v>39386</v>
      </c>
      <c r="X57" s="14">
        <v>42765</v>
      </c>
      <c r="Y57" s="14">
        <v>47333</v>
      </c>
      <c r="Z57" s="14">
        <v>50061</v>
      </c>
      <c r="AA57" s="14">
        <v>61042</v>
      </c>
      <c r="AB57" s="14">
        <v>68329</v>
      </c>
    </row>
    <row r="58" spans="1:30">
      <c r="A58" s="45" t="s">
        <v>375</v>
      </c>
      <c r="B58" s="45" t="s">
        <v>376</v>
      </c>
      <c r="C58" s="45" t="s">
        <v>490</v>
      </c>
      <c r="D58" s="45" t="s">
        <v>494</v>
      </c>
      <c r="E58" s="45" t="s">
        <v>492</v>
      </c>
      <c r="F58" s="45" t="s">
        <v>493</v>
      </c>
      <c r="G58" s="14">
        <v>9569</v>
      </c>
      <c r="H58" s="14">
        <v>10199</v>
      </c>
      <c r="I58" s="14">
        <v>11086</v>
      </c>
      <c r="J58" s="14">
        <v>12006</v>
      </c>
      <c r="K58" s="14">
        <v>13698</v>
      </c>
      <c r="L58" s="14">
        <v>15566</v>
      </c>
      <c r="M58" s="14">
        <v>17251</v>
      </c>
      <c r="N58" s="14">
        <v>18375</v>
      </c>
      <c r="O58" s="14">
        <v>18273</v>
      </c>
      <c r="P58" s="14">
        <v>23565</v>
      </c>
      <c r="Q58" s="14">
        <v>25741</v>
      </c>
      <c r="R58" s="14">
        <v>28432</v>
      </c>
      <c r="S58" s="14">
        <v>29550</v>
      </c>
      <c r="T58" s="14">
        <v>32498</v>
      </c>
      <c r="U58" s="14">
        <v>32981</v>
      </c>
      <c r="V58" s="14">
        <v>34995</v>
      </c>
      <c r="W58" s="14">
        <v>37721</v>
      </c>
      <c r="X58" s="14">
        <v>40946</v>
      </c>
      <c r="Y58" s="14">
        <v>45395</v>
      </c>
      <c r="Z58" s="14">
        <v>47792</v>
      </c>
      <c r="AA58" s="14"/>
      <c r="AB58" s="14"/>
    </row>
    <row r="59" spans="1:30">
      <c r="A59" s="45" t="s">
        <v>375</v>
      </c>
      <c r="B59" s="45" t="s">
        <v>376</v>
      </c>
      <c r="C59" s="45" t="s">
        <v>490</v>
      </c>
      <c r="D59" s="45" t="s">
        <v>495</v>
      </c>
      <c r="E59" s="45" t="s">
        <v>492</v>
      </c>
      <c r="F59" s="45" t="s">
        <v>493</v>
      </c>
      <c r="G59" s="14">
        <v>532</v>
      </c>
      <c r="H59" s="14">
        <v>481</v>
      </c>
      <c r="I59" s="14">
        <v>559</v>
      </c>
      <c r="J59" s="14">
        <v>483</v>
      </c>
      <c r="K59" s="14">
        <v>551</v>
      </c>
      <c r="L59" s="14">
        <v>673</v>
      </c>
      <c r="M59" s="14">
        <v>659</v>
      </c>
      <c r="N59" s="14">
        <v>755</v>
      </c>
      <c r="O59" s="14">
        <v>684</v>
      </c>
      <c r="P59" s="14">
        <v>1510</v>
      </c>
      <c r="Q59" s="14">
        <v>1809</v>
      </c>
      <c r="R59" s="14">
        <v>2474</v>
      </c>
      <c r="S59" s="14">
        <v>2129</v>
      </c>
      <c r="T59" s="14">
        <v>2393</v>
      </c>
      <c r="U59" s="14">
        <v>1185</v>
      </c>
      <c r="V59" s="14">
        <v>1104</v>
      </c>
      <c r="W59" s="14">
        <v>996</v>
      </c>
      <c r="X59" s="14">
        <v>2120</v>
      </c>
      <c r="Y59" s="14">
        <v>4331</v>
      </c>
      <c r="Z59" s="14">
        <v>2238</v>
      </c>
      <c r="AA59" s="14"/>
      <c r="AB59" s="14"/>
    </row>
    <row r="60" spans="1:30">
      <c r="A60" s="45" t="s">
        <v>375</v>
      </c>
      <c r="B60" s="45" t="s">
        <v>376</v>
      </c>
      <c r="C60" s="45" t="s">
        <v>490</v>
      </c>
      <c r="D60" s="45" t="s">
        <v>496</v>
      </c>
      <c r="E60" s="45" t="s">
        <v>492</v>
      </c>
      <c r="F60" s="45" t="s">
        <v>493</v>
      </c>
      <c r="G60" s="14">
        <v>1999</v>
      </c>
      <c r="H60" s="14">
        <v>2147</v>
      </c>
      <c r="I60" s="14">
        <v>2293</v>
      </c>
      <c r="J60" s="14">
        <v>2570</v>
      </c>
      <c r="K60" s="14">
        <v>2984</v>
      </c>
      <c r="L60" s="14">
        <v>3227</v>
      </c>
      <c r="M60" s="14">
        <v>3030</v>
      </c>
      <c r="N60" s="14">
        <v>3409</v>
      </c>
      <c r="O60" s="14">
        <v>3549</v>
      </c>
      <c r="P60" s="14">
        <v>4408</v>
      </c>
      <c r="Q60" s="14">
        <v>5807</v>
      </c>
      <c r="R60" s="14">
        <v>6089</v>
      </c>
      <c r="S60" s="14">
        <v>6145</v>
      </c>
      <c r="T60" s="14">
        <v>7382</v>
      </c>
      <c r="U60" s="14">
        <v>8139</v>
      </c>
      <c r="V60" s="14">
        <v>8500</v>
      </c>
      <c r="W60" s="14">
        <v>10633</v>
      </c>
      <c r="X60" s="14">
        <v>12024</v>
      </c>
      <c r="Y60" s="14">
        <v>12532</v>
      </c>
      <c r="Z60" s="14">
        <v>12956</v>
      </c>
      <c r="AA60" s="14"/>
      <c r="AB60" s="14"/>
    </row>
    <row r="61" spans="1:30">
      <c r="A61" s="45" t="s">
        <v>375</v>
      </c>
      <c r="B61" s="45" t="s">
        <v>376</v>
      </c>
      <c r="C61" s="45" t="s">
        <v>490</v>
      </c>
      <c r="D61" s="45" t="s">
        <v>497</v>
      </c>
      <c r="E61" s="45" t="s">
        <v>492</v>
      </c>
      <c r="F61" s="45" t="s">
        <v>493</v>
      </c>
      <c r="G61" s="14">
        <v>5872</v>
      </c>
      <c r="H61" s="14">
        <v>6092</v>
      </c>
      <c r="I61" s="14">
        <v>6651</v>
      </c>
      <c r="J61" s="14">
        <v>7542</v>
      </c>
      <c r="K61" s="14">
        <v>8295</v>
      </c>
      <c r="L61" s="14">
        <v>10135</v>
      </c>
      <c r="M61" s="14">
        <v>11255</v>
      </c>
      <c r="N61" s="14">
        <v>12226</v>
      </c>
      <c r="O61" s="14">
        <v>12318</v>
      </c>
      <c r="P61" s="14">
        <v>15002</v>
      </c>
      <c r="Q61" s="14">
        <v>16302</v>
      </c>
      <c r="R61" s="14">
        <v>17926</v>
      </c>
      <c r="S61" s="14">
        <v>19262</v>
      </c>
      <c r="T61" s="14">
        <v>20823</v>
      </c>
      <c r="U61" s="14">
        <v>21666</v>
      </c>
      <c r="V61" s="14">
        <v>23427</v>
      </c>
      <c r="W61" s="14">
        <v>23737</v>
      </c>
      <c r="X61" s="14">
        <v>24921</v>
      </c>
      <c r="Y61" s="14">
        <v>26060</v>
      </c>
      <c r="Z61" s="14">
        <v>29925</v>
      </c>
      <c r="AA61" s="14"/>
      <c r="AB61" s="14"/>
    </row>
    <row r="62" spans="1:30">
      <c r="A62" s="45" t="s">
        <v>375</v>
      </c>
      <c r="B62" s="45" t="s">
        <v>376</v>
      </c>
      <c r="C62" s="45" t="s">
        <v>498</v>
      </c>
      <c r="D62" s="45" t="s">
        <v>491</v>
      </c>
      <c r="E62" s="45" t="s">
        <v>499</v>
      </c>
      <c r="F62" s="45" t="s">
        <v>500</v>
      </c>
      <c r="G62" s="14">
        <v>18899.400000000001</v>
      </c>
      <c r="H62" s="14">
        <v>17487</v>
      </c>
      <c r="I62" s="14">
        <v>17668.3</v>
      </c>
      <c r="J62" s="14">
        <v>17888.400000000001</v>
      </c>
      <c r="K62" s="14">
        <v>19463.8</v>
      </c>
      <c r="L62" s="14">
        <v>21025.200000000001</v>
      </c>
      <c r="M62" s="14">
        <v>21565.7</v>
      </c>
      <c r="N62" s="14">
        <v>20867.2</v>
      </c>
      <c r="O62" s="14">
        <v>19440</v>
      </c>
      <c r="P62" s="14">
        <v>23092.1</v>
      </c>
      <c r="Q62" s="14">
        <v>23407.8</v>
      </c>
      <c r="R62" s="14">
        <v>23850.2</v>
      </c>
      <c r="S62" s="14">
        <v>22967.7</v>
      </c>
      <c r="T62" s="14">
        <v>23506.2</v>
      </c>
      <c r="U62" s="14">
        <v>21588.7</v>
      </c>
      <c r="V62" s="14">
        <v>22052.3</v>
      </c>
      <c r="W62" s="14">
        <v>23064.6</v>
      </c>
      <c r="X62" s="14">
        <v>24028.3</v>
      </c>
      <c r="Y62" s="14">
        <v>24978.2</v>
      </c>
      <c r="Z62" s="14">
        <v>23368.799999999999</v>
      </c>
      <c r="AA62" s="14"/>
      <c r="AB62" s="14"/>
      <c r="AC62" s="15">
        <f>IFERROR(Z62/G62-1,"")</f>
        <v>0.23648369789517121</v>
      </c>
      <c r="AD62" s="15">
        <f>IFERROR((Z62/G62)^(1/19)-1,"")</f>
        <v>1.123483271561887E-2</v>
      </c>
    </row>
    <row r="63" spans="1:30">
      <c r="A63" s="45" t="s">
        <v>375</v>
      </c>
      <c r="B63" s="45" t="s">
        <v>376</v>
      </c>
      <c r="C63" s="45" t="s">
        <v>498</v>
      </c>
      <c r="D63" s="45" t="s">
        <v>495</v>
      </c>
      <c r="E63" s="45" t="s">
        <v>499</v>
      </c>
      <c r="F63" s="45" t="s">
        <v>500</v>
      </c>
      <c r="G63" s="14">
        <v>1011.2</v>
      </c>
      <c r="H63" s="14">
        <v>800.9</v>
      </c>
      <c r="I63" s="14">
        <v>864.3</v>
      </c>
      <c r="J63" s="14">
        <v>694.1</v>
      </c>
      <c r="K63" s="14">
        <v>741.6</v>
      </c>
      <c r="L63" s="14">
        <v>851.8</v>
      </c>
      <c r="M63" s="14">
        <v>766.3</v>
      </c>
      <c r="N63" s="14">
        <v>818.6</v>
      </c>
      <c r="O63" s="14">
        <v>684</v>
      </c>
      <c r="P63" s="14">
        <v>1394</v>
      </c>
      <c r="Q63" s="14">
        <v>1547.2</v>
      </c>
      <c r="R63" s="14">
        <v>1968.2</v>
      </c>
      <c r="S63" s="14">
        <v>1570.5</v>
      </c>
      <c r="T63" s="14">
        <v>1641.1</v>
      </c>
      <c r="U63" s="14">
        <v>751.7</v>
      </c>
      <c r="V63" s="14">
        <v>675.6</v>
      </c>
      <c r="W63" s="14">
        <v>583.29999999999995</v>
      </c>
      <c r="X63" s="14">
        <v>1191.2</v>
      </c>
      <c r="Y63" s="14">
        <v>2285.5</v>
      </c>
      <c r="Z63" s="14">
        <v>1044.7</v>
      </c>
      <c r="AA63" s="14"/>
      <c r="AB63" s="14"/>
      <c r="AC63" s="15">
        <f>IFERROR(Z63/G63-1,"")</f>
        <v>3.3128955696202445E-2</v>
      </c>
      <c r="AD63" s="15">
        <f>IFERROR((Z63/G63)^(1/19)-1,"")</f>
        <v>1.7168414798311993E-3</v>
      </c>
    </row>
    <row r="64" spans="1:30">
      <c r="A64" s="45" t="s">
        <v>375</v>
      </c>
      <c r="B64" s="45" t="s">
        <v>376</v>
      </c>
      <c r="C64" s="45" t="s">
        <v>498</v>
      </c>
      <c r="D64" s="45" t="s">
        <v>496</v>
      </c>
      <c r="E64" s="45" t="s">
        <v>499</v>
      </c>
      <c r="F64" s="45" t="s">
        <v>500</v>
      </c>
      <c r="G64" s="14">
        <v>3798.3</v>
      </c>
      <c r="H64" s="14">
        <v>3575</v>
      </c>
      <c r="I64" s="14">
        <v>3544.1</v>
      </c>
      <c r="J64" s="14">
        <v>3697.1</v>
      </c>
      <c r="K64" s="14">
        <v>4020</v>
      </c>
      <c r="L64" s="14">
        <v>4084.2</v>
      </c>
      <c r="M64" s="14">
        <v>3525.1</v>
      </c>
      <c r="N64" s="14">
        <v>3696.2</v>
      </c>
      <c r="O64" s="14">
        <v>3549</v>
      </c>
      <c r="P64" s="14">
        <v>4069.5</v>
      </c>
      <c r="Q64" s="14">
        <v>4966.5</v>
      </c>
      <c r="R64" s="14">
        <v>4844.2</v>
      </c>
      <c r="S64" s="14">
        <v>4533</v>
      </c>
      <c r="T64" s="14">
        <v>5062.5</v>
      </c>
      <c r="U64" s="14">
        <v>5163.3</v>
      </c>
      <c r="V64" s="14">
        <v>5201.3</v>
      </c>
      <c r="W64" s="14">
        <v>6226.7</v>
      </c>
      <c r="X64" s="14">
        <v>6755.9</v>
      </c>
      <c r="Y64" s="14">
        <v>6613.3</v>
      </c>
      <c r="Z64" s="14">
        <v>6048</v>
      </c>
      <c r="AA64" s="14"/>
      <c r="AB64" s="14"/>
      <c r="AC64" s="15">
        <f>IFERROR(Z64/G64-1,"")</f>
        <v>0.59229128820788235</v>
      </c>
      <c r="AD64" s="15">
        <f>IFERROR((Z64/G64)^(1/19)-1,"")</f>
        <v>2.4785009996373342E-2</v>
      </c>
    </row>
    <row r="65" spans="1:30">
      <c r="A65" s="45" t="s">
        <v>375</v>
      </c>
      <c r="B65" s="45" t="s">
        <v>376</v>
      </c>
      <c r="C65" s="45" t="s">
        <v>498</v>
      </c>
      <c r="D65" s="45" t="s">
        <v>497</v>
      </c>
      <c r="E65" s="45" t="s">
        <v>499</v>
      </c>
      <c r="F65" s="45" t="s">
        <v>500</v>
      </c>
      <c r="G65" s="14">
        <v>11155.7</v>
      </c>
      <c r="H65" s="14">
        <v>10143.9</v>
      </c>
      <c r="I65" s="14">
        <v>10277.200000000001</v>
      </c>
      <c r="J65" s="14">
        <v>10847.9</v>
      </c>
      <c r="K65" s="14">
        <v>11174.9</v>
      </c>
      <c r="L65" s="14">
        <v>12827.6</v>
      </c>
      <c r="M65" s="14">
        <v>13095.4</v>
      </c>
      <c r="N65" s="14">
        <v>13255.8</v>
      </c>
      <c r="O65" s="14">
        <v>12318</v>
      </c>
      <c r="P65" s="14">
        <v>13849.9</v>
      </c>
      <c r="Q65" s="14">
        <v>13942.6</v>
      </c>
      <c r="R65" s="14">
        <v>14261.3</v>
      </c>
      <c r="S65" s="14">
        <v>14209.2</v>
      </c>
      <c r="T65" s="14">
        <v>14280.2</v>
      </c>
      <c r="U65" s="14">
        <v>13744.6</v>
      </c>
      <c r="V65" s="14">
        <v>14335.4</v>
      </c>
      <c r="W65" s="14">
        <v>13900.5</v>
      </c>
      <c r="X65" s="14">
        <v>14002.3</v>
      </c>
      <c r="Y65" s="14">
        <v>13752.2</v>
      </c>
      <c r="Z65" s="14">
        <v>13969.7</v>
      </c>
      <c r="AA65" s="14"/>
      <c r="AB65" s="14"/>
      <c r="AC65" s="15">
        <f>IFERROR(Z65/G65-1,"")</f>
        <v>0.2522477298600716</v>
      </c>
      <c r="AD65" s="15">
        <f>IFERROR((Z65/G65)^(1/19)-1,"")</f>
        <v>1.1909311498026209E-2</v>
      </c>
    </row>
    <row r="66" spans="1:30">
      <c r="A66" s="45" t="s">
        <v>375</v>
      </c>
      <c r="B66" s="45" t="s">
        <v>376</v>
      </c>
      <c r="C66" s="45" t="s">
        <v>498</v>
      </c>
      <c r="D66" s="45" t="s">
        <v>501</v>
      </c>
      <c r="E66" s="45" t="s">
        <v>499</v>
      </c>
      <c r="F66" s="45" t="s">
        <v>500</v>
      </c>
      <c r="G66" s="14">
        <v>2214.1</v>
      </c>
      <c r="H66" s="14">
        <v>2462.6999999999998</v>
      </c>
      <c r="I66" s="14">
        <v>2445.1</v>
      </c>
      <c r="J66" s="14">
        <v>2030.7</v>
      </c>
      <c r="K66" s="14">
        <v>2517.1999999999998</v>
      </c>
      <c r="L66" s="14">
        <v>1938.3</v>
      </c>
      <c r="M66" s="14">
        <v>2685</v>
      </c>
      <c r="N66" s="14">
        <v>2152.1999999999998</v>
      </c>
      <c r="O66" s="14">
        <v>1721</v>
      </c>
      <c r="P66" s="14">
        <v>2442.8000000000002</v>
      </c>
      <c r="Q66" s="14">
        <v>1559.2</v>
      </c>
      <c r="R66" s="14">
        <v>1545.8</v>
      </c>
      <c r="S66" s="14">
        <v>1485.7</v>
      </c>
      <c r="T66" s="14">
        <v>1303</v>
      </c>
      <c r="U66" s="14">
        <v>1263.0999999999999</v>
      </c>
      <c r="V66" s="14">
        <v>1201.8</v>
      </c>
      <c r="W66" s="14">
        <v>1379.1</v>
      </c>
      <c r="X66" s="14">
        <v>1057.4000000000001</v>
      </c>
      <c r="Y66" s="14">
        <v>1304</v>
      </c>
      <c r="Z66" s="14">
        <v>1247.8</v>
      </c>
      <c r="AA66" s="14"/>
      <c r="AB66" s="14"/>
      <c r="AC66" s="15">
        <f>IFERROR(Z66/G66-1,"")</f>
        <v>-0.43643015220631409</v>
      </c>
      <c r="AD66" s="15">
        <f>IFERROR((Z66/G66)^(1/19)-1,"")</f>
        <v>-2.973137785190072E-2</v>
      </c>
    </row>
    <row r="67" spans="1:30">
      <c r="A67" s="45" t="s">
        <v>143</v>
      </c>
      <c r="B67" s="45" t="s">
        <v>144</v>
      </c>
      <c r="C67" s="45" t="s">
        <v>490</v>
      </c>
      <c r="D67" s="45" t="s">
        <v>491</v>
      </c>
      <c r="E67" s="45" t="s">
        <v>492</v>
      </c>
      <c r="F67" s="45" t="s">
        <v>493</v>
      </c>
      <c r="G67" s="14">
        <v>171393</v>
      </c>
      <c r="H67" s="14">
        <v>162986</v>
      </c>
      <c r="I67" s="14">
        <v>163822</v>
      </c>
      <c r="J67" s="14">
        <v>202480</v>
      </c>
      <c r="K67" s="14">
        <v>254679</v>
      </c>
      <c r="L67" s="14">
        <v>302037</v>
      </c>
      <c r="M67" s="14">
        <v>282054</v>
      </c>
      <c r="N67" s="14">
        <v>205271</v>
      </c>
      <c r="O67" s="14">
        <v>240885</v>
      </c>
      <c r="P67" s="14">
        <v>321498</v>
      </c>
      <c r="Q67" s="14">
        <v>411973</v>
      </c>
      <c r="R67" s="14">
        <v>453270</v>
      </c>
      <c r="S67" s="14">
        <v>641212</v>
      </c>
      <c r="T67" s="14">
        <v>446954</v>
      </c>
      <c r="U67" s="14">
        <v>409747</v>
      </c>
      <c r="V67" s="14">
        <v>413531</v>
      </c>
      <c r="W67" s="14">
        <v>474550</v>
      </c>
      <c r="X67" s="14">
        <v>481461</v>
      </c>
      <c r="Y67" s="14">
        <v>536154</v>
      </c>
      <c r="Z67" s="14">
        <v>616322</v>
      </c>
      <c r="AA67" s="14">
        <v>792176</v>
      </c>
      <c r="AB67" s="14">
        <v>902783</v>
      </c>
    </row>
    <row r="68" spans="1:30">
      <c r="A68" s="45" t="s">
        <v>143</v>
      </c>
      <c r="B68" s="45" t="s">
        <v>144</v>
      </c>
      <c r="C68" s="45" t="s">
        <v>490</v>
      </c>
      <c r="D68" s="45" t="s">
        <v>494</v>
      </c>
      <c r="E68" s="45" t="s">
        <v>492</v>
      </c>
      <c r="F68" s="45" t="s">
        <v>493</v>
      </c>
      <c r="G68" s="14">
        <v>163796</v>
      </c>
      <c r="H68" s="14">
        <v>156592</v>
      </c>
      <c r="I68" s="14">
        <v>156648</v>
      </c>
      <c r="J68" s="14">
        <v>195181</v>
      </c>
      <c r="K68" s="14">
        <v>243379</v>
      </c>
      <c r="L68" s="14">
        <v>284765</v>
      </c>
      <c r="M68" s="14">
        <v>263947</v>
      </c>
      <c r="N68" s="14">
        <v>185276</v>
      </c>
      <c r="O68" s="14">
        <v>221400</v>
      </c>
      <c r="P68" s="14">
        <v>299447</v>
      </c>
      <c r="Q68" s="14">
        <v>385046</v>
      </c>
      <c r="R68" s="14">
        <v>424811</v>
      </c>
      <c r="S68" s="14">
        <v>609180</v>
      </c>
      <c r="T68" s="14">
        <v>415240</v>
      </c>
      <c r="U68" s="14">
        <v>378719</v>
      </c>
      <c r="V68" s="14">
        <v>382356</v>
      </c>
      <c r="W68" s="14">
        <v>443336</v>
      </c>
      <c r="X68" s="14">
        <v>449445</v>
      </c>
      <c r="Y68" s="14">
        <v>501517</v>
      </c>
      <c r="Z68" s="14">
        <v>576422</v>
      </c>
      <c r="AA68" s="14"/>
      <c r="AB68" s="14"/>
    </row>
    <row r="69" spans="1:30">
      <c r="A69" s="45" t="s">
        <v>143</v>
      </c>
      <c r="B69" s="45" t="s">
        <v>144</v>
      </c>
      <c r="C69" s="45" t="s">
        <v>490</v>
      </c>
      <c r="D69" s="45" t="s">
        <v>495</v>
      </c>
      <c r="E69" s="45" t="s">
        <v>492</v>
      </c>
      <c r="F69" s="45" t="s">
        <v>493</v>
      </c>
      <c r="G69" s="14">
        <v>115132</v>
      </c>
      <c r="H69" s="14">
        <v>103979</v>
      </c>
      <c r="I69" s="14">
        <v>94190</v>
      </c>
      <c r="J69" s="14">
        <v>127181</v>
      </c>
      <c r="K69" s="14">
        <v>161920</v>
      </c>
      <c r="L69" s="14">
        <v>196093</v>
      </c>
      <c r="M69" s="14">
        <v>178103</v>
      </c>
      <c r="N69" s="14">
        <v>95365</v>
      </c>
      <c r="O69" s="14">
        <v>120437</v>
      </c>
      <c r="P69" s="14">
        <v>167452</v>
      </c>
      <c r="Q69" s="14">
        <v>227894</v>
      </c>
      <c r="R69" s="14">
        <v>250722</v>
      </c>
      <c r="S69" s="14">
        <v>404518</v>
      </c>
      <c r="T69" s="14">
        <v>229542</v>
      </c>
      <c r="U69" s="14">
        <v>183617</v>
      </c>
      <c r="V69" s="14">
        <v>195099</v>
      </c>
      <c r="W69" s="14">
        <v>244391</v>
      </c>
      <c r="X69" s="14">
        <v>232470</v>
      </c>
      <c r="Y69" s="14">
        <v>272881</v>
      </c>
      <c r="Z69" s="14">
        <v>304515</v>
      </c>
      <c r="AA69" s="14"/>
      <c r="AB69" s="14"/>
    </row>
    <row r="70" spans="1:30">
      <c r="A70" s="45" t="s">
        <v>143</v>
      </c>
      <c r="B70" s="45" t="s">
        <v>144</v>
      </c>
      <c r="C70" s="45" t="s">
        <v>490</v>
      </c>
      <c r="D70" s="45" t="s">
        <v>496</v>
      </c>
      <c r="E70" s="45" t="s">
        <v>492</v>
      </c>
      <c r="F70" s="45" t="s">
        <v>493</v>
      </c>
      <c r="G70" s="14">
        <v>24944</v>
      </c>
      <c r="H70" s="14">
        <v>24688</v>
      </c>
      <c r="I70" s="14">
        <v>29559</v>
      </c>
      <c r="J70" s="14">
        <v>32026</v>
      </c>
      <c r="K70" s="14">
        <v>46173</v>
      </c>
      <c r="L70" s="14">
        <v>47942</v>
      </c>
      <c r="M70" s="14">
        <v>47186</v>
      </c>
      <c r="N70" s="14">
        <v>40008</v>
      </c>
      <c r="O70" s="14">
        <v>48124</v>
      </c>
      <c r="P70" s="14">
        <v>75283</v>
      </c>
      <c r="Q70" s="14">
        <v>89598</v>
      </c>
      <c r="R70" s="14">
        <v>97866</v>
      </c>
      <c r="S70" s="14">
        <v>118012</v>
      </c>
      <c r="T70" s="14">
        <v>95184</v>
      </c>
      <c r="U70" s="14">
        <v>79138</v>
      </c>
      <c r="V70" s="14">
        <v>93235</v>
      </c>
      <c r="W70" s="14">
        <v>102039</v>
      </c>
      <c r="X70" s="14">
        <v>111911</v>
      </c>
      <c r="Y70" s="14">
        <v>110524</v>
      </c>
      <c r="Z70" s="14">
        <v>141516</v>
      </c>
      <c r="AA70" s="14"/>
      <c r="AB70" s="14"/>
    </row>
    <row r="71" spans="1:30">
      <c r="A71" s="45" t="s">
        <v>143</v>
      </c>
      <c r="B71" s="45" t="s">
        <v>144</v>
      </c>
      <c r="C71" s="45" t="s">
        <v>490</v>
      </c>
      <c r="D71" s="45" t="s">
        <v>497</v>
      </c>
      <c r="E71" s="45" t="s">
        <v>492</v>
      </c>
      <c r="F71" s="45" t="s">
        <v>493</v>
      </c>
      <c r="G71" s="14">
        <v>14262</v>
      </c>
      <c r="H71" s="14">
        <v>14866</v>
      </c>
      <c r="I71" s="14">
        <v>16823</v>
      </c>
      <c r="J71" s="14">
        <v>19060</v>
      </c>
      <c r="K71" s="14">
        <v>21994</v>
      </c>
      <c r="L71" s="14">
        <v>27373</v>
      </c>
      <c r="M71" s="14">
        <v>30281</v>
      </c>
      <c r="N71" s="14">
        <v>37791</v>
      </c>
      <c r="O71" s="14">
        <v>41473</v>
      </c>
      <c r="P71" s="14">
        <v>44566</v>
      </c>
      <c r="Q71" s="14">
        <v>54993</v>
      </c>
      <c r="R71" s="14">
        <v>63258</v>
      </c>
      <c r="S71" s="14">
        <v>73058</v>
      </c>
      <c r="T71" s="14">
        <v>76962</v>
      </c>
      <c r="U71" s="14">
        <v>76262</v>
      </c>
      <c r="V71" s="14">
        <v>80248</v>
      </c>
      <c r="W71" s="14">
        <v>79283</v>
      </c>
      <c r="X71" s="14">
        <v>89155</v>
      </c>
      <c r="Y71" s="14">
        <v>95792</v>
      </c>
      <c r="Z71" s="14">
        <v>109153</v>
      </c>
      <c r="AA71" s="14"/>
      <c r="AB71" s="14"/>
    </row>
    <row r="72" spans="1:30">
      <c r="A72" s="45" t="s">
        <v>143</v>
      </c>
      <c r="B72" s="45" t="s">
        <v>144</v>
      </c>
      <c r="C72" s="45" t="s">
        <v>498</v>
      </c>
      <c r="D72" s="45" t="s">
        <v>491</v>
      </c>
      <c r="E72" s="45" t="s">
        <v>499</v>
      </c>
      <c r="F72" s="45" t="s">
        <v>500</v>
      </c>
      <c r="G72" s="14">
        <v>325602.59999999998</v>
      </c>
      <c r="H72" s="14">
        <v>271391.09999999998</v>
      </c>
      <c r="I72" s="14">
        <v>253156.8</v>
      </c>
      <c r="J72" s="14">
        <v>291253.2</v>
      </c>
      <c r="K72" s="14">
        <v>343094.4</v>
      </c>
      <c r="L72" s="14">
        <v>382279.6</v>
      </c>
      <c r="M72" s="14">
        <v>328178.3</v>
      </c>
      <c r="N72" s="14">
        <v>222561.7</v>
      </c>
      <c r="O72" s="14">
        <v>240885</v>
      </c>
      <c r="P72" s="14">
        <v>296807.8</v>
      </c>
      <c r="Q72" s="14">
        <v>352347.1</v>
      </c>
      <c r="R72" s="14">
        <v>360605.3</v>
      </c>
      <c r="S72" s="14">
        <v>473009.5</v>
      </c>
      <c r="T72" s="14">
        <v>306517.5</v>
      </c>
      <c r="U72" s="14">
        <v>259937</v>
      </c>
      <c r="V72" s="14">
        <v>253047.2</v>
      </c>
      <c r="W72" s="14">
        <v>277898.3</v>
      </c>
      <c r="X72" s="14">
        <v>270518.09999999998</v>
      </c>
      <c r="Y72" s="14">
        <v>282935.40000000002</v>
      </c>
      <c r="Z72" s="14">
        <v>287703.59999999998</v>
      </c>
      <c r="AA72" s="14"/>
      <c r="AB72" s="14"/>
      <c r="AC72" s="15">
        <f>IFERROR(Z72/G72-1,"")</f>
        <v>-0.11639649069141345</v>
      </c>
      <c r="AD72" s="15">
        <f>IFERROR((Z72/G72)^(1/19)-1,"")</f>
        <v>-6.4918278027656928E-3</v>
      </c>
    </row>
    <row r="73" spans="1:30">
      <c r="A73" s="45" t="s">
        <v>143</v>
      </c>
      <c r="B73" s="45" t="s">
        <v>144</v>
      </c>
      <c r="C73" s="45" t="s">
        <v>498</v>
      </c>
      <c r="D73" s="45" t="s">
        <v>495</v>
      </c>
      <c r="E73" s="45" t="s">
        <v>499</v>
      </c>
      <c r="F73" s="45" t="s">
        <v>500</v>
      </c>
      <c r="G73" s="14">
        <v>218721.6</v>
      </c>
      <c r="H73" s="14">
        <v>173136.8</v>
      </c>
      <c r="I73" s="14">
        <v>145554.29999999999</v>
      </c>
      <c r="J73" s="14">
        <v>182940.6</v>
      </c>
      <c r="K73" s="14">
        <v>218133.1</v>
      </c>
      <c r="L73" s="14">
        <v>248188.3</v>
      </c>
      <c r="M73" s="14">
        <v>207227.6</v>
      </c>
      <c r="N73" s="14">
        <v>103397.9</v>
      </c>
      <c r="O73" s="14">
        <v>120437</v>
      </c>
      <c r="P73" s="14">
        <v>154592.1</v>
      </c>
      <c r="Q73" s="14">
        <v>194910.3</v>
      </c>
      <c r="R73" s="14">
        <v>199465.4</v>
      </c>
      <c r="S73" s="14">
        <v>298405</v>
      </c>
      <c r="T73" s="14">
        <v>157418.1</v>
      </c>
      <c r="U73" s="14">
        <v>116483.7</v>
      </c>
      <c r="V73" s="14">
        <v>119384.6</v>
      </c>
      <c r="W73" s="14">
        <v>143116.29999999999</v>
      </c>
      <c r="X73" s="14">
        <v>130617.7</v>
      </c>
      <c r="Y73" s="14">
        <v>144002.79999999999</v>
      </c>
      <c r="Z73" s="14">
        <v>142149.79999999999</v>
      </c>
      <c r="AA73" s="14"/>
      <c r="AB73" s="14"/>
      <c r="AC73" s="15">
        <f>IFERROR(Z73/G73-1,"")</f>
        <v>-0.35008796570617629</v>
      </c>
      <c r="AD73" s="15">
        <f>IFERROR((Z73/G73)^(1/19)-1,"")</f>
        <v>-2.2424652516536359E-2</v>
      </c>
    </row>
    <row r="74" spans="1:30">
      <c r="A74" s="45" t="s">
        <v>143</v>
      </c>
      <c r="B74" s="45" t="s">
        <v>144</v>
      </c>
      <c r="C74" s="45" t="s">
        <v>498</v>
      </c>
      <c r="D74" s="45" t="s">
        <v>496</v>
      </c>
      <c r="E74" s="45" t="s">
        <v>499</v>
      </c>
      <c r="F74" s="45" t="s">
        <v>500</v>
      </c>
      <c r="G74" s="14">
        <v>47387.6</v>
      </c>
      <c r="H74" s="14">
        <v>41108.400000000001</v>
      </c>
      <c r="I74" s="14">
        <v>45677.4</v>
      </c>
      <c r="J74" s="14">
        <v>46066.8</v>
      </c>
      <c r="K74" s="14">
        <v>62202.7</v>
      </c>
      <c r="L74" s="14">
        <v>60679</v>
      </c>
      <c r="M74" s="14">
        <v>54902.400000000001</v>
      </c>
      <c r="N74" s="14">
        <v>43378</v>
      </c>
      <c r="O74" s="14">
        <v>48124</v>
      </c>
      <c r="P74" s="14">
        <v>69501.5</v>
      </c>
      <c r="Q74" s="14">
        <v>76630.3</v>
      </c>
      <c r="R74" s="14">
        <v>77858.7</v>
      </c>
      <c r="S74" s="14">
        <v>87055.1</v>
      </c>
      <c r="T74" s="14">
        <v>65276.4</v>
      </c>
      <c r="U74" s="14">
        <v>50203.9</v>
      </c>
      <c r="V74" s="14">
        <v>57052.2</v>
      </c>
      <c r="W74" s="14">
        <v>59754.400000000001</v>
      </c>
      <c r="X74" s="14">
        <v>62879.3</v>
      </c>
      <c r="Y74" s="14">
        <v>58324.9</v>
      </c>
      <c r="Z74" s="14">
        <v>66061.2</v>
      </c>
      <c r="AA74" s="14"/>
      <c r="AB74" s="14"/>
      <c r="AC74" s="15">
        <f>IFERROR(Z74/G74-1,"")</f>
        <v>0.39406089356709351</v>
      </c>
      <c r="AD74" s="15">
        <f>IFERROR((Z74/G74)^(1/19)-1,"")</f>
        <v>1.7639078493243421E-2</v>
      </c>
    </row>
    <row r="75" spans="1:30">
      <c r="A75" s="45" t="s">
        <v>143</v>
      </c>
      <c r="B75" s="45" t="s">
        <v>144</v>
      </c>
      <c r="C75" s="45" t="s">
        <v>498</v>
      </c>
      <c r="D75" s="45" t="s">
        <v>497</v>
      </c>
      <c r="E75" s="45" t="s">
        <v>499</v>
      </c>
      <c r="F75" s="45" t="s">
        <v>500</v>
      </c>
      <c r="G75" s="14">
        <v>27093.8</v>
      </c>
      <c r="H75" s="14">
        <v>24753.1</v>
      </c>
      <c r="I75" s="14">
        <v>25996.9</v>
      </c>
      <c r="J75" s="14">
        <v>27416.2</v>
      </c>
      <c r="K75" s="14">
        <v>29629.8</v>
      </c>
      <c r="L75" s="14">
        <v>34645.300000000003</v>
      </c>
      <c r="M75" s="14">
        <v>35232.6</v>
      </c>
      <c r="N75" s="14">
        <v>40974.300000000003</v>
      </c>
      <c r="O75" s="14">
        <v>41473</v>
      </c>
      <c r="P75" s="14">
        <v>41143.4</v>
      </c>
      <c r="Q75" s="14">
        <v>47033.7</v>
      </c>
      <c r="R75" s="14">
        <v>50325.8</v>
      </c>
      <c r="S75" s="14">
        <v>53893.4</v>
      </c>
      <c r="T75" s="14">
        <v>52779.9</v>
      </c>
      <c r="U75" s="14">
        <v>48379.4</v>
      </c>
      <c r="V75" s="14">
        <v>49105.2</v>
      </c>
      <c r="W75" s="14">
        <v>46428.4</v>
      </c>
      <c r="X75" s="14">
        <v>50093.4</v>
      </c>
      <c r="Y75" s="14">
        <v>50550.7</v>
      </c>
      <c r="Z75" s="14">
        <v>50955.3</v>
      </c>
      <c r="AA75" s="14"/>
      <c r="AB75" s="14"/>
      <c r="AC75" s="15">
        <f>IFERROR(Z75/G75-1,"")</f>
        <v>0.88069964346086582</v>
      </c>
      <c r="AD75" s="15">
        <f>IFERROR((Z75/G75)^(1/19)-1,"")</f>
        <v>3.380318392237025E-2</v>
      </c>
    </row>
    <row r="76" spans="1:30">
      <c r="A76" s="45" t="s">
        <v>143</v>
      </c>
      <c r="B76" s="45" t="s">
        <v>144</v>
      </c>
      <c r="C76" s="45" t="s">
        <v>498</v>
      </c>
      <c r="D76" s="45" t="s">
        <v>501</v>
      </c>
      <c r="E76" s="45" t="s">
        <v>499</v>
      </c>
      <c r="F76" s="45" t="s">
        <v>500</v>
      </c>
      <c r="G76" s="14">
        <v>17967.3</v>
      </c>
      <c r="H76" s="14">
        <v>21745.8</v>
      </c>
      <c r="I76" s="14">
        <v>24843.200000000001</v>
      </c>
      <c r="J76" s="14">
        <v>24329.5</v>
      </c>
      <c r="K76" s="14">
        <v>17905.8</v>
      </c>
      <c r="L76" s="14">
        <v>16906.3</v>
      </c>
      <c r="M76" s="14">
        <v>9747.6</v>
      </c>
      <c r="N76" s="14">
        <v>13131.2</v>
      </c>
      <c r="O76" s="14">
        <v>11366</v>
      </c>
      <c r="P76" s="14">
        <v>11213.2</v>
      </c>
      <c r="Q76" s="14">
        <v>10743</v>
      </c>
      <c r="R76" s="14">
        <v>10314.5</v>
      </c>
      <c r="S76" s="14">
        <v>10026.6</v>
      </c>
      <c r="T76" s="14">
        <v>9293.9</v>
      </c>
      <c r="U76" s="14">
        <v>25186.3</v>
      </c>
      <c r="V76" s="14">
        <v>8427.9</v>
      </c>
      <c r="W76" s="14">
        <v>10320.1</v>
      </c>
      <c r="X76" s="14">
        <v>8938.7999999999993</v>
      </c>
      <c r="Y76" s="14">
        <v>11779.1</v>
      </c>
      <c r="Z76" s="14">
        <v>9913.6</v>
      </c>
      <c r="AA76" s="14"/>
      <c r="AB76" s="14"/>
      <c r="AC76" s="15">
        <f>IFERROR(Z76/G76-1,"")</f>
        <v>-0.44824208423079703</v>
      </c>
      <c r="AD76" s="15">
        <f>IFERROR((Z76/G76)^(1/19)-1,"")</f>
        <v>-3.0812465695424507E-2</v>
      </c>
    </row>
    <row r="77" spans="1:30">
      <c r="A77" s="45" t="s">
        <v>205</v>
      </c>
      <c r="B77" s="45" t="s">
        <v>206</v>
      </c>
      <c r="C77" s="45" t="s">
        <v>490</v>
      </c>
      <c r="D77" s="45" t="s">
        <v>491</v>
      </c>
      <c r="E77" s="45" t="s">
        <v>492</v>
      </c>
      <c r="F77" s="45" t="s">
        <v>493</v>
      </c>
      <c r="G77" s="14">
        <v>31453</v>
      </c>
      <c r="H77" s="14">
        <v>32339</v>
      </c>
      <c r="I77" s="14">
        <v>34171</v>
      </c>
      <c r="J77" s="14">
        <v>38597</v>
      </c>
      <c r="K77" s="14">
        <v>42896</v>
      </c>
      <c r="L77" s="14">
        <v>51751</v>
      </c>
      <c r="M77" s="14">
        <v>55078</v>
      </c>
      <c r="N77" s="14">
        <v>58985</v>
      </c>
      <c r="O77" s="14">
        <v>68549</v>
      </c>
      <c r="P77" s="14">
        <v>80498</v>
      </c>
      <c r="Q77" s="14">
        <v>90284</v>
      </c>
      <c r="R77" s="14">
        <v>100524</v>
      </c>
      <c r="S77" s="14">
        <v>108485</v>
      </c>
      <c r="T77" s="14">
        <v>109781</v>
      </c>
      <c r="U77" s="14">
        <v>120549</v>
      </c>
      <c r="V77" s="14">
        <v>125964</v>
      </c>
      <c r="W77" s="14">
        <v>142729</v>
      </c>
      <c r="X77" s="14">
        <v>165085</v>
      </c>
      <c r="Y77" s="14">
        <v>180235</v>
      </c>
      <c r="Z77" s="14">
        <v>180163</v>
      </c>
      <c r="AA77" s="14">
        <v>214393</v>
      </c>
      <c r="AB77" s="14">
        <v>257919</v>
      </c>
    </row>
    <row r="78" spans="1:30">
      <c r="A78" s="45" t="s">
        <v>205</v>
      </c>
      <c r="B78" s="45" t="s">
        <v>206</v>
      </c>
      <c r="C78" s="45" t="s">
        <v>490</v>
      </c>
      <c r="D78" s="45" t="s">
        <v>494</v>
      </c>
      <c r="E78" s="45" t="s">
        <v>492</v>
      </c>
      <c r="F78" s="45" t="s">
        <v>493</v>
      </c>
      <c r="G78" s="14">
        <v>28740</v>
      </c>
      <c r="H78" s="14">
        <v>29567</v>
      </c>
      <c r="I78" s="14">
        <v>31189</v>
      </c>
      <c r="J78" s="14">
        <v>35603</v>
      </c>
      <c r="K78" s="14">
        <v>39326</v>
      </c>
      <c r="L78" s="14">
        <v>47781</v>
      </c>
      <c r="M78" s="14">
        <v>50862</v>
      </c>
      <c r="N78" s="14">
        <v>54875</v>
      </c>
      <c r="O78" s="14">
        <v>62906</v>
      </c>
      <c r="P78" s="14">
        <v>74431</v>
      </c>
      <c r="Q78" s="14">
        <v>83512</v>
      </c>
      <c r="R78" s="14">
        <v>93067</v>
      </c>
      <c r="S78" s="14">
        <v>100698</v>
      </c>
      <c r="T78" s="14">
        <v>101816</v>
      </c>
      <c r="U78" s="14">
        <v>112084</v>
      </c>
      <c r="V78" s="14">
        <v>118242</v>
      </c>
      <c r="W78" s="14">
        <v>132488</v>
      </c>
      <c r="X78" s="14">
        <v>152546</v>
      </c>
      <c r="Y78" s="14">
        <v>164139</v>
      </c>
      <c r="Z78" s="14">
        <v>163136</v>
      </c>
      <c r="AA78" s="14"/>
      <c r="AB78" s="14"/>
    </row>
    <row r="79" spans="1:30">
      <c r="A79" s="45" t="s">
        <v>205</v>
      </c>
      <c r="B79" s="45" t="s">
        <v>206</v>
      </c>
      <c r="C79" s="45" t="s">
        <v>490</v>
      </c>
      <c r="D79" s="45" t="s">
        <v>495</v>
      </c>
      <c r="E79" s="45" t="s">
        <v>492</v>
      </c>
      <c r="F79" s="45" t="s">
        <v>493</v>
      </c>
      <c r="G79" s="14">
        <v>5300</v>
      </c>
      <c r="H79" s="14">
        <v>4455</v>
      </c>
      <c r="I79" s="14">
        <v>4466</v>
      </c>
      <c r="J79" s="14">
        <v>5472</v>
      </c>
      <c r="K79" s="14">
        <v>5667</v>
      </c>
      <c r="L79" s="14">
        <v>8729</v>
      </c>
      <c r="M79" s="14">
        <v>8400</v>
      </c>
      <c r="N79" s="14">
        <v>7288</v>
      </c>
      <c r="O79" s="14">
        <v>10192</v>
      </c>
      <c r="P79" s="14">
        <v>12458</v>
      </c>
      <c r="Q79" s="14">
        <v>12982</v>
      </c>
      <c r="R79" s="14">
        <v>13920</v>
      </c>
      <c r="S79" s="14">
        <v>13271</v>
      </c>
      <c r="T79" s="14">
        <v>8529</v>
      </c>
      <c r="U79" s="14">
        <v>8623</v>
      </c>
      <c r="V79" s="14">
        <v>9387</v>
      </c>
      <c r="W79" s="14">
        <v>7929</v>
      </c>
      <c r="X79" s="14">
        <v>8804</v>
      </c>
      <c r="Y79" s="14">
        <v>8411</v>
      </c>
      <c r="Z79" s="14">
        <v>6847</v>
      </c>
      <c r="AA79" s="14"/>
      <c r="AB79" s="14"/>
    </row>
    <row r="80" spans="1:30">
      <c r="A80" s="45" t="s">
        <v>205</v>
      </c>
      <c r="B80" s="45" t="s">
        <v>206</v>
      </c>
      <c r="C80" s="45" t="s">
        <v>490</v>
      </c>
      <c r="D80" s="45" t="s">
        <v>496</v>
      </c>
      <c r="E80" s="45" t="s">
        <v>492</v>
      </c>
      <c r="F80" s="45" t="s">
        <v>493</v>
      </c>
      <c r="G80" s="14">
        <v>8483</v>
      </c>
      <c r="H80" s="14">
        <v>8678</v>
      </c>
      <c r="I80" s="14">
        <v>9219</v>
      </c>
      <c r="J80" s="14">
        <v>9891</v>
      </c>
      <c r="K80" s="14">
        <v>11051</v>
      </c>
      <c r="L80" s="14">
        <v>13413</v>
      </c>
      <c r="M80" s="14">
        <v>13274</v>
      </c>
      <c r="N80" s="14">
        <v>15375</v>
      </c>
      <c r="O80" s="14">
        <v>17687</v>
      </c>
      <c r="P80" s="14">
        <v>23377</v>
      </c>
      <c r="Q80" s="14">
        <v>28371</v>
      </c>
      <c r="R80" s="14">
        <v>32775</v>
      </c>
      <c r="S80" s="14">
        <v>35103</v>
      </c>
      <c r="T80" s="14">
        <v>38125</v>
      </c>
      <c r="U80" s="14">
        <v>45294</v>
      </c>
      <c r="V80" s="14">
        <v>49376</v>
      </c>
      <c r="W80" s="14">
        <v>59593</v>
      </c>
      <c r="X80" s="14">
        <v>71406</v>
      </c>
      <c r="Y80" s="14">
        <v>80384</v>
      </c>
      <c r="Z80" s="14">
        <v>78364</v>
      </c>
      <c r="AA80" s="14"/>
      <c r="AB80" s="14"/>
    </row>
    <row r="81" spans="1:30">
      <c r="A81" s="45" t="s">
        <v>205</v>
      </c>
      <c r="B81" s="45" t="s">
        <v>206</v>
      </c>
      <c r="C81" s="45" t="s">
        <v>490</v>
      </c>
      <c r="D81" s="45" t="s">
        <v>497</v>
      </c>
      <c r="E81" s="45" t="s">
        <v>492</v>
      </c>
      <c r="F81" s="45" t="s">
        <v>493</v>
      </c>
      <c r="G81" s="14">
        <v>13575</v>
      </c>
      <c r="H81" s="14">
        <v>14375</v>
      </c>
      <c r="I81" s="14">
        <v>15496</v>
      </c>
      <c r="J81" s="14">
        <v>18021</v>
      </c>
      <c r="K81" s="14">
        <v>20360</v>
      </c>
      <c r="L81" s="14">
        <v>23588</v>
      </c>
      <c r="M81" s="14">
        <v>26480</v>
      </c>
      <c r="N81" s="14">
        <v>28740</v>
      </c>
      <c r="O81" s="14">
        <v>32042</v>
      </c>
      <c r="P81" s="14">
        <v>35058</v>
      </c>
      <c r="Q81" s="14">
        <v>39061</v>
      </c>
      <c r="R81" s="14">
        <v>42936</v>
      </c>
      <c r="S81" s="14">
        <v>48703</v>
      </c>
      <c r="T81" s="14">
        <v>51127</v>
      </c>
      <c r="U81" s="14">
        <v>54133</v>
      </c>
      <c r="V81" s="14">
        <v>55196</v>
      </c>
      <c r="W81" s="14">
        <v>60579</v>
      </c>
      <c r="X81" s="14">
        <v>67318</v>
      </c>
      <c r="Y81" s="14">
        <v>69693</v>
      </c>
      <c r="Z81" s="14">
        <v>71611</v>
      </c>
      <c r="AA81" s="14"/>
      <c r="AB81" s="14"/>
    </row>
    <row r="82" spans="1:30">
      <c r="A82" s="45" t="s">
        <v>205</v>
      </c>
      <c r="B82" s="45" t="s">
        <v>206</v>
      </c>
      <c r="C82" s="45" t="s">
        <v>498</v>
      </c>
      <c r="D82" s="45" t="s">
        <v>491</v>
      </c>
      <c r="E82" s="45" t="s">
        <v>499</v>
      </c>
      <c r="F82" s="45" t="s">
        <v>500</v>
      </c>
      <c r="G82" s="14">
        <v>59752.6</v>
      </c>
      <c r="H82" s="14">
        <v>53848.5</v>
      </c>
      <c r="I82" s="14">
        <v>52805.4</v>
      </c>
      <c r="J82" s="14">
        <v>55518.7</v>
      </c>
      <c r="K82" s="14">
        <v>57787.5</v>
      </c>
      <c r="L82" s="14">
        <v>65499.9</v>
      </c>
      <c r="M82" s="14">
        <v>64085.1</v>
      </c>
      <c r="N82" s="14">
        <v>63953.5</v>
      </c>
      <c r="O82" s="14">
        <v>68549</v>
      </c>
      <c r="P82" s="14">
        <v>74316</v>
      </c>
      <c r="Q82" s="14">
        <v>77217</v>
      </c>
      <c r="R82" s="14">
        <v>79973.3</v>
      </c>
      <c r="S82" s="14">
        <v>80027.199999999997</v>
      </c>
      <c r="T82" s="14">
        <v>75286.899999999994</v>
      </c>
      <c r="U82" s="14">
        <v>76474.399999999994</v>
      </c>
      <c r="V82" s="14">
        <v>77079.7</v>
      </c>
      <c r="W82" s="14">
        <v>83582.7</v>
      </c>
      <c r="X82" s="14">
        <v>92756.2</v>
      </c>
      <c r="Y82" s="14">
        <v>95112.3</v>
      </c>
      <c r="Z82" s="14">
        <v>84101.4</v>
      </c>
      <c r="AA82" s="14"/>
      <c r="AB82" s="14"/>
      <c r="AC82" s="15">
        <f>IFERROR(Z82/G82-1,"")</f>
        <v>0.40749356513356738</v>
      </c>
      <c r="AD82" s="15">
        <f>IFERROR((Z82/G82)^(1/19)-1,"")</f>
        <v>1.8152822096366705E-2</v>
      </c>
    </row>
    <row r="83" spans="1:30">
      <c r="A83" s="45" t="s">
        <v>205</v>
      </c>
      <c r="B83" s="45" t="s">
        <v>206</v>
      </c>
      <c r="C83" s="45" t="s">
        <v>498</v>
      </c>
      <c r="D83" s="45" t="s">
        <v>495</v>
      </c>
      <c r="E83" s="45" t="s">
        <v>499</v>
      </c>
      <c r="F83" s="45" t="s">
        <v>500</v>
      </c>
      <c r="G83" s="14">
        <v>10069.200000000001</v>
      </c>
      <c r="H83" s="14">
        <v>7417.8</v>
      </c>
      <c r="I83" s="14">
        <v>6900.7</v>
      </c>
      <c r="J83" s="14">
        <v>7870.8</v>
      </c>
      <c r="K83" s="14">
        <v>7634.6</v>
      </c>
      <c r="L83" s="14">
        <v>11047.6</v>
      </c>
      <c r="M83" s="14">
        <v>9774.2000000000007</v>
      </c>
      <c r="N83" s="14">
        <v>7901.9</v>
      </c>
      <c r="O83" s="14">
        <v>10192</v>
      </c>
      <c r="P83" s="14">
        <v>11501.3</v>
      </c>
      <c r="Q83" s="14">
        <v>11103.1</v>
      </c>
      <c r="R83" s="14">
        <v>11074.3</v>
      </c>
      <c r="S83" s="14">
        <v>9789.7999999999993</v>
      </c>
      <c r="T83" s="14">
        <v>5849.1</v>
      </c>
      <c r="U83" s="14">
        <v>5470.3</v>
      </c>
      <c r="V83" s="14">
        <v>5744.1</v>
      </c>
      <c r="W83" s="14">
        <v>4643.3</v>
      </c>
      <c r="X83" s="14">
        <v>4946.7</v>
      </c>
      <c r="Y83" s="14">
        <v>4438.6000000000004</v>
      </c>
      <c r="Z83" s="14">
        <v>3196.2</v>
      </c>
      <c r="AA83" s="14"/>
      <c r="AB83" s="14"/>
      <c r="AC83" s="15">
        <f>IFERROR(Z83/G83-1,"")</f>
        <v>-0.68257657013466821</v>
      </c>
      <c r="AD83" s="15">
        <f>IFERROR((Z83/G83)^(1/19)-1,"")</f>
        <v>-5.8608066535963843E-2</v>
      </c>
    </row>
    <row r="84" spans="1:30">
      <c r="A84" s="45" t="s">
        <v>205</v>
      </c>
      <c r="B84" s="45" t="s">
        <v>206</v>
      </c>
      <c r="C84" s="45" t="s">
        <v>498</v>
      </c>
      <c r="D84" s="45" t="s">
        <v>496</v>
      </c>
      <c r="E84" s="45" t="s">
        <v>499</v>
      </c>
      <c r="F84" s="45" t="s">
        <v>500</v>
      </c>
      <c r="G84" s="14">
        <v>16114.8</v>
      </c>
      <c r="H84" s="14">
        <v>14450.3</v>
      </c>
      <c r="I84" s="14">
        <v>14246.9</v>
      </c>
      <c r="J84" s="14">
        <v>14228.1</v>
      </c>
      <c r="K84" s="14">
        <v>14888.1</v>
      </c>
      <c r="L84" s="14">
        <v>16977</v>
      </c>
      <c r="M84" s="14">
        <v>15444.8</v>
      </c>
      <c r="N84" s="14">
        <v>16670.099999999999</v>
      </c>
      <c r="O84" s="14">
        <v>17687</v>
      </c>
      <c r="P84" s="14">
        <v>21581.7</v>
      </c>
      <c r="Q84" s="14">
        <v>24264.799999999999</v>
      </c>
      <c r="R84" s="14">
        <v>26074.6</v>
      </c>
      <c r="S84" s="14">
        <v>25894.799999999999</v>
      </c>
      <c r="T84" s="14">
        <v>26145.8</v>
      </c>
      <c r="U84" s="14">
        <v>28733.8</v>
      </c>
      <c r="V84" s="14">
        <v>30214.1</v>
      </c>
      <c r="W84" s="14">
        <v>34897.9</v>
      </c>
      <c r="X84" s="14">
        <v>40120.800000000003</v>
      </c>
      <c r="Y84" s="14">
        <v>42419.7</v>
      </c>
      <c r="Z84" s="14">
        <v>36581.4</v>
      </c>
      <c r="AA84" s="14"/>
      <c r="AB84" s="14"/>
      <c r="AC84" s="15">
        <f>IFERROR(Z84/G84-1,"")</f>
        <v>1.2700498920247227</v>
      </c>
      <c r="AD84" s="15">
        <f>IFERROR((Z84/G84)^(1/19)-1,"")</f>
        <v>4.4091849136173478E-2</v>
      </c>
    </row>
    <row r="85" spans="1:30">
      <c r="A85" s="45" t="s">
        <v>205</v>
      </c>
      <c r="B85" s="45" t="s">
        <v>206</v>
      </c>
      <c r="C85" s="45" t="s">
        <v>498</v>
      </c>
      <c r="D85" s="45" t="s">
        <v>497</v>
      </c>
      <c r="E85" s="45" t="s">
        <v>499</v>
      </c>
      <c r="F85" s="45" t="s">
        <v>500</v>
      </c>
      <c r="G85" s="14">
        <v>25789.5</v>
      </c>
      <c r="H85" s="14">
        <v>23936.6</v>
      </c>
      <c r="I85" s="14">
        <v>23946.400000000001</v>
      </c>
      <c r="J85" s="14">
        <v>25921.5</v>
      </c>
      <c r="K85" s="14">
        <v>27427.8</v>
      </c>
      <c r="L85" s="14">
        <v>29854.3</v>
      </c>
      <c r="M85" s="14">
        <v>30810.2</v>
      </c>
      <c r="N85" s="14">
        <v>31160.9</v>
      </c>
      <c r="O85" s="14">
        <v>32042</v>
      </c>
      <c r="P85" s="14">
        <v>32365.599999999999</v>
      </c>
      <c r="Q85" s="14">
        <v>33407.599999999999</v>
      </c>
      <c r="R85" s="14">
        <v>34158.300000000003</v>
      </c>
      <c r="S85" s="14">
        <v>35927.199999999997</v>
      </c>
      <c r="T85" s="14">
        <v>35062.5</v>
      </c>
      <c r="U85" s="14">
        <v>34341.1</v>
      </c>
      <c r="V85" s="14">
        <v>33775.4</v>
      </c>
      <c r="W85" s="14">
        <v>35475.300000000003</v>
      </c>
      <c r="X85" s="14">
        <v>37823.9</v>
      </c>
      <c r="Y85" s="14">
        <v>36777.9</v>
      </c>
      <c r="Z85" s="14">
        <v>33429</v>
      </c>
      <c r="AA85" s="14"/>
      <c r="AB85" s="14"/>
      <c r="AC85" s="15">
        <f>IFERROR(Z85/G85-1,"")</f>
        <v>0.2962252079334613</v>
      </c>
      <c r="AD85" s="15">
        <f>IFERROR((Z85/G85)^(1/19)-1,"")</f>
        <v>1.3749261130445278E-2</v>
      </c>
    </row>
    <row r="86" spans="1:30">
      <c r="A86" s="45" t="s">
        <v>205</v>
      </c>
      <c r="B86" s="45" t="s">
        <v>206</v>
      </c>
      <c r="C86" s="45" t="s">
        <v>498</v>
      </c>
      <c r="D86" s="45" t="s">
        <v>501</v>
      </c>
      <c r="E86" s="45" t="s">
        <v>499</v>
      </c>
      <c r="F86" s="45" t="s">
        <v>500</v>
      </c>
      <c r="G86" s="14">
        <v>2625.4</v>
      </c>
      <c r="H86" s="14">
        <v>3428.1</v>
      </c>
      <c r="I86" s="14">
        <v>3103.1</v>
      </c>
      <c r="J86" s="14">
        <v>3192.2</v>
      </c>
      <c r="K86" s="14">
        <v>3028.2</v>
      </c>
      <c r="L86" s="14">
        <v>2595.5</v>
      </c>
      <c r="M86" s="14">
        <v>3150.3</v>
      </c>
      <c r="N86" s="14">
        <v>3763.4</v>
      </c>
      <c r="O86" s="14">
        <v>2985</v>
      </c>
      <c r="P86" s="14">
        <v>3266.3</v>
      </c>
      <c r="Q86" s="14">
        <v>2650.5</v>
      </c>
      <c r="R86" s="14">
        <v>2733.6</v>
      </c>
      <c r="S86" s="14">
        <v>2671.1</v>
      </c>
      <c r="T86" s="14">
        <v>2767.9</v>
      </c>
      <c r="U86" s="14">
        <v>2559.6999999999998</v>
      </c>
      <c r="V86" s="14">
        <v>2620.8000000000002</v>
      </c>
      <c r="W86" s="14">
        <v>2569</v>
      </c>
      <c r="X86" s="14">
        <v>2820</v>
      </c>
      <c r="Y86" s="14">
        <v>2981.6</v>
      </c>
      <c r="Z86" s="14">
        <v>2947.4</v>
      </c>
      <c r="AA86" s="14"/>
      <c r="AB86" s="14"/>
      <c r="AC86" s="15">
        <f>IFERROR(Z86/G86-1,"")</f>
        <v>0.12264797745105516</v>
      </c>
      <c r="AD86" s="15">
        <f>IFERROR((Z86/G86)^(1/19)-1,"")</f>
        <v>6.1075311848850511E-3</v>
      </c>
    </row>
    <row r="87" spans="1:30">
      <c r="A87" s="45" t="s">
        <v>333</v>
      </c>
      <c r="B87" s="45" t="s">
        <v>334</v>
      </c>
      <c r="C87" s="45" t="s">
        <v>490</v>
      </c>
      <c r="D87" s="45" t="s">
        <v>491</v>
      </c>
      <c r="E87" s="45" t="s">
        <v>492</v>
      </c>
      <c r="F87" s="45" t="s">
        <v>493</v>
      </c>
      <c r="G87" s="14">
        <v>11204</v>
      </c>
      <c r="H87" s="14">
        <v>12753</v>
      </c>
      <c r="I87" s="14">
        <v>14815</v>
      </c>
      <c r="J87" s="14">
        <v>16128</v>
      </c>
      <c r="K87" s="14">
        <v>18823</v>
      </c>
      <c r="L87" s="14">
        <v>23058</v>
      </c>
      <c r="M87" s="14">
        <v>28339</v>
      </c>
      <c r="N87" s="14">
        <v>29463</v>
      </c>
      <c r="O87" s="14">
        <v>30376</v>
      </c>
      <c r="P87" s="14">
        <v>34036</v>
      </c>
      <c r="Q87" s="14">
        <v>36984</v>
      </c>
      <c r="R87" s="14">
        <v>40390</v>
      </c>
      <c r="S87" s="14">
        <v>44291</v>
      </c>
      <c r="T87" s="14">
        <v>45917</v>
      </c>
      <c r="U87" s="14">
        <v>49822</v>
      </c>
      <c r="V87" s="14">
        <v>52867</v>
      </c>
      <c r="W87" s="14">
        <v>59047</v>
      </c>
      <c r="X87" s="14">
        <v>60365</v>
      </c>
      <c r="Y87" s="14">
        <v>62319</v>
      </c>
      <c r="Z87" s="14">
        <v>65525</v>
      </c>
      <c r="AA87" s="14">
        <v>70797</v>
      </c>
      <c r="AB87" s="14">
        <v>79464</v>
      </c>
    </row>
    <row r="88" spans="1:30">
      <c r="A88" s="45" t="s">
        <v>333</v>
      </c>
      <c r="B88" s="45" t="s">
        <v>334</v>
      </c>
      <c r="C88" s="45" t="s">
        <v>490</v>
      </c>
      <c r="D88" s="45" t="s">
        <v>494</v>
      </c>
      <c r="E88" s="45" t="s">
        <v>492</v>
      </c>
      <c r="F88" s="45" t="s">
        <v>493</v>
      </c>
      <c r="G88" s="14">
        <v>10853</v>
      </c>
      <c r="H88" s="14">
        <v>12388</v>
      </c>
      <c r="I88" s="14">
        <v>14315</v>
      </c>
      <c r="J88" s="14">
        <v>15496</v>
      </c>
      <c r="K88" s="14">
        <v>17882</v>
      </c>
      <c r="L88" s="14">
        <v>21723</v>
      </c>
      <c r="M88" s="14">
        <v>26038</v>
      </c>
      <c r="N88" s="14">
        <v>27993</v>
      </c>
      <c r="O88" s="14">
        <v>28962</v>
      </c>
      <c r="P88" s="14">
        <v>32456</v>
      </c>
      <c r="Q88" s="14">
        <v>35168</v>
      </c>
      <c r="R88" s="14">
        <v>38371</v>
      </c>
      <c r="S88" s="14">
        <v>42011</v>
      </c>
      <c r="T88" s="14">
        <v>43730</v>
      </c>
      <c r="U88" s="14">
        <v>48194</v>
      </c>
      <c r="V88" s="14">
        <v>51174</v>
      </c>
      <c r="W88" s="14">
        <v>56210</v>
      </c>
      <c r="X88" s="14">
        <v>57761</v>
      </c>
      <c r="Y88" s="14">
        <v>59776</v>
      </c>
      <c r="Z88" s="14">
        <v>62456</v>
      </c>
      <c r="AA88" s="14"/>
      <c r="AB88" s="14"/>
    </row>
    <row r="89" spans="1:30">
      <c r="A89" s="45" t="s">
        <v>333</v>
      </c>
      <c r="B89" s="45" t="s">
        <v>334</v>
      </c>
      <c r="C89" s="45" t="s">
        <v>490</v>
      </c>
      <c r="D89" s="45" t="s">
        <v>495</v>
      </c>
      <c r="E89" s="45" t="s">
        <v>492</v>
      </c>
      <c r="F89" s="45" t="s">
        <v>493</v>
      </c>
      <c r="G89" s="14">
        <v>460</v>
      </c>
      <c r="H89" s="14">
        <v>393</v>
      </c>
      <c r="I89" s="14">
        <v>514</v>
      </c>
      <c r="J89" s="14">
        <v>575</v>
      </c>
      <c r="K89" s="14">
        <v>696</v>
      </c>
      <c r="L89" s="14">
        <v>826</v>
      </c>
      <c r="M89" s="14">
        <v>949</v>
      </c>
      <c r="N89" s="14">
        <v>1041</v>
      </c>
      <c r="O89" s="14">
        <v>1168</v>
      </c>
      <c r="P89" s="14">
        <v>1043</v>
      </c>
      <c r="Q89" s="14">
        <v>1201</v>
      </c>
      <c r="R89" s="14">
        <v>1265</v>
      </c>
      <c r="S89" s="14">
        <v>1566</v>
      </c>
      <c r="T89" s="14">
        <v>2354</v>
      </c>
      <c r="U89" s="14">
        <v>3503</v>
      </c>
      <c r="V89" s="14">
        <v>3695</v>
      </c>
      <c r="W89" s="14">
        <v>4085</v>
      </c>
      <c r="X89" s="14">
        <v>3233</v>
      </c>
      <c r="Y89" s="14">
        <v>2912</v>
      </c>
      <c r="Z89" s="14">
        <v>2870</v>
      </c>
      <c r="AA89" s="14"/>
      <c r="AB89" s="14"/>
    </row>
    <row r="90" spans="1:30">
      <c r="A90" s="45" t="s">
        <v>333</v>
      </c>
      <c r="B90" s="45" t="s">
        <v>334</v>
      </c>
      <c r="C90" s="45" t="s">
        <v>490</v>
      </c>
      <c r="D90" s="45" t="s">
        <v>496</v>
      </c>
      <c r="E90" s="45" t="s">
        <v>492</v>
      </c>
      <c r="F90" s="45" t="s">
        <v>493</v>
      </c>
      <c r="G90" s="14">
        <v>1925</v>
      </c>
      <c r="H90" s="14">
        <v>2456</v>
      </c>
      <c r="I90" s="14">
        <v>2958</v>
      </c>
      <c r="J90" s="14">
        <v>3211</v>
      </c>
      <c r="K90" s="14">
        <v>3805</v>
      </c>
      <c r="L90" s="14">
        <v>4300</v>
      </c>
      <c r="M90" s="14">
        <v>4894</v>
      </c>
      <c r="N90" s="14">
        <v>5413</v>
      </c>
      <c r="O90" s="14">
        <v>5899</v>
      </c>
      <c r="P90" s="14">
        <v>6583</v>
      </c>
      <c r="Q90" s="14">
        <v>8507</v>
      </c>
      <c r="R90" s="14">
        <v>8152</v>
      </c>
      <c r="S90" s="14">
        <v>8768</v>
      </c>
      <c r="T90" s="14">
        <v>9391</v>
      </c>
      <c r="U90" s="14">
        <v>10531</v>
      </c>
      <c r="V90" s="14">
        <v>10955</v>
      </c>
      <c r="W90" s="14">
        <v>14536</v>
      </c>
      <c r="X90" s="14">
        <v>14927</v>
      </c>
      <c r="Y90" s="14">
        <v>14836</v>
      </c>
      <c r="Z90" s="14">
        <v>15339</v>
      </c>
      <c r="AA90" s="14"/>
      <c r="AB90" s="14"/>
    </row>
    <row r="91" spans="1:30">
      <c r="A91" s="45" t="s">
        <v>333</v>
      </c>
      <c r="B91" s="45" t="s">
        <v>334</v>
      </c>
      <c r="C91" s="45" t="s">
        <v>490</v>
      </c>
      <c r="D91" s="45" t="s">
        <v>497</v>
      </c>
      <c r="E91" s="45" t="s">
        <v>492</v>
      </c>
      <c r="F91" s="45" t="s">
        <v>493</v>
      </c>
      <c r="G91" s="14">
        <v>7337</v>
      </c>
      <c r="H91" s="14">
        <v>8002</v>
      </c>
      <c r="I91" s="14">
        <v>8870</v>
      </c>
      <c r="J91" s="14">
        <v>10334</v>
      </c>
      <c r="K91" s="14">
        <v>11510</v>
      </c>
      <c r="L91" s="14">
        <v>15010</v>
      </c>
      <c r="M91" s="14">
        <v>17206</v>
      </c>
      <c r="N91" s="14">
        <v>18747</v>
      </c>
      <c r="O91" s="14">
        <v>20124</v>
      </c>
      <c r="P91" s="14">
        <v>22619</v>
      </c>
      <c r="Q91" s="14">
        <v>23794</v>
      </c>
      <c r="R91" s="14">
        <v>27110</v>
      </c>
      <c r="S91" s="14">
        <v>29176</v>
      </c>
      <c r="T91" s="14">
        <v>30004</v>
      </c>
      <c r="U91" s="14">
        <v>32538</v>
      </c>
      <c r="V91" s="14">
        <v>34540</v>
      </c>
      <c r="W91" s="14">
        <v>34886</v>
      </c>
      <c r="X91" s="14">
        <v>37128</v>
      </c>
      <c r="Y91" s="14">
        <v>39297</v>
      </c>
      <c r="Z91" s="14">
        <v>40751</v>
      </c>
      <c r="AA91" s="14"/>
      <c r="AB91" s="14"/>
    </row>
    <row r="92" spans="1:30">
      <c r="A92" s="45" t="s">
        <v>333</v>
      </c>
      <c r="B92" s="45" t="s">
        <v>334</v>
      </c>
      <c r="C92" s="45" t="s">
        <v>498</v>
      </c>
      <c r="D92" s="45" t="s">
        <v>491</v>
      </c>
      <c r="E92" s="45" t="s">
        <v>499</v>
      </c>
      <c r="F92" s="45" t="s">
        <v>500</v>
      </c>
      <c r="G92" s="14">
        <v>21285.4</v>
      </c>
      <c r="H92" s="14">
        <v>21235.200000000001</v>
      </c>
      <c r="I92" s="14">
        <v>22893.8</v>
      </c>
      <c r="J92" s="14">
        <v>23198.799999999999</v>
      </c>
      <c r="K92" s="14">
        <v>25358</v>
      </c>
      <c r="L92" s="14">
        <v>29183.9</v>
      </c>
      <c r="M92" s="14">
        <v>32973.5</v>
      </c>
      <c r="N92" s="14">
        <v>31944.799999999999</v>
      </c>
      <c r="O92" s="14">
        <v>30376</v>
      </c>
      <c r="P92" s="14">
        <v>31422.1</v>
      </c>
      <c r="Q92" s="14">
        <v>31631.200000000001</v>
      </c>
      <c r="R92" s="14">
        <v>32132.799999999999</v>
      </c>
      <c r="S92" s="14">
        <v>32672.6</v>
      </c>
      <c r="T92" s="14">
        <v>31489.5</v>
      </c>
      <c r="U92" s="14">
        <v>31606.3</v>
      </c>
      <c r="V92" s="14">
        <v>32350.3</v>
      </c>
      <c r="W92" s="14">
        <v>34578.199999999997</v>
      </c>
      <c r="X92" s="14">
        <v>33917.199999999997</v>
      </c>
      <c r="Y92" s="14">
        <v>32886.5</v>
      </c>
      <c r="Z92" s="14">
        <v>30587.5</v>
      </c>
      <c r="AA92" s="14"/>
      <c r="AB92" s="14"/>
      <c r="AC92" s="15">
        <f>IFERROR(Z92/G92-1,"")</f>
        <v>0.43701786200870063</v>
      </c>
      <c r="AD92" s="15">
        <f>IFERROR((Z92/G92)^(1/19)-1,"")</f>
        <v>1.926587067546226E-2</v>
      </c>
    </row>
    <row r="93" spans="1:30">
      <c r="A93" s="45" t="s">
        <v>333</v>
      </c>
      <c r="B93" s="45" t="s">
        <v>334</v>
      </c>
      <c r="C93" s="45" t="s">
        <v>498</v>
      </c>
      <c r="D93" s="45" t="s">
        <v>495</v>
      </c>
      <c r="E93" s="45" t="s">
        <v>499</v>
      </c>
      <c r="F93" s="45" t="s">
        <v>500</v>
      </c>
      <c r="G93" s="14">
        <v>873.7</v>
      </c>
      <c r="H93" s="14">
        <v>654.29999999999995</v>
      </c>
      <c r="I93" s="14">
        <v>794.8</v>
      </c>
      <c r="J93" s="14">
        <v>827.2</v>
      </c>
      <c r="K93" s="14">
        <v>937.2</v>
      </c>
      <c r="L93" s="14">
        <v>1045.7</v>
      </c>
      <c r="M93" s="14">
        <v>1103.7</v>
      </c>
      <c r="N93" s="14">
        <v>1128.7</v>
      </c>
      <c r="O93" s="14">
        <v>1168</v>
      </c>
      <c r="P93" s="14">
        <v>962.9</v>
      </c>
      <c r="Q93" s="14">
        <v>1027.2</v>
      </c>
      <c r="R93" s="14">
        <v>1006.4</v>
      </c>
      <c r="S93" s="14">
        <v>1155.2</v>
      </c>
      <c r="T93" s="14">
        <v>1614.4</v>
      </c>
      <c r="U93" s="14">
        <v>2222.1999999999998</v>
      </c>
      <c r="V93" s="14">
        <v>2261</v>
      </c>
      <c r="W93" s="14">
        <v>2392.1999999999998</v>
      </c>
      <c r="X93" s="14">
        <v>1816.5</v>
      </c>
      <c r="Y93" s="14">
        <v>1536.7</v>
      </c>
      <c r="Z93" s="14">
        <v>1339.7</v>
      </c>
      <c r="AA93" s="14"/>
      <c r="AB93" s="14"/>
      <c r="AC93" s="15">
        <f>IFERROR(Z93/G93-1,"")</f>
        <v>0.53336385487009275</v>
      </c>
      <c r="AD93" s="15">
        <f>IFERROR((Z93/G93)^(1/19)-1,"")</f>
        <v>2.2753092007173015E-2</v>
      </c>
    </row>
    <row r="94" spans="1:30">
      <c r="A94" s="45" t="s">
        <v>333</v>
      </c>
      <c r="B94" s="45" t="s">
        <v>334</v>
      </c>
      <c r="C94" s="45" t="s">
        <v>498</v>
      </c>
      <c r="D94" s="45" t="s">
        <v>496</v>
      </c>
      <c r="E94" s="45" t="s">
        <v>499</v>
      </c>
      <c r="F94" s="45" t="s">
        <v>500</v>
      </c>
      <c r="G94" s="14">
        <v>3657.1</v>
      </c>
      <c r="H94" s="14">
        <v>4089.6</v>
      </c>
      <c r="I94" s="14">
        <v>4571.3</v>
      </c>
      <c r="J94" s="14">
        <v>4619.5</v>
      </c>
      <c r="K94" s="14">
        <v>5126.1000000000004</v>
      </c>
      <c r="L94" s="14">
        <v>5441.9</v>
      </c>
      <c r="M94" s="14">
        <v>5694.4</v>
      </c>
      <c r="N94" s="14">
        <v>5869</v>
      </c>
      <c r="O94" s="14">
        <v>5899</v>
      </c>
      <c r="P94" s="14">
        <v>6077.4</v>
      </c>
      <c r="Q94" s="14">
        <v>7275.8</v>
      </c>
      <c r="R94" s="14">
        <v>6485.4</v>
      </c>
      <c r="S94" s="14">
        <v>6468</v>
      </c>
      <c r="T94" s="14">
        <v>6440.3</v>
      </c>
      <c r="U94" s="14">
        <v>6680.7</v>
      </c>
      <c r="V94" s="14">
        <v>6703.6</v>
      </c>
      <c r="W94" s="14">
        <v>8512.2999999999993</v>
      </c>
      <c r="X94" s="14">
        <v>8387</v>
      </c>
      <c r="Y94" s="14">
        <v>7829.1</v>
      </c>
      <c r="Z94" s="14">
        <v>7160.4</v>
      </c>
      <c r="AA94" s="14"/>
      <c r="AB94" s="14"/>
      <c r="AC94" s="15">
        <f>IFERROR(Z94/G94-1,"")</f>
        <v>0.95794481966585532</v>
      </c>
      <c r="AD94" s="15">
        <f>IFERROR((Z94/G94)^(1/19)-1,"")</f>
        <v>3.5995617664591029E-2</v>
      </c>
    </row>
    <row r="95" spans="1:30">
      <c r="A95" s="45" t="s">
        <v>333</v>
      </c>
      <c r="B95" s="45" t="s">
        <v>334</v>
      </c>
      <c r="C95" s="45" t="s">
        <v>498</v>
      </c>
      <c r="D95" s="45" t="s">
        <v>497</v>
      </c>
      <c r="E95" s="45" t="s">
        <v>499</v>
      </c>
      <c r="F95" s="45" t="s">
        <v>500</v>
      </c>
      <c r="G95" s="14">
        <v>13939.2</v>
      </c>
      <c r="H95" s="14">
        <v>13324.9</v>
      </c>
      <c r="I95" s="14">
        <v>13707.4</v>
      </c>
      <c r="J95" s="14">
        <v>14864.2</v>
      </c>
      <c r="K95" s="14">
        <v>15505.6</v>
      </c>
      <c r="L95" s="14">
        <v>18997.099999999999</v>
      </c>
      <c r="M95" s="14">
        <v>20019.099999999999</v>
      </c>
      <c r="N95" s="14">
        <v>20326.099999999999</v>
      </c>
      <c r="O95" s="14">
        <v>20124</v>
      </c>
      <c r="P95" s="14">
        <v>20881.900000000001</v>
      </c>
      <c r="Q95" s="14">
        <v>20350.2</v>
      </c>
      <c r="R95" s="14">
        <v>21567.7</v>
      </c>
      <c r="S95" s="14">
        <v>21522.6</v>
      </c>
      <c r="T95" s="14">
        <v>20576.5</v>
      </c>
      <c r="U95" s="14">
        <v>20641.599999999999</v>
      </c>
      <c r="V95" s="14">
        <v>21135.7</v>
      </c>
      <c r="W95" s="14">
        <v>20429.400000000001</v>
      </c>
      <c r="X95" s="14">
        <v>20861.099999999999</v>
      </c>
      <c r="Y95" s="14">
        <v>20737.5</v>
      </c>
      <c r="Z95" s="14">
        <v>19023.3</v>
      </c>
      <c r="AA95" s="14"/>
      <c r="AB95" s="14"/>
      <c r="AC95" s="15">
        <f>IFERROR(Z95/G95-1,"")</f>
        <v>0.36473398760330555</v>
      </c>
      <c r="AD95" s="15">
        <f>IFERROR((Z95/G95)^(1/19)-1,"")</f>
        <v>1.6500952360872123E-2</v>
      </c>
    </row>
    <row r="96" spans="1:30">
      <c r="A96" s="45" t="s">
        <v>333</v>
      </c>
      <c r="B96" s="45" t="s">
        <v>334</v>
      </c>
      <c r="C96" s="45" t="s">
        <v>498</v>
      </c>
      <c r="D96" s="45" t="s">
        <v>501</v>
      </c>
      <c r="E96" s="45" t="s">
        <v>499</v>
      </c>
      <c r="F96" s="45" t="s">
        <v>500</v>
      </c>
      <c r="G96" s="14">
        <v>2147.1999999999998</v>
      </c>
      <c r="H96" s="14">
        <v>2559.4</v>
      </c>
      <c r="I96" s="14">
        <v>3048.4</v>
      </c>
      <c r="J96" s="14">
        <v>1979.5</v>
      </c>
      <c r="K96" s="14">
        <v>2521.1</v>
      </c>
      <c r="L96" s="14">
        <v>2009.2</v>
      </c>
      <c r="M96" s="14">
        <v>3479</v>
      </c>
      <c r="N96" s="14">
        <v>3027.2</v>
      </c>
      <c r="O96" s="14">
        <v>1771</v>
      </c>
      <c r="P96" s="14">
        <v>2040.3</v>
      </c>
      <c r="Q96" s="14">
        <v>1424.9</v>
      </c>
      <c r="R96" s="14">
        <v>1467</v>
      </c>
      <c r="S96" s="14">
        <v>1844.9</v>
      </c>
      <c r="T96" s="14">
        <v>1358.6</v>
      </c>
      <c r="U96" s="14">
        <v>1029.5999999999999</v>
      </c>
      <c r="V96" s="14">
        <v>1213.4000000000001</v>
      </c>
      <c r="W96" s="14">
        <v>1583.5</v>
      </c>
      <c r="X96" s="14">
        <v>1389.5</v>
      </c>
      <c r="Y96" s="14">
        <v>1440.7</v>
      </c>
      <c r="Z96" s="14">
        <v>1632.4</v>
      </c>
      <c r="AA96" s="14"/>
      <c r="AB96" s="14"/>
      <c r="AC96" s="15">
        <f>IFERROR(Z96/G96-1,"")</f>
        <v>-0.23975409836065564</v>
      </c>
      <c r="AD96" s="15">
        <f>IFERROR((Z96/G96)^(1/19)-1,"")</f>
        <v>-1.4323447311045512E-2</v>
      </c>
    </row>
    <row r="97" spans="1:30">
      <c r="A97" s="45" t="s">
        <v>137</v>
      </c>
      <c r="B97" s="45" t="s">
        <v>138</v>
      </c>
      <c r="C97" s="45" t="s">
        <v>490</v>
      </c>
      <c r="D97" s="45" t="s">
        <v>491</v>
      </c>
      <c r="E97" s="45" t="s">
        <v>492</v>
      </c>
      <c r="F97" s="45" t="s">
        <v>493</v>
      </c>
      <c r="G97" s="14">
        <v>176901</v>
      </c>
      <c r="H97" s="14">
        <v>176347</v>
      </c>
      <c r="I97" s="14">
        <v>176674</v>
      </c>
      <c r="J97" s="14">
        <v>204705</v>
      </c>
      <c r="K97" s="14">
        <v>212048</v>
      </c>
      <c r="L97" s="14">
        <v>269829</v>
      </c>
      <c r="M97" s="14">
        <v>313932</v>
      </c>
      <c r="N97" s="14">
        <v>309364</v>
      </c>
      <c r="O97" s="14">
        <v>347485</v>
      </c>
      <c r="P97" s="14">
        <v>460079</v>
      </c>
      <c r="Q97" s="14">
        <v>497093</v>
      </c>
      <c r="R97" s="14">
        <v>541188</v>
      </c>
      <c r="S97" s="14">
        <v>527793</v>
      </c>
      <c r="T97" s="14">
        <v>418636</v>
      </c>
      <c r="U97" s="14">
        <v>419171</v>
      </c>
      <c r="V97" s="14">
        <v>471344</v>
      </c>
      <c r="W97" s="14">
        <v>514502</v>
      </c>
      <c r="X97" s="14">
        <v>540241</v>
      </c>
      <c r="Y97" s="14">
        <v>546245</v>
      </c>
      <c r="Z97" s="14">
        <v>709586</v>
      </c>
      <c r="AA97" s="14">
        <v>895178</v>
      </c>
      <c r="AB97" s="14">
        <v>941920</v>
      </c>
    </row>
    <row r="98" spans="1:30">
      <c r="A98" s="45" t="s">
        <v>137</v>
      </c>
      <c r="B98" s="45" t="s">
        <v>138</v>
      </c>
      <c r="C98" s="45" t="s">
        <v>490</v>
      </c>
      <c r="D98" s="45" t="s">
        <v>494</v>
      </c>
      <c r="E98" s="45" t="s">
        <v>492</v>
      </c>
      <c r="F98" s="45" t="s">
        <v>493</v>
      </c>
      <c r="G98" s="14">
        <v>170672</v>
      </c>
      <c r="H98" s="14">
        <v>170160</v>
      </c>
      <c r="I98" s="14">
        <v>169162</v>
      </c>
      <c r="J98" s="14">
        <v>196462</v>
      </c>
      <c r="K98" s="14">
        <v>202055</v>
      </c>
      <c r="L98" s="14">
        <v>254207</v>
      </c>
      <c r="M98" s="14">
        <v>296251</v>
      </c>
      <c r="N98" s="14">
        <v>283380</v>
      </c>
      <c r="O98" s="14">
        <v>330912</v>
      </c>
      <c r="P98" s="14">
        <v>434705</v>
      </c>
      <c r="Q98" s="14">
        <v>473001</v>
      </c>
      <c r="R98" s="14">
        <v>511765</v>
      </c>
      <c r="S98" s="14">
        <v>494230</v>
      </c>
      <c r="T98" s="14">
        <v>387880</v>
      </c>
      <c r="U98" s="14">
        <v>391402</v>
      </c>
      <c r="V98" s="14">
        <v>441402</v>
      </c>
      <c r="W98" s="14">
        <v>477597</v>
      </c>
      <c r="X98" s="14">
        <v>502417</v>
      </c>
      <c r="Y98" s="14">
        <v>507058</v>
      </c>
      <c r="Z98" s="14">
        <v>655419</v>
      </c>
      <c r="AA98" s="14"/>
      <c r="AB98" s="14"/>
    </row>
    <row r="99" spans="1:30">
      <c r="A99" s="45" t="s">
        <v>137</v>
      </c>
      <c r="B99" s="45" t="s">
        <v>138</v>
      </c>
      <c r="C99" s="45" t="s">
        <v>490</v>
      </c>
      <c r="D99" s="45" t="s">
        <v>495</v>
      </c>
      <c r="E99" s="45" t="s">
        <v>492</v>
      </c>
      <c r="F99" s="45" t="s">
        <v>493</v>
      </c>
      <c r="G99" s="14">
        <v>84331</v>
      </c>
      <c r="H99" s="14">
        <v>68279</v>
      </c>
      <c r="I99" s="14">
        <v>62196</v>
      </c>
      <c r="J99" s="14">
        <v>85852</v>
      </c>
      <c r="K99" s="14">
        <v>75962</v>
      </c>
      <c r="L99" s="14">
        <v>109512</v>
      </c>
      <c r="M99" s="14">
        <v>138661</v>
      </c>
      <c r="N99" s="14">
        <v>83860</v>
      </c>
      <c r="O99" s="14">
        <v>134708</v>
      </c>
      <c r="P99" s="14">
        <v>200969</v>
      </c>
      <c r="Q99" s="14">
        <v>219943</v>
      </c>
      <c r="R99" s="14">
        <v>213604</v>
      </c>
      <c r="S99" s="14">
        <v>189108</v>
      </c>
      <c r="T99" s="14">
        <v>92240</v>
      </c>
      <c r="U99" s="14">
        <v>42567</v>
      </c>
      <c r="V99" s="14">
        <v>57729</v>
      </c>
      <c r="W99" s="14">
        <v>82114</v>
      </c>
      <c r="X99" s="14">
        <v>77872</v>
      </c>
      <c r="Y99" s="14">
        <v>64076</v>
      </c>
      <c r="Z99" s="14">
        <v>168019</v>
      </c>
      <c r="AA99" s="14"/>
      <c r="AB99" s="14"/>
    </row>
    <row r="100" spans="1:30">
      <c r="A100" s="45" t="s">
        <v>137</v>
      </c>
      <c r="B100" s="45" t="s">
        <v>138</v>
      </c>
      <c r="C100" s="45" t="s">
        <v>490</v>
      </c>
      <c r="D100" s="45" t="s">
        <v>496</v>
      </c>
      <c r="E100" s="45" t="s">
        <v>492</v>
      </c>
      <c r="F100" s="45" t="s">
        <v>493</v>
      </c>
      <c r="G100" s="14">
        <v>35955</v>
      </c>
      <c r="H100" s="14">
        <v>37181</v>
      </c>
      <c r="I100" s="14">
        <v>41571</v>
      </c>
      <c r="J100" s="14">
        <v>43550</v>
      </c>
      <c r="K100" s="14">
        <v>47282</v>
      </c>
      <c r="L100" s="14">
        <v>57039</v>
      </c>
      <c r="M100" s="14">
        <v>56203</v>
      </c>
      <c r="N100" s="14">
        <v>60583</v>
      </c>
      <c r="O100" s="14">
        <v>76800</v>
      </c>
      <c r="P100" s="14">
        <v>94972</v>
      </c>
      <c r="Q100" s="14">
        <v>123212</v>
      </c>
      <c r="R100" s="14">
        <v>141630</v>
      </c>
      <c r="S100" s="14">
        <v>140757</v>
      </c>
      <c r="T100" s="14">
        <v>126816</v>
      </c>
      <c r="U100" s="14">
        <v>134175</v>
      </c>
      <c r="V100" s="14">
        <v>146828</v>
      </c>
      <c r="W100" s="14">
        <v>172176</v>
      </c>
      <c r="X100" s="14">
        <v>189661</v>
      </c>
      <c r="Y100" s="14">
        <v>192191</v>
      </c>
      <c r="Z100" s="14">
        <v>229538</v>
      </c>
      <c r="AA100" s="14"/>
      <c r="AB100" s="14"/>
    </row>
    <row r="101" spans="1:30">
      <c r="A101" s="45" t="s">
        <v>137</v>
      </c>
      <c r="B101" s="45" t="s">
        <v>138</v>
      </c>
      <c r="C101" s="45" t="s">
        <v>490</v>
      </c>
      <c r="D101" s="45" t="s">
        <v>497</v>
      </c>
      <c r="E101" s="45" t="s">
        <v>492</v>
      </c>
      <c r="F101" s="45" t="s">
        <v>493</v>
      </c>
      <c r="G101" s="14">
        <v>37517</v>
      </c>
      <c r="H101" s="14">
        <v>41730</v>
      </c>
      <c r="I101" s="14">
        <v>46550</v>
      </c>
      <c r="J101" s="14">
        <v>54233</v>
      </c>
      <c r="K101" s="14">
        <v>62330</v>
      </c>
      <c r="L101" s="14">
        <v>69210</v>
      </c>
      <c r="M101" s="14">
        <v>77720</v>
      </c>
      <c r="N101" s="14">
        <v>86637</v>
      </c>
      <c r="O101" s="14">
        <v>95390</v>
      </c>
      <c r="P101" s="14">
        <v>106386</v>
      </c>
      <c r="Q101" s="14">
        <v>112102</v>
      </c>
      <c r="R101" s="14">
        <v>128319</v>
      </c>
      <c r="S101" s="14">
        <v>136492</v>
      </c>
      <c r="T101" s="14">
        <v>142669</v>
      </c>
      <c r="U101" s="14">
        <v>148508</v>
      </c>
      <c r="V101" s="14">
        <v>162325</v>
      </c>
      <c r="W101" s="14">
        <v>169564</v>
      </c>
      <c r="X101" s="14">
        <v>180654</v>
      </c>
      <c r="Y101" s="14">
        <v>189377</v>
      </c>
      <c r="Z101" s="14">
        <v>191888</v>
      </c>
      <c r="AA101" s="14"/>
      <c r="AB101" s="14"/>
    </row>
    <row r="102" spans="1:30">
      <c r="A102" s="45" t="s">
        <v>137</v>
      </c>
      <c r="B102" s="45" t="s">
        <v>138</v>
      </c>
      <c r="C102" s="45" t="s">
        <v>498</v>
      </c>
      <c r="D102" s="45" t="s">
        <v>491</v>
      </c>
      <c r="E102" s="45" t="s">
        <v>499</v>
      </c>
      <c r="F102" s="45" t="s">
        <v>500</v>
      </c>
      <c r="G102" s="14">
        <v>336067.2</v>
      </c>
      <c r="H102" s="14">
        <v>293638.2</v>
      </c>
      <c r="I102" s="14">
        <v>273018.2</v>
      </c>
      <c r="J102" s="14">
        <v>294453.90000000002</v>
      </c>
      <c r="K102" s="14">
        <v>285663.8</v>
      </c>
      <c r="L102" s="14">
        <v>341514.8</v>
      </c>
      <c r="M102" s="14">
        <v>365268.5</v>
      </c>
      <c r="N102" s="14">
        <v>335422.8</v>
      </c>
      <c r="O102" s="14">
        <v>347485</v>
      </c>
      <c r="P102" s="14">
        <v>424746.1</v>
      </c>
      <c r="Q102" s="14">
        <v>425147.5</v>
      </c>
      <c r="R102" s="14">
        <v>430549.7</v>
      </c>
      <c r="S102" s="14">
        <v>389342.5</v>
      </c>
      <c r="T102" s="14">
        <v>287097.3</v>
      </c>
      <c r="U102" s="14">
        <v>265915.40000000002</v>
      </c>
      <c r="V102" s="14">
        <v>288424</v>
      </c>
      <c r="W102" s="14">
        <v>301294.40000000002</v>
      </c>
      <c r="X102" s="14">
        <v>303544.7</v>
      </c>
      <c r="Y102" s="14">
        <v>288260.5</v>
      </c>
      <c r="Z102" s="14">
        <v>331239.90000000002</v>
      </c>
      <c r="AA102" s="14"/>
      <c r="AB102" s="14"/>
      <c r="AC102" s="15">
        <f>IFERROR(Z102/G102-1,"")</f>
        <v>-1.4364091467420792E-2</v>
      </c>
      <c r="AD102" s="15">
        <f>IFERROR((Z102/G102)^(1/19)-1,"")</f>
        <v>-7.6119717897404904E-4</v>
      </c>
    </row>
    <row r="103" spans="1:30">
      <c r="A103" s="45" t="s">
        <v>137</v>
      </c>
      <c r="B103" s="45" t="s">
        <v>138</v>
      </c>
      <c r="C103" s="45" t="s">
        <v>498</v>
      </c>
      <c r="D103" s="45" t="s">
        <v>495</v>
      </c>
      <c r="E103" s="45" t="s">
        <v>499</v>
      </c>
      <c r="F103" s="45" t="s">
        <v>500</v>
      </c>
      <c r="G103" s="14">
        <v>160206.5</v>
      </c>
      <c r="H103" s="14">
        <v>113692.8</v>
      </c>
      <c r="I103" s="14">
        <v>96112.5</v>
      </c>
      <c r="J103" s="14">
        <v>123491.2</v>
      </c>
      <c r="K103" s="14">
        <v>102333.1</v>
      </c>
      <c r="L103" s="14">
        <v>138605.6</v>
      </c>
      <c r="M103" s="14">
        <v>161335.5</v>
      </c>
      <c r="N103" s="14">
        <v>90923.8</v>
      </c>
      <c r="O103" s="14">
        <v>134708</v>
      </c>
      <c r="P103" s="14">
        <v>185535.1</v>
      </c>
      <c r="Q103" s="14">
        <v>188110.1</v>
      </c>
      <c r="R103" s="14">
        <v>169935.6</v>
      </c>
      <c r="S103" s="14">
        <v>139501.20000000001</v>
      </c>
      <c r="T103" s="14">
        <v>63257.5</v>
      </c>
      <c r="U103" s="14">
        <v>27003.8</v>
      </c>
      <c r="V103" s="14">
        <v>35325.4</v>
      </c>
      <c r="W103" s="14">
        <v>48086.3</v>
      </c>
      <c r="X103" s="14">
        <v>43753.9</v>
      </c>
      <c r="Y103" s="14">
        <v>33813.699999999997</v>
      </c>
      <c r="Z103" s="14">
        <v>78432.5</v>
      </c>
      <c r="AA103" s="14"/>
      <c r="AB103" s="14"/>
      <c r="AC103" s="15">
        <f>IFERROR(Z103/G103-1,"")</f>
        <v>-0.51042872792302441</v>
      </c>
      <c r="AD103" s="15">
        <f>IFERROR((Z103/G103)^(1/19)-1,"")</f>
        <v>-3.6893037670588269E-2</v>
      </c>
    </row>
    <row r="104" spans="1:30">
      <c r="A104" s="45" t="s">
        <v>137</v>
      </c>
      <c r="B104" s="45" t="s">
        <v>138</v>
      </c>
      <c r="C104" s="45" t="s">
        <v>498</v>
      </c>
      <c r="D104" s="45" t="s">
        <v>496</v>
      </c>
      <c r="E104" s="45" t="s">
        <v>499</v>
      </c>
      <c r="F104" s="45" t="s">
        <v>500</v>
      </c>
      <c r="G104" s="14">
        <v>68305.100000000006</v>
      </c>
      <c r="H104" s="14">
        <v>61910.7</v>
      </c>
      <c r="I104" s="14">
        <v>64240</v>
      </c>
      <c r="J104" s="14">
        <v>62644.1</v>
      </c>
      <c r="K104" s="14">
        <v>63696.9</v>
      </c>
      <c r="L104" s="14">
        <v>72192.899999999994</v>
      </c>
      <c r="M104" s="14">
        <v>65393.8</v>
      </c>
      <c r="N104" s="14">
        <v>65686.100000000006</v>
      </c>
      <c r="O104" s="14">
        <v>76800</v>
      </c>
      <c r="P104" s="14">
        <v>87678.399999999994</v>
      </c>
      <c r="Q104" s="14">
        <v>105379.2</v>
      </c>
      <c r="R104" s="14">
        <v>112675.7</v>
      </c>
      <c r="S104" s="14">
        <v>103833.7</v>
      </c>
      <c r="T104" s="14">
        <v>86969.4</v>
      </c>
      <c r="U104" s="14">
        <v>85118.5</v>
      </c>
      <c r="V104" s="14">
        <v>89846.7</v>
      </c>
      <c r="W104" s="14">
        <v>100826.9</v>
      </c>
      <c r="X104" s="14">
        <v>106564.7</v>
      </c>
      <c r="Y104" s="14">
        <v>101421.7</v>
      </c>
      <c r="Z104" s="14">
        <v>107150.5</v>
      </c>
      <c r="AA104" s="14"/>
      <c r="AB104" s="14"/>
      <c r="AC104" s="15">
        <f>IFERROR(Z104/G104-1,"")</f>
        <v>0.56870424023974775</v>
      </c>
      <c r="AD104" s="15">
        <f>IFERROR((Z104/G104)^(1/19)-1,"")</f>
        <v>2.3980379710675903E-2</v>
      </c>
    </row>
    <row r="105" spans="1:30">
      <c r="A105" s="45" t="s">
        <v>137</v>
      </c>
      <c r="B105" s="45" t="s">
        <v>138</v>
      </c>
      <c r="C105" s="45" t="s">
        <v>498</v>
      </c>
      <c r="D105" s="45" t="s">
        <v>497</v>
      </c>
      <c r="E105" s="45" t="s">
        <v>499</v>
      </c>
      <c r="F105" s="45" t="s">
        <v>500</v>
      </c>
      <c r="G105" s="14">
        <v>71272</v>
      </c>
      <c r="H105" s="14">
        <v>69485.899999999994</v>
      </c>
      <c r="I105" s="14">
        <v>71934.8</v>
      </c>
      <c r="J105" s="14">
        <v>78010.7</v>
      </c>
      <c r="K105" s="14">
        <v>83968.2</v>
      </c>
      <c r="L105" s="14">
        <v>87596.800000000003</v>
      </c>
      <c r="M105" s="14">
        <v>90430</v>
      </c>
      <c r="N105" s="14">
        <v>93934.7</v>
      </c>
      <c r="O105" s="14">
        <v>95390</v>
      </c>
      <c r="P105" s="14">
        <v>98215.8</v>
      </c>
      <c r="Q105" s="14">
        <v>95877.2</v>
      </c>
      <c r="R105" s="14">
        <v>102086</v>
      </c>
      <c r="S105" s="14">
        <v>100687.5</v>
      </c>
      <c r="T105" s="14">
        <v>97841.3</v>
      </c>
      <c r="U105" s="14">
        <v>94211.1</v>
      </c>
      <c r="V105" s="14">
        <v>99329.600000000006</v>
      </c>
      <c r="W105" s="14">
        <v>99297.3</v>
      </c>
      <c r="X105" s="14">
        <v>101503.9</v>
      </c>
      <c r="Y105" s="14">
        <v>99936.7</v>
      </c>
      <c r="Z105" s="14">
        <v>89576.6</v>
      </c>
      <c r="AA105" s="14"/>
      <c r="AB105" s="14"/>
      <c r="AC105" s="15">
        <f>IFERROR(Z105/G105-1,"")</f>
        <v>0.25682736558536323</v>
      </c>
      <c r="AD105" s="15">
        <f>IFERROR((Z105/G105)^(1/19)-1,"")</f>
        <v>1.2103747850431557E-2</v>
      </c>
    </row>
    <row r="106" spans="1:30">
      <c r="A106" s="45" t="s">
        <v>137</v>
      </c>
      <c r="B106" s="45" t="s">
        <v>138</v>
      </c>
      <c r="C106" s="45" t="s">
        <v>498</v>
      </c>
      <c r="D106" s="45" t="s">
        <v>501</v>
      </c>
      <c r="E106" s="45" t="s">
        <v>499</v>
      </c>
      <c r="F106" s="45" t="s">
        <v>500</v>
      </c>
      <c r="G106" s="14">
        <v>24450.6</v>
      </c>
      <c r="H106" s="14">
        <v>38246.5</v>
      </c>
      <c r="I106" s="14">
        <v>29122.9</v>
      </c>
      <c r="J106" s="14">
        <v>18449.900000000001</v>
      </c>
      <c r="K106" s="14">
        <v>22202.799999999999</v>
      </c>
      <c r="L106" s="14">
        <v>23346.400000000001</v>
      </c>
      <c r="M106" s="14">
        <v>27537.5</v>
      </c>
      <c r="N106" s="14">
        <v>56704.3</v>
      </c>
      <c r="O106" s="14">
        <v>24014</v>
      </c>
      <c r="P106" s="14">
        <v>29892.400000000001</v>
      </c>
      <c r="Q106" s="14">
        <v>15175.9</v>
      </c>
      <c r="R106" s="14">
        <v>22444.5</v>
      </c>
      <c r="S106" s="14">
        <v>20560.599999999999</v>
      </c>
      <c r="T106" s="14">
        <v>17937.599999999999</v>
      </c>
      <c r="U106" s="14">
        <v>41966.400000000001</v>
      </c>
      <c r="V106" s="14">
        <v>45599.5</v>
      </c>
      <c r="W106" s="14">
        <v>31472.1</v>
      </c>
      <c r="X106" s="14">
        <v>30470.2</v>
      </c>
      <c r="Y106" s="14">
        <v>32409</v>
      </c>
      <c r="Z106" s="14">
        <v>30797.599999999999</v>
      </c>
      <c r="AA106" s="14"/>
      <c r="AB106" s="14"/>
      <c r="AC106" s="15">
        <f>IFERROR(Z106/G106-1,"")</f>
        <v>0.2595846318699746</v>
      </c>
      <c r="AD106" s="15">
        <f>IFERROR((Z106/G106)^(1/19)-1,"")</f>
        <v>1.2220488904555626E-2</v>
      </c>
    </row>
    <row r="107" spans="1:30">
      <c r="A107" s="45" t="s">
        <v>125</v>
      </c>
      <c r="B107" s="45" t="s">
        <v>126</v>
      </c>
      <c r="C107" s="45" t="s">
        <v>490</v>
      </c>
      <c r="D107" s="45" t="s">
        <v>491</v>
      </c>
      <c r="E107" s="45" t="s">
        <v>492</v>
      </c>
      <c r="F107" s="45" t="s">
        <v>493</v>
      </c>
      <c r="G107" s="14">
        <v>404845</v>
      </c>
      <c r="H107" s="14">
        <v>408890</v>
      </c>
      <c r="I107" s="14">
        <v>491361</v>
      </c>
      <c r="J107" s="14">
        <v>641524</v>
      </c>
      <c r="K107" s="14">
        <v>708913</v>
      </c>
      <c r="L107" s="14">
        <v>662759</v>
      </c>
      <c r="M107" s="14">
        <v>722029</v>
      </c>
      <c r="N107" s="14">
        <v>527501</v>
      </c>
      <c r="O107" s="14">
        <v>688026</v>
      </c>
      <c r="P107" s="14">
        <v>749985</v>
      </c>
      <c r="Q107" s="14">
        <v>845835</v>
      </c>
      <c r="R107" s="14">
        <v>878478</v>
      </c>
      <c r="S107" s="14">
        <v>819133</v>
      </c>
      <c r="T107" s="14">
        <v>668048</v>
      </c>
      <c r="U107" s="14">
        <v>735957</v>
      </c>
      <c r="V107" s="14">
        <v>562038</v>
      </c>
      <c r="W107" s="14">
        <v>706069</v>
      </c>
      <c r="X107" s="14">
        <v>761984</v>
      </c>
      <c r="Y107" s="14">
        <v>717176</v>
      </c>
      <c r="Z107" s="14">
        <v>935968</v>
      </c>
      <c r="AA107" s="14">
        <v>1218377</v>
      </c>
      <c r="AB107" s="14">
        <v>1089647</v>
      </c>
    </row>
    <row r="108" spans="1:30">
      <c r="A108" s="45" t="s">
        <v>125</v>
      </c>
      <c r="B108" s="45" t="s">
        <v>126</v>
      </c>
      <c r="C108" s="45" t="s">
        <v>490</v>
      </c>
      <c r="D108" s="45" t="s">
        <v>494</v>
      </c>
      <c r="E108" s="45" t="s">
        <v>492</v>
      </c>
      <c r="F108" s="45" t="s">
        <v>493</v>
      </c>
      <c r="G108" s="14">
        <v>394294</v>
      </c>
      <c r="H108" s="14">
        <v>395747</v>
      </c>
      <c r="I108" s="14">
        <v>472741</v>
      </c>
      <c r="J108" s="14">
        <v>621830</v>
      </c>
      <c r="K108" s="14">
        <v>687871</v>
      </c>
      <c r="L108" s="14">
        <v>642032</v>
      </c>
      <c r="M108" s="14">
        <v>697227</v>
      </c>
      <c r="N108" s="14">
        <v>497736</v>
      </c>
      <c r="O108" s="14">
        <v>651379</v>
      </c>
      <c r="P108" s="14">
        <v>706644</v>
      </c>
      <c r="Q108" s="14">
        <v>800837</v>
      </c>
      <c r="R108" s="14">
        <v>830076</v>
      </c>
      <c r="S108" s="14">
        <v>753465</v>
      </c>
      <c r="T108" s="14">
        <v>608336</v>
      </c>
      <c r="U108" s="14">
        <v>643402</v>
      </c>
      <c r="V108" s="14">
        <v>506475</v>
      </c>
      <c r="W108" s="14">
        <v>638689</v>
      </c>
      <c r="X108" s="14">
        <v>698554</v>
      </c>
      <c r="Y108" s="14">
        <v>645771</v>
      </c>
      <c r="Z108" s="14">
        <v>856320</v>
      </c>
      <c r="AA108" s="14"/>
      <c r="AB108" s="14"/>
    </row>
    <row r="109" spans="1:30">
      <c r="A109" s="45" t="s">
        <v>125</v>
      </c>
      <c r="B109" s="45" t="s">
        <v>126</v>
      </c>
      <c r="C109" s="45" t="s">
        <v>490</v>
      </c>
      <c r="D109" s="45" t="s">
        <v>495</v>
      </c>
      <c r="E109" s="45" t="s">
        <v>492</v>
      </c>
      <c r="F109" s="45" t="s">
        <v>493</v>
      </c>
      <c r="G109" s="14">
        <v>278347</v>
      </c>
      <c r="H109" s="14">
        <v>273494</v>
      </c>
      <c r="I109" s="14">
        <v>309197</v>
      </c>
      <c r="J109" s="14">
        <v>439033</v>
      </c>
      <c r="K109" s="14">
        <v>481223</v>
      </c>
      <c r="L109" s="14">
        <v>445345</v>
      </c>
      <c r="M109" s="14">
        <v>502142</v>
      </c>
      <c r="N109" s="14">
        <v>301186</v>
      </c>
      <c r="O109" s="14">
        <v>411991</v>
      </c>
      <c r="P109" s="14">
        <v>451209</v>
      </c>
      <c r="Q109" s="14">
        <v>515472</v>
      </c>
      <c r="R109" s="14">
        <v>505035</v>
      </c>
      <c r="S109" s="14">
        <v>421659</v>
      </c>
      <c r="T109" s="14">
        <v>280083</v>
      </c>
      <c r="U109" s="14">
        <v>277608</v>
      </c>
      <c r="V109" s="14">
        <v>163295</v>
      </c>
      <c r="W109" s="14">
        <v>232257</v>
      </c>
      <c r="X109" s="14">
        <v>271763</v>
      </c>
      <c r="Y109" s="14">
        <v>219138</v>
      </c>
      <c r="Z109" s="14">
        <v>388193</v>
      </c>
      <c r="AA109" s="14"/>
      <c r="AB109" s="14"/>
    </row>
    <row r="110" spans="1:30">
      <c r="A110" s="45" t="s">
        <v>125</v>
      </c>
      <c r="B110" s="45" t="s">
        <v>126</v>
      </c>
      <c r="C110" s="45" t="s">
        <v>490</v>
      </c>
      <c r="D110" s="45" t="s">
        <v>496</v>
      </c>
      <c r="E110" s="45" t="s">
        <v>492</v>
      </c>
      <c r="F110" s="45" t="s">
        <v>493</v>
      </c>
      <c r="G110" s="14">
        <v>82358</v>
      </c>
      <c r="H110" s="14">
        <v>83682</v>
      </c>
      <c r="I110" s="14">
        <v>125109</v>
      </c>
      <c r="J110" s="14">
        <v>133439</v>
      </c>
      <c r="K110" s="14">
        <v>145718</v>
      </c>
      <c r="L110" s="14">
        <v>130406</v>
      </c>
      <c r="M110" s="14">
        <v>125550</v>
      </c>
      <c r="N110" s="14">
        <v>115417</v>
      </c>
      <c r="O110" s="14">
        <v>147243</v>
      </c>
      <c r="P110" s="14">
        <v>157112</v>
      </c>
      <c r="Q110" s="14">
        <v>176330</v>
      </c>
      <c r="R110" s="14">
        <v>200337</v>
      </c>
      <c r="S110" s="14">
        <v>196300</v>
      </c>
      <c r="T110" s="14">
        <v>191407</v>
      </c>
      <c r="U110" s="14">
        <v>224346</v>
      </c>
      <c r="V110" s="14">
        <v>178356</v>
      </c>
      <c r="W110" s="14">
        <v>235383</v>
      </c>
      <c r="X110" s="14">
        <v>241511</v>
      </c>
      <c r="Y110" s="14">
        <v>240568</v>
      </c>
      <c r="Z110" s="14">
        <v>273953</v>
      </c>
      <c r="AA110" s="14"/>
      <c r="AB110" s="14"/>
    </row>
    <row r="111" spans="1:30">
      <c r="A111" s="45" t="s">
        <v>125</v>
      </c>
      <c r="B111" s="45" t="s">
        <v>126</v>
      </c>
      <c r="C111" s="45" t="s">
        <v>490</v>
      </c>
      <c r="D111" s="45" t="s">
        <v>497</v>
      </c>
      <c r="E111" s="45" t="s">
        <v>492</v>
      </c>
      <c r="F111" s="45" t="s">
        <v>493</v>
      </c>
      <c r="G111" s="14">
        <v>31006</v>
      </c>
      <c r="H111" s="14">
        <v>34275</v>
      </c>
      <c r="I111" s="14">
        <v>34192</v>
      </c>
      <c r="J111" s="14">
        <v>45142</v>
      </c>
      <c r="K111" s="14">
        <v>56273</v>
      </c>
      <c r="L111" s="14">
        <v>61780</v>
      </c>
      <c r="M111" s="14">
        <v>64556</v>
      </c>
      <c r="N111" s="14">
        <v>74708</v>
      </c>
      <c r="O111" s="14">
        <v>85219</v>
      </c>
      <c r="P111" s="14">
        <v>91141</v>
      </c>
      <c r="Q111" s="14">
        <v>99280</v>
      </c>
      <c r="R111" s="14">
        <v>114398</v>
      </c>
      <c r="S111" s="14">
        <v>125750</v>
      </c>
      <c r="T111" s="14">
        <v>127818</v>
      </c>
      <c r="U111" s="14">
        <v>131195</v>
      </c>
      <c r="V111" s="14">
        <v>150677</v>
      </c>
      <c r="W111" s="14">
        <v>153403</v>
      </c>
      <c r="X111" s="14">
        <v>166624</v>
      </c>
      <c r="Y111" s="14">
        <v>167600</v>
      </c>
      <c r="Z111" s="14">
        <v>176058</v>
      </c>
      <c r="AA111" s="14"/>
      <c r="AB111" s="14"/>
    </row>
    <row r="112" spans="1:30">
      <c r="A112" s="45" t="s">
        <v>125</v>
      </c>
      <c r="B112" s="45" t="s">
        <v>126</v>
      </c>
      <c r="C112" s="45" t="s">
        <v>498</v>
      </c>
      <c r="D112" s="45" t="s">
        <v>491</v>
      </c>
      <c r="E112" s="45" t="s">
        <v>499</v>
      </c>
      <c r="F112" s="45" t="s">
        <v>500</v>
      </c>
      <c r="G112" s="14">
        <v>769102.8</v>
      </c>
      <c r="H112" s="14">
        <v>680849</v>
      </c>
      <c r="I112" s="14">
        <v>759310</v>
      </c>
      <c r="J112" s="14">
        <v>922785.7</v>
      </c>
      <c r="K112" s="14">
        <v>955024.1</v>
      </c>
      <c r="L112" s="14">
        <v>838834.2</v>
      </c>
      <c r="M112" s="14">
        <v>840101.4</v>
      </c>
      <c r="N112" s="14">
        <v>571934.19999999995</v>
      </c>
      <c r="O112" s="14">
        <v>688026</v>
      </c>
      <c r="P112" s="14">
        <v>692388.1</v>
      </c>
      <c r="Q112" s="14">
        <v>723415.2</v>
      </c>
      <c r="R112" s="14">
        <v>698885.4</v>
      </c>
      <c r="S112" s="14">
        <v>604258.30000000005</v>
      </c>
      <c r="T112" s="14">
        <v>458142</v>
      </c>
      <c r="U112" s="14">
        <v>466879.4</v>
      </c>
      <c r="V112" s="14">
        <v>343921.3</v>
      </c>
      <c r="W112" s="14">
        <v>413476.8</v>
      </c>
      <c r="X112" s="14">
        <v>428135.3</v>
      </c>
      <c r="Y112" s="14">
        <v>378463</v>
      </c>
      <c r="Z112" s="14">
        <v>436916.7</v>
      </c>
      <c r="AA112" s="14"/>
      <c r="AB112" s="14"/>
      <c r="AC112" s="15">
        <f>IFERROR(Z112/G112-1,"")</f>
        <v>-0.43191378317696938</v>
      </c>
      <c r="AD112" s="15">
        <f>IFERROR((Z112/G112)^(1/19)-1,"")</f>
        <v>-2.9323681449025529E-2</v>
      </c>
    </row>
    <row r="113" spans="1:30">
      <c r="A113" s="45" t="s">
        <v>125</v>
      </c>
      <c r="B113" s="45" t="s">
        <v>126</v>
      </c>
      <c r="C113" s="45" t="s">
        <v>498</v>
      </c>
      <c r="D113" s="45" t="s">
        <v>495</v>
      </c>
      <c r="E113" s="45" t="s">
        <v>499</v>
      </c>
      <c r="F113" s="45" t="s">
        <v>500</v>
      </c>
      <c r="G113" s="14">
        <v>528789.4</v>
      </c>
      <c r="H113" s="14">
        <v>455398.3</v>
      </c>
      <c r="I113" s="14">
        <v>477808.7</v>
      </c>
      <c r="J113" s="14">
        <v>631517.30000000005</v>
      </c>
      <c r="K113" s="14">
        <v>648287.19999999995</v>
      </c>
      <c r="L113" s="14">
        <v>563659.80000000005</v>
      </c>
      <c r="M113" s="14">
        <v>584257</v>
      </c>
      <c r="N113" s="14">
        <v>326555.90000000002</v>
      </c>
      <c r="O113" s="14">
        <v>411991</v>
      </c>
      <c r="P113" s="14">
        <v>416557.3</v>
      </c>
      <c r="Q113" s="14">
        <v>440866.5</v>
      </c>
      <c r="R113" s="14">
        <v>401787.6</v>
      </c>
      <c r="S113" s="14">
        <v>311049.5</v>
      </c>
      <c r="T113" s="14">
        <v>192078.7</v>
      </c>
      <c r="U113" s="14">
        <v>176110.1</v>
      </c>
      <c r="V113" s="14">
        <v>99923.199999999997</v>
      </c>
      <c r="W113" s="14">
        <v>136010.6</v>
      </c>
      <c r="X113" s="14">
        <v>152695.20000000001</v>
      </c>
      <c r="Y113" s="14">
        <v>115641.9</v>
      </c>
      <c r="Z113" s="14">
        <v>181211.3</v>
      </c>
      <c r="AA113" s="14"/>
      <c r="AB113" s="14"/>
      <c r="AC113" s="15">
        <f>IFERROR(Z113/G113-1,"")</f>
        <v>-0.65730912911643091</v>
      </c>
      <c r="AD113" s="15">
        <f>IFERROR((Z113/G113)^(1/19)-1,"")</f>
        <v>-5.4805499532553204E-2</v>
      </c>
    </row>
    <row r="114" spans="1:30">
      <c r="A114" s="45" t="s">
        <v>125</v>
      </c>
      <c r="B114" s="45" t="s">
        <v>126</v>
      </c>
      <c r="C114" s="45" t="s">
        <v>498</v>
      </c>
      <c r="D114" s="45" t="s">
        <v>496</v>
      </c>
      <c r="E114" s="45" t="s">
        <v>499</v>
      </c>
      <c r="F114" s="45" t="s">
        <v>500</v>
      </c>
      <c r="G114" s="14">
        <v>156458.79999999999</v>
      </c>
      <c r="H114" s="14">
        <v>139340.20000000001</v>
      </c>
      <c r="I114" s="14">
        <v>193333.5</v>
      </c>
      <c r="J114" s="14">
        <v>191942.1</v>
      </c>
      <c r="K114" s="14">
        <v>196306.2</v>
      </c>
      <c r="L114" s="14">
        <v>165051.1</v>
      </c>
      <c r="M114" s="14">
        <v>146081.5</v>
      </c>
      <c r="N114" s="14">
        <v>125139</v>
      </c>
      <c r="O114" s="14">
        <v>147243</v>
      </c>
      <c r="P114" s="14">
        <v>145046.20000000001</v>
      </c>
      <c r="Q114" s="14">
        <v>150809.29999999999</v>
      </c>
      <c r="R114" s="14">
        <v>159380.9</v>
      </c>
      <c r="S114" s="14">
        <v>144806.6</v>
      </c>
      <c r="T114" s="14">
        <v>131265.4</v>
      </c>
      <c r="U114" s="14">
        <v>142321.5</v>
      </c>
      <c r="V114" s="14">
        <v>109139.3</v>
      </c>
      <c r="W114" s="14">
        <v>137841.20000000001</v>
      </c>
      <c r="X114" s="14">
        <v>135697.60000000001</v>
      </c>
      <c r="Y114" s="14">
        <v>126950.8</v>
      </c>
      <c r="Z114" s="14">
        <v>127883.7</v>
      </c>
      <c r="AA114" s="14"/>
      <c r="AB114" s="14"/>
      <c r="AC114" s="15">
        <f>IFERROR(Z114/G114-1,"")</f>
        <v>-0.18263657908663489</v>
      </c>
      <c r="AD114" s="15">
        <f>IFERROR((Z114/G114)^(1/19)-1,"")</f>
        <v>-1.0558154567013589E-2</v>
      </c>
    </row>
    <row r="115" spans="1:30">
      <c r="A115" s="45" t="s">
        <v>125</v>
      </c>
      <c r="B115" s="45" t="s">
        <v>126</v>
      </c>
      <c r="C115" s="45" t="s">
        <v>498</v>
      </c>
      <c r="D115" s="45" t="s">
        <v>497</v>
      </c>
      <c r="E115" s="45" t="s">
        <v>499</v>
      </c>
      <c r="F115" s="45" t="s">
        <v>500</v>
      </c>
      <c r="G115" s="14">
        <v>58904.2</v>
      </c>
      <c r="H115" s="14">
        <v>57071.5</v>
      </c>
      <c r="I115" s="14">
        <v>52837.9</v>
      </c>
      <c r="J115" s="14">
        <v>64933.9</v>
      </c>
      <c r="K115" s="14">
        <v>75809.399999999994</v>
      </c>
      <c r="L115" s="14">
        <v>78193.2</v>
      </c>
      <c r="M115" s="14">
        <v>75112.2</v>
      </c>
      <c r="N115" s="14">
        <v>81000.899999999994</v>
      </c>
      <c r="O115" s="14">
        <v>85219</v>
      </c>
      <c r="P115" s="14">
        <v>84141.6</v>
      </c>
      <c r="Q115" s="14">
        <v>84911</v>
      </c>
      <c r="R115" s="14">
        <v>91010.9</v>
      </c>
      <c r="S115" s="14">
        <v>92763.3</v>
      </c>
      <c r="T115" s="14">
        <v>87656.6</v>
      </c>
      <c r="U115" s="14">
        <v>83228</v>
      </c>
      <c r="V115" s="14">
        <v>92202</v>
      </c>
      <c r="W115" s="14">
        <v>89833.4</v>
      </c>
      <c r="X115" s="14">
        <v>93620.9</v>
      </c>
      <c r="Y115" s="14">
        <v>88444.7</v>
      </c>
      <c r="Z115" s="14">
        <v>82187.5</v>
      </c>
      <c r="AA115" s="14"/>
      <c r="AB115" s="14"/>
      <c r="AC115" s="15">
        <f>IFERROR(Z115/G115-1,"")</f>
        <v>0.39527402120731625</v>
      </c>
      <c r="AD115" s="15">
        <f>IFERROR((Z115/G115)^(1/19)-1,"")</f>
        <v>1.7685667770600988E-2</v>
      </c>
    </row>
    <row r="116" spans="1:30">
      <c r="A116" s="45" t="s">
        <v>125</v>
      </c>
      <c r="B116" s="45" t="s">
        <v>126</v>
      </c>
      <c r="C116" s="45" t="s">
        <v>498</v>
      </c>
      <c r="D116" s="45" t="s">
        <v>501</v>
      </c>
      <c r="E116" s="45" t="s">
        <v>499</v>
      </c>
      <c r="F116" s="45" t="s">
        <v>500</v>
      </c>
      <c r="G116" s="14">
        <v>4905.8999999999996</v>
      </c>
      <c r="H116" s="14">
        <v>7153.9</v>
      </c>
      <c r="I116" s="14">
        <v>6556.8</v>
      </c>
      <c r="J116" s="14">
        <v>6063.8</v>
      </c>
      <c r="K116" s="14">
        <v>6274.1</v>
      </c>
      <c r="L116" s="14">
        <v>5696.1</v>
      </c>
      <c r="M116" s="14">
        <v>5792.9</v>
      </c>
      <c r="N116" s="14">
        <v>6966.2</v>
      </c>
      <c r="O116" s="14">
        <v>6925</v>
      </c>
      <c r="P116" s="14">
        <v>6630.4</v>
      </c>
      <c r="Q116" s="14">
        <v>8343.1</v>
      </c>
      <c r="R116" s="14">
        <v>8199.1</v>
      </c>
      <c r="S116" s="14">
        <v>7196.8</v>
      </c>
      <c r="T116" s="14">
        <v>6191.3</v>
      </c>
      <c r="U116" s="14">
        <v>6504.3</v>
      </c>
      <c r="V116" s="14">
        <v>8656.2000000000007</v>
      </c>
      <c r="W116" s="14">
        <v>10334.200000000001</v>
      </c>
      <c r="X116" s="14">
        <v>10482.200000000001</v>
      </c>
      <c r="Y116" s="14">
        <v>9744.7000000000007</v>
      </c>
      <c r="Z116" s="14">
        <v>8456.7000000000007</v>
      </c>
      <c r="AA116" s="14"/>
      <c r="AB116" s="14"/>
      <c r="AC116" s="15">
        <f>IFERROR(Z116/G116-1,"")</f>
        <v>0.72378156913104652</v>
      </c>
      <c r="AD116" s="15">
        <f>IFERROR((Z116/G116)^(1/19)-1,"")</f>
        <v>2.9073591511609376E-2</v>
      </c>
    </row>
    <row r="117" spans="1:30">
      <c r="A117" s="45" t="s">
        <v>163</v>
      </c>
      <c r="B117" s="45" t="s">
        <v>164</v>
      </c>
      <c r="C117" s="45" t="s">
        <v>490</v>
      </c>
      <c r="D117" s="45" t="s">
        <v>491</v>
      </c>
      <c r="E117" s="45" t="s">
        <v>492</v>
      </c>
      <c r="F117" s="45" t="s">
        <v>493</v>
      </c>
      <c r="G117" s="14">
        <v>56409</v>
      </c>
      <c r="H117" s="14">
        <v>68668</v>
      </c>
      <c r="I117" s="14">
        <v>71741</v>
      </c>
      <c r="J117" s="14">
        <v>89738</v>
      </c>
      <c r="K117" s="14">
        <v>220129</v>
      </c>
      <c r="L117" s="14">
        <v>258356</v>
      </c>
      <c r="M117" s="14">
        <v>171282</v>
      </c>
      <c r="N117" s="14">
        <v>180382</v>
      </c>
      <c r="O117" s="14">
        <v>257660</v>
      </c>
      <c r="P117" s="14">
        <v>280791</v>
      </c>
      <c r="Q117" s="14">
        <v>295865</v>
      </c>
      <c r="R117" s="14">
        <v>209709</v>
      </c>
      <c r="S117" s="14">
        <v>247013</v>
      </c>
      <c r="T117" s="14">
        <v>275387</v>
      </c>
      <c r="U117" s="14">
        <v>293291</v>
      </c>
      <c r="V117" s="14">
        <v>362317</v>
      </c>
      <c r="W117" s="14">
        <v>448432</v>
      </c>
      <c r="X117" s="14">
        <v>378419</v>
      </c>
      <c r="Y117" s="14">
        <v>421517</v>
      </c>
      <c r="Z117" s="14">
        <v>386631</v>
      </c>
      <c r="AA117" s="14">
        <v>440358</v>
      </c>
      <c r="AB117" s="14">
        <v>471284</v>
      </c>
    </row>
    <row r="118" spans="1:30">
      <c r="A118" s="45" t="s">
        <v>163</v>
      </c>
      <c r="B118" s="45" t="s">
        <v>164</v>
      </c>
      <c r="C118" s="45" t="s">
        <v>490</v>
      </c>
      <c r="D118" s="45" t="s">
        <v>494</v>
      </c>
      <c r="E118" s="45" t="s">
        <v>492</v>
      </c>
      <c r="F118" s="45" t="s">
        <v>493</v>
      </c>
      <c r="G118" s="14">
        <v>48676</v>
      </c>
      <c r="H118" s="14">
        <v>58709</v>
      </c>
      <c r="I118" s="14">
        <v>60722</v>
      </c>
      <c r="J118" s="14">
        <v>72711</v>
      </c>
      <c r="K118" s="14">
        <v>164019</v>
      </c>
      <c r="L118" s="14">
        <v>208465</v>
      </c>
      <c r="M118" s="14">
        <v>138548</v>
      </c>
      <c r="N118" s="14">
        <v>142104</v>
      </c>
      <c r="O118" s="14">
        <v>202585</v>
      </c>
      <c r="P118" s="14">
        <v>227886</v>
      </c>
      <c r="Q118" s="14">
        <v>244503</v>
      </c>
      <c r="R118" s="14">
        <v>173029</v>
      </c>
      <c r="S118" s="14">
        <v>200988</v>
      </c>
      <c r="T118" s="14">
        <v>231403</v>
      </c>
      <c r="U118" s="14">
        <v>249553</v>
      </c>
      <c r="V118" s="14">
        <v>322939</v>
      </c>
      <c r="W118" s="14">
        <v>404529</v>
      </c>
      <c r="X118" s="14">
        <v>343500</v>
      </c>
      <c r="Y118" s="14">
        <v>384343</v>
      </c>
      <c r="Z118" s="14">
        <v>344142</v>
      </c>
      <c r="AA118" s="14"/>
      <c r="AB118" s="14"/>
    </row>
    <row r="119" spans="1:30">
      <c r="A119" s="45" t="s">
        <v>163</v>
      </c>
      <c r="B119" s="45" t="s">
        <v>164</v>
      </c>
      <c r="C119" s="45" t="s">
        <v>490</v>
      </c>
      <c r="D119" s="45" t="s">
        <v>495</v>
      </c>
      <c r="E119" s="45" t="s">
        <v>492</v>
      </c>
      <c r="F119" s="45" t="s">
        <v>493</v>
      </c>
      <c r="G119" s="14">
        <v>13455</v>
      </c>
      <c r="H119" s="14">
        <v>16321</v>
      </c>
      <c r="I119" s="14">
        <v>15373</v>
      </c>
      <c r="J119" s="14">
        <v>22688</v>
      </c>
      <c r="K119" s="14">
        <v>85346</v>
      </c>
      <c r="L119" s="14">
        <v>117835</v>
      </c>
      <c r="M119" s="14">
        <v>64212</v>
      </c>
      <c r="N119" s="14">
        <v>53815</v>
      </c>
      <c r="O119" s="14">
        <v>97274</v>
      </c>
      <c r="P119" s="14">
        <v>125216</v>
      </c>
      <c r="Q119" s="14">
        <v>134927</v>
      </c>
      <c r="R119" s="14">
        <v>52761</v>
      </c>
      <c r="S119" s="14">
        <v>72455</v>
      </c>
      <c r="T119" s="14">
        <v>74239</v>
      </c>
      <c r="U119" s="14">
        <v>68804</v>
      </c>
      <c r="V119" s="14">
        <v>80167</v>
      </c>
      <c r="W119" s="14">
        <v>83844</v>
      </c>
      <c r="X119" s="14">
        <v>78441</v>
      </c>
      <c r="Y119" s="14">
        <v>114359</v>
      </c>
      <c r="Z119" s="14">
        <v>82343</v>
      </c>
      <c r="AA119" s="14"/>
      <c r="AB119" s="14"/>
    </row>
    <row r="120" spans="1:30">
      <c r="A120" s="45" t="s">
        <v>163</v>
      </c>
      <c r="B120" s="45" t="s">
        <v>164</v>
      </c>
      <c r="C120" s="45" t="s">
        <v>490</v>
      </c>
      <c r="D120" s="45" t="s">
        <v>496</v>
      </c>
      <c r="E120" s="45" t="s">
        <v>492</v>
      </c>
      <c r="F120" s="45" t="s">
        <v>493</v>
      </c>
      <c r="G120" s="14">
        <v>9405</v>
      </c>
      <c r="H120" s="14">
        <v>10747</v>
      </c>
      <c r="I120" s="14">
        <v>12811</v>
      </c>
      <c r="J120" s="14">
        <v>14460</v>
      </c>
      <c r="K120" s="14">
        <v>36345</v>
      </c>
      <c r="L120" s="14">
        <v>46292</v>
      </c>
      <c r="M120" s="14">
        <v>26332</v>
      </c>
      <c r="N120" s="14">
        <v>32737</v>
      </c>
      <c r="O120" s="14">
        <v>47523</v>
      </c>
      <c r="P120" s="14">
        <v>38977</v>
      </c>
      <c r="Q120" s="14">
        <v>37818</v>
      </c>
      <c r="R120" s="14">
        <v>33892</v>
      </c>
      <c r="S120" s="14">
        <v>37308</v>
      </c>
      <c r="T120" s="14">
        <v>53259</v>
      </c>
      <c r="U120" s="14">
        <v>67114</v>
      </c>
      <c r="V120" s="14">
        <v>61243</v>
      </c>
      <c r="W120" s="14">
        <v>68877</v>
      </c>
      <c r="X120" s="14">
        <v>69867</v>
      </c>
      <c r="Y120" s="14">
        <v>78240</v>
      </c>
      <c r="Z120" s="14">
        <v>74999</v>
      </c>
      <c r="AA120" s="14"/>
      <c r="AB120" s="14"/>
    </row>
    <row r="121" spans="1:30">
      <c r="A121" s="45" t="s">
        <v>163</v>
      </c>
      <c r="B121" s="45" t="s">
        <v>164</v>
      </c>
      <c r="C121" s="45" t="s">
        <v>490</v>
      </c>
      <c r="D121" s="45" t="s">
        <v>497</v>
      </c>
      <c r="E121" s="45" t="s">
        <v>492</v>
      </c>
      <c r="F121" s="45" t="s">
        <v>493</v>
      </c>
      <c r="G121" s="14">
        <v>15793</v>
      </c>
      <c r="H121" s="14">
        <v>17006</v>
      </c>
      <c r="I121" s="14">
        <v>18631</v>
      </c>
      <c r="J121" s="14">
        <v>22979</v>
      </c>
      <c r="K121" s="14">
        <v>26430</v>
      </c>
      <c r="L121" s="14">
        <v>32160</v>
      </c>
      <c r="M121" s="14">
        <v>34930</v>
      </c>
      <c r="N121" s="14">
        <v>38461</v>
      </c>
      <c r="O121" s="14">
        <v>40936</v>
      </c>
      <c r="P121" s="14">
        <v>44477</v>
      </c>
      <c r="Q121" s="14">
        <v>48983</v>
      </c>
      <c r="R121" s="14">
        <v>59334</v>
      </c>
      <c r="S121" s="14">
        <v>63448</v>
      </c>
      <c r="T121" s="14">
        <v>66975</v>
      </c>
      <c r="U121" s="14">
        <v>69093</v>
      </c>
      <c r="V121" s="14">
        <v>79822</v>
      </c>
      <c r="W121" s="14">
        <v>81017</v>
      </c>
      <c r="X121" s="14">
        <v>84509</v>
      </c>
      <c r="Y121" s="14">
        <v>88850</v>
      </c>
      <c r="Z121" s="14">
        <v>94452</v>
      </c>
      <c r="AA121" s="14"/>
      <c r="AB121" s="14"/>
    </row>
    <row r="122" spans="1:30">
      <c r="A122" s="45" t="s">
        <v>163</v>
      </c>
      <c r="B122" s="45" t="s">
        <v>164</v>
      </c>
      <c r="C122" s="45" t="s">
        <v>498</v>
      </c>
      <c r="D122" s="45" t="s">
        <v>491</v>
      </c>
      <c r="E122" s="45" t="s">
        <v>499</v>
      </c>
      <c r="F122" s="45" t="s">
        <v>500</v>
      </c>
      <c r="G122" s="14">
        <v>107162.6</v>
      </c>
      <c r="H122" s="14">
        <v>114340.8</v>
      </c>
      <c r="I122" s="14">
        <v>110862.9</v>
      </c>
      <c r="J122" s="14">
        <v>129081.4</v>
      </c>
      <c r="K122" s="14">
        <v>296550.5</v>
      </c>
      <c r="L122" s="14">
        <v>326993.09999999998</v>
      </c>
      <c r="M122" s="14">
        <v>199291.4</v>
      </c>
      <c r="N122" s="14">
        <v>195576.2</v>
      </c>
      <c r="O122" s="14">
        <v>257660</v>
      </c>
      <c r="P122" s="14">
        <v>259227</v>
      </c>
      <c r="Q122" s="14">
        <v>253043.7</v>
      </c>
      <c r="R122" s="14">
        <v>166836.9</v>
      </c>
      <c r="S122" s="14">
        <v>182216.6</v>
      </c>
      <c r="T122" s="14">
        <v>188858.2</v>
      </c>
      <c r="U122" s="14">
        <v>186059.1</v>
      </c>
      <c r="V122" s="14">
        <v>221708.4</v>
      </c>
      <c r="W122" s="14">
        <v>262603.5</v>
      </c>
      <c r="X122" s="14">
        <v>212621.9</v>
      </c>
      <c r="Y122" s="14">
        <v>222440</v>
      </c>
      <c r="Z122" s="14">
        <v>180482.2</v>
      </c>
      <c r="AA122" s="14"/>
      <c r="AB122" s="14"/>
      <c r="AC122" s="15">
        <f>IFERROR(Z122/G122-1,"")</f>
        <v>0.68419019322039598</v>
      </c>
      <c r="AD122" s="15">
        <f>IFERROR((Z122/G122)^(1/19)-1,"")</f>
        <v>2.7815878812644135E-2</v>
      </c>
    </row>
    <row r="123" spans="1:30">
      <c r="A123" s="45" t="s">
        <v>163</v>
      </c>
      <c r="B123" s="45" t="s">
        <v>164</v>
      </c>
      <c r="C123" s="45" t="s">
        <v>498</v>
      </c>
      <c r="D123" s="45" t="s">
        <v>495</v>
      </c>
      <c r="E123" s="45" t="s">
        <v>499</v>
      </c>
      <c r="F123" s="45" t="s">
        <v>500</v>
      </c>
      <c r="G123" s="14">
        <v>25561.4</v>
      </c>
      <c r="H123" s="14">
        <v>27177</v>
      </c>
      <c r="I123" s="14">
        <v>23756.7</v>
      </c>
      <c r="J123" s="14">
        <v>32634.9</v>
      </c>
      <c r="K123" s="14">
        <v>114975.5</v>
      </c>
      <c r="L123" s="14">
        <v>149140.29999999999</v>
      </c>
      <c r="M123" s="14">
        <v>74712.100000000006</v>
      </c>
      <c r="N123" s="14">
        <v>58348</v>
      </c>
      <c r="O123" s="14">
        <v>97274</v>
      </c>
      <c r="P123" s="14">
        <v>115599.7</v>
      </c>
      <c r="Q123" s="14">
        <v>115398.7</v>
      </c>
      <c r="R123" s="14">
        <v>41974.7</v>
      </c>
      <c r="S123" s="14">
        <v>53448.6</v>
      </c>
      <c r="T123" s="14">
        <v>50912.5</v>
      </c>
      <c r="U123" s="14">
        <v>43648.2</v>
      </c>
      <c r="V123" s="14">
        <v>49055.6</v>
      </c>
      <c r="W123" s="14">
        <v>49099.4</v>
      </c>
      <c r="X123" s="14">
        <v>44073.599999999999</v>
      </c>
      <c r="Y123" s="14">
        <v>60348.7</v>
      </c>
      <c r="Z123" s="14">
        <v>38438.300000000003</v>
      </c>
      <c r="AA123" s="14"/>
      <c r="AB123" s="14"/>
      <c r="AC123" s="15">
        <f>IFERROR(Z123/G123-1,"")</f>
        <v>0.50376348713294261</v>
      </c>
      <c r="AD123" s="15">
        <f>IFERROR((Z123/G123)^(1/19)-1,"")</f>
        <v>2.1704341243518943E-2</v>
      </c>
    </row>
    <row r="124" spans="1:30">
      <c r="A124" s="45" t="s">
        <v>163</v>
      </c>
      <c r="B124" s="45" t="s">
        <v>164</v>
      </c>
      <c r="C124" s="45" t="s">
        <v>498</v>
      </c>
      <c r="D124" s="45" t="s">
        <v>496</v>
      </c>
      <c r="E124" s="45" t="s">
        <v>499</v>
      </c>
      <c r="F124" s="45" t="s">
        <v>500</v>
      </c>
      <c r="G124" s="14">
        <v>17866.5</v>
      </c>
      <c r="H124" s="14">
        <v>17894.5</v>
      </c>
      <c r="I124" s="14">
        <v>19796.599999999999</v>
      </c>
      <c r="J124" s="14">
        <v>20799.5</v>
      </c>
      <c r="K124" s="14">
        <v>48963.4</v>
      </c>
      <c r="L124" s="14">
        <v>58589.8</v>
      </c>
      <c r="M124" s="14">
        <v>30638.1</v>
      </c>
      <c r="N124" s="14">
        <v>35494.5</v>
      </c>
      <c r="O124" s="14">
        <v>47523</v>
      </c>
      <c r="P124" s="14">
        <v>35983.699999999997</v>
      </c>
      <c r="Q124" s="14">
        <v>32344.5</v>
      </c>
      <c r="R124" s="14">
        <v>26963.3</v>
      </c>
      <c r="S124" s="14">
        <v>27521.4</v>
      </c>
      <c r="T124" s="14">
        <v>36524.6</v>
      </c>
      <c r="U124" s="14">
        <v>42576.1</v>
      </c>
      <c r="V124" s="14">
        <v>37475.699999999997</v>
      </c>
      <c r="W124" s="14">
        <v>40334.6</v>
      </c>
      <c r="X124" s="14">
        <v>39256.1</v>
      </c>
      <c r="Y124" s="14">
        <v>41288.300000000003</v>
      </c>
      <c r="Z124" s="14">
        <v>35010.5</v>
      </c>
      <c r="AA124" s="14"/>
      <c r="AB124" s="14"/>
      <c r="AC124" s="15">
        <f>IFERROR(Z124/G124-1,"")</f>
        <v>0.95956118993647332</v>
      </c>
      <c r="AD124" s="15">
        <f>IFERROR((Z124/G124)^(1/19)-1,"")</f>
        <v>3.6040613772687635E-2</v>
      </c>
    </row>
    <row r="125" spans="1:30">
      <c r="A125" s="45" t="s">
        <v>163</v>
      </c>
      <c r="B125" s="45" t="s">
        <v>164</v>
      </c>
      <c r="C125" s="45" t="s">
        <v>498</v>
      </c>
      <c r="D125" s="45" t="s">
        <v>497</v>
      </c>
      <c r="E125" s="45" t="s">
        <v>499</v>
      </c>
      <c r="F125" s="45" t="s">
        <v>500</v>
      </c>
      <c r="G125" s="14">
        <v>30002.1</v>
      </c>
      <c r="H125" s="14">
        <v>28317.1</v>
      </c>
      <c r="I125" s="14">
        <v>28791.200000000001</v>
      </c>
      <c r="J125" s="14">
        <v>33053.599999999999</v>
      </c>
      <c r="K125" s="14">
        <v>35605.5</v>
      </c>
      <c r="L125" s="14">
        <v>40704.400000000001</v>
      </c>
      <c r="M125" s="14">
        <v>40642.1</v>
      </c>
      <c r="N125" s="14">
        <v>41700.699999999997</v>
      </c>
      <c r="O125" s="14">
        <v>40936</v>
      </c>
      <c r="P125" s="14">
        <v>41061.300000000003</v>
      </c>
      <c r="Q125" s="14">
        <v>41893.599999999999</v>
      </c>
      <c r="R125" s="14">
        <v>47204</v>
      </c>
      <c r="S125" s="14">
        <v>46804.3</v>
      </c>
      <c r="T125" s="14">
        <v>45930.9</v>
      </c>
      <c r="U125" s="14">
        <v>43831.5</v>
      </c>
      <c r="V125" s="14">
        <v>48844.5</v>
      </c>
      <c r="W125" s="14">
        <v>47443.9</v>
      </c>
      <c r="X125" s="14">
        <v>47483</v>
      </c>
      <c r="Y125" s="14">
        <v>46887.3</v>
      </c>
      <c r="Z125" s="14">
        <v>44092.3</v>
      </c>
      <c r="AA125" s="14"/>
      <c r="AB125" s="14"/>
      <c r="AC125" s="15">
        <f>IFERROR(Z125/G125-1,"")</f>
        <v>0.46964045850123837</v>
      </c>
      <c r="AD125" s="15">
        <f>IFERROR((Z125/G125)^(1/19)-1,"")</f>
        <v>2.0470804596557146E-2</v>
      </c>
    </row>
    <row r="126" spans="1:30">
      <c r="A126" s="45" t="s">
        <v>163</v>
      </c>
      <c r="B126" s="45" t="s">
        <v>164</v>
      </c>
      <c r="C126" s="45" t="s">
        <v>498</v>
      </c>
      <c r="D126" s="45" t="s">
        <v>501</v>
      </c>
      <c r="E126" s="45" t="s">
        <v>499</v>
      </c>
      <c r="F126" s="45" t="s">
        <v>500</v>
      </c>
      <c r="G126" s="14">
        <v>19042.400000000001</v>
      </c>
      <c r="H126" s="14">
        <v>24369.5</v>
      </c>
      <c r="I126" s="14">
        <v>21490</v>
      </c>
      <c r="J126" s="14">
        <v>18101.5</v>
      </c>
      <c r="K126" s="14">
        <v>21416.799999999999</v>
      </c>
      <c r="L126" s="14">
        <v>15413.2</v>
      </c>
      <c r="M126" s="14">
        <v>15212.2</v>
      </c>
      <c r="N126" s="14">
        <v>18531.7</v>
      </c>
      <c r="O126" s="14">
        <v>16852</v>
      </c>
      <c r="P126" s="14">
        <v>17739.3</v>
      </c>
      <c r="Q126" s="14">
        <v>19480.400000000001</v>
      </c>
      <c r="R126" s="14">
        <v>21513.599999999999</v>
      </c>
      <c r="S126" s="14">
        <v>20491.3</v>
      </c>
      <c r="T126" s="14">
        <v>25326.3</v>
      </c>
      <c r="U126" s="14">
        <v>28256.7</v>
      </c>
      <c r="V126" s="14">
        <v>62237</v>
      </c>
      <c r="W126" s="14">
        <v>100015.9</v>
      </c>
      <c r="X126" s="14">
        <v>62188.800000000003</v>
      </c>
      <c r="Y126" s="14">
        <v>54298.5</v>
      </c>
      <c r="Z126" s="14">
        <v>43108.3</v>
      </c>
      <c r="AA126" s="14"/>
      <c r="AB126" s="14"/>
      <c r="AC126" s="15">
        <f>IFERROR(Z126/G126-1,"")</f>
        <v>1.2638060328530019</v>
      </c>
      <c r="AD126" s="15">
        <f>IFERROR((Z126/G126)^(1/19)-1,"")</f>
        <v>4.3940503717075474E-2</v>
      </c>
    </row>
    <row r="127" spans="1:30">
      <c r="A127" s="45" t="s">
        <v>283</v>
      </c>
      <c r="B127" s="45" t="s">
        <v>284</v>
      </c>
      <c r="C127" s="45" t="s">
        <v>490</v>
      </c>
      <c r="D127" s="45" t="s">
        <v>491</v>
      </c>
      <c r="E127" s="45" t="s">
        <v>492</v>
      </c>
      <c r="F127" s="45" t="s">
        <v>493</v>
      </c>
      <c r="G127" s="14">
        <v>19237</v>
      </c>
      <c r="H127" s="14">
        <v>21397</v>
      </c>
      <c r="I127" s="14">
        <v>23137</v>
      </c>
      <c r="J127" s="14">
        <v>23917</v>
      </c>
      <c r="K127" s="14">
        <v>27598</v>
      </c>
      <c r="L127" s="14">
        <v>32414</v>
      </c>
      <c r="M127" s="14">
        <v>35143</v>
      </c>
      <c r="N127" s="14">
        <v>38832</v>
      </c>
      <c r="O127" s="14">
        <v>41811</v>
      </c>
      <c r="P127" s="14">
        <v>53587</v>
      </c>
      <c r="Q127" s="14">
        <v>54633</v>
      </c>
      <c r="R127" s="14">
        <v>81174</v>
      </c>
      <c r="S127" s="14">
        <v>104138</v>
      </c>
      <c r="T127" s="14">
        <v>74529</v>
      </c>
      <c r="U127" s="14">
        <v>78044</v>
      </c>
      <c r="V127" s="14">
        <v>83514</v>
      </c>
      <c r="W127" s="14">
        <v>86023</v>
      </c>
      <c r="X127" s="14">
        <v>100029</v>
      </c>
      <c r="Y127" s="14">
        <v>102741</v>
      </c>
      <c r="Z127" s="14">
        <v>105354</v>
      </c>
      <c r="AA127" s="14">
        <v>119802</v>
      </c>
      <c r="AB127" s="14">
        <v>136391</v>
      </c>
    </row>
    <row r="128" spans="1:30">
      <c r="A128" s="45" t="s">
        <v>283</v>
      </c>
      <c r="B128" s="45" t="s">
        <v>284</v>
      </c>
      <c r="C128" s="45" t="s">
        <v>490</v>
      </c>
      <c r="D128" s="45" t="s">
        <v>494</v>
      </c>
      <c r="E128" s="45" t="s">
        <v>492</v>
      </c>
      <c r="F128" s="45" t="s">
        <v>493</v>
      </c>
      <c r="G128" s="14">
        <v>18481</v>
      </c>
      <c r="H128" s="14">
        <v>20753</v>
      </c>
      <c r="I128" s="14">
        <v>22400</v>
      </c>
      <c r="J128" s="14">
        <v>23158</v>
      </c>
      <c r="K128" s="14">
        <v>26199</v>
      </c>
      <c r="L128" s="14">
        <v>30603</v>
      </c>
      <c r="M128" s="14">
        <v>33312</v>
      </c>
      <c r="N128" s="14">
        <v>36951</v>
      </c>
      <c r="O128" s="14">
        <v>39258</v>
      </c>
      <c r="P128" s="14">
        <v>49789</v>
      </c>
      <c r="Q128" s="14">
        <v>50665</v>
      </c>
      <c r="R128" s="14">
        <v>76360</v>
      </c>
      <c r="S128" s="14">
        <v>98662</v>
      </c>
      <c r="T128" s="14">
        <v>68378</v>
      </c>
      <c r="U128" s="14">
        <v>74894</v>
      </c>
      <c r="V128" s="14">
        <v>80701</v>
      </c>
      <c r="W128" s="14">
        <v>82437</v>
      </c>
      <c r="X128" s="14">
        <v>95279</v>
      </c>
      <c r="Y128" s="14">
        <v>97586</v>
      </c>
      <c r="Z128" s="14">
        <v>99870</v>
      </c>
      <c r="AA128" s="14"/>
      <c r="AB128" s="14"/>
    </row>
    <row r="129" spans="1:30">
      <c r="A129" s="45" t="s">
        <v>283</v>
      </c>
      <c r="B129" s="45" t="s">
        <v>284</v>
      </c>
      <c r="C129" s="45" t="s">
        <v>490</v>
      </c>
      <c r="D129" s="45" t="s">
        <v>495</v>
      </c>
      <c r="E129" s="45" t="s">
        <v>492</v>
      </c>
      <c r="F129" s="45" t="s">
        <v>493</v>
      </c>
      <c r="G129" s="14">
        <v>916</v>
      </c>
      <c r="H129" s="14">
        <v>719</v>
      </c>
      <c r="I129" s="14">
        <v>823</v>
      </c>
      <c r="J129" s="14">
        <v>856</v>
      </c>
      <c r="K129" s="14">
        <v>930</v>
      </c>
      <c r="L129" s="14">
        <v>1120</v>
      </c>
      <c r="M129" s="14">
        <v>1559</v>
      </c>
      <c r="N129" s="14">
        <v>1582</v>
      </c>
      <c r="O129" s="14">
        <v>1310</v>
      </c>
      <c r="P129" s="14">
        <v>2124</v>
      </c>
      <c r="Q129" s="14">
        <v>2701</v>
      </c>
      <c r="R129" s="14">
        <v>17050</v>
      </c>
      <c r="S129" s="14">
        <v>27653</v>
      </c>
      <c r="T129" s="14">
        <v>4269</v>
      </c>
      <c r="U129" s="14">
        <v>4750</v>
      </c>
      <c r="V129" s="14">
        <v>5394</v>
      </c>
      <c r="W129" s="14">
        <v>2936</v>
      </c>
      <c r="X129" s="14">
        <v>4409</v>
      </c>
      <c r="Y129" s="14">
        <v>4484</v>
      </c>
      <c r="Z129" s="14">
        <v>3784</v>
      </c>
      <c r="AA129" s="14"/>
      <c r="AB129" s="14"/>
    </row>
    <row r="130" spans="1:30">
      <c r="A130" s="45" t="s">
        <v>283</v>
      </c>
      <c r="B130" s="45" t="s">
        <v>284</v>
      </c>
      <c r="C130" s="45" t="s">
        <v>490</v>
      </c>
      <c r="D130" s="45" t="s">
        <v>496</v>
      </c>
      <c r="E130" s="45" t="s">
        <v>492</v>
      </c>
      <c r="F130" s="45" t="s">
        <v>493</v>
      </c>
      <c r="G130" s="14">
        <v>4725</v>
      </c>
      <c r="H130" s="14">
        <v>4916</v>
      </c>
      <c r="I130" s="14">
        <v>5700</v>
      </c>
      <c r="J130" s="14">
        <v>5855</v>
      </c>
      <c r="K130" s="14">
        <v>6705</v>
      </c>
      <c r="L130" s="14">
        <v>7938</v>
      </c>
      <c r="M130" s="14">
        <v>7744</v>
      </c>
      <c r="N130" s="14">
        <v>8710</v>
      </c>
      <c r="O130" s="14">
        <v>9276</v>
      </c>
      <c r="P130" s="14">
        <v>11961</v>
      </c>
      <c r="Q130" s="14">
        <v>12975</v>
      </c>
      <c r="R130" s="14">
        <v>19641</v>
      </c>
      <c r="S130" s="14">
        <v>28385</v>
      </c>
      <c r="T130" s="14">
        <v>18011</v>
      </c>
      <c r="U130" s="14">
        <v>20887</v>
      </c>
      <c r="V130" s="14">
        <v>22158</v>
      </c>
      <c r="W130" s="14">
        <v>25870</v>
      </c>
      <c r="X130" s="14">
        <v>29690</v>
      </c>
      <c r="Y130" s="14">
        <v>29878</v>
      </c>
      <c r="Z130" s="14">
        <v>30123</v>
      </c>
      <c r="AA130" s="14"/>
      <c r="AB130" s="14"/>
    </row>
    <row r="131" spans="1:30">
      <c r="A131" s="45" t="s">
        <v>283</v>
      </c>
      <c r="B131" s="45" t="s">
        <v>284</v>
      </c>
      <c r="C131" s="45" t="s">
        <v>490</v>
      </c>
      <c r="D131" s="45" t="s">
        <v>497</v>
      </c>
      <c r="E131" s="45" t="s">
        <v>492</v>
      </c>
      <c r="F131" s="45" t="s">
        <v>493</v>
      </c>
      <c r="G131" s="14">
        <v>10207</v>
      </c>
      <c r="H131" s="14">
        <v>11498</v>
      </c>
      <c r="I131" s="14">
        <v>12371</v>
      </c>
      <c r="J131" s="14">
        <v>13683</v>
      </c>
      <c r="K131" s="14">
        <v>15458</v>
      </c>
      <c r="L131" s="14">
        <v>18994</v>
      </c>
      <c r="M131" s="14">
        <v>20892</v>
      </c>
      <c r="N131" s="14">
        <v>22910</v>
      </c>
      <c r="O131" s="14">
        <v>24702</v>
      </c>
      <c r="P131" s="14">
        <v>29504</v>
      </c>
      <c r="Q131" s="14">
        <v>30513</v>
      </c>
      <c r="R131" s="14">
        <v>34302</v>
      </c>
      <c r="S131" s="14">
        <v>37062</v>
      </c>
      <c r="T131" s="14">
        <v>39836</v>
      </c>
      <c r="U131" s="14">
        <v>42682</v>
      </c>
      <c r="V131" s="14">
        <v>46048</v>
      </c>
      <c r="W131" s="14">
        <v>46446</v>
      </c>
      <c r="X131" s="14">
        <v>52042</v>
      </c>
      <c r="Y131" s="14">
        <v>53353</v>
      </c>
      <c r="Z131" s="14">
        <v>55108</v>
      </c>
      <c r="AA131" s="14"/>
      <c r="AB131" s="14"/>
    </row>
    <row r="132" spans="1:30">
      <c r="A132" s="45" t="s">
        <v>283</v>
      </c>
      <c r="B132" s="45" t="s">
        <v>284</v>
      </c>
      <c r="C132" s="45" t="s">
        <v>498</v>
      </c>
      <c r="D132" s="45" t="s">
        <v>491</v>
      </c>
      <c r="E132" s="45" t="s">
        <v>499</v>
      </c>
      <c r="F132" s="45" t="s">
        <v>500</v>
      </c>
      <c r="G132" s="14">
        <v>36545.800000000003</v>
      </c>
      <c r="H132" s="14">
        <v>35628.199999999997</v>
      </c>
      <c r="I132" s="14">
        <v>35753.4</v>
      </c>
      <c r="J132" s="14">
        <v>34402.6</v>
      </c>
      <c r="K132" s="14">
        <v>37178.6</v>
      </c>
      <c r="L132" s="14">
        <v>41025.9</v>
      </c>
      <c r="M132" s="14">
        <v>40890.300000000003</v>
      </c>
      <c r="N132" s="14">
        <v>42103</v>
      </c>
      <c r="O132" s="14">
        <v>41811</v>
      </c>
      <c r="P132" s="14">
        <v>49471.7</v>
      </c>
      <c r="Q132" s="14">
        <v>46725.8</v>
      </c>
      <c r="R132" s="14">
        <v>64579.1</v>
      </c>
      <c r="S132" s="14">
        <v>76820.600000000006</v>
      </c>
      <c r="T132" s="14">
        <v>51111.4</v>
      </c>
      <c r="U132" s="14">
        <v>49509.9</v>
      </c>
      <c r="V132" s="14">
        <v>51103.7</v>
      </c>
      <c r="W132" s="14">
        <v>50375.4</v>
      </c>
      <c r="X132" s="14">
        <v>56203.199999999997</v>
      </c>
      <c r="Y132" s="14">
        <v>54217.8</v>
      </c>
      <c r="Z132" s="14">
        <v>49180</v>
      </c>
      <c r="AA132" s="14"/>
      <c r="AB132" s="14"/>
      <c r="AC132" s="15">
        <f>IFERROR(Z132/G132-1,"")</f>
        <v>0.34570867240558423</v>
      </c>
      <c r="AD132" s="15">
        <f>IFERROR((Z132/G132)^(1/19)-1,"")</f>
        <v>1.5750155380223507E-2</v>
      </c>
    </row>
    <row r="133" spans="1:30">
      <c r="A133" s="45" t="s">
        <v>283</v>
      </c>
      <c r="B133" s="45" t="s">
        <v>284</v>
      </c>
      <c r="C133" s="45" t="s">
        <v>498</v>
      </c>
      <c r="D133" s="45" t="s">
        <v>495</v>
      </c>
      <c r="E133" s="45" t="s">
        <v>499</v>
      </c>
      <c r="F133" s="45" t="s">
        <v>500</v>
      </c>
      <c r="G133" s="14">
        <v>1740.9</v>
      </c>
      <c r="H133" s="14">
        <v>1197</v>
      </c>
      <c r="I133" s="14">
        <v>1271.4000000000001</v>
      </c>
      <c r="J133" s="14">
        <v>1231.8</v>
      </c>
      <c r="K133" s="14">
        <v>1252.2</v>
      </c>
      <c r="L133" s="14">
        <v>1417.2</v>
      </c>
      <c r="M133" s="14">
        <v>1813.6</v>
      </c>
      <c r="N133" s="14">
        <v>1715.3</v>
      </c>
      <c r="O133" s="14">
        <v>1310</v>
      </c>
      <c r="P133" s="14">
        <v>1960.9</v>
      </c>
      <c r="Q133" s="14">
        <v>2310.1</v>
      </c>
      <c r="R133" s="14">
        <v>13564.4</v>
      </c>
      <c r="S133" s="14">
        <v>20399.099999999999</v>
      </c>
      <c r="T133" s="14">
        <v>2927.6</v>
      </c>
      <c r="U133" s="14">
        <v>3013.3</v>
      </c>
      <c r="V133" s="14">
        <v>3300.7</v>
      </c>
      <c r="W133" s="14">
        <v>1719.3</v>
      </c>
      <c r="X133" s="14">
        <v>2477.3000000000002</v>
      </c>
      <c r="Y133" s="14">
        <v>2366.3000000000002</v>
      </c>
      <c r="Z133" s="14">
        <v>1766.4</v>
      </c>
      <c r="AA133" s="14"/>
      <c r="AB133" s="14"/>
      <c r="AC133" s="15">
        <f>IFERROR(Z133/G133-1,"")</f>
        <v>1.4647596070997748E-2</v>
      </c>
      <c r="AD133" s="15">
        <f>IFERROR((Z133/G133)^(1/19)-1,"")</f>
        <v>7.6562748100061917E-4</v>
      </c>
    </row>
    <row r="134" spans="1:30">
      <c r="A134" s="45" t="s">
        <v>283</v>
      </c>
      <c r="B134" s="45" t="s">
        <v>284</v>
      </c>
      <c r="C134" s="45" t="s">
        <v>498</v>
      </c>
      <c r="D134" s="45" t="s">
        <v>496</v>
      </c>
      <c r="E134" s="45" t="s">
        <v>499</v>
      </c>
      <c r="F134" s="45" t="s">
        <v>500</v>
      </c>
      <c r="G134" s="14">
        <v>8976.7000000000007</v>
      </c>
      <c r="H134" s="14">
        <v>8185.6</v>
      </c>
      <c r="I134" s="14">
        <v>8808.5</v>
      </c>
      <c r="J134" s="14">
        <v>8422.7000000000007</v>
      </c>
      <c r="K134" s="14">
        <v>9032.7999999999993</v>
      </c>
      <c r="L134" s="14">
        <v>10047.200000000001</v>
      </c>
      <c r="M134" s="14">
        <v>9010.7000000000007</v>
      </c>
      <c r="N134" s="14">
        <v>9443.7000000000007</v>
      </c>
      <c r="O134" s="14">
        <v>9276</v>
      </c>
      <c r="P134" s="14">
        <v>11042.4</v>
      </c>
      <c r="Q134" s="14">
        <v>11097.1</v>
      </c>
      <c r="R134" s="14">
        <v>15625.7</v>
      </c>
      <c r="S134" s="14">
        <v>20939.099999999999</v>
      </c>
      <c r="T134" s="14">
        <v>12351.8</v>
      </c>
      <c r="U134" s="14">
        <v>13250.4</v>
      </c>
      <c r="V134" s="14">
        <v>13558.9</v>
      </c>
      <c r="W134" s="14">
        <v>15149.6</v>
      </c>
      <c r="X134" s="14">
        <v>16681.900000000001</v>
      </c>
      <c r="Y134" s="14">
        <v>15767</v>
      </c>
      <c r="Z134" s="14">
        <v>14061.6</v>
      </c>
      <c r="AA134" s="14"/>
      <c r="AB134" s="14"/>
      <c r="AC134" s="15">
        <f>IFERROR(Z134/G134-1,"")</f>
        <v>0.56645537892544029</v>
      </c>
      <c r="AD134" s="15">
        <f>IFERROR((Z134/G134)^(1/19)-1,"")</f>
        <v>2.3903066319046928E-2</v>
      </c>
    </row>
    <row r="135" spans="1:30">
      <c r="A135" s="45" t="s">
        <v>283</v>
      </c>
      <c r="B135" s="45" t="s">
        <v>284</v>
      </c>
      <c r="C135" s="45" t="s">
        <v>498</v>
      </c>
      <c r="D135" s="45" t="s">
        <v>497</v>
      </c>
      <c r="E135" s="45" t="s">
        <v>499</v>
      </c>
      <c r="F135" s="45" t="s">
        <v>500</v>
      </c>
      <c r="G135" s="14">
        <v>19391.099999999999</v>
      </c>
      <c r="H135" s="14">
        <v>19144.8</v>
      </c>
      <c r="I135" s="14">
        <v>19117.099999999999</v>
      </c>
      <c r="J135" s="14">
        <v>19682.099999999999</v>
      </c>
      <c r="K135" s="14">
        <v>20824.599999999999</v>
      </c>
      <c r="L135" s="14">
        <v>24040.2</v>
      </c>
      <c r="M135" s="14">
        <v>24308.6</v>
      </c>
      <c r="N135" s="14">
        <v>24839.8</v>
      </c>
      <c r="O135" s="14">
        <v>24702</v>
      </c>
      <c r="P135" s="14">
        <v>27238.2</v>
      </c>
      <c r="Q135" s="14">
        <v>26096.799999999999</v>
      </c>
      <c r="R135" s="14">
        <v>27289.4</v>
      </c>
      <c r="S135" s="14">
        <v>27339.9</v>
      </c>
      <c r="T135" s="14">
        <v>27319.200000000001</v>
      </c>
      <c r="U135" s="14">
        <v>27076.799999999999</v>
      </c>
      <c r="V135" s="14">
        <v>28177.599999999999</v>
      </c>
      <c r="W135" s="14">
        <v>27199</v>
      </c>
      <c r="X135" s="14">
        <v>29240.799999999999</v>
      </c>
      <c r="Y135" s="14">
        <v>28155.1</v>
      </c>
      <c r="Z135" s="14">
        <v>25725.3</v>
      </c>
      <c r="AA135" s="14"/>
      <c r="AB135" s="14"/>
      <c r="AC135" s="15">
        <f>IFERROR(Z135/G135-1,"")</f>
        <v>0.32665501183532664</v>
      </c>
      <c r="AD135" s="15">
        <f>IFERROR((Z135/G135)^(1/19)-1,"")</f>
        <v>1.4988092953106547E-2</v>
      </c>
    </row>
    <row r="136" spans="1:30">
      <c r="A136" s="45" t="s">
        <v>283</v>
      </c>
      <c r="B136" s="45" t="s">
        <v>284</v>
      </c>
      <c r="C136" s="45" t="s">
        <v>498</v>
      </c>
      <c r="D136" s="45" t="s">
        <v>501</v>
      </c>
      <c r="E136" s="45" t="s">
        <v>499</v>
      </c>
      <c r="F136" s="45" t="s">
        <v>500</v>
      </c>
      <c r="G136" s="14">
        <v>5000</v>
      </c>
      <c r="H136" s="14">
        <v>6028.9</v>
      </c>
      <c r="I136" s="14">
        <v>5418.3</v>
      </c>
      <c r="J136" s="14">
        <v>3974.8</v>
      </c>
      <c r="K136" s="14">
        <v>4185.3999999999996</v>
      </c>
      <c r="L136" s="14">
        <v>3228.9</v>
      </c>
      <c r="M136" s="14">
        <v>3626.7</v>
      </c>
      <c r="N136" s="14">
        <v>4064.8</v>
      </c>
      <c r="O136" s="14">
        <v>3970</v>
      </c>
      <c r="P136" s="14">
        <v>5722</v>
      </c>
      <c r="Q136" s="14">
        <v>3828.2</v>
      </c>
      <c r="R136" s="14">
        <v>4270.6000000000004</v>
      </c>
      <c r="S136" s="14">
        <v>4103</v>
      </c>
      <c r="T136" s="14">
        <v>4294.3999999999996</v>
      </c>
      <c r="U136" s="14">
        <v>4171.7</v>
      </c>
      <c r="V136" s="14">
        <v>4345.8</v>
      </c>
      <c r="W136" s="14">
        <v>4207.6000000000004</v>
      </c>
      <c r="X136" s="14">
        <v>5134.8999999999996</v>
      </c>
      <c r="Y136" s="14">
        <v>5209.1000000000004</v>
      </c>
      <c r="Z136" s="14">
        <v>5067.7</v>
      </c>
      <c r="AA136" s="14"/>
      <c r="AB136" s="14"/>
      <c r="AC136" s="15">
        <f>IFERROR(Z136/G136-1,"")</f>
        <v>1.3539999999999885E-2</v>
      </c>
      <c r="AD136" s="15">
        <f>IFERROR((Z136/G136)^(1/19)-1,"")</f>
        <v>7.0810076000471511E-4</v>
      </c>
    </row>
    <row r="137" spans="1:30">
      <c r="A137" s="45" t="s">
        <v>171</v>
      </c>
      <c r="B137" s="45" t="s">
        <v>172</v>
      </c>
      <c r="C137" s="45" t="s">
        <v>490</v>
      </c>
      <c r="D137" s="45" t="s">
        <v>491</v>
      </c>
      <c r="E137" s="45" t="s">
        <v>492</v>
      </c>
      <c r="F137" s="45" t="s">
        <v>493</v>
      </c>
      <c r="G137" s="14">
        <v>24515</v>
      </c>
      <c r="H137" s="14">
        <v>26297</v>
      </c>
      <c r="I137" s="14">
        <v>29059</v>
      </c>
      <c r="J137" s="14">
        <v>35194</v>
      </c>
      <c r="K137" s="14">
        <v>46002</v>
      </c>
      <c r="L137" s="14">
        <v>45575</v>
      </c>
      <c r="M137" s="14">
        <v>55965</v>
      </c>
      <c r="N137" s="14">
        <v>69433</v>
      </c>
      <c r="O137" s="14">
        <v>77340</v>
      </c>
      <c r="P137" s="14">
        <v>91764</v>
      </c>
      <c r="Q137" s="14">
        <v>106970</v>
      </c>
      <c r="R137" s="14">
        <v>116256</v>
      </c>
      <c r="S137" s="14">
        <v>133235</v>
      </c>
      <c r="T137" s="14">
        <v>143906</v>
      </c>
      <c r="U137" s="14">
        <v>131130</v>
      </c>
      <c r="V137" s="14">
        <v>134750</v>
      </c>
      <c r="W137" s="14">
        <v>181360</v>
      </c>
      <c r="X137" s="14">
        <v>222025</v>
      </c>
      <c r="Y137" s="14">
        <v>282701</v>
      </c>
      <c r="Z137" s="14">
        <v>325030</v>
      </c>
      <c r="AA137" s="14">
        <v>276105</v>
      </c>
      <c r="AB137" s="14">
        <v>335923</v>
      </c>
    </row>
    <row r="138" spans="1:30">
      <c r="A138" s="45" t="s">
        <v>171</v>
      </c>
      <c r="B138" s="45" t="s">
        <v>172</v>
      </c>
      <c r="C138" s="45" t="s">
        <v>490</v>
      </c>
      <c r="D138" s="45" t="s">
        <v>494</v>
      </c>
      <c r="E138" s="45" t="s">
        <v>492</v>
      </c>
      <c r="F138" s="45" t="s">
        <v>493</v>
      </c>
      <c r="G138" s="14">
        <v>23045</v>
      </c>
      <c r="H138" s="14">
        <v>25362</v>
      </c>
      <c r="I138" s="14">
        <v>27893</v>
      </c>
      <c r="J138" s="14">
        <v>33478</v>
      </c>
      <c r="K138" s="14">
        <v>41106</v>
      </c>
      <c r="L138" s="14">
        <v>39924</v>
      </c>
      <c r="M138" s="14">
        <v>49890</v>
      </c>
      <c r="N138" s="14">
        <v>62560</v>
      </c>
      <c r="O138" s="14">
        <v>66200</v>
      </c>
      <c r="P138" s="14">
        <v>78604</v>
      </c>
      <c r="Q138" s="14">
        <v>86765</v>
      </c>
      <c r="R138" s="14">
        <v>95982</v>
      </c>
      <c r="S138" s="14">
        <v>113616</v>
      </c>
      <c r="T138" s="14">
        <v>121445</v>
      </c>
      <c r="U138" s="14">
        <v>125275</v>
      </c>
      <c r="V138" s="14">
        <v>130031</v>
      </c>
      <c r="W138" s="14">
        <v>171124</v>
      </c>
      <c r="X138" s="14">
        <v>207731</v>
      </c>
      <c r="Y138" s="14">
        <v>258146</v>
      </c>
      <c r="Z138" s="14">
        <v>292927</v>
      </c>
      <c r="AA138" s="14"/>
      <c r="AB138" s="14"/>
    </row>
    <row r="139" spans="1:30">
      <c r="A139" s="45" t="s">
        <v>171</v>
      </c>
      <c r="B139" s="45" t="s">
        <v>172</v>
      </c>
      <c r="C139" s="45" t="s">
        <v>490</v>
      </c>
      <c r="D139" s="45" t="s">
        <v>495</v>
      </c>
      <c r="E139" s="45" t="s">
        <v>492</v>
      </c>
      <c r="F139" s="45" t="s">
        <v>493</v>
      </c>
      <c r="G139" s="14">
        <v>1651</v>
      </c>
      <c r="H139" s="14">
        <v>1205</v>
      </c>
      <c r="I139" s="14">
        <v>1762</v>
      </c>
      <c r="J139" s="14">
        <v>2165</v>
      </c>
      <c r="K139" s="14">
        <v>2542</v>
      </c>
      <c r="L139" s="14">
        <v>2775</v>
      </c>
      <c r="M139" s="14">
        <v>3011</v>
      </c>
      <c r="N139" s="14">
        <v>3736</v>
      </c>
      <c r="O139" s="14">
        <v>3633</v>
      </c>
      <c r="P139" s="14">
        <v>4432</v>
      </c>
      <c r="Q139" s="14">
        <v>4709</v>
      </c>
      <c r="R139" s="14">
        <v>4592</v>
      </c>
      <c r="S139" s="14">
        <v>17945</v>
      </c>
      <c r="T139" s="14">
        <v>17761</v>
      </c>
      <c r="U139" s="14">
        <v>14990</v>
      </c>
      <c r="V139" s="14">
        <v>9708</v>
      </c>
      <c r="W139" s="14">
        <v>41393</v>
      </c>
      <c r="X139" s="14">
        <v>59054</v>
      </c>
      <c r="Y139" s="14">
        <v>69119</v>
      </c>
      <c r="Z139" s="14">
        <v>97477</v>
      </c>
      <c r="AA139" s="14"/>
      <c r="AB139" s="14"/>
    </row>
    <row r="140" spans="1:30">
      <c r="A140" s="45" t="s">
        <v>171</v>
      </c>
      <c r="B140" s="45" t="s">
        <v>172</v>
      </c>
      <c r="C140" s="45" t="s">
        <v>490</v>
      </c>
      <c r="D140" s="45" t="s">
        <v>496</v>
      </c>
      <c r="E140" s="45" t="s">
        <v>492</v>
      </c>
      <c r="F140" s="45" t="s">
        <v>493</v>
      </c>
      <c r="G140" s="14">
        <v>5059</v>
      </c>
      <c r="H140" s="14">
        <v>5557</v>
      </c>
      <c r="I140" s="14">
        <v>6253</v>
      </c>
      <c r="J140" s="14">
        <v>6864</v>
      </c>
      <c r="K140" s="14">
        <v>8201</v>
      </c>
      <c r="L140" s="14">
        <v>8186</v>
      </c>
      <c r="M140" s="14">
        <v>9701</v>
      </c>
      <c r="N140" s="14">
        <v>12751</v>
      </c>
      <c r="O140" s="14">
        <v>13364</v>
      </c>
      <c r="P140" s="14">
        <v>15069</v>
      </c>
      <c r="Q140" s="14">
        <v>17085</v>
      </c>
      <c r="R140" s="14">
        <v>18900</v>
      </c>
      <c r="S140" s="14">
        <v>19789</v>
      </c>
      <c r="T140" s="14">
        <v>21335</v>
      </c>
      <c r="U140" s="14">
        <v>24171</v>
      </c>
      <c r="V140" s="14">
        <v>24560</v>
      </c>
      <c r="W140" s="14">
        <v>32812</v>
      </c>
      <c r="X140" s="14">
        <v>41788</v>
      </c>
      <c r="Y140" s="14">
        <v>61469</v>
      </c>
      <c r="Z140" s="14">
        <v>64390</v>
      </c>
      <c r="AA140" s="14"/>
      <c r="AB140" s="14"/>
    </row>
    <row r="141" spans="1:30">
      <c r="A141" s="45" t="s">
        <v>171</v>
      </c>
      <c r="B141" s="45" t="s">
        <v>172</v>
      </c>
      <c r="C141" s="45" t="s">
        <v>490</v>
      </c>
      <c r="D141" s="45" t="s">
        <v>497</v>
      </c>
      <c r="E141" s="45" t="s">
        <v>492</v>
      </c>
      <c r="F141" s="45" t="s">
        <v>493</v>
      </c>
      <c r="G141" s="14">
        <v>10179</v>
      </c>
      <c r="H141" s="14">
        <v>10519</v>
      </c>
      <c r="I141" s="14">
        <v>12312</v>
      </c>
      <c r="J141" s="14">
        <v>13649</v>
      </c>
      <c r="K141" s="14">
        <v>15397</v>
      </c>
      <c r="L141" s="14">
        <v>17914</v>
      </c>
      <c r="M141" s="14">
        <v>21454</v>
      </c>
      <c r="N141" s="14">
        <v>23273</v>
      </c>
      <c r="O141" s="14">
        <v>24757</v>
      </c>
      <c r="P141" s="14">
        <v>27178</v>
      </c>
      <c r="Q141" s="14">
        <v>30345</v>
      </c>
      <c r="R141" s="14">
        <v>36465</v>
      </c>
      <c r="S141" s="14">
        <v>38729</v>
      </c>
      <c r="T141" s="14">
        <v>40444</v>
      </c>
      <c r="U141" s="14">
        <v>42476</v>
      </c>
      <c r="V141" s="14">
        <v>46977</v>
      </c>
      <c r="W141" s="14">
        <v>47736</v>
      </c>
      <c r="X141" s="14">
        <v>52356</v>
      </c>
      <c r="Y141" s="14">
        <v>54027</v>
      </c>
      <c r="Z141" s="14">
        <v>56159</v>
      </c>
      <c r="AA141" s="14"/>
      <c r="AB141" s="14"/>
    </row>
    <row r="142" spans="1:30">
      <c r="A142" s="45" t="s">
        <v>171</v>
      </c>
      <c r="B142" s="45" t="s">
        <v>172</v>
      </c>
      <c r="C142" s="45" t="s">
        <v>498</v>
      </c>
      <c r="D142" s="45" t="s">
        <v>491</v>
      </c>
      <c r="E142" s="45" t="s">
        <v>499</v>
      </c>
      <c r="F142" s="45" t="s">
        <v>500</v>
      </c>
      <c r="G142" s="14">
        <v>46571.4</v>
      </c>
      <c r="H142" s="14">
        <v>43787.4</v>
      </c>
      <c r="I142" s="14">
        <v>44906.1</v>
      </c>
      <c r="J142" s="14">
        <v>50624.6</v>
      </c>
      <c r="K142" s="14">
        <v>61972.1</v>
      </c>
      <c r="L142" s="14">
        <v>57683</v>
      </c>
      <c r="M142" s="14">
        <v>65117.2</v>
      </c>
      <c r="N142" s="14">
        <v>75281.600000000006</v>
      </c>
      <c r="O142" s="14">
        <v>77340</v>
      </c>
      <c r="P142" s="14">
        <v>84716.800000000003</v>
      </c>
      <c r="Q142" s="14">
        <v>91488</v>
      </c>
      <c r="R142" s="14">
        <v>92489.1</v>
      </c>
      <c r="S142" s="14">
        <v>98284.800000000003</v>
      </c>
      <c r="T142" s="14">
        <v>98689.600000000006</v>
      </c>
      <c r="U142" s="14">
        <v>83186.8</v>
      </c>
      <c r="V142" s="14">
        <v>82456</v>
      </c>
      <c r="W142" s="14">
        <v>106205.1</v>
      </c>
      <c r="X142" s="14">
        <v>124749</v>
      </c>
      <c r="Y142" s="14">
        <v>149185</v>
      </c>
      <c r="Z142" s="14">
        <v>151726.39999999999</v>
      </c>
      <c r="AA142" s="14"/>
      <c r="AB142" s="14"/>
      <c r="AC142" s="15">
        <f>IFERROR(Z142/G142-1,"")</f>
        <v>2.2579308330864003</v>
      </c>
      <c r="AD142" s="15">
        <f>IFERROR((Z142/G142)^(1/19)-1,"")</f>
        <v>6.4135520376282784E-2</v>
      </c>
    </row>
    <row r="143" spans="1:30">
      <c r="A143" s="45" t="s">
        <v>171</v>
      </c>
      <c r="B143" s="45" t="s">
        <v>172</v>
      </c>
      <c r="C143" s="45" t="s">
        <v>498</v>
      </c>
      <c r="D143" s="45" t="s">
        <v>495</v>
      </c>
      <c r="E143" s="45" t="s">
        <v>499</v>
      </c>
      <c r="F143" s="45" t="s">
        <v>500</v>
      </c>
      <c r="G143" s="14">
        <v>3136.3</v>
      </c>
      <c r="H143" s="14">
        <v>2006.4</v>
      </c>
      <c r="I143" s="14">
        <v>2723.2</v>
      </c>
      <c r="J143" s="14">
        <v>3114.5</v>
      </c>
      <c r="K143" s="14">
        <v>3424.9</v>
      </c>
      <c r="L143" s="14">
        <v>3512</v>
      </c>
      <c r="M143" s="14">
        <v>3502.9</v>
      </c>
      <c r="N143" s="14">
        <v>4050.7</v>
      </c>
      <c r="O143" s="14">
        <v>3633</v>
      </c>
      <c r="P143" s="14">
        <v>4091.6</v>
      </c>
      <c r="Q143" s="14">
        <v>4027.5</v>
      </c>
      <c r="R143" s="14">
        <v>3653.2</v>
      </c>
      <c r="S143" s="14">
        <v>13237.7</v>
      </c>
      <c r="T143" s="14">
        <v>12180.4</v>
      </c>
      <c r="U143" s="14">
        <v>9509.4</v>
      </c>
      <c r="V143" s="14">
        <v>5940.5</v>
      </c>
      <c r="W143" s="14">
        <v>24239.9</v>
      </c>
      <c r="X143" s="14">
        <v>33180.6</v>
      </c>
      <c r="Y143" s="14">
        <v>36475</v>
      </c>
      <c r="Z143" s="14">
        <v>45503</v>
      </c>
      <c r="AA143" s="14"/>
      <c r="AB143" s="14"/>
      <c r="AC143" s="15">
        <f>IFERROR(Z143/G143-1,"")</f>
        <v>13.50849727385773</v>
      </c>
      <c r="AD143" s="15">
        <f>IFERROR((Z143/G143)^(1/19)-1,"")</f>
        <v>0.15116618196346443</v>
      </c>
    </row>
    <row r="144" spans="1:30">
      <c r="A144" s="45" t="s">
        <v>171</v>
      </c>
      <c r="B144" s="45" t="s">
        <v>172</v>
      </c>
      <c r="C144" s="45" t="s">
        <v>498</v>
      </c>
      <c r="D144" s="45" t="s">
        <v>496</v>
      </c>
      <c r="E144" s="45" t="s">
        <v>499</v>
      </c>
      <c r="F144" s="45" t="s">
        <v>500</v>
      </c>
      <c r="G144" s="14">
        <v>9611.4</v>
      </c>
      <c r="H144" s="14">
        <v>9253.7999999999993</v>
      </c>
      <c r="I144" s="14">
        <v>9663</v>
      </c>
      <c r="J144" s="14">
        <v>9872.7000000000007</v>
      </c>
      <c r="K144" s="14">
        <v>11048.7</v>
      </c>
      <c r="L144" s="14">
        <v>10361</v>
      </c>
      <c r="M144" s="14">
        <v>11286.9</v>
      </c>
      <c r="N144" s="14">
        <v>13825.1</v>
      </c>
      <c r="O144" s="14">
        <v>13364</v>
      </c>
      <c r="P144" s="14">
        <v>13911.7</v>
      </c>
      <c r="Q144" s="14">
        <v>14612.2</v>
      </c>
      <c r="R144" s="14">
        <v>15036.2</v>
      </c>
      <c r="S144" s="14">
        <v>14598</v>
      </c>
      <c r="T144" s="14">
        <v>14631.4</v>
      </c>
      <c r="U144" s="14">
        <v>15333.7</v>
      </c>
      <c r="V144" s="14">
        <v>15028.7</v>
      </c>
      <c r="W144" s="14">
        <v>19214.8</v>
      </c>
      <c r="X144" s="14">
        <v>23479.4</v>
      </c>
      <c r="Y144" s="14">
        <v>32438</v>
      </c>
      <c r="Z144" s="14">
        <v>30057.7</v>
      </c>
      <c r="AA144" s="14"/>
      <c r="AB144" s="14"/>
      <c r="AC144" s="15">
        <f>IFERROR(Z144/G144-1,"")</f>
        <v>2.1272967517739354</v>
      </c>
      <c r="AD144" s="15">
        <f>IFERROR((Z144/G144)^(1/19)-1,"")</f>
        <v>6.1845989880051633E-2</v>
      </c>
    </row>
    <row r="145" spans="1:30">
      <c r="A145" s="45" t="s">
        <v>171</v>
      </c>
      <c r="B145" s="45" t="s">
        <v>172</v>
      </c>
      <c r="C145" s="45" t="s">
        <v>498</v>
      </c>
      <c r="D145" s="45" t="s">
        <v>497</v>
      </c>
      <c r="E145" s="45" t="s">
        <v>499</v>
      </c>
      <c r="F145" s="45" t="s">
        <v>500</v>
      </c>
      <c r="G145" s="14">
        <v>19337.599999999999</v>
      </c>
      <c r="H145" s="14">
        <v>17515.7</v>
      </c>
      <c r="I145" s="14">
        <v>19026</v>
      </c>
      <c r="J145" s="14">
        <v>19632.8</v>
      </c>
      <c r="K145" s="14">
        <v>20742.599999999999</v>
      </c>
      <c r="L145" s="14">
        <v>22672.6</v>
      </c>
      <c r="M145" s="14">
        <v>24962</v>
      </c>
      <c r="N145" s="14">
        <v>25233.4</v>
      </c>
      <c r="O145" s="14">
        <v>24757</v>
      </c>
      <c r="P145" s="14">
        <v>25090.799999999999</v>
      </c>
      <c r="Q145" s="14">
        <v>25953.1</v>
      </c>
      <c r="R145" s="14">
        <v>29010.2</v>
      </c>
      <c r="S145" s="14">
        <v>28569.599999999999</v>
      </c>
      <c r="T145" s="14">
        <v>27736.2</v>
      </c>
      <c r="U145" s="14">
        <v>26946.1</v>
      </c>
      <c r="V145" s="14">
        <v>28746.1</v>
      </c>
      <c r="W145" s="14">
        <v>27954.400000000001</v>
      </c>
      <c r="X145" s="14">
        <v>29417.200000000001</v>
      </c>
      <c r="Y145" s="14">
        <v>28510.7</v>
      </c>
      <c r="Z145" s="14">
        <v>26216.400000000001</v>
      </c>
      <c r="AA145" s="14"/>
      <c r="AB145" s="14"/>
      <c r="AC145" s="15">
        <f>IFERROR(Z145/G145-1,"")</f>
        <v>0.35572149594572244</v>
      </c>
      <c r="AD145" s="15">
        <f>IFERROR((Z145/G145)^(1/19)-1,"")</f>
        <v>1.6146536374309406E-2</v>
      </c>
    </row>
    <row r="146" spans="1:30">
      <c r="A146" s="45" t="s">
        <v>171</v>
      </c>
      <c r="B146" s="45" t="s">
        <v>172</v>
      </c>
      <c r="C146" s="45" t="s">
        <v>498</v>
      </c>
      <c r="D146" s="45" t="s">
        <v>501</v>
      </c>
      <c r="E146" s="45" t="s">
        <v>499</v>
      </c>
      <c r="F146" s="45" t="s">
        <v>500</v>
      </c>
      <c r="G146" s="14">
        <v>11694.1</v>
      </c>
      <c r="H146" s="14">
        <v>13454.6</v>
      </c>
      <c r="I146" s="14">
        <v>11690.8</v>
      </c>
      <c r="J146" s="14">
        <v>15535</v>
      </c>
      <c r="K146" s="14">
        <v>20160.2</v>
      </c>
      <c r="L146" s="14">
        <v>13985.2</v>
      </c>
      <c r="M146" s="14">
        <v>18296.400000000001</v>
      </c>
      <c r="N146" s="14">
        <v>24720.5</v>
      </c>
      <c r="O146" s="14">
        <v>24446</v>
      </c>
      <c r="P146" s="14">
        <v>29473.200000000001</v>
      </c>
      <c r="Q146" s="14">
        <v>29615.3</v>
      </c>
      <c r="R146" s="14">
        <v>28661</v>
      </c>
      <c r="S146" s="14">
        <v>27406.3</v>
      </c>
      <c r="T146" s="14">
        <v>28737.4</v>
      </c>
      <c r="U146" s="14">
        <v>27683.3</v>
      </c>
      <c r="V146" s="14">
        <v>29853.7</v>
      </c>
      <c r="W146" s="14">
        <v>28801.200000000001</v>
      </c>
      <c r="X146" s="14">
        <v>30640.400000000001</v>
      </c>
      <c r="Y146" s="14">
        <v>38803.300000000003</v>
      </c>
      <c r="Z146" s="14">
        <v>34964.300000000003</v>
      </c>
      <c r="AA146" s="14"/>
      <c r="AB146" s="14"/>
      <c r="AC146" s="15">
        <f>IFERROR(Z146/G146-1,"")</f>
        <v>1.9899094415132419</v>
      </c>
      <c r="AD146" s="15">
        <f>IFERROR((Z146/G146)^(1/19)-1,"")</f>
        <v>5.9338200163973065E-2</v>
      </c>
    </row>
    <row r="147" spans="1:30">
      <c r="A147" s="45" t="s">
        <v>135</v>
      </c>
      <c r="B147" s="45" t="s">
        <v>136</v>
      </c>
      <c r="C147" s="45" t="s">
        <v>490</v>
      </c>
      <c r="D147" s="45" t="s">
        <v>491</v>
      </c>
      <c r="E147" s="45" t="s">
        <v>492</v>
      </c>
      <c r="F147" s="45" t="s">
        <v>493</v>
      </c>
      <c r="G147" s="14">
        <v>117615</v>
      </c>
      <c r="H147" s="14">
        <v>147515</v>
      </c>
      <c r="I147" s="14">
        <v>149625</v>
      </c>
      <c r="J147" s="14">
        <v>135437</v>
      </c>
      <c r="K147" s="14">
        <v>170422</v>
      </c>
      <c r="L147" s="14">
        <v>218543</v>
      </c>
      <c r="M147" s="14">
        <v>192788</v>
      </c>
      <c r="N147" s="14">
        <v>221531</v>
      </c>
      <c r="O147" s="14">
        <v>270432</v>
      </c>
      <c r="P147" s="14">
        <v>291212</v>
      </c>
      <c r="Q147" s="14">
        <v>442935</v>
      </c>
      <c r="R147" s="14">
        <v>579020</v>
      </c>
      <c r="S147" s="14">
        <v>420297</v>
      </c>
      <c r="T147" s="14">
        <v>588920</v>
      </c>
      <c r="U147" s="14">
        <v>506333</v>
      </c>
      <c r="V147" s="14">
        <v>507035</v>
      </c>
      <c r="W147" s="14">
        <v>575271</v>
      </c>
      <c r="X147" s="14">
        <v>642508</v>
      </c>
      <c r="Y147" s="14">
        <v>720012</v>
      </c>
      <c r="Z147" s="14">
        <v>746395</v>
      </c>
      <c r="AA147" s="14">
        <v>783899</v>
      </c>
      <c r="AB147" s="14">
        <v>991164</v>
      </c>
    </row>
    <row r="148" spans="1:30">
      <c r="A148" s="45" t="s">
        <v>135</v>
      </c>
      <c r="B148" s="45" t="s">
        <v>136</v>
      </c>
      <c r="C148" s="45" t="s">
        <v>490</v>
      </c>
      <c r="D148" s="45" t="s">
        <v>494</v>
      </c>
      <c r="E148" s="45" t="s">
        <v>492</v>
      </c>
      <c r="F148" s="45" t="s">
        <v>493</v>
      </c>
      <c r="G148" s="14">
        <v>101631</v>
      </c>
      <c r="H148" s="14">
        <v>131769</v>
      </c>
      <c r="I148" s="14">
        <v>136437</v>
      </c>
      <c r="J148" s="14">
        <v>124330</v>
      </c>
      <c r="K148" s="14">
        <v>149608</v>
      </c>
      <c r="L148" s="14">
        <v>178118</v>
      </c>
      <c r="M148" s="14">
        <v>164721</v>
      </c>
      <c r="N148" s="14">
        <v>193423</v>
      </c>
      <c r="O148" s="14">
        <v>213304</v>
      </c>
      <c r="P148" s="14">
        <v>236303</v>
      </c>
      <c r="Q148" s="14">
        <v>366088</v>
      </c>
      <c r="R148" s="14">
        <v>484430</v>
      </c>
      <c r="S148" s="14">
        <v>344468</v>
      </c>
      <c r="T148" s="14">
        <v>519067</v>
      </c>
      <c r="U148" s="14">
        <v>453946</v>
      </c>
      <c r="V148" s="14">
        <v>451726</v>
      </c>
      <c r="W148" s="14">
        <v>504929</v>
      </c>
      <c r="X148" s="14">
        <v>575337</v>
      </c>
      <c r="Y148" s="14">
        <v>640242</v>
      </c>
      <c r="Z148" s="14">
        <v>643616</v>
      </c>
      <c r="AA148" s="14"/>
      <c r="AB148" s="14"/>
    </row>
    <row r="149" spans="1:30">
      <c r="A149" s="45" t="s">
        <v>135</v>
      </c>
      <c r="B149" s="45" t="s">
        <v>136</v>
      </c>
      <c r="C149" s="45" t="s">
        <v>490</v>
      </c>
      <c r="D149" s="45" t="s">
        <v>495</v>
      </c>
      <c r="E149" s="45" t="s">
        <v>492</v>
      </c>
      <c r="F149" s="45" t="s">
        <v>493</v>
      </c>
      <c r="G149" s="14">
        <v>8896</v>
      </c>
      <c r="H149" s="14">
        <v>6469</v>
      </c>
      <c r="I149" s="14">
        <v>7445</v>
      </c>
      <c r="J149" s="14">
        <v>7567</v>
      </c>
      <c r="K149" s="14">
        <v>8147</v>
      </c>
      <c r="L149" s="14">
        <v>11122</v>
      </c>
      <c r="M149" s="14">
        <v>9107</v>
      </c>
      <c r="N149" s="14">
        <v>12000</v>
      </c>
      <c r="O149" s="14">
        <v>14548</v>
      </c>
      <c r="P149" s="14">
        <v>36654</v>
      </c>
      <c r="Q149" s="14">
        <v>116558</v>
      </c>
      <c r="R149" s="14">
        <v>190448</v>
      </c>
      <c r="S149" s="14">
        <v>88258</v>
      </c>
      <c r="T149" s="14">
        <v>216633</v>
      </c>
      <c r="U149" s="14">
        <v>145393</v>
      </c>
      <c r="V149" s="14">
        <v>125908</v>
      </c>
      <c r="W149" s="14">
        <v>149936</v>
      </c>
      <c r="X149" s="14">
        <v>164067</v>
      </c>
      <c r="Y149" s="14">
        <v>191971</v>
      </c>
      <c r="Z149" s="14">
        <v>197064</v>
      </c>
      <c r="AA149" s="14"/>
      <c r="AB149" s="14"/>
    </row>
    <row r="150" spans="1:30">
      <c r="A150" s="45" t="s">
        <v>135</v>
      </c>
      <c r="B150" s="45" t="s">
        <v>136</v>
      </c>
      <c r="C150" s="45" t="s">
        <v>490</v>
      </c>
      <c r="D150" s="45" t="s">
        <v>496</v>
      </c>
      <c r="E150" s="45" t="s">
        <v>492</v>
      </c>
      <c r="F150" s="45" t="s">
        <v>493</v>
      </c>
      <c r="G150" s="14">
        <v>16618</v>
      </c>
      <c r="H150" s="14">
        <v>21607</v>
      </c>
      <c r="I150" s="14">
        <v>22781</v>
      </c>
      <c r="J150" s="14">
        <v>22436</v>
      </c>
      <c r="K150" s="14">
        <v>26453</v>
      </c>
      <c r="L150" s="14">
        <v>30466</v>
      </c>
      <c r="M150" s="14">
        <v>28973</v>
      </c>
      <c r="N150" s="14">
        <v>34348</v>
      </c>
      <c r="O150" s="14">
        <v>39769</v>
      </c>
      <c r="P150" s="14">
        <v>47771</v>
      </c>
      <c r="Q150" s="14">
        <v>74803</v>
      </c>
      <c r="R150" s="14">
        <v>109992</v>
      </c>
      <c r="S150" s="14">
        <v>101077</v>
      </c>
      <c r="T150" s="14">
        <v>148017</v>
      </c>
      <c r="U150" s="14">
        <v>140126</v>
      </c>
      <c r="V150" s="14">
        <v>154447</v>
      </c>
      <c r="W150" s="14">
        <v>153840</v>
      </c>
      <c r="X150" s="14">
        <v>179940</v>
      </c>
      <c r="Y150" s="14">
        <v>196682</v>
      </c>
      <c r="Z150" s="14">
        <v>189703</v>
      </c>
      <c r="AA150" s="14"/>
      <c r="AB150" s="14"/>
    </row>
    <row r="151" spans="1:30">
      <c r="A151" s="45" t="s">
        <v>135</v>
      </c>
      <c r="B151" s="45" t="s">
        <v>136</v>
      </c>
      <c r="C151" s="45" t="s">
        <v>490</v>
      </c>
      <c r="D151" s="45" t="s">
        <v>497</v>
      </c>
      <c r="E151" s="45" t="s">
        <v>492</v>
      </c>
      <c r="F151" s="45" t="s">
        <v>493</v>
      </c>
      <c r="G151" s="14">
        <v>25779</v>
      </c>
      <c r="H151" s="14">
        <v>28661</v>
      </c>
      <c r="I151" s="14">
        <v>29826</v>
      </c>
      <c r="J151" s="14">
        <v>33253</v>
      </c>
      <c r="K151" s="14">
        <v>38641</v>
      </c>
      <c r="L151" s="14">
        <v>49397</v>
      </c>
      <c r="M151" s="14">
        <v>55868</v>
      </c>
      <c r="N151" s="14">
        <v>64559</v>
      </c>
      <c r="O151" s="14">
        <v>68827</v>
      </c>
      <c r="P151" s="14">
        <v>78176</v>
      </c>
      <c r="Q151" s="14">
        <v>84228</v>
      </c>
      <c r="R151" s="14">
        <v>98987</v>
      </c>
      <c r="S151" s="14">
        <v>106318</v>
      </c>
      <c r="T151" s="14">
        <v>117269</v>
      </c>
      <c r="U151" s="14">
        <v>131149</v>
      </c>
      <c r="V151" s="14">
        <v>139484</v>
      </c>
      <c r="W151" s="14">
        <v>139805</v>
      </c>
      <c r="X151" s="14">
        <v>162401</v>
      </c>
      <c r="Y151" s="14">
        <v>164343</v>
      </c>
      <c r="Z151" s="14">
        <v>183388</v>
      </c>
      <c r="AA151" s="14"/>
      <c r="AB151" s="14"/>
    </row>
    <row r="152" spans="1:30">
      <c r="A152" s="45" t="s">
        <v>135</v>
      </c>
      <c r="B152" s="45" t="s">
        <v>136</v>
      </c>
      <c r="C152" s="45" t="s">
        <v>498</v>
      </c>
      <c r="D152" s="45" t="s">
        <v>491</v>
      </c>
      <c r="E152" s="45" t="s">
        <v>499</v>
      </c>
      <c r="F152" s="45" t="s">
        <v>500</v>
      </c>
      <c r="G152" s="14">
        <v>223439.4</v>
      </c>
      <c r="H152" s="14">
        <v>245630</v>
      </c>
      <c r="I152" s="14">
        <v>231217.9</v>
      </c>
      <c r="J152" s="14">
        <v>194816.8</v>
      </c>
      <c r="K152" s="14">
        <v>229586.5</v>
      </c>
      <c r="L152" s="14">
        <v>276603.2</v>
      </c>
      <c r="M152" s="14">
        <v>224314</v>
      </c>
      <c r="N152" s="14">
        <v>240191.3</v>
      </c>
      <c r="O152" s="14">
        <v>270432</v>
      </c>
      <c r="P152" s="14">
        <v>268847.7</v>
      </c>
      <c r="Q152" s="14">
        <v>378827.9</v>
      </c>
      <c r="R152" s="14">
        <v>460647.4</v>
      </c>
      <c r="S152" s="14">
        <v>310044.79999999999</v>
      </c>
      <c r="T152" s="14">
        <v>403876.7</v>
      </c>
      <c r="U152" s="14">
        <v>321209.59999999998</v>
      </c>
      <c r="V152" s="14">
        <v>310264</v>
      </c>
      <c r="W152" s="14">
        <v>336881</v>
      </c>
      <c r="X152" s="14">
        <v>361005.4</v>
      </c>
      <c r="Y152" s="14">
        <v>379959.6</v>
      </c>
      <c r="Z152" s="14">
        <v>348422.6</v>
      </c>
      <c r="AA152" s="14"/>
      <c r="AB152" s="14"/>
      <c r="AC152" s="15">
        <f>IFERROR(Z152/G152-1,"")</f>
        <v>0.55936061410834426</v>
      </c>
      <c r="AD152" s="15">
        <f>IFERROR((Z152/G152)^(1/19)-1,"")</f>
        <v>2.3658465053782551E-2</v>
      </c>
    </row>
    <row r="153" spans="1:30">
      <c r="A153" s="45" t="s">
        <v>135</v>
      </c>
      <c r="B153" s="45" t="s">
        <v>136</v>
      </c>
      <c r="C153" s="45" t="s">
        <v>498</v>
      </c>
      <c r="D153" s="45" t="s">
        <v>495</v>
      </c>
      <c r="E153" s="45" t="s">
        <v>499</v>
      </c>
      <c r="F153" s="45" t="s">
        <v>500</v>
      </c>
      <c r="G153" s="14">
        <v>16900.400000000001</v>
      </c>
      <c r="H153" s="14">
        <v>10771.4</v>
      </c>
      <c r="I153" s="14">
        <v>11505.6</v>
      </c>
      <c r="J153" s="14">
        <v>10884.4</v>
      </c>
      <c r="K153" s="14">
        <v>10975.6</v>
      </c>
      <c r="L153" s="14">
        <v>14076.8</v>
      </c>
      <c r="M153" s="14">
        <v>10596.2</v>
      </c>
      <c r="N153" s="14">
        <v>13010.8</v>
      </c>
      <c r="O153" s="14">
        <v>14548</v>
      </c>
      <c r="P153" s="14">
        <v>33839.1</v>
      </c>
      <c r="Q153" s="14">
        <v>99688.3</v>
      </c>
      <c r="R153" s="14">
        <v>151513.60000000001</v>
      </c>
      <c r="S153" s="14">
        <v>65106.2</v>
      </c>
      <c r="T153" s="14">
        <v>148565.20000000001</v>
      </c>
      <c r="U153" s="14">
        <v>92235</v>
      </c>
      <c r="V153" s="14">
        <v>77045.399999999994</v>
      </c>
      <c r="W153" s="14">
        <v>87803.1</v>
      </c>
      <c r="X153" s="14">
        <v>92184.2</v>
      </c>
      <c r="Y153" s="14">
        <v>101305.60000000001</v>
      </c>
      <c r="Z153" s="14">
        <v>91990.9</v>
      </c>
      <c r="AA153" s="14"/>
      <c r="AB153" s="14"/>
      <c r="AC153" s="15">
        <f>IFERROR(Z153/G153-1,"")</f>
        <v>4.4431196894748046</v>
      </c>
      <c r="AD153" s="15">
        <f>IFERROR((Z153/G153)^(1/19)-1,"")</f>
        <v>9.3273537000537976E-2</v>
      </c>
    </row>
    <row r="154" spans="1:30">
      <c r="A154" s="45" t="s">
        <v>135</v>
      </c>
      <c r="B154" s="45" t="s">
        <v>136</v>
      </c>
      <c r="C154" s="45" t="s">
        <v>498</v>
      </c>
      <c r="D154" s="45" t="s">
        <v>496</v>
      </c>
      <c r="E154" s="45" t="s">
        <v>499</v>
      </c>
      <c r="F154" s="45" t="s">
        <v>500</v>
      </c>
      <c r="G154" s="14">
        <v>31570.799999999999</v>
      </c>
      <c r="H154" s="14">
        <v>35978</v>
      </c>
      <c r="I154" s="14">
        <v>35204.300000000003</v>
      </c>
      <c r="J154" s="14">
        <v>32272.1</v>
      </c>
      <c r="K154" s="14">
        <v>35636.1</v>
      </c>
      <c r="L154" s="14">
        <v>38560.5</v>
      </c>
      <c r="M154" s="14">
        <v>33711.1</v>
      </c>
      <c r="N154" s="14">
        <v>37241.199999999997</v>
      </c>
      <c r="O154" s="14">
        <v>39769</v>
      </c>
      <c r="P154" s="14">
        <v>44102.3</v>
      </c>
      <c r="Q154" s="14">
        <v>63976.6</v>
      </c>
      <c r="R154" s="14">
        <v>87505.7</v>
      </c>
      <c r="S154" s="14">
        <v>74562.5</v>
      </c>
      <c r="T154" s="14">
        <v>101508.9</v>
      </c>
      <c r="U154" s="14">
        <v>88893.7</v>
      </c>
      <c r="V154" s="14">
        <v>94508.9</v>
      </c>
      <c r="W154" s="14">
        <v>90089.3</v>
      </c>
      <c r="X154" s="14">
        <v>101102.7</v>
      </c>
      <c r="Y154" s="14">
        <v>103791.6</v>
      </c>
      <c r="Z154" s="14">
        <v>88555.199999999997</v>
      </c>
      <c r="AA154" s="14"/>
      <c r="AB154" s="14"/>
      <c r="AC154" s="15">
        <f>IFERROR(Z154/G154-1,"")</f>
        <v>1.8049716826941351</v>
      </c>
      <c r="AD154" s="15">
        <f>IFERROR((Z154/G154)^(1/19)-1,"")</f>
        <v>5.5784260300229205E-2</v>
      </c>
    </row>
    <row r="155" spans="1:30">
      <c r="A155" s="45" t="s">
        <v>135</v>
      </c>
      <c r="B155" s="45" t="s">
        <v>136</v>
      </c>
      <c r="C155" s="45" t="s">
        <v>498</v>
      </c>
      <c r="D155" s="45" t="s">
        <v>497</v>
      </c>
      <c r="E155" s="45" t="s">
        <v>499</v>
      </c>
      <c r="F155" s="45" t="s">
        <v>500</v>
      </c>
      <c r="G155" s="14">
        <v>48974.3</v>
      </c>
      <c r="H155" s="14">
        <v>47723.1</v>
      </c>
      <c r="I155" s="14">
        <v>46091.4</v>
      </c>
      <c r="J155" s="14">
        <v>47832.1</v>
      </c>
      <c r="K155" s="14">
        <v>52055.7</v>
      </c>
      <c r="L155" s="14">
        <v>62520.7</v>
      </c>
      <c r="M155" s="14">
        <v>65004</v>
      </c>
      <c r="N155" s="14">
        <v>69997</v>
      </c>
      <c r="O155" s="14">
        <v>68827</v>
      </c>
      <c r="P155" s="14">
        <v>72172.3</v>
      </c>
      <c r="Q155" s="14">
        <v>72037.5</v>
      </c>
      <c r="R155" s="14">
        <v>78750.5</v>
      </c>
      <c r="S155" s="14">
        <v>78428.7</v>
      </c>
      <c r="T155" s="14">
        <v>80422.2</v>
      </c>
      <c r="U155" s="14">
        <v>83198.8</v>
      </c>
      <c r="V155" s="14">
        <v>85352.8</v>
      </c>
      <c r="W155" s="14">
        <v>81870.399999999994</v>
      </c>
      <c r="X155" s="14">
        <v>91248.1</v>
      </c>
      <c r="Y155" s="14">
        <v>86725.9</v>
      </c>
      <c r="Z155" s="14">
        <v>85609.2</v>
      </c>
      <c r="AA155" s="14"/>
      <c r="AB155" s="14"/>
      <c r="AC155" s="15">
        <f>IFERROR(Z155/G155-1,"")</f>
        <v>0.74804336151818385</v>
      </c>
      <c r="AD155" s="15">
        <f>IFERROR((Z155/G155)^(1/19)-1,"")</f>
        <v>2.9830868409669753E-2</v>
      </c>
    </row>
    <row r="156" spans="1:30">
      <c r="A156" s="45" t="s">
        <v>135</v>
      </c>
      <c r="B156" s="45" t="s">
        <v>136</v>
      </c>
      <c r="C156" s="45" t="s">
        <v>498</v>
      </c>
      <c r="D156" s="45" t="s">
        <v>501</v>
      </c>
      <c r="E156" s="45" t="s">
        <v>499</v>
      </c>
      <c r="F156" s="45" t="s">
        <v>500</v>
      </c>
      <c r="G156" s="14">
        <v>95627.3</v>
      </c>
      <c r="H156" s="14">
        <v>124938.6</v>
      </c>
      <c r="I156" s="14">
        <v>118037.5</v>
      </c>
      <c r="J156" s="14">
        <v>87851.1</v>
      </c>
      <c r="K156" s="14">
        <v>102879.7</v>
      </c>
      <c r="L156" s="14">
        <v>110280.2</v>
      </c>
      <c r="M156" s="14">
        <v>82346.7</v>
      </c>
      <c r="N156" s="14">
        <v>89466.6</v>
      </c>
      <c r="O156" s="14">
        <v>90160</v>
      </c>
      <c r="P156" s="14">
        <v>68041.899999999994</v>
      </c>
      <c r="Q156" s="14">
        <v>77400.899999999994</v>
      </c>
      <c r="R156" s="14">
        <v>67625.3</v>
      </c>
      <c r="S156" s="14">
        <v>36010.6</v>
      </c>
      <c r="T156" s="14">
        <v>25476.5</v>
      </c>
      <c r="U156" s="14">
        <v>23648.6</v>
      </c>
      <c r="V156" s="14">
        <v>19512.2</v>
      </c>
      <c r="W156" s="14">
        <v>35925.599999999999</v>
      </c>
      <c r="X156" s="14">
        <v>38729.1</v>
      </c>
      <c r="Y156" s="14">
        <v>46040.800000000003</v>
      </c>
      <c r="Z156" s="14">
        <v>34292.1</v>
      </c>
      <c r="AA156" s="14"/>
      <c r="AB156" s="14"/>
      <c r="AC156" s="15">
        <f>IFERROR(Z156/G156-1,"")</f>
        <v>-0.64139842910967904</v>
      </c>
      <c r="AD156" s="15">
        <f>IFERROR((Z156/G156)^(1/19)-1,"")</f>
        <v>-5.25451218036046E-2</v>
      </c>
    </row>
    <row r="157" spans="1:30">
      <c r="A157" s="45" t="s">
        <v>387</v>
      </c>
      <c r="B157" s="45" t="s">
        <v>388</v>
      </c>
      <c r="C157" s="45" t="s">
        <v>490</v>
      </c>
      <c r="D157" s="45" t="s">
        <v>491</v>
      </c>
      <c r="E157" s="45" t="s">
        <v>492</v>
      </c>
      <c r="F157" s="45" t="s">
        <v>493</v>
      </c>
      <c r="G157" s="14">
        <v>8313</v>
      </c>
      <c r="H157" s="14">
        <v>10097</v>
      </c>
      <c r="I157" s="14">
        <v>10793</v>
      </c>
      <c r="J157" s="14">
        <v>11710</v>
      </c>
      <c r="K157" s="14">
        <v>13865</v>
      </c>
      <c r="L157" s="14">
        <v>15165</v>
      </c>
      <c r="M157" s="14">
        <v>17795</v>
      </c>
      <c r="N157" s="14">
        <v>18433</v>
      </c>
      <c r="O157" s="14">
        <v>19994</v>
      </c>
      <c r="P157" s="14">
        <v>23059</v>
      </c>
      <c r="Q157" s="14">
        <v>26456</v>
      </c>
      <c r="R157" s="14">
        <v>27692</v>
      </c>
      <c r="S157" s="14">
        <v>29600</v>
      </c>
      <c r="T157" s="14">
        <v>30533</v>
      </c>
      <c r="U157" s="14">
        <v>32941</v>
      </c>
      <c r="V157" s="14">
        <v>35278</v>
      </c>
      <c r="W157" s="14">
        <v>36031</v>
      </c>
      <c r="X157" s="14">
        <v>40372</v>
      </c>
      <c r="Y157" s="14">
        <v>43107</v>
      </c>
      <c r="Z157" s="14">
        <v>45864</v>
      </c>
      <c r="AA157" s="14">
        <v>55408</v>
      </c>
      <c r="AB157" s="14">
        <v>63583</v>
      </c>
    </row>
    <row r="158" spans="1:30">
      <c r="A158" s="45" t="s">
        <v>387</v>
      </c>
      <c r="B158" s="45" t="s">
        <v>388</v>
      </c>
      <c r="C158" s="45" t="s">
        <v>490</v>
      </c>
      <c r="D158" s="45" t="s">
        <v>494</v>
      </c>
      <c r="E158" s="45" t="s">
        <v>492</v>
      </c>
      <c r="F158" s="45" t="s">
        <v>493</v>
      </c>
      <c r="G158" s="14">
        <v>7980</v>
      </c>
      <c r="H158" s="14">
        <v>9655</v>
      </c>
      <c r="I158" s="14">
        <v>10364</v>
      </c>
      <c r="J158" s="14">
        <v>11315</v>
      </c>
      <c r="K158" s="14">
        <v>13224</v>
      </c>
      <c r="L158" s="14">
        <v>14363</v>
      </c>
      <c r="M158" s="14">
        <v>16789</v>
      </c>
      <c r="N158" s="14">
        <v>17606</v>
      </c>
      <c r="O158" s="14">
        <v>19058</v>
      </c>
      <c r="P158" s="14">
        <v>21956</v>
      </c>
      <c r="Q158" s="14">
        <v>25226</v>
      </c>
      <c r="R158" s="14">
        <v>26585</v>
      </c>
      <c r="S158" s="14">
        <v>28052</v>
      </c>
      <c r="T158" s="14">
        <v>29151</v>
      </c>
      <c r="U158" s="14">
        <v>31678</v>
      </c>
      <c r="V158" s="14">
        <v>34043</v>
      </c>
      <c r="W158" s="14">
        <v>34903</v>
      </c>
      <c r="X158" s="14">
        <v>39180</v>
      </c>
      <c r="Y158" s="14">
        <v>41738</v>
      </c>
      <c r="Z158" s="14">
        <v>44310</v>
      </c>
      <c r="AA158" s="14"/>
      <c r="AB158" s="14"/>
    </row>
    <row r="159" spans="1:30">
      <c r="A159" s="45" t="s">
        <v>387</v>
      </c>
      <c r="B159" s="45" t="s">
        <v>388</v>
      </c>
      <c r="C159" s="45" t="s">
        <v>490</v>
      </c>
      <c r="D159" s="45" t="s">
        <v>495</v>
      </c>
      <c r="E159" s="45" t="s">
        <v>492</v>
      </c>
      <c r="F159" s="45" t="s">
        <v>493</v>
      </c>
      <c r="G159" s="14">
        <v>433</v>
      </c>
      <c r="H159" s="14">
        <v>355</v>
      </c>
      <c r="I159" s="14">
        <v>404</v>
      </c>
      <c r="J159" s="14">
        <v>447</v>
      </c>
      <c r="K159" s="14">
        <v>514</v>
      </c>
      <c r="L159" s="14">
        <v>558</v>
      </c>
      <c r="M159" s="14">
        <v>604</v>
      </c>
      <c r="N159" s="14">
        <v>656</v>
      </c>
      <c r="O159" s="14">
        <v>623</v>
      </c>
      <c r="P159" s="14">
        <v>716</v>
      </c>
      <c r="Q159" s="14">
        <v>1128</v>
      </c>
      <c r="R159" s="14">
        <v>964</v>
      </c>
      <c r="S159" s="14">
        <v>1108</v>
      </c>
      <c r="T159" s="14">
        <v>1103</v>
      </c>
      <c r="U159" s="14">
        <v>1340</v>
      </c>
      <c r="V159" s="14">
        <v>1338</v>
      </c>
      <c r="W159" s="14">
        <v>1375</v>
      </c>
      <c r="X159" s="14">
        <v>1525</v>
      </c>
      <c r="Y159" s="14">
        <v>1516</v>
      </c>
      <c r="Z159" s="14">
        <v>1790</v>
      </c>
      <c r="AA159" s="14"/>
      <c r="AB159" s="14"/>
    </row>
    <row r="160" spans="1:30">
      <c r="A160" s="45" t="s">
        <v>387</v>
      </c>
      <c r="B160" s="45" t="s">
        <v>388</v>
      </c>
      <c r="C160" s="45" t="s">
        <v>490</v>
      </c>
      <c r="D160" s="45" t="s">
        <v>496</v>
      </c>
      <c r="E160" s="45" t="s">
        <v>492</v>
      </c>
      <c r="F160" s="45" t="s">
        <v>493</v>
      </c>
      <c r="G160" s="14">
        <v>1952</v>
      </c>
      <c r="H160" s="14">
        <v>2359</v>
      </c>
      <c r="I160" s="14">
        <v>2499</v>
      </c>
      <c r="J160" s="14">
        <v>2447</v>
      </c>
      <c r="K160" s="14">
        <v>3025</v>
      </c>
      <c r="L160" s="14">
        <v>3253</v>
      </c>
      <c r="M160" s="14">
        <v>3485</v>
      </c>
      <c r="N160" s="14">
        <v>3781</v>
      </c>
      <c r="O160" s="14">
        <v>4375</v>
      </c>
      <c r="P160" s="14">
        <v>5205</v>
      </c>
      <c r="Q160" s="14">
        <v>7180</v>
      </c>
      <c r="R160" s="14">
        <v>6670</v>
      </c>
      <c r="S160" s="14">
        <v>7227</v>
      </c>
      <c r="T160" s="14">
        <v>7308</v>
      </c>
      <c r="U160" s="14">
        <v>8199</v>
      </c>
      <c r="V160" s="14">
        <v>8640</v>
      </c>
      <c r="W160" s="14">
        <v>8463</v>
      </c>
      <c r="X160" s="14">
        <v>9501</v>
      </c>
      <c r="Y160" s="14">
        <v>10183</v>
      </c>
      <c r="Z160" s="14">
        <v>10446</v>
      </c>
      <c r="AA160" s="14"/>
      <c r="AB160" s="14"/>
    </row>
    <row r="161" spans="1:30">
      <c r="A161" s="45" t="s">
        <v>387</v>
      </c>
      <c r="B161" s="45" t="s">
        <v>388</v>
      </c>
      <c r="C161" s="45" t="s">
        <v>490</v>
      </c>
      <c r="D161" s="45" t="s">
        <v>497</v>
      </c>
      <c r="E161" s="45" t="s">
        <v>492</v>
      </c>
      <c r="F161" s="45" t="s">
        <v>493</v>
      </c>
      <c r="G161" s="14">
        <v>4798</v>
      </c>
      <c r="H161" s="14">
        <v>5389</v>
      </c>
      <c r="I161" s="14">
        <v>6070</v>
      </c>
      <c r="J161" s="14">
        <v>7275</v>
      </c>
      <c r="K161" s="14">
        <v>8483</v>
      </c>
      <c r="L161" s="14">
        <v>9485</v>
      </c>
      <c r="M161" s="14">
        <v>10878</v>
      </c>
      <c r="N161" s="14">
        <v>11762</v>
      </c>
      <c r="O161" s="14">
        <v>13073</v>
      </c>
      <c r="P161" s="14">
        <v>14717</v>
      </c>
      <c r="Q161" s="14">
        <v>16191</v>
      </c>
      <c r="R161" s="14">
        <v>18074</v>
      </c>
      <c r="S161" s="14">
        <v>18951</v>
      </c>
      <c r="T161" s="14">
        <v>19850</v>
      </c>
      <c r="U161" s="14">
        <v>21193</v>
      </c>
      <c r="V161" s="14">
        <v>23151</v>
      </c>
      <c r="W161" s="14">
        <v>24145</v>
      </c>
      <c r="X161" s="14">
        <v>26918</v>
      </c>
      <c r="Y161" s="14">
        <v>28012</v>
      </c>
      <c r="Z161" s="14">
        <v>30481</v>
      </c>
      <c r="AA161" s="14"/>
      <c r="AB161" s="14"/>
    </row>
    <row r="162" spans="1:30">
      <c r="A162" s="45" t="s">
        <v>387</v>
      </c>
      <c r="B162" s="45" t="s">
        <v>388</v>
      </c>
      <c r="C162" s="45" t="s">
        <v>498</v>
      </c>
      <c r="D162" s="45" t="s">
        <v>491</v>
      </c>
      <c r="E162" s="45" t="s">
        <v>499</v>
      </c>
      <c r="F162" s="45" t="s">
        <v>500</v>
      </c>
      <c r="G162" s="14">
        <v>15792.7</v>
      </c>
      <c r="H162" s="14">
        <v>16812.099999999999</v>
      </c>
      <c r="I162" s="14">
        <v>16678.5</v>
      </c>
      <c r="J162" s="14">
        <v>16844.5</v>
      </c>
      <c r="K162" s="14">
        <v>18678.2</v>
      </c>
      <c r="L162" s="14">
        <v>19193.900000000001</v>
      </c>
      <c r="M162" s="14">
        <v>20704.599999999999</v>
      </c>
      <c r="N162" s="14">
        <v>19985.7</v>
      </c>
      <c r="O162" s="14">
        <v>19994</v>
      </c>
      <c r="P162" s="14">
        <v>21288.1</v>
      </c>
      <c r="Q162" s="14">
        <v>22627</v>
      </c>
      <c r="R162" s="14">
        <v>22030.799999999999</v>
      </c>
      <c r="S162" s="14">
        <v>21835.3</v>
      </c>
      <c r="T162" s="14">
        <v>20939.3</v>
      </c>
      <c r="U162" s="14">
        <v>20897.2</v>
      </c>
      <c r="V162" s="14">
        <v>21587.3</v>
      </c>
      <c r="W162" s="14">
        <v>21099.9</v>
      </c>
      <c r="X162" s="14">
        <v>22683.8</v>
      </c>
      <c r="Y162" s="14">
        <v>22748.1</v>
      </c>
      <c r="Z162" s="14">
        <v>21409.599999999999</v>
      </c>
      <c r="AA162" s="14"/>
      <c r="AB162" s="14"/>
      <c r="AC162" s="15">
        <f>IFERROR(Z162/G162-1,"")</f>
        <v>0.35566432592273634</v>
      </c>
      <c r="AD162" s="15">
        <f>IFERROR((Z162/G162)^(1/19)-1,"")</f>
        <v>1.6144281048447118E-2</v>
      </c>
    </row>
    <row r="163" spans="1:30">
      <c r="A163" s="45" t="s">
        <v>387</v>
      </c>
      <c r="B163" s="45" t="s">
        <v>388</v>
      </c>
      <c r="C163" s="45" t="s">
        <v>498</v>
      </c>
      <c r="D163" s="45" t="s">
        <v>495</v>
      </c>
      <c r="E163" s="45" t="s">
        <v>499</v>
      </c>
      <c r="F163" s="45" t="s">
        <v>500</v>
      </c>
      <c r="G163" s="14">
        <v>822.2</v>
      </c>
      <c r="H163" s="14">
        <v>591.4</v>
      </c>
      <c r="I163" s="14">
        <v>623.6</v>
      </c>
      <c r="J163" s="14">
        <v>642.29999999999995</v>
      </c>
      <c r="K163" s="14">
        <v>692.8</v>
      </c>
      <c r="L163" s="14">
        <v>706</v>
      </c>
      <c r="M163" s="14">
        <v>702.4</v>
      </c>
      <c r="N163" s="14">
        <v>711.3</v>
      </c>
      <c r="O163" s="14">
        <v>623</v>
      </c>
      <c r="P163" s="14">
        <v>661</v>
      </c>
      <c r="Q163" s="14">
        <v>964.7</v>
      </c>
      <c r="R163" s="14">
        <v>766.9</v>
      </c>
      <c r="S163" s="14">
        <v>817.3</v>
      </c>
      <c r="T163" s="14">
        <v>756.4</v>
      </c>
      <c r="U163" s="14">
        <v>850.1</v>
      </c>
      <c r="V163" s="14">
        <v>818.7</v>
      </c>
      <c r="W163" s="14">
        <v>805.2</v>
      </c>
      <c r="X163" s="14">
        <v>856.9</v>
      </c>
      <c r="Y163" s="14">
        <v>800</v>
      </c>
      <c r="Z163" s="14">
        <v>835.6</v>
      </c>
      <c r="AA163" s="14"/>
      <c r="AB163" s="14"/>
      <c r="AC163" s="15">
        <f>IFERROR(Z163/G163-1,"")</f>
        <v>1.629773777669663E-2</v>
      </c>
      <c r="AD163" s="15">
        <f>IFERROR((Z163/G163)^(1/19)-1,"")</f>
        <v>8.5122288571937155E-4</v>
      </c>
    </row>
    <row r="164" spans="1:30">
      <c r="A164" s="45" t="s">
        <v>387</v>
      </c>
      <c r="B164" s="45" t="s">
        <v>388</v>
      </c>
      <c r="C164" s="45" t="s">
        <v>498</v>
      </c>
      <c r="D164" s="45" t="s">
        <v>496</v>
      </c>
      <c r="E164" s="45" t="s">
        <v>499</v>
      </c>
      <c r="F164" s="45" t="s">
        <v>500</v>
      </c>
      <c r="G164" s="14">
        <v>3708.7</v>
      </c>
      <c r="H164" s="14">
        <v>3928.5</v>
      </c>
      <c r="I164" s="14">
        <v>3861.2</v>
      </c>
      <c r="J164" s="14">
        <v>3520.3</v>
      </c>
      <c r="K164" s="14">
        <v>4074.9</v>
      </c>
      <c r="L164" s="14">
        <v>4117.5</v>
      </c>
      <c r="M164" s="14">
        <v>4054.5</v>
      </c>
      <c r="N164" s="14">
        <v>4099.5</v>
      </c>
      <c r="O164" s="14">
        <v>4375</v>
      </c>
      <c r="P164" s="14">
        <v>4805.3</v>
      </c>
      <c r="Q164" s="14">
        <v>6140.8</v>
      </c>
      <c r="R164" s="14">
        <v>5306.4</v>
      </c>
      <c r="S164" s="14">
        <v>5331.2</v>
      </c>
      <c r="T164" s="14">
        <v>5011.8</v>
      </c>
      <c r="U164" s="14">
        <v>5201.3</v>
      </c>
      <c r="V164" s="14">
        <v>5287</v>
      </c>
      <c r="W164" s="14">
        <v>4956</v>
      </c>
      <c r="X164" s="14">
        <v>5338.3</v>
      </c>
      <c r="Y164" s="14">
        <v>5373.7</v>
      </c>
      <c r="Z164" s="14">
        <v>4876.3</v>
      </c>
      <c r="AA164" s="14"/>
      <c r="AB164" s="14"/>
      <c r="AC164" s="15">
        <f>IFERROR(Z164/G164-1,"")</f>
        <v>0.31482729797503173</v>
      </c>
      <c r="AD164" s="15">
        <f>IFERROR((Z164/G164)^(1/19)-1,"")</f>
        <v>1.4509803282369393E-2</v>
      </c>
    </row>
    <row r="165" spans="1:30">
      <c r="A165" s="45" t="s">
        <v>387</v>
      </c>
      <c r="B165" s="45" t="s">
        <v>388</v>
      </c>
      <c r="C165" s="45" t="s">
        <v>498</v>
      </c>
      <c r="D165" s="45" t="s">
        <v>497</v>
      </c>
      <c r="E165" s="45" t="s">
        <v>499</v>
      </c>
      <c r="F165" s="45" t="s">
        <v>500</v>
      </c>
      <c r="G165" s="14">
        <v>9115.7000000000007</v>
      </c>
      <c r="H165" s="14">
        <v>8973</v>
      </c>
      <c r="I165" s="14">
        <v>9380.7999999999993</v>
      </c>
      <c r="J165" s="14">
        <v>10464.9</v>
      </c>
      <c r="K165" s="14">
        <v>11427.9</v>
      </c>
      <c r="L165" s="14">
        <v>12004.3</v>
      </c>
      <c r="M165" s="14">
        <v>12657.2</v>
      </c>
      <c r="N165" s="14">
        <v>12752.8</v>
      </c>
      <c r="O165" s="14">
        <v>13073</v>
      </c>
      <c r="P165" s="14">
        <v>13586.8</v>
      </c>
      <c r="Q165" s="14">
        <v>13847.6</v>
      </c>
      <c r="R165" s="14">
        <v>14379</v>
      </c>
      <c r="S165" s="14">
        <v>13979.8</v>
      </c>
      <c r="T165" s="14">
        <v>13613</v>
      </c>
      <c r="U165" s="14">
        <v>13444.5</v>
      </c>
      <c r="V165" s="14">
        <v>14166.5</v>
      </c>
      <c r="W165" s="14">
        <v>14139.4</v>
      </c>
      <c r="X165" s="14">
        <v>15124.4</v>
      </c>
      <c r="Y165" s="14">
        <v>14782.3</v>
      </c>
      <c r="Z165" s="14">
        <v>14229.2</v>
      </c>
      <c r="AA165" s="14"/>
      <c r="AB165" s="14"/>
      <c r="AC165" s="15">
        <f>IFERROR(Z165/G165-1,"")</f>
        <v>0.56095527496516984</v>
      </c>
      <c r="AD165" s="15">
        <f>IFERROR((Z165/G165)^(1/19)-1,"")</f>
        <v>2.3713534786379498E-2</v>
      </c>
    </row>
    <row r="166" spans="1:30">
      <c r="A166" s="45" t="s">
        <v>387</v>
      </c>
      <c r="B166" s="45" t="s">
        <v>388</v>
      </c>
      <c r="C166" s="45" t="s">
        <v>498</v>
      </c>
      <c r="D166" s="45" t="s">
        <v>501</v>
      </c>
      <c r="E166" s="45" t="s">
        <v>499</v>
      </c>
      <c r="F166" s="45" t="s">
        <v>500</v>
      </c>
      <c r="G166" s="14">
        <v>1513.4</v>
      </c>
      <c r="H166" s="14">
        <v>2583.1</v>
      </c>
      <c r="I166" s="14">
        <v>2150.6999999999998</v>
      </c>
      <c r="J166" s="14">
        <v>1647.7</v>
      </c>
      <c r="K166" s="14">
        <v>1618.8</v>
      </c>
      <c r="L166" s="14">
        <v>1351.4</v>
      </c>
      <c r="M166" s="14">
        <v>2120.4</v>
      </c>
      <c r="N166" s="14">
        <v>1524.4</v>
      </c>
      <c r="O166" s="14">
        <v>987</v>
      </c>
      <c r="P166" s="14">
        <v>1216.8</v>
      </c>
      <c r="Q166" s="14">
        <v>620.9</v>
      </c>
      <c r="R166" s="14">
        <v>697.7</v>
      </c>
      <c r="S166" s="14">
        <v>565.1</v>
      </c>
      <c r="T166" s="14">
        <v>611</v>
      </c>
      <c r="U166" s="14">
        <v>600.1</v>
      </c>
      <c r="V166" s="14">
        <v>559.29999999999995</v>
      </c>
      <c r="W166" s="14">
        <v>538.79999999999995</v>
      </c>
      <c r="X166" s="14">
        <v>695</v>
      </c>
      <c r="Y166" s="14">
        <v>1069.0999999999999</v>
      </c>
      <c r="Z166" s="14">
        <v>743.6</v>
      </c>
      <c r="AA166" s="14"/>
      <c r="AB166" s="14"/>
      <c r="AC166" s="15">
        <f>IFERROR(Z166/G166-1,"")</f>
        <v>-0.50865600634333297</v>
      </c>
      <c r="AD166" s="15">
        <f>IFERROR((Z166/G166)^(1/19)-1,"")</f>
        <v>-3.6709805495402037E-2</v>
      </c>
    </row>
    <row r="167" spans="1:30">
      <c r="A167" s="45" t="s">
        <v>295</v>
      </c>
      <c r="B167" s="45" t="s">
        <v>296</v>
      </c>
      <c r="C167" s="45" t="s">
        <v>490</v>
      </c>
      <c r="D167" s="45" t="s">
        <v>491</v>
      </c>
      <c r="E167" s="45" t="s">
        <v>492</v>
      </c>
      <c r="F167" s="45" t="s">
        <v>493</v>
      </c>
      <c r="G167" s="14">
        <v>10614</v>
      </c>
      <c r="H167" s="14">
        <v>11331</v>
      </c>
      <c r="I167" s="14">
        <v>13721</v>
      </c>
      <c r="J167" s="14">
        <v>14129</v>
      </c>
      <c r="K167" s="14">
        <v>17362</v>
      </c>
      <c r="L167" s="14">
        <v>20206</v>
      </c>
      <c r="M167" s="14">
        <v>22175</v>
      </c>
      <c r="N167" s="14">
        <v>25066</v>
      </c>
      <c r="O167" s="14">
        <v>26051</v>
      </c>
      <c r="P167" s="14">
        <v>30400</v>
      </c>
      <c r="Q167" s="14">
        <v>31113</v>
      </c>
      <c r="R167" s="14">
        <v>34670</v>
      </c>
      <c r="S167" s="14">
        <v>37280</v>
      </c>
      <c r="T167" s="14">
        <v>39951</v>
      </c>
      <c r="U167" s="14">
        <v>40574</v>
      </c>
      <c r="V167" s="14">
        <v>45790</v>
      </c>
      <c r="W167" s="14">
        <v>48524</v>
      </c>
      <c r="X167" s="14">
        <v>53810</v>
      </c>
      <c r="Y167" s="14">
        <v>53930</v>
      </c>
      <c r="Z167" s="14">
        <v>88429</v>
      </c>
      <c r="AA167" s="14">
        <v>120353</v>
      </c>
      <c r="AB167" s="14">
        <v>128584</v>
      </c>
    </row>
    <row r="168" spans="1:30">
      <c r="A168" s="45" t="s">
        <v>295</v>
      </c>
      <c r="B168" s="45" t="s">
        <v>296</v>
      </c>
      <c r="C168" s="45" t="s">
        <v>490</v>
      </c>
      <c r="D168" s="45" t="s">
        <v>494</v>
      </c>
      <c r="E168" s="45" t="s">
        <v>492</v>
      </c>
      <c r="F168" s="45" t="s">
        <v>493</v>
      </c>
      <c r="G168" s="14">
        <v>10286</v>
      </c>
      <c r="H168" s="14">
        <v>11068</v>
      </c>
      <c r="I168" s="14">
        <v>13357</v>
      </c>
      <c r="J168" s="14">
        <v>13743</v>
      </c>
      <c r="K168" s="14">
        <v>16516</v>
      </c>
      <c r="L168" s="14">
        <v>18818</v>
      </c>
      <c r="M168" s="14">
        <v>20868</v>
      </c>
      <c r="N168" s="14">
        <v>23804</v>
      </c>
      <c r="O168" s="14">
        <v>24614</v>
      </c>
      <c r="P168" s="14">
        <v>28432</v>
      </c>
      <c r="Q168" s="14">
        <v>29081</v>
      </c>
      <c r="R168" s="14">
        <v>32443</v>
      </c>
      <c r="S168" s="14">
        <v>35300</v>
      </c>
      <c r="T168" s="14">
        <v>37469</v>
      </c>
      <c r="U168" s="14">
        <v>39631</v>
      </c>
      <c r="V168" s="14">
        <v>44919</v>
      </c>
      <c r="W168" s="14">
        <v>47428</v>
      </c>
      <c r="X168" s="14">
        <v>52535</v>
      </c>
      <c r="Y168" s="14">
        <v>52590</v>
      </c>
      <c r="Z168" s="14">
        <v>85815</v>
      </c>
      <c r="AA168" s="14"/>
      <c r="AB168" s="14"/>
    </row>
    <row r="169" spans="1:30">
      <c r="A169" s="45" t="s">
        <v>295</v>
      </c>
      <c r="B169" s="45" t="s">
        <v>296</v>
      </c>
      <c r="C169" s="45" t="s">
        <v>490</v>
      </c>
      <c r="D169" s="45" t="s">
        <v>495</v>
      </c>
      <c r="E169" s="45" t="s">
        <v>492</v>
      </c>
      <c r="F169" s="45" t="s">
        <v>493</v>
      </c>
      <c r="G169" s="14">
        <v>591</v>
      </c>
      <c r="H169" s="14">
        <v>294</v>
      </c>
      <c r="I169" s="14">
        <v>468</v>
      </c>
      <c r="J169" s="14">
        <v>463</v>
      </c>
      <c r="K169" s="14">
        <v>503</v>
      </c>
      <c r="L169" s="14">
        <v>575</v>
      </c>
      <c r="M169" s="14">
        <v>553</v>
      </c>
      <c r="N169" s="14">
        <v>797</v>
      </c>
      <c r="O169" s="14">
        <v>682</v>
      </c>
      <c r="P169" s="14">
        <v>679</v>
      </c>
      <c r="Q169" s="14">
        <v>899</v>
      </c>
      <c r="R169" s="14">
        <v>853</v>
      </c>
      <c r="S169" s="14">
        <v>865</v>
      </c>
      <c r="T169" s="14">
        <v>932</v>
      </c>
      <c r="U169" s="14">
        <v>1197</v>
      </c>
      <c r="V169" s="14">
        <v>1168</v>
      </c>
      <c r="W169" s="14">
        <v>1151</v>
      </c>
      <c r="X169" s="14">
        <v>1274</v>
      </c>
      <c r="Y169" s="14">
        <v>1258</v>
      </c>
      <c r="Z169" s="14">
        <v>31441</v>
      </c>
      <c r="AA169" s="14"/>
      <c r="AB169" s="14"/>
    </row>
    <row r="170" spans="1:30">
      <c r="A170" s="45" t="s">
        <v>295</v>
      </c>
      <c r="B170" s="45" t="s">
        <v>296</v>
      </c>
      <c r="C170" s="45" t="s">
        <v>490</v>
      </c>
      <c r="D170" s="45" t="s">
        <v>496</v>
      </c>
      <c r="E170" s="45" t="s">
        <v>492</v>
      </c>
      <c r="F170" s="45" t="s">
        <v>493</v>
      </c>
      <c r="G170" s="14">
        <v>2030</v>
      </c>
      <c r="H170" s="14">
        <v>1876</v>
      </c>
      <c r="I170" s="14">
        <v>2421</v>
      </c>
      <c r="J170" s="14">
        <v>2405</v>
      </c>
      <c r="K170" s="14">
        <v>2782</v>
      </c>
      <c r="L170" s="14">
        <v>3059</v>
      </c>
      <c r="M170" s="14">
        <v>3209</v>
      </c>
      <c r="N170" s="14">
        <v>4042</v>
      </c>
      <c r="O170" s="14">
        <v>4456</v>
      </c>
      <c r="P170" s="14">
        <v>4786</v>
      </c>
      <c r="Q170" s="14">
        <v>5202</v>
      </c>
      <c r="R170" s="14">
        <v>5713</v>
      </c>
      <c r="S170" s="14">
        <v>5533</v>
      </c>
      <c r="T170" s="14">
        <v>6228</v>
      </c>
      <c r="U170" s="14">
        <v>6725</v>
      </c>
      <c r="V170" s="14">
        <v>7447</v>
      </c>
      <c r="W170" s="14">
        <v>8704</v>
      </c>
      <c r="X170" s="14">
        <v>9752</v>
      </c>
      <c r="Y170" s="14">
        <v>10000</v>
      </c>
      <c r="Z170" s="14">
        <v>10398</v>
      </c>
      <c r="AA170" s="14"/>
      <c r="AB170" s="14"/>
    </row>
    <row r="171" spans="1:30">
      <c r="A171" s="45" t="s">
        <v>295</v>
      </c>
      <c r="B171" s="45" t="s">
        <v>296</v>
      </c>
      <c r="C171" s="45" t="s">
        <v>490</v>
      </c>
      <c r="D171" s="45" t="s">
        <v>497</v>
      </c>
      <c r="E171" s="45" t="s">
        <v>492</v>
      </c>
      <c r="F171" s="45" t="s">
        <v>493</v>
      </c>
      <c r="G171" s="14">
        <v>6033</v>
      </c>
      <c r="H171" s="14">
        <v>6772</v>
      </c>
      <c r="I171" s="14">
        <v>7931</v>
      </c>
      <c r="J171" s="14">
        <v>8810</v>
      </c>
      <c r="K171" s="14">
        <v>10273</v>
      </c>
      <c r="L171" s="14">
        <v>12327</v>
      </c>
      <c r="M171" s="14">
        <v>13857</v>
      </c>
      <c r="N171" s="14">
        <v>15493</v>
      </c>
      <c r="O171" s="14">
        <v>16942</v>
      </c>
      <c r="P171" s="14">
        <v>19092</v>
      </c>
      <c r="Q171" s="14">
        <v>20335</v>
      </c>
      <c r="R171" s="14">
        <v>22516</v>
      </c>
      <c r="S171" s="14">
        <v>25992</v>
      </c>
      <c r="T171" s="14">
        <v>26692</v>
      </c>
      <c r="U171" s="14">
        <v>28086</v>
      </c>
      <c r="V171" s="14">
        <v>31966</v>
      </c>
      <c r="W171" s="14">
        <v>32989</v>
      </c>
      <c r="X171" s="14">
        <v>36062</v>
      </c>
      <c r="Y171" s="14">
        <v>36655</v>
      </c>
      <c r="Z171" s="14">
        <v>38549</v>
      </c>
      <c r="AA171" s="14"/>
      <c r="AB171" s="14"/>
    </row>
    <row r="172" spans="1:30">
      <c r="A172" s="45" t="s">
        <v>295</v>
      </c>
      <c r="B172" s="45" t="s">
        <v>296</v>
      </c>
      <c r="C172" s="45" t="s">
        <v>498</v>
      </c>
      <c r="D172" s="45" t="s">
        <v>491</v>
      </c>
      <c r="E172" s="45" t="s">
        <v>499</v>
      </c>
      <c r="F172" s="45" t="s">
        <v>500</v>
      </c>
      <c r="G172" s="14">
        <v>20164.400000000001</v>
      </c>
      <c r="H172" s="14">
        <v>18867.7</v>
      </c>
      <c r="I172" s="14">
        <v>21202.7</v>
      </c>
      <c r="J172" s="14">
        <v>20323.8</v>
      </c>
      <c r="K172" s="14">
        <v>23389.200000000001</v>
      </c>
      <c r="L172" s="14">
        <v>25574.1</v>
      </c>
      <c r="M172" s="14">
        <v>25801.5</v>
      </c>
      <c r="N172" s="14">
        <v>27177.4</v>
      </c>
      <c r="O172" s="14">
        <v>26051</v>
      </c>
      <c r="P172" s="14">
        <v>28065.4</v>
      </c>
      <c r="Q172" s="14">
        <v>26609.9</v>
      </c>
      <c r="R172" s="14">
        <v>27582.2</v>
      </c>
      <c r="S172" s="14">
        <v>27500.7</v>
      </c>
      <c r="T172" s="14">
        <v>27398.1</v>
      </c>
      <c r="U172" s="14">
        <v>25739.5</v>
      </c>
      <c r="V172" s="14">
        <v>28019.7</v>
      </c>
      <c r="W172" s="14">
        <v>28415.8</v>
      </c>
      <c r="X172" s="14">
        <v>30234.2</v>
      </c>
      <c r="Y172" s="14">
        <v>28459.599999999999</v>
      </c>
      <c r="Z172" s="14">
        <v>41279.300000000003</v>
      </c>
      <c r="AA172" s="14"/>
      <c r="AB172" s="14"/>
      <c r="AC172" s="15">
        <f>IFERROR(Z172/G172-1,"")</f>
        <v>1.0471375295074488</v>
      </c>
      <c r="AD172" s="15">
        <f>IFERROR((Z172/G172)^(1/19)-1,"")</f>
        <v>3.8427447893799371E-2</v>
      </c>
    </row>
    <row r="173" spans="1:30">
      <c r="A173" s="45" t="s">
        <v>295</v>
      </c>
      <c r="B173" s="45" t="s">
        <v>296</v>
      </c>
      <c r="C173" s="45" t="s">
        <v>498</v>
      </c>
      <c r="D173" s="45" t="s">
        <v>495</v>
      </c>
      <c r="E173" s="45" t="s">
        <v>499</v>
      </c>
      <c r="F173" s="45" t="s">
        <v>500</v>
      </c>
      <c r="G173" s="14">
        <v>1123.3</v>
      </c>
      <c r="H173" s="14">
        <v>489.5</v>
      </c>
      <c r="I173" s="14">
        <v>723</v>
      </c>
      <c r="J173" s="14">
        <v>666.6</v>
      </c>
      <c r="K173" s="14">
        <v>677.3</v>
      </c>
      <c r="L173" s="14">
        <v>727.4</v>
      </c>
      <c r="M173" s="14">
        <v>643.5</v>
      </c>
      <c r="N173" s="14">
        <v>864.1</v>
      </c>
      <c r="O173" s="14">
        <v>682</v>
      </c>
      <c r="P173" s="14">
        <v>626.9</v>
      </c>
      <c r="Q173" s="14">
        <v>768.9</v>
      </c>
      <c r="R173" s="14">
        <v>678.6</v>
      </c>
      <c r="S173" s="14">
        <v>638.1</v>
      </c>
      <c r="T173" s="14">
        <v>639.20000000000005</v>
      </c>
      <c r="U173" s="14">
        <v>759.4</v>
      </c>
      <c r="V173" s="14">
        <v>714.7</v>
      </c>
      <c r="W173" s="14">
        <v>674</v>
      </c>
      <c r="X173" s="14">
        <v>715.8</v>
      </c>
      <c r="Y173" s="14">
        <v>663.9</v>
      </c>
      <c r="Z173" s="14">
        <v>14676.9</v>
      </c>
      <c r="AA173" s="14"/>
      <c r="AB173" s="14"/>
      <c r="AC173" s="15">
        <f>IFERROR(Z173/G173-1,"")</f>
        <v>12.065877325736668</v>
      </c>
      <c r="AD173" s="15">
        <f>IFERROR((Z173/G173)^(1/19)-1,"")</f>
        <v>0.14483826176039005</v>
      </c>
    </row>
    <row r="174" spans="1:30">
      <c r="A174" s="45" t="s">
        <v>295</v>
      </c>
      <c r="B174" s="45" t="s">
        <v>296</v>
      </c>
      <c r="C174" s="45" t="s">
        <v>498</v>
      </c>
      <c r="D174" s="45" t="s">
        <v>496</v>
      </c>
      <c r="E174" s="45" t="s">
        <v>499</v>
      </c>
      <c r="F174" s="45" t="s">
        <v>500</v>
      </c>
      <c r="G174" s="14">
        <v>3856.1</v>
      </c>
      <c r="H174" s="14">
        <v>3123.3</v>
      </c>
      <c r="I174" s="14">
        <v>3741.4</v>
      </c>
      <c r="J174" s="14">
        <v>3459.2</v>
      </c>
      <c r="K174" s="14">
        <v>3748</v>
      </c>
      <c r="L174" s="14">
        <v>3871.2</v>
      </c>
      <c r="M174" s="14">
        <v>3733.6</v>
      </c>
      <c r="N174" s="14">
        <v>4382.5</v>
      </c>
      <c r="O174" s="14">
        <v>4456</v>
      </c>
      <c r="P174" s="14">
        <v>4418.3999999999996</v>
      </c>
      <c r="Q174" s="14">
        <v>4449.1000000000004</v>
      </c>
      <c r="R174" s="14">
        <v>4545.1000000000004</v>
      </c>
      <c r="S174" s="14">
        <v>4081.6</v>
      </c>
      <c r="T174" s="14">
        <v>4271.1000000000004</v>
      </c>
      <c r="U174" s="14">
        <v>4266.2</v>
      </c>
      <c r="V174" s="14">
        <v>4557</v>
      </c>
      <c r="W174" s="14">
        <v>5097.1000000000004</v>
      </c>
      <c r="X174" s="14">
        <v>5479.3</v>
      </c>
      <c r="Y174" s="14">
        <v>5277.1</v>
      </c>
      <c r="Z174" s="14">
        <v>4853.8999999999996</v>
      </c>
      <c r="AA174" s="14"/>
      <c r="AB174" s="14"/>
      <c r="AC174" s="15">
        <f>IFERROR(Z174/G174-1,"")</f>
        <v>0.25875884961489581</v>
      </c>
      <c r="AD174" s="15">
        <f>IFERROR((Z174/G174)^(1/19)-1,"")</f>
        <v>1.2185551179628717E-2</v>
      </c>
    </row>
    <row r="175" spans="1:30">
      <c r="A175" s="45" t="s">
        <v>295</v>
      </c>
      <c r="B175" s="45" t="s">
        <v>296</v>
      </c>
      <c r="C175" s="45" t="s">
        <v>498</v>
      </c>
      <c r="D175" s="45" t="s">
        <v>497</v>
      </c>
      <c r="E175" s="45" t="s">
        <v>499</v>
      </c>
      <c r="F175" s="45" t="s">
        <v>500</v>
      </c>
      <c r="G175" s="14">
        <v>11460.6</v>
      </c>
      <c r="H175" s="14">
        <v>11275.4</v>
      </c>
      <c r="I175" s="14">
        <v>12255.6</v>
      </c>
      <c r="J175" s="14">
        <v>12672.2</v>
      </c>
      <c r="K175" s="14">
        <v>13839.5</v>
      </c>
      <c r="L175" s="14">
        <v>15601.3</v>
      </c>
      <c r="M175" s="14">
        <v>16123.1</v>
      </c>
      <c r="N175" s="14">
        <v>16798</v>
      </c>
      <c r="O175" s="14">
        <v>16942</v>
      </c>
      <c r="P175" s="14">
        <v>17625.8</v>
      </c>
      <c r="Q175" s="14">
        <v>17391.900000000001</v>
      </c>
      <c r="R175" s="14">
        <v>17912.900000000001</v>
      </c>
      <c r="S175" s="14">
        <v>19173.8</v>
      </c>
      <c r="T175" s="14">
        <v>18305.2</v>
      </c>
      <c r="U175" s="14">
        <v>17817.3</v>
      </c>
      <c r="V175" s="14">
        <v>19560.599999999999</v>
      </c>
      <c r="W175" s="14">
        <v>19318.5</v>
      </c>
      <c r="X175" s="14">
        <v>20262.099999999999</v>
      </c>
      <c r="Y175" s="14">
        <v>19343.3</v>
      </c>
      <c r="Z175" s="14">
        <v>17995.400000000001</v>
      </c>
      <c r="AA175" s="14"/>
      <c r="AB175" s="14"/>
      <c r="AC175" s="15">
        <f>IFERROR(Z175/G175-1,"")</f>
        <v>0.57019702284348117</v>
      </c>
      <c r="AD175" s="15">
        <f>IFERROR((Z175/G175)^(1/19)-1,"")</f>
        <v>2.4031641981867802E-2</v>
      </c>
    </row>
    <row r="176" spans="1:30">
      <c r="A176" s="45" t="s">
        <v>295</v>
      </c>
      <c r="B176" s="45" t="s">
        <v>296</v>
      </c>
      <c r="C176" s="45" t="s">
        <v>498</v>
      </c>
      <c r="D176" s="45" t="s">
        <v>501</v>
      </c>
      <c r="E176" s="45" t="s">
        <v>499</v>
      </c>
      <c r="F176" s="45" t="s">
        <v>500</v>
      </c>
      <c r="G176" s="14">
        <v>3100.7</v>
      </c>
      <c r="H176" s="14">
        <v>3541</v>
      </c>
      <c r="I176" s="14">
        <v>3921.1</v>
      </c>
      <c r="J176" s="14">
        <v>2970.9</v>
      </c>
      <c r="K176" s="14">
        <v>3984.8</v>
      </c>
      <c r="L176" s="14">
        <v>3618</v>
      </c>
      <c r="M176" s="14">
        <v>3780.8</v>
      </c>
      <c r="N176" s="14">
        <v>3763.4</v>
      </c>
      <c r="O176" s="14">
        <v>2533</v>
      </c>
      <c r="P176" s="14">
        <v>3576.5</v>
      </c>
      <c r="Q176" s="14">
        <v>2262.1999999999998</v>
      </c>
      <c r="R176" s="14">
        <v>2673.9</v>
      </c>
      <c r="S176" s="14">
        <v>2147.4</v>
      </c>
      <c r="T176" s="14">
        <v>2480.5</v>
      </c>
      <c r="U176" s="14">
        <v>2299</v>
      </c>
      <c r="V176" s="14">
        <v>2654.5</v>
      </c>
      <c r="W176" s="14">
        <v>2683.8</v>
      </c>
      <c r="X176" s="14">
        <v>3060.5</v>
      </c>
      <c r="Y176" s="14">
        <v>2468.1</v>
      </c>
      <c r="Z176" s="14">
        <v>2533.8000000000002</v>
      </c>
      <c r="AA176" s="14"/>
      <c r="AB176" s="14"/>
      <c r="AC176" s="15">
        <f>IFERROR(Z176/G176-1,"")</f>
        <v>-0.18282968361982765</v>
      </c>
      <c r="AD176" s="15">
        <f>IFERROR((Z176/G176)^(1/19)-1,"")</f>
        <v>-1.0570459026765566E-2</v>
      </c>
    </row>
    <row r="177" spans="1:30">
      <c r="A177" s="45" t="s">
        <v>181</v>
      </c>
      <c r="B177" s="45" t="s">
        <v>182</v>
      </c>
      <c r="C177" s="45" t="s">
        <v>490</v>
      </c>
      <c r="D177" s="45" t="s">
        <v>491</v>
      </c>
      <c r="E177" s="45" t="s">
        <v>492</v>
      </c>
      <c r="F177" s="45" t="s">
        <v>493</v>
      </c>
      <c r="G177" s="14">
        <v>7331</v>
      </c>
      <c r="H177" s="14">
        <v>7428</v>
      </c>
      <c r="I177" s="14">
        <v>8666</v>
      </c>
      <c r="J177" s="14">
        <v>9533</v>
      </c>
      <c r="K177" s="14">
        <v>13225</v>
      </c>
      <c r="L177" s="14">
        <v>12977</v>
      </c>
      <c r="M177" s="14">
        <v>14056</v>
      </c>
      <c r="N177" s="14">
        <v>16201</v>
      </c>
      <c r="O177" s="14">
        <v>16762</v>
      </c>
      <c r="P177" s="14">
        <v>22434</v>
      </c>
      <c r="Q177" s="14">
        <v>21183</v>
      </c>
      <c r="R177" s="14">
        <v>42023</v>
      </c>
      <c r="S177" s="14">
        <v>82117</v>
      </c>
      <c r="T177" s="14">
        <v>38695</v>
      </c>
      <c r="U177" s="14">
        <v>41438</v>
      </c>
      <c r="V177" s="14">
        <v>221682</v>
      </c>
      <c r="W177" s="14">
        <v>300405</v>
      </c>
      <c r="X177" s="14">
        <v>232146</v>
      </c>
      <c r="Y177" s="14">
        <v>262311</v>
      </c>
      <c r="Z177" s="14">
        <v>286574</v>
      </c>
      <c r="AA177" s="14">
        <v>229572</v>
      </c>
      <c r="AB177" s="14">
        <v>240166</v>
      </c>
    </row>
    <row r="178" spans="1:30">
      <c r="A178" s="45" t="s">
        <v>181</v>
      </c>
      <c r="B178" s="45" t="s">
        <v>182</v>
      </c>
      <c r="C178" s="45" t="s">
        <v>490</v>
      </c>
      <c r="D178" s="45" t="s">
        <v>494</v>
      </c>
      <c r="E178" s="45" t="s">
        <v>492</v>
      </c>
      <c r="F178" s="45" t="s">
        <v>493</v>
      </c>
      <c r="G178" s="14">
        <v>7097</v>
      </c>
      <c r="H178" s="14">
        <v>7218</v>
      </c>
      <c r="I178" s="14">
        <v>8408</v>
      </c>
      <c r="J178" s="14">
        <v>9208</v>
      </c>
      <c r="K178" s="14">
        <v>12322</v>
      </c>
      <c r="L178" s="14">
        <v>12057</v>
      </c>
      <c r="M178" s="14">
        <v>13201</v>
      </c>
      <c r="N178" s="14">
        <v>15361</v>
      </c>
      <c r="O178" s="14">
        <v>15564</v>
      </c>
      <c r="P178" s="14">
        <v>20855</v>
      </c>
      <c r="Q178" s="14">
        <v>18703</v>
      </c>
      <c r="R178" s="14">
        <v>29884</v>
      </c>
      <c r="S178" s="14">
        <v>60990</v>
      </c>
      <c r="T178" s="14">
        <v>34163</v>
      </c>
      <c r="U178" s="14">
        <v>37097</v>
      </c>
      <c r="V178" s="14">
        <v>214265</v>
      </c>
      <c r="W178" s="14">
        <v>298836</v>
      </c>
      <c r="X178" s="14">
        <v>229720</v>
      </c>
      <c r="Y178" s="14">
        <v>260353</v>
      </c>
      <c r="Z178" s="14">
        <v>283980</v>
      </c>
      <c r="AA178" s="14"/>
      <c r="AB178" s="14"/>
    </row>
    <row r="179" spans="1:30">
      <c r="A179" s="45" t="s">
        <v>181</v>
      </c>
      <c r="B179" s="45" t="s">
        <v>182</v>
      </c>
      <c r="C179" s="45" t="s">
        <v>490</v>
      </c>
      <c r="D179" s="45" t="s">
        <v>495</v>
      </c>
      <c r="E179" s="45" t="s">
        <v>492</v>
      </c>
      <c r="F179" s="45" t="s">
        <v>493</v>
      </c>
      <c r="G179" s="14">
        <v>1030</v>
      </c>
      <c r="H179" s="14">
        <v>640</v>
      </c>
      <c r="I179" s="14">
        <v>561</v>
      </c>
      <c r="J179" s="14">
        <v>307</v>
      </c>
      <c r="K179" s="14">
        <v>368</v>
      </c>
      <c r="L179" s="14">
        <v>429</v>
      </c>
      <c r="M179" s="14">
        <v>409</v>
      </c>
      <c r="N179" s="14">
        <v>546</v>
      </c>
      <c r="O179" s="14">
        <v>484</v>
      </c>
      <c r="P179" s="14">
        <v>2596</v>
      </c>
      <c r="Q179" s="14">
        <v>832</v>
      </c>
      <c r="R179" s="14">
        <v>7810</v>
      </c>
      <c r="S179" s="14">
        <v>27278</v>
      </c>
      <c r="T179" s="14">
        <v>8356</v>
      </c>
      <c r="U179" s="14">
        <v>7764</v>
      </c>
      <c r="V179" s="14">
        <v>176648</v>
      </c>
      <c r="W179" s="14">
        <v>267355</v>
      </c>
      <c r="X179" s="14">
        <v>197020</v>
      </c>
      <c r="Y179" s="14">
        <v>222912</v>
      </c>
      <c r="Z179" s="14">
        <v>246251</v>
      </c>
      <c r="AA179" s="14"/>
      <c r="AB179" s="14"/>
    </row>
    <row r="180" spans="1:30">
      <c r="A180" s="45" t="s">
        <v>181</v>
      </c>
      <c r="B180" s="45" t="s">
        <v>182</v>
      </c>
      <c r="C180" s="45" t="s">
        <v>490</v>
      </c>
      <c r="D180" s="45" t="s">
        <v>496</v>
      </c>
      <c r="E180" s="45" t="s">
        <v>492</v>
      </c>
      <c r="F180" s="45" t="s">
        <v>493</v>
      </c>
      <c r="G180" s="14">
        <v>1088</v>
      </c>
      <c r="H180" s="14">
        <v>1140</v>
      </c>
      <c r="I180" s="14">
        <v>1362</v>
      </c>
      <c r="J180" s="14">
        <v>1644</v>
      </c>
      <c r="K180" s="14">
        <v>2076</v>
      </c>
      <c r="L180" s="14">
        <v>2237</v>
      </c>
      <c r="M180" s="14">
        <v>2272</v>
      </c>
      <c r="N180" s="14">
        <v>2578</v>
      </c>
      <c r="O180" s="14">
        <v>2884</v>
      </c>
      <c r="P180" s="14">
        <v>3593</v>
      </c>
      <c r="Q180" s="14">
        <v>3597</v>
      </c>
      <c r="R180" s="14">
        <v>5637</v>
      </c>
      <c r="S180" s="14">
        <v>16120</v>
      </c>
      <c r="T180" s="14">
        <v>6538</v>
      </c>
      <c r="U180" s="14">
        <v>7706</v>
      </c>
      <c r="V180" s="14">
        <v>12040</v>
      </c>
      <c r="W180" s="14">
        <v>7336</v>
      </c>
      <c r="X180" s="14">
        <v>7583</v>
      </c>
      <c r="Y180" s="14">
        <v>8709</v>
      </c>
      <c r="Z180" s="14">
        <v>9465</v>
      </c>
      <c r="AA180" s="14"/>
      <c r="AB180" s="14"/>
    </row>
    <row r="181" spans="1:30">
      <c r="A181" s="45" t="s">
        <v>181</v>
      </c>
      <c r="B181" s="45" t="s">
        <v>182</v>
      </c>
      <c r="C181" s="45" t="s">
        <v>490</v>
      </c>
      <c r="D181" s="45" t="s">
        <v>497</v>
      </c>
      <c r="E181" s="45" t="s">
        <v>492</v>
      </c>
      <c r="F181" s="45" t="s">
        <v>493</v>
      </c>
      <c r="G181" s="14">
        <v>3861</v>
      </c>
      <c r="H181" s="14">
        <v>4171</v>
      </c>
      <c r="I181" s="14">
        <v>4543</v>
      </c>
      <c r="J181" s="14">
        <v>5622</v>
      </c>
      <c r="K181" s="14">
        <v>6505</v>
      </c>
      <c r="L181" s="14">
        <v>7761</v>
      </c>
      <c r="M181" s="14">
        <v>8758</v>
      </c>
      <c r="N181" s="14">
        <v>10224</v>
      </c>
      <c r="O181" s="14">
        <v>10257</v>
      </c>
      <c r="P181" s="14">
        <v>11813</v>
      </c>
      <c r="Q181" s="14">
        <v>13112</v>
      </c>
      <c r="R181" s="14">
        <v>14977</v>
      </c>
      <c r="S181" s="14">
        <v>16152</v>
      </c>
      <c r="T181" s="14">
        <v>16078</v>
      </c>
      <c r="U181" s="14">
        <v>18906</v>
      </c>
      <c r="V181" s="14">
        <v>22734</v>
      </c>
      <c r="W181" s="14">
        <v>20814</v>
      </c>
      <c r="X181" s="14">
        <v>21250</v>
      </c>
      <c r="Y181" s="14">
        <v>23480</v>
      </c>
      <c r="Z181" s="14">
        <v>24181</v>
      </c>
      <c r="AA181" s="14"/>
      <c r="AB181" s="14"/>
    </row>
    <row r="182" spans="1:30">
      <c r="A182" s="45" t="s">
        <v>181</v>
      </c>
      <c r="B182" s="45" t="s">
        <v>182</v>
      </c>
      <c r="C182" s="45" t="s">
        <v>498</v>
      </c>
      <c r="D182" s="45" t="s">
        <v>491</v>
      </c>
      <c r="E182" s="45" t="s">
        <v>499</v>
      </c>
      <c r="F182" s="45" t="s">
        <v>500</v>
      </c>
      <c r="G182" s="14">
        <v>13926.9</v>
      </c>
      <c r="H182" s="14">
        <v>12368.4</v>
      </c>
      <c r="I182" s="14">
        <v>13391.1</v>
      </c>
      <c r="J182" s="14">
        <v>13711.9</v>
      </c>
      <c r="K182" s="14">
        <v>17815.7</v>
      </c>
      <c r="L182" s="14">
        <v>16424.900000000001</v>
      </c>
      <c r="M182" s="14">
        <v>16354.7</v>
      </c>
      <c r="N182" s="14">
        <v>17565.7</v>
      </c>
      <c r="O182" s="14">
        <v>16762</v>
      </c>
      <c r="P182" s="14">
        <v>20711.099999999999</v>
      </c>
      <c r="Q182" s="14">
        <v>18117.099999999999</v>
      </c>
      <c r="R182" s="14">
        <v>33432</v>
      </c>
      <c r="S182" s="14">
        <v>60576.1</v>
      </c>
      <c r="T182" s="14">
        <v>26536.7</v>
      </c>
      <c r="U182" s="14">
        <v>26287.599999999999</v>
      </c>
      <c r="V182" s="14">
        <v>135651.29999999999</v>
      </c>
      <c r="W182" s="14">
        <v>175918.3</v>
      </c>
      <c r="X182" s="14">
        <v>130435.7</v>
      </c>
      <c r="Y182" s="14">
        <v>138424.9</v>
      </c>
      <c r="Z182" s="14">
        <v>133774.79999999999</v>
      </c>
      <c r="AA182" s="14"/>
      <c r="AB182" s="14"/>
      <c r="AC182" s="15">
        <f>IFERROR(Z182/G182-1,"")</f>
        <v>8.6054972750576209</v>
      </c>
      <c r="AD182" s="15">
        <f>IFERROR((Z182/G182)^(1/19)-1,"")</f>
        <v>0.12644909701559603</v>
      </c>
    </row>
    <row r="183" spans="1:30">
      <c r="A183" s="45" t="s">
        <v>181</v>
      </c>
      <c r="B183" s="45" t="s">
        <v>182</v>
      </c>
      <c r="C183" s="45" t="s">
        <v>498</v>
      </c>
      <c r="D183" s="45" t="s">
        <v>495</v>
      </c>
      <c r="E183" s="45" t="s">
        <v>499</v>
      </c>
      <c r="F183" s="45" t="s">
        <v>500</v>
      </c>
      <c r="G183" s="14">
        <v>1957.3</v>
      </c>
      <c r="H183" s="14">
        <v>1065</v>
      </c>
      <c r="I183" s="14">
        <v>867.3</v>
      </c>
      <c r="J183" s="14">
        <v>441.1</v>
      </c>
      <c r="K183" s="14">
        <v>495.4</v>
      </c>
      <c r="L183" s="14">
        <v>542.70000000000005</v>
      </c>
      <c r="M183" s="14">
        <v>475.9</v>
      </c>
      <c r="N183" s="14">
        <v>592</v>
      </c>
      <c r="O183" s="14">
        <v>484</v>
      </c>
      <c r="P183" s="14">
        <v>2396.6</v>
      </c>
      <c r="Q183" s="14">
        <v>711.6</v>
      </c>
      <c r="R183" s="14">
        <v>6213.4</v>
      </c>
      <c r="S183" s="14">
        <v>20122.400000000001</v>
      </c>
      <c r="T183" s="14">
        <v>5730.5</v>
      </c>
      <c r="U183" s="14">
        <v>4925.3999999999996</v>
      </c>
      <c r="V183" s="14">
        <v>108094.1</v>
      </c>
      <c r="W183" s="14">
        <v>156564.1</v>
      </c>
      <c r="X183" s="14">
        <v>110699.5</v>
      </c>
      <c r="Y183" s="14">
        <v>117633.5</v>
      </c>
      <c r="Z183" s="14">
        <v>114951.8</v>
      </c>
      <c r="AA183" s="14"/>
      <c r="AB183" s="14"/>
      <c r="AC183" s="15">
        <f>IFERROR(Z183/G183-1,"")</f>
        <v>57.729780820518066</v>
      </c>
      <c r="AD183" s="15">
        <f>IFERROR((Z183/G183)^(1/19)-1,"")</f>
        <v>0.23907561308092906</v>
      </c>
    </row>
    <row r="184" spans="1:30">
      <c r="A184" s="45" t="s">
        <v>181</v>
      </c>
      <c r="B184" s="45" t="s">
        <v>182</v>
      </c>
      <c r="C184" s="45" t="s">
        <v>498</v>
      </c>
      <c r="D184" s="45" t="s">
        <v>496</v>
      </c>
      <c r="E184" s="45" t="s">
        <v>499</v>
      </c>
      <c r="F184" s="45" t="s">
        <v>500</v>
      </c>
      <c r="G184" s="14">
        <v>2066.6999999999998</v>
      </c>
      <c r="H184" s="14">
        <v>1898.2</v>
      </c>
      <c r="I184" s="14">
        <v>2104</v>
      </c>
      <c r="J184" s="14">
        <v>2364.3000000000002</v>
      </c>
      <c r="K184" s="14">
        <v>2796.1</v>
      </c>
      <c r="L184" s="14">
        <v>2830.9</v>
      </c>
      <c r="M184" s="14">
        <v>2643.1</v>
      </c>
      <c r="N184" s="14">
        <v>2795.2</v>
      </c>
      <c r="O184" s="14">
        <v>2884</v>
      </c>
      <c r="P184" s="14">
        <v>3317.1</v>
      </c>
      <c r="Q184" s="14">
        <v>3076.4</v>
      </c>
      <c r="R184" s="14">
        <v>4484.6000000000004</v>
      </c>
      <c r="S184" s="14">
        <v>11891.4</v>
      </c>
      <c r="T184" s="14">
        <v>4483.7</v>
      </c>
      <c r="U184" s="14">
        <v>4888.6000000000004</v>
      </c>
      <c r="V184" s="14">
        <v>7367.5</v>
      </c>
      <c r="W184" s="14">
        <v>4296</v>
      </c>
      <c r="X184" s="14">
        <v>4260.7</v>
      </c>
      <c r="Y184" s="14">
        <v>4595.8999999999996</v>
      </c>
      <c r="Z184" s="14">
        <v>4418.3</v>
      </c>
      <c r="AA184" s="14"/>
      <c r="AB184" s="14"/>
      <c r="AC184" s="15">
        <f>IFERROR(Z184/G184-1,"")</f>
        <v>1.1378526152803992</v>
      </c>
      <c r="AD184" s="15">
        <f>IFERROR((Z184/G184)^(1/19)-1,"")</f>
        <v>4.0799921026804631E-2</v>
      </c>
    </row>
    <row r="185" spans="1:30">
      <c r="A185" s="45" t="s">
        <v>181</v>
      </c>
      <c r="B185" s="45" t="s">
        <v>182</v>
      </c>
      <c r="C185" s="45" t="s">
        <v>498</v>
      </c>
      <c r="D185" s="45" t="s">
        <v>497</v>
      </c>
      <c r="E185" s="45" t="s">
        <v>499</v>
      </c>
      <c r="F185" s="45" t="s">
        <v>500</v>
      </c>
      <c r="G185" s="14">
        <v>7335.2</v>
      </c>
      <c r="H185" s="14">
        <v>6945.6</v>
      </c>
      <c r="I185" s="14">
        <v>7019.6</v>
      </c>
      <c r="J185" s="14">
        <v>8086.2</v>
      </c>
      <c r="K185" s="14">
        <v>8763.2000000000007</v>
      </c>
      <c r="L185" s="14">
        <v>9822.4</v>
      </c>
      <c r="M185" s="14">
        <v>10190.6</v>
      </c>
      <c r="N185" s="14">
        <v>11085.2</v>
      </c>
      <c r="O185" s="14">
        <v>10257</v>
      </c>
      <c r="P185" s="14">
        <v>10905.8</v>
      </c>
      <c r="Q185" s="14">
        <v>11214.3</v>
      </c>
      <c r="R185" s="14">
        <v>11915.2</v>
      </c>
      <c r="S185" s="14">
        <v>11915</v>
      </c>
      <c r="T185" s="14">
        <v>11026.2</v>
      </c>
      <c r="U185" s="14">
        <v>11993.7</v>
      </c>
      <c r="V185" s="14">
        <v>13911.3</v>
      </c>
      <c r="W185" s="14">
        <v>12188.8</v>
      </c>
      <c r="X185" s="14">
        <v>11939.7</v>
      </c>
      <c r="Y185" s="14">
        <v>12390.7</v>
      </c>
      <c r="Z185" s="14">
        <v>11288.3</v>
      </c>
      <c r="AA185" s="14"/>
      <c r="AB185" s="14"/>
      <c r="AC185" s="15">
        <f>IFERROR(Z185/G185-1,"")</f>
        <v>0.53892191078634522</v>
      </c>
      <c r="AD185" s="15">
        <f>IFERROR((Z185/G185)^(1/19)-1,"")</f>
        <v>2.2947874681734648E-2</v>
      </c>
    </row>
    <row r="186" spans="1:30">
      <c r="A186" s="45" t="s">
        <v>181</v>
      </c>
      <c r="B186" s="45" t="s">
        <v>182</v>
      </c>
      <c r="C186" s="45" t="s">
        <v>498</v>
      </c>
      <c r="D186" s="45" t="s">
        <v>501</v>
      </c>
      <c r="E186" s="45" t="s">
        <v>499</v>
      </c>
      <c r="F186" s="45" t="s">
        <v>500</v>
      </c>
      <c r="G186" s="14">
        <v>2122.5</v>
      </c>
      <c r="H186" s="14">
        <v>2109.5</v>
      </c>
      <c r="I186" s="14">
        <v>3001.4</v>
      </c>
      <c r="J186" s="14">
        <v>2353.6999999999998</v>
      </c>
      <c r="K186" s="14">
        <v>4545</v>
      </c>
      <c r="L186" s="14">
        <v>2063.6</v>
      </c>
      <c r="M186" s="14">
        <v>2050</v>
      </c>
      <c r="N186" s="14">
        <v>2182.6</v>
      </c>
      <c r="O186" s="14">
        <v>1939</v>
      </c>
      <c r="P186" s="14">
        <v>2633</v>
      </c>
      <c r="Q186" s="14">
        <v>994.7</v>
      </c>
      <c r="R186" s="14">
        <v>1161.5</v>
      </c>
      <c r="S186" s="14">
        <v>1061.5</v>
      </c>
      <c r="T186" s="14">
        <v>2189</v>
      </c>
      <c r="U186" s="14">
        <v>1725.5</v>
      </c>
      <c r="V186" s="14">
        <v>1739.7</v>
      </c>
      <c r="W186" s="14">
        <v>1951.2</v>
      </c>
      <c r="X186" s="14">
        <v>2172.6999999999998</v>
      </c>
      <c r="Y186" s="14">
        <v>2771.5</v>
      </c>
      <c r="Z186" s="14">
        <v>1906</v>
      </c>
      <c r="AA186" s="14"/>
      <c r="AB186" s="14"/>
      <c r="AC186" s="15">
        <f>IFERROR(Z186/G186-1,"")</f>
        <v>-0.10200235571260308</v>
      </c>
      <c r="AD186" s="15">
        <f>IFERROR((Z186/G186)^(1/19)-1,"")</f>
        <v>-5.6465157425863444E-3</v>
      </c>
    </row>
    <row r="187" spans="1:30">
      <c r="A187" s="45" t="s">
        <v>273</v>
      </c>
      <c r="B187" s="45" t="s">
        <v>274</v>
      </c>
      <c r="C187" s="45" t="s">
        <v>490</v>
      </c>
      <c r="D187" s="45" t="s">
        <v>491</v>
      </c>
      <c r="E187" s="45" t="s">
        <v>492</v>
      </c>
      <c r="F187" s="45" t="s">
        <v>493</v>
      </c>
      <c r="G187" s="14">
        <v>17563</v>
      </c>
      <c r="H187" s="14">
        <v>20479</v>
      </c>
      <c r="I187" s="14">
        <v>24402</v>
      </c>
      <c r="J187" s="14">
        <v>26703</v>
      </c>
      <c r="K187" s="14">
        <v>28357</v>
      </c>
      <c r="L187" s="14">
        <v>32342</v>
      </c>
      <c r="M187" s="14">
        <v>35168</v>
      </c>
      <c r="N187" s="14">
        <v>39314</v>
      </c>
      <c r="O187" s="14">
        <v>41786</v>
      </c>
      <c r="P187" s="14">
        <v>46688</v>
      </c>
      <c r="Q187" s="14">
        <v>53760</v>
      </c>
      <c r="R187" s="14">
        <v>61214</v>
      </c>
      <c r="S187" s="14">
        <v>63745</v>
      </c>
      <c r="T187" s="14">
        <v>70983</v>
      </c>
      <c r="U187" s="14">
        <v>73904</v>
      </c>
      <c r="V187" s="14">
        <v>80674</v>
      </c>
      <c r="W187" s="14">
        <v>86170</v>
      </c>
      <c r="X187" s="14">
        <v>92606</v>
      </c>
      <c r="Y187" s="14">
        <v>98835</v>
      </c>
      <c r="Z187" s="14">
        <v>109336</v>
      </c>
      <c r="AA187" s="14">
        <v>130763</v>
      </c>
      <c r="AB187" s="14">
        <v>140519</v>
      </c>
    </row>
    <row r="188" spans="1:30">
      <c r="A188" s="45" t="s">
        <v>273</v>
      </c>
      <c r="B188" s="45" t="s">
        <v>274</v>
      </c>
      <c r="C188" s="45" t="s">
        <v>490</v>
      </c>
      <c r="D188" s="45" t="s">
        <v>494</v>
      </c>
      <c r="E188" s="45" t="s">
        <v>492</v>
      </c>
      <c r="F188" s="45" t="s">
        <v>493</v>
      </c>
      <c r="G188" s="14">
        <v>16954</v>
      </c>
      <c r="H188" s="14">
        <v>19846</v>
      </c>
      <c r="I188" s="14">
        <v>23600</v>
      </c>
      <c r="J188" s="14">
        <v>25723</v>
      </c>
      <c r="K188" s="14">
        <v>27006</v>
      </c>
      <c r="L188" s="14">
        <v>30124</v>
      </c>
      <c r="M188" s="14">
        <v>33029</v>
      </c>
      <c r="N188" s="14">
        <v>37182</v>
      </c>
      <c r="O188" s="14">
        <v>39277</v>
      </c>
      <c r="P188" s="14">
        <v>43963</v>
      </c>
      <c r="Q188" s="14">
        <v>50399</v>
      </c>
      <c r="R188" s="14">
        <v>57834</v>
      </c>
      <c r="S188" s="14">
        <v>60638</v>
      </c>
      <c r="T188" s="14">
        <v>66542</v>
      </c>
      <c r="U188" s="14">
        <v>69807</v>
      </c>
      <c r="V188" s="14">
        <v>76132</v>
      </c>
      <c r="W188" s="14">
        <v>80620</v>
      </c>
      <c r="X188" s="14">
        <v>87098</v>
      </c>
      <c r="Y188" s="14">
        <v>92691</v>
      </c>
      <c r="Z188" s="14">
        <v>101434</v>
      </c>
      <c r="AA188" s="14"/>
      <c r="AB188" s="14"/>
    </row>
    <row r="189" spans="1:30">
      <c r="A189" s="45" t="s">
        <v>273</v>
      </c>
      <c r="B189" s="45" t="s">
        <v>274</v>
      </c>
      <c r="C189" s="45" t="s">
        <v>490</v>
      </c>
      <c r="D189" s="45" t="s">
        <v>495</v>
      </c>
      <c r="E189" s="45" t="s">
        <v>492</v>
      </c>
      <c r="F189" s="45" t="s">
        <v>493</v>
      </c>
      <c r="G189" s="14">
        <v>972</v>
      </c>
      <c r="H189" s="14">
        <v>852</v>
      </c>
      <c r="I189" s="14">
        <v>1070</v>
      </c>
      <c r="J189" s="14">
        <v>1336</v>
      </c>
      <c r="K189" s="14">
        <v>1179</v>
      </c>
      <c r="L189" s="14">
        <v>1458</v>
      </c>
      <c r="M189" s="14">
        <v>1753</v>
      </c>
      <c r="N189" s="14">
        <v>1706</v>
      </c>
      <c r="O189" s="14">
        <v>1546</v>
      </c>
      <c r="P189" s="14">
        <v>1925</v>
      </c>
      <c r="Q189" s="14">
        <v>2375</v>
      </c>
      <c r="R189" s="14">
        <v>2213</v>
      </c>
      <c r="S189" s="14">
        <v>2330</v>
      </c>
      <c r="T189" s="14">
        <v>2715</v>
      </c>
      <c r="U189" s="14">
        <v>3400</v>
      </c>
      <c r="V189" s="14">
        <v>2996</v>
      </c>
      <c r="W189" s="14">
        <v>3517</v>
      </c>
      <c r="X189" s="14">
        <v>3748</v>
      </c>
      <c r="Y189" s="14">
        <v>3912</v>
      </c>
      <c r="Z189" s="14">
        <v>4441</v>
      </c>
      <c r="AA189" s="14"/>
      <c r="AB189" s="14"/>
    </row>
    <row r="190" spans="1:30">
      <c r="A190" s="45" t="s">
        <v>273</v>
      </c>
      <c r="B190" s="45" t="s">
        <v>274</v>
      </c>
      <c r="C190" s="45" t="s">
        <v>490</v>
      </c>
      <c r="D190" s="45" t="s">
        <v>496</v>
      </c>
      <c r="E190" s="45" t="s">
        <v>492</v>
      </c>
      <c r="F190" s="45" t="s">
        <v>493</v>
      </c>
      <c r="G190" s="14">
        <v>3457</v>
      </c>
      <c r="H190" s="14">
        <v>4057</v>
      </c>
      <c r="I190" s="14">
        <v>4709</v>
      </c>
      <c r="J190" s="14">
        <v>5238</v>
      </c>
      <c r="K190" s="14">
        <v>5566</v>
      </c>
      <c r="L190" s="14">
        <v>6481</v>
      </c>
      <c r="M190" s="14">
        <v>6620</v>
      </c>
      <c r="N190" s="14">
        <v>8227</v>
      </c>
      <c r="O190" s="14">
        <v>8849</v>
      </c>
      <c r="P190" s="14">
        <v>9781</v>
      </c>
      <c r="Q190" s="14">
        <v>15273</v>
      </c>
      <c r="R190" s="14">
        <v>17427</v>
      </c>
      <c r="S190" s="14">
        <v>17573</v>
      </c>
      <c r="T190" s="14">
        <v>19966</v>
      </c>
      <c r="U190" s="14">
        <v>20428</v>
      </c>
      <c r="V190" s="14">
        <v>23769</v>
      </c>
      <c r="W190" s="14">
        <v>27111</v>
      </c>
      <c r="X190" s="14">
        <v>27723</v>
      </c>
      <c r="Y190" s="14">
        <v>29075</v>
      </c>
      <c r="Z190" s="14">
        <v>33612</v>
      </c>
      <c r="AA190" s="14"/>
      <c r="AB190" s="14"/>
    </row>
    <row r="191" spans="1:30">
      <c r="A191" s="45" t="s">
        <v>273</v>
      </c>
      <c r="B191" s="45" t="s">
        <v>274</v>
      </c>
      <c r="C191" s="45" t="s">
        <v>490</v>
      </c>
      <c r="D191" s="45" t="s">
        <v>497</v>
      </c>
      <c r="E191" s="45" t="s">
        <v>492</v>
      </c>
      <c r="F191" s="45" t="s">
        <v>493</v>
      </c>
      <c r="G191" s="14">
        <v>10165</v>
      </c>
      <c r="H191" s="14">
        <v>11413</v>
      </c>
      <c r="I191" s="14">
        <v>12403</v>
      </c>
      <c r="J191" s="14">
        <v>15061</v>
      </c>
      <c r="K191" s="14">
        <v>17201</v>
      </c>
      <c r="L191" s="14">
        <v>18232</v>
      </c>
      <c r="M191" s="14">
        <v>20154</v>
      </c>
      <c r="N191" s="14">
        <v>22905</v>
      </c>
      <c r="O191" s="14">
        <v>25878</v>
      </c>
      <c r="P191" s="14">
        <v>28560</v>
      </c>
      <c r="Q191" s="14">
        <v>30722</v>
      </c>
      <c r="R191" s="14">
        <v>35999</v>
      </c>
      <c r="S191" s="14">
        <v>39120</v>
      </c>
      <c r="T191" s="14">
        <v>41507</v>
      </c>
      <c r="U191" s="14">
        <v>43225</v>
      </c>
      <c r="V191" s="14">
        <v>46603</v>
      </c>
      <c r="W191" s="14">
        <v>47381</v>
      </c>
      <c r="X191" s="14">
        <v>52311</v>
      </c>
      <c r="Y191" s="14">
        <v>53135</v>
      </c>
      <c r="Z191" s="14">
        <v>57970</v>
      </c>
      <c r="AA191" s="14"/>
      <c r="AB191" s="14"/>
    </row>
    <row r="192" spans="1:30">
      <c r="A192" s="45" t="s">
        <v>273</v>
      </c>
      <c r="B192" s="45" t="s">
        <v>274</v>
      </c>
      <c r="C192" s="45" t="s">
        <v>498</v>
      </c>
      <c r="D192" s="45" t="s">
        <v>491</v>
      </c>
      <c r="E192" s="45" t="s">
        <v>499</v>
      </c>
      <c r="F192" s="45" t="s">
        <v>500</v>
      </c>
      <c r="G192" s="14">
        <v>33365.300000000003</v>
      </c>
      <c r="H192" s="14">
        <v>34099.599999999999</v>
      </c>
      <c r="I192" s="14">
        <v>37708.800000000003</v>
      </c>
      <c r="J192" s="14">
        <v>38410.9</v>
      </c>
      <c r="K192" s="14">
        <v>38201.9</v>
      </c>
      <c r="L192" s="14">
        <v>40933.9</v>
      </c>
      <c r="M192" s="14">
        <v>40919.5</v>
      </c>
      <c r="N192" s="14">
        <v>42625.599999999999</v>
      </c>
      <c r="O192" s="14">
        <v>41786</v>
      </c>
      <c r="P192" s="14">
        <v>43102.5</v>
      </c>
      <c r="Q192" s="14">
        <v>45979.199999999997</v>
      </c>
      <c r="R192" s="14">
        <v>48699.7</v>
      </c>
      <c r="S192" s="14">
        <v>47023.4</v>
      </c>
      <c r="T192" s="14">
        <v>48679.6</v>
      </c>
      <c r="U192" s="14">
        <v>46883.5</v>
      </c>
      <c r="V192" s="14">
        <v>49365.9</v>
      </c>
      <c r="W192" s="14">
        <v>50461.5</v>
      </c>
      <c r="X192" s="14">
        <v>52032.5</v>
      </c>
      <c r="Y192" s="14">
        <v>52156.5</v>
      </c>
      <c r="Z192" s="14">
        <v>51038.8</v>
      </c>
      <c r="AA192" s="14"/>
      <c r="AB192" s="14"/>
      <c r="AC192" s="15">
        <f>IFERROR(Z192/G192-1,"")</f>
        <v>0.52969702055728551</v>
      </c>
      <c r="AD192" s="15">
        <f>IFERROR((Z192/G192)^(1/19)-1,"")</f>
        <v>2.2624220858666666E-2</v>
      </c>
    </row>
    <row r="193" spans="1:30">
      <c r="A193" s="45" t="s">
        <v>273</v>
      </c>
      <c r="B193" s="45" t="s">
        <v>274</v>
      </c>
      <c r="C193" s="45" t="s">
        <v>498</v>
      </c>
      <c r="D193" s="45" t="s">
        <v>495</v>
      </c>
      <c r="E193" s="45" t="s">
        <v>499</v>
      </c>
      <c r="F193" s="45" t="s">
        <v>500</v>
      </c>
      <c r="G193" s="14">
        <v>1847.4</v>
      </c>
      <c r="H193" s="14">
        <v>1417.9</v>
      </c>
      <c r="I193" s="14">
        <v>1653.1</v>
      </c>
      <c r="J193" s="14">
        <v>1921.4</v>
      </c>
      <c r="K193" s="14">
        <v>1588.9</v>
      </c>
      <c r="L193" s="14">
        <v>1844.8</v>
      </c>
      <c r="M193" s="14">
        <v>2039.7</v>
      </c>
      <c r="N193" s="14">
        <v>1849.7</v>
      </c>
      <c r="O193" s="14">
        <v>1546</v>
      </c>
      <c r="P193" s="14">
        <v>1777.2</v>
      </c>
      <c r="Q193" s="14">
        <v>2031.3</v>
      </c>
      <c r="R193" s="14">
        <v>1760.6</v>
      </c>
      <c r="S193" s="14">
        <v>1718.8</v>
      </c>
      <c r="T193" s="14">
        <v>1861.9</v>
      </c>
      <c r="U193" s="14">
        <v>2156.9</v>
      </c>
      <c r="V193" s="14">
        <v>1833.3</v>
      </c>
      <c r="W193" s="14">
        <v>2059.6</v>
      </c>
      <c r="X193" s="14">
        <v>2105.9</v>
      </c>
      <c r="Y193" s="14">
        <v>2064.4</v>
      </c>
      <c r="Z193" s="14">
        <v>2073.1</v>
      </c>
      <c r="AA193" s="14"/>
      <c r="AB193" s="14"/>
      <c r="AC193" s="15">
        <f>IFERROR(Z193/G193-1,"")</f>
        <v>0.12217170076864781</v>
      </c>
      <c r="AD193" s="15">
        <f>IFERROR((Z193/G193)^(1/19)-1,"")</f>
        <v>6.0850616640792943E-3</v>
      </c>
    </row>
    <row r="194" spans="1:30">
      <c r="A194" s="45" t="s">
        <v>273</v>
      </c>
      <c r="B194" s="45" t="s">
        <v>274</v>
      </c>
      <c r="C194" s="45" t="s">
        <v>498</v>
      </c>
      <c r="D194" s="45" t="s">
        <v>496</v>
      </c>
      <c r="E194" s="45" t="s">
        <v>499</v>
      </c>
      <c r="F194" s="45" t="s">
        <v>500</v>
      </c>
      <c r="G194" s="14">
        <v>6567.8</v>
      </c>
      <c r="H194" s="14">
        <v>6756</v>
      </c>
      <c r="I194" s="14">
        <v>7277.2</v>
      </c>
      <c r="J194" s="14">
        <v>7534.8</v>
      </c>
      <c r="K194" s="14">
        <v>7498.4</v>
      </c>
      <c r="L194" s="14">
        <v>8202.7000000000007</v>
      </c>
      <c r="M194" s="14">
        <v>7702.9</v>
      </c>
      <c r="N194" s="14">
        <v>8920</v>
      </c>
      <c r="O194" s="14">
        <v>8849</v>
      </c>
      <c r="P194" s="14">
        <v>9029.7999999999993</v>
      </c>
      <c r="Q194" s="14">
        <v>13062.5</v>
      </c>
      <c r="R194" s="14">
        <v>13864.3</v>
      </c>
      <c r="S194" s="14">
        <v>12963.3</v>
      </c>
      <c r="T194" s="14">
        <v>13692.5</v>
      </c>
      <c r="U194" s="14">
        <v>12959.2</v>
      </c>
      <c r="V194" s="14">
        <v>14544.7</v>
      </c>
      <c r="W194" s="14">
        <v>15876.3</v>
      </c>
      <c r="X194" s="14">
        <v>15576.7</v>
      </c>
      <c r="Y194" s="14">
        <v>15343.3</v>
      </c>
      <c r="Z194" s="14">
        <v>15690.8</v>
      </c>
      <c r="AA194" s="14"/>
      <c r="AB194" s="14"/>
      <c r="AC194" s="15">
        <f>IFERROR(Z194/G194-1,"")</f>
        <v>1.3890496056518162</v>
      </c>
      <c r="AD194" s="15">
        <f>IFERROR((Z194/G194)^(1/19)-1,"")</f>
        <v>4.6903345776450722E-2</v>
      </c>
    </row>
    <row r="195" spans="1:30">
      <c r="A195" s="45" t="s">
        <v>273</v>
      </c>
      <c r="B195" s="45" t="s">
        <v>274</v>
      </c>
      <c r="C195" s="45" t="s">
        <v>498</v>
      </c>
      <c r="D195" s="45" t="s">
        <v>497</v>
      </c>
      <c r="E195" s="45" t="s">
        <v>499</v>
      </c>
      <c r="F195" s="45" t="s">
        <v>500</v>
      </c>
      <c r="G195" s="14">
        <v>19311.400000000001</v>
      </c>
      <c r="H195" s="14">
        <v>19004</v>
      </c>
      <c r="I195" s="14">
        <v>19166.599999999999</v>
      </c>
      <c r="J195" s="14">
        <v>21664.1</v>
      </c>
      <c r="K195" s="14">
        <v>23172.9</v>
      </c>
      <c r="L195" s="14">
        <v>23075.1</v>
      </c>
      <c r="M195" s="14">
        <v>23449.8</v>
      </c>
      <c r="N195" s="14">
        <v>24834.400000000001</v>
      </c>
      <c r="O195" s="14">
        <v>25878</v>
      </c>
      <c r="P195" s="14">
        <v>26366.7</v>
      </c>
      <c r="Q195" s="14">
        <v>26275.5</v>
      </c>
      <c r="R195" s="14">
        <v>28639.5</v>
      </c>
      <c r="S195" s="14">
        <v>28858.1</v>
      </c>
      <c r="T195" s="14">
        <v>28465.200000000001</v>
      </c>
      <c r="U195" s="14">
        <v>27421.3</v>
      </c>
      <c r="V195" s="14">
        <v>28517.200000000001</v>
      </c>
      <c r="W195" s="14">
        <v>27746.5</v>
      </c>
      <c r="X195" s="14">
        <v>29391.9</v>
      </c>
      <c r="Y195" s="14">
        <v>28040</v>
      </c>
      <c r="Z195" s="14">
        <v>27061.3</v>
      </c>
      <c r="AA195" s="14"/>
      <c r="AB195" s="14"/>
      <c r="AC195" s="15">
        <f>IFERROR(Z195/G195-1,"")</f>
        <v>0.40131217829882848</v>
      </c>
      <c r="AD195" s="15">
        <f>IFERROR((Z195/G195)^(1/19)-1,"")</f>
        <v>1.7916989419100027E-2</v>
      </c>
    </row>
    <row r="196" spans="1:30">
      <c r="A196" s="45" t="s">
        <v>273</v>
      </c>
      <c r="B196" s="45" t="s">
        <v>274</v>
      </c>
      <c r="C196" s="45" t="s">
        <v>498</v>
      </c>
      <c r="D196" s="45" t="s">
        <v>501</v>
      </c>
      <c r="E196" s="45" t="s">
        <v>499</v>
      </c>
      <c r="F196" s="45" t="s">
        <v>500</v>
      </c>
      <c r="G196" s="14">
        <v>4481.2</v>
      </c>
      <c r="H196" s="14">
        <v>5867.5</v>
      </c>
      <c r="I196" s="14">
        <v>8373</v>
      </c>
      <c r="J196" s="14">
        <v>5880.7</v>
      </c>
      <c r="K196" s="14">
        <v>4121.8999999999996</v>
      </c>
      <c r="L196" s="14">
        <v>5004.8999999999996</v>
      </c>
      <c r="M196" s="14">
        <v>5237.3</v>
      </c>
      <c r="N196" s="14">
        <v>4708.8</v>
      </c>
      <c r="O196" s="14">
        <v>3003</v>
      </c>
      <c r="P196" s="14">
        <v>3414</v>
      </c>
      <c r="Q196" s="14">
        <v>1735.3</v>
      </c>
      <c r="R196" s="14">
        <v>1747.1</v>
      </c>
      <c r="S196" s="14">
        <v>1192.0999999999999</v>
      </c>
      <c r="T196" s="14">
        <v>1614.4</v>
      </c>
      <c r="U196" s="14">
        <v>1747.1</v>
      </c>
      <c r="V196" s="14">
        <v>1691.3</v>
      </c>
      <c r="W196" s="14">
        <v>1529</v>
      </c>
      <c r="X196" s="14">
        <v>1863.2</v>
      </c>
      <c r="Y196" s="14">
        <v>3466.5</v>
      </c>
      <c r="Z196" s="14">
        <v>2525.9</v>
      </c>
      <c r="AA196" s="14"/>
      <c r="AB196" s="14"/>
      <c r="AC196" s="15">
        <f>IFERROR(Z196/G196-1,"")</f>
        <v>-0.43633401767383728</v>
      </c>
      <c r="AD196" s="15">
        <f>IFERROR((Z196/G196)^(1/19)-1,"")</f>
        <v>-2.9722667514745171E-2</v>
      </c>
    </row>
    <row r="197" spans="1:30">
      <c r="A197" s="45" t="s">
        <v>239</v>
      </c>
      <c r="B197" s="45" t="s">
        <v>240</v>
      </c>
      <c r="C197" s="45" t="s">
        <v>490</v>
      </c>
      <c r="D197" s="45" t="s">
        <v>491</v>
      </c>
      <c r="E197" s="45" t="s">
        <v>492</v>
      </c>
      <c r="F197" s="45" t="s">
        <v>493</v>
      </c>
      <c r="G197" s="14">
        <v>23048</v>
      </c>
      <c r="H197" s="14">
        <v>25970</v>
      </c>
      <c r="I197" s="14">
        <v>29925</v>
      </c>
      <c r="J197" s="14">
        <v>34024</v>
      </c>
      <c r="K197" s="14">
        <v>41682</v>
      </c>
      <c r="L197" s="14">
        <v>44039</v>
      </c>
      <c r="M197" s="14">
        <v>47706</v>
      </c>
      <c r="N197" s="14">
        <v>56892</v>
      </c>
      <c r="O197" s="14">
        <v>58688</v>
      </c>
      <c r="P197" s="14">
        <v>84622</v>
      </c>
      <c r="Q197" s="14">
        <v>107149</v>
      </c>
      <c r="R197" s="14">
        <v>116289</v>
      </c>
      <c r="S197" s="14">
        <v>128575</v>
      </c>
      <c r="T197" s="14">
        <v>123748</v>
      </c>
      <c r="U197" s="14">
        <v>136235</v>
      </c>
      <c r="V197" s="14">
        <v>151333</v>
      </c>
      <c r="W197" s="14">
        <v>129109</v>
      </c>
      <c r="X197" s="14">
        <v>142007</v>
      </c>
      <c r="Y197" s="14">
        <v>136309</v>
      </c>
      <c r="Z197" s="14">
        <v>139463</v>
      </c>
      <c r="AA197" s="14">
        <v>165970</v>
      </c>
      <c r="AB197" s="14">
        <v>168163</v>
      </c>
    </row>
    <row r="198" spans="1:30">
      <c r="A198" s="45" t="s">
        <v>239</v>
      </c>
      <c r="B198" s="45" t="s">
        <v>240</v>
      </c>
      <c r="C198" s="45" t="s">
        <v>490</v>
      </c>
      <c r="D198" s="45" t="s">
        <v>494</v>
      </c>
      <c r="E198" s="45" t="s">
        <v>492</v>
      </c>
      <c r="F198" s="45" t="s">
        <v>493</v>
      </c>
      <c r="G198" s="14">
        <v>22098</v>
      </c>
      <c r="H198" s="14">
        <v>24984</v>
      </c>
      <c r="I198" s="14">
        <v>28617</v>
      </c>
      <c r="J198" s="14">
        <v>32702</v>
      </c>
      <c r="K198" s="14">
        <v>38776</v>
      </c>
      <c r="L198" s="14">
        <v>40522</v>
      </c>
      <c r="M198" s="14">
        <v>44444</v>
      </c>
      <c r="N198" s="14">
        <v>52980</v>
      </c>
      <c r="O198" s="14">
        <v>54062</v>
      </c>
      <c r="P198" s="14">
        <v>77369</v>
      </c>
      <c r="Q198" s="14">
        <v>94977</v>
      </c>
      <c r="R198" s="14">
        <v>103850</v>
      </c>
      <c r="S198" s="14">
        <v>115310</v>
      </c>
      <c r="T198" s="14">
        <v>112827</v>
      </c>
      <c r="U198" s="14">
        <v>122222</v>
      </c>
      <c r="V198" s="14">
        <v>138224</v>
      </c>
      <c r="W198" s="14">
        <v>119040</v>
      </c>
      <c r="X198" s="14">
        <v>131352</v>
      </c>
      <c r="Y198" s="14">
        <v>126600</v>
      </c>
      <c r="Z198" s="14">
        <v>128823</v>
      </c>
      <c r="AA198" s="14"/>
      <c r="AB198" s="14"/>
    </row>
    <row r="199" spans="1:30">
      <c r="A199" s="45" t="s">
        <v>239</v>
      </c>
      <c r="B199" s="45" t="s">
        <v>240</v>
      </c>
      <c r="C199" s="45" t="s">
        <v>490</v>
      </c>
      <c r="D199" s="45" t="s">
        <v>495</v>
      </c>
      <c r="E199" s="45" t="s">
        <v>492</v>
      </c>
      <c r="F199" s="45" t="s">
        <v>493</v>
      </c>
      <c r="G199" s="14">
        <v>2014</v>
      </c>
      <c r="H199" s="14">
        <v>1524</v>
      </c>
      <c r="I199" s="14">
        <v>1766</v>
      </c>
      <c r="J199" s="14">
        <v>1932</v>
      </c>
      <c r="K199" s="14">
        <v>2539</v>
      </c>
      <c r="L199" s="14">
        <v>2506</v>
      </c>
      <c r="M199" s="14">
        <v>2497</v>
      </c>
      <c r="N199" s="14">
        <v>4359</v>
      </c>
      <c r="O199" s="14">
        <v>3785</v>
      </c>
      <c r="P199" s="14">
        <v>6645</v>
      </c>
      <c r="Q199" s="14">
        <v>9263</v>
      </c>
      <c r="R199" s="14">
        <v>11712</v>
      </c>
      <c r="S199" s="14">
        <v>11824</v>
      </c>
      <c r="T199" s="14">
        <v>9743</v>
      </c>
      <c r="U199" s="14">
        <v>9865</v>
      </c>
      <c r="V199" s="14">
        <v>13538</v>
      </c>
      <c r="W199" s="14">
        <v>9332</v>
      </c>
      <c r="X199" s="14">
        <v>9528</v>
      </c>
      <c r="Y199" s="14">
        <v>5807</v>
      </c>
      <c r="Z199" s="14">
        <v>5022</v>
      </c>
      <c r="AA199" s="14"/>
      <c r="AB199" s="14"/>
    </row>
    <row r="200" spans="1:30">
      <c r="A200" s="45" t="s">
        <v>239</v>
      </c>
      <c r="B200" s="45" t="s">
        <v>240</v>
      </c>
      <c r="C200" s="45" t="s">
        <v>490</v>
      </c>
      <c r="D200" s="45" t="s">
        <v>496</v>
      </c>
      <c r="E200" s="45" t="s">
        <v>492</v>
      </c>
      <c r="F200" s="45" t="s">
        <v>493</v>
      </c>
      <c r="G200" s="14">
        <v>4266</v>
      </c>
      <c r="H200" s="14">
        <v>5119</v>
      </c>
      <c r="I200" s="14">
        <v>6079</v>
      </c>
      <c r="J200" s="14">
        <v>6720</v>
      </c>
      <c r="K200" s="14">
        <v>7906</v>
      </c>
      <c r="L200" s="14">
        <v>8768</v>
      </c>
      <c r="M200" s="14">
        <v>9243</v>
      </c>
      <c r="N200" s="14">
        <v>11885</v>
      </c>
      <c r="O200" s="14">
        <v>12713</v>
      </c>
      <c r="P200" s="14">
        <v>26157</v>
      </c>
      <c r="Q200" s="14">
        <v>32672</v>
      </c>
      <c r="R200" s="14">
        <v>31845</v>
      </c>
      <c r="S200" s="14">
        <v>39130</v>
      </c>
      <c r="T200" s="14">
        <v>45091</v>
      </c>
      <c r="U200" s="14">
        <v>51627</v>
      </c>
      <c r="V200" s="14">
        <v>56118</v>
      </c>
      <c r="W200" s="14">
        <v>40992</v>
      </c>
      <c r="X200" s="14">
        <v>47115</v>
      </c>
      <c r="Y200" s="14">
        <v>43659</v>
      </c>
      <c r="Z200" s="14">
        <v>45048</v>
      </c>
      <c r="AA200" s="14"/>
      <c r="AB200" s="14"/>
    </row>
    <row r="201" spans="1:30">
      <c r="A201" s="45" t="s">
        <v>239</v>
      </c>
      <c r="B201" s="45" t="s">
        <v>240</v>
      </c>
      <c r="C201" s="45" t="s">
        <v>490</v>
      </c>
      <c r="D201" s="45" t="s">
        <v>497</v>
      </c>
      <c r="E201" s="45" t="s">
        <v>492</v>
      </c>
      <c r="F201" s="45" t="s">
        <v>493</v>
      </c>
      <c r="G201" s="14">
        <v>12321</v>
      </c>
      <c r="H201" s="14">
        <v>13003</v>
      </c>
      <c r="I201" s="14">
        <v>15481</v>
      </c>
      <c r="J201" s="14">
        <v>18218</v>
      </c>
      <c r="K201" s="14">
        <v>20682</v>
      </c>
      <c r="L201" s="14">
        <v>23412</v>
      </c>
      <c r="M201" s="14">
        <v>26254</v>
      </c>
      <c r="N201" s="14">
        <v>28793</v>
      </c>
      <c r="O201" s="14">
        <v>31309</v>
      </c>
      <c r="P201" s="14">
        <v>36737</v>
      </c>
      <c r="Q201" s="14">
        <v>40068</v>
      </c>
      <c r="R201" s="14">
        <v>46260</v>
      </c>
      <c r="S201" s="14">
        <v>50053</v>
      </c>
      <c r="T201" s="14">
        <v>53346</v>
      </c>
      <c r="U201" s="14">
        <v>55788</v>
      </c>
      <c r="V201" s="14">
        <v>62555</v>
      </c>
      <c r="W201" s="14">
        <v>62851</v>
      </c>
      <c r="X201" s="14">
        <v>68703</v>
      </c>
      <c r="Y201" s="14">
        <v>71213</v>
      </c>
      <c r="Z201" s="14">
        <v>74582</v>
      </c>
      <c r="AA201" s="14"/>
      <c r="AB201" s="14"/>
    </row>
    <row r="202" spans="1:30">
      <c r="A202" s="45" t="s">
        <v>239</v>
      </c>
      <c r="B202" s="45" t="s">
        <v>240</v>
      </c>
      <c r="C202" s="45" t="s">
        <v>498</v>
      </c>
      <c r="D202" s="45" t="s">
        <v>491</v>
      </c>
      <c r="E202" s="45" t="s">
        <v>499</v>
      </c>
      <c r="F202" s="45" t="s">
        <v>500</v>
      </c>
      <c r="G202" s="14">
        <v>43786.1</v>
      </c>
      <c r="H202" s="14">
        <v>43242.5</v>
      </c>
      <c r="I202" s="14">
        <v>46243.7</v>
      </c>
      <c r="J202" s="14">
        <v>48940.6</v>
      </c>
      <c r="K202" s="14">
        <v>56153.1</v>
      </c>
      <c r="L202" s="14">
        <v>55738.8</v>
      </c>
      <c r="M202" s="14">
        <v>55507</v>
      </c>
      <c r="N202" s="14">
        <v>61684.2</v>
      </c>
      <c r="O202" s="14">
        <v>58688</v>
      </c>
      <c r="P202" s="14">
        <v>78123.199999999997</v>
      </c>
      <c r="Q202" s="14">
        <v>91641.1</v>
      </c>
      <c r="R202" s="14">
        <v>92515.3</v>
      </c>
      <c r="S202" s="14">
        <v>94847.2</v>
      </c>
      <c r="T202" s="14">
        <v>84865.4</v>
      </c>
      <c r="U202" s="14">
        <v>86425.3</v>
      </c>
      <c r="V202" s="14">
        <v>92603.4</v>
      </c>
      <c r="W202" s="14">
        <v>75606.7</v>
      </c>
      <c r="X202" s="14">
        <v>79789.3</v>
      </c>
      <c r="Y202" s="14">
        <v>71932</v>
      </c>
      <c r="Z202" s="14">
        <v>65102.3</v>
      </c>
      <c r="AA202" s="14"/>
      <c r="AB202" s="14"/>
      <c r="AC202" s="15">
        <f>IFERROR(Z202/G202-1,"")</f>
        <v>0.48682572779946165</v>
      </c>
      <c r="AD202" s="15">
        <f>IFERROR((Z202/G202)^(1/19)-1,"")</f>
        <v>2.1095399117899705E-2</v>
      </c>
    </row>
    <row r="203" spans="1:30">
      <c r="A203" s="45" t="s">
        <v>239</v>
      </c>
      <c r="B203" s="45" t="s">
        <v>240</v>
      </c>
      <c r="C203" s="45" t="s">
        <v>498</v>
      </c>
      <c r="D203" s="45" t="s">
        <v>495</v>
      </c>
      <c r="E203" s="45" t="s">
        <v>499</v>
      </c>
      <c r="F203" s="45" t="s">
        <v>500</v>
      </c>
      <c r="G203" s="14">
        <v>3826.2</v>
      </c>
      <c r="H203" s="14">
        <v>2537.6999999999998</v>
      </c>
      <c r="I203" s="14">
        <v>2728.5</v>
      </c>
      <c r="J203" s="14">
        <v>2778.3</v>
      </c>
      <c r="K203" s="14">
        <v>3420.3</v>
      </c>
      <c r="L203" s="14">
        <v>3172.1</v>
      </c>
      <c r="M203" s="14">
        <v>2905.6</v>
      </c>
      <c r="N203" s="14">
        <v>4726.2</v>
      </c>
      <c r="O203" s="14">
        <v>3785</v>
      </c>
      <c r="P203" s="14">
        <v>6134.7</v>
      </c>
      <c r="Q203" s="14">
        <v>7922.3</v>
      </c>
      <c r="R203" s="14">
        <v>9317.6</v>
      </c>
      <c r="S203" s="14">
        <v>8722.2999999999993</v>
      </c>
      <c r="T203" s="14">
        <v>6681.7</v>
      </c>
      <c r="U203" s="14">
        <v>6258.2</v>
      </c>
      <c r="V203" s="14">
        <v>8284.1</v>
      </c>
      <c r="W203" s="14">
        <v>5464.9</v>
      </c>
      <c r="X203" s="14">
        <v>5353.5</v>
      </c>
      <c r="Y203" s="14">
        <v>3064.4</v>
      </c>
      <c r="Z203" s="14">
        <v>2344.3000000000002</v>
      </c>
      <c r="AA203" s="14"/>
      <c r="AB203" s="14"/>
      <c r="AC203" s="15">
        <f>IFERROR(Z203/G203-1,"")</f>
        <v>-0.38730332967435044</v>
      </c>
      <c r="AD203" s="15">
        <f>IFERROR((Z203/G203)^(1/19)-1,"")</f>
        <v>-2.5453882134327754E-2</v>
      </c>
    </row>
    <row r="204" spans="1:30">
      <c r="A204" s="45" t="s">
        <v>239</v>
      </c>
      <c r="B204" s="45" t="s">
        <v>240</v>
      </c>
      <c r="C204" s="45" t="s">
        <v>498</v>
      </c>
      <c r="D204" s="45" t="s">
        <v>496</v>
      </c>
      <c r="E204" s="45" t="s">
        <v>499</v>
      </c>
      <c r="F204" s="45" t="s">
        <v>500</v>
      </c>
      <c r="G204" s="14">
        <v>8104.9</v>
      </c>
      <c r="H204" s="14">
        <v>8524.4</v>
      </c>
      <c r="I204" s="14">
        <v>9393.5</v>
      </c>
      <c r="J204" s="14">
        <v>9665.6</v>
      </c>
      <c r="K204" s="14">
        <v>10651</v>
      </c>
      <c r="L204" s="14">
        <v>11097.7</v>
      </c>
      <c r="M204" s="14">
        <v>10754.2</v>
      </c>
      <c r="N204" s="14">
        <v>12886.1</v>
      </c>
      <c r="O204" s="14">
        <v>12713</v>
      </c>
      <c r="P204" s="14">
        <v>24148.2</v>
      </c>
      <c r="Q204" s="14">
        <v>27943.3</v>
      </c>
      <c r="R204" s="14">
        <v>25334.7</v>
      </c>
      <c r="S204" s="14">
        <v>28865.4</v>
      </c>
      <c r="T204" s="14">
        <v>30923.1</v>
      </c>
      <c r="U204" s="14">
        <v>32751.3</v>
      </c>
      <c r="V204" s="14">
        <v>34339.599999999999</v>
      </c>
      <c r="W204" s="14">
        <v>24005.1</v>
      </c>
      <c r="X204" s="14">
        <v>26472.5</v>
      </c>
      <c r="Y204" s="14">
        <v>23039.4</v>
      </c>
      <c r="Z204" s="14">
        <v>21029.200000000001</v>
      </c>
      <c r="AA204" s="14"/>
      <c r="AB204" s="14"/>
      <c r="AC204" s="15">
        <f>IFERROR(Z204/G204-1,"")</f>
        <v>1.5946279411220377</v>
      </c>
      <c r="AD204" s="15">
        <f>IFERROR((Z204/G204)^(1/19)-1,"")</f>
        <v>5.1461622278403674E-2</v>
      </c>
    </row>
    <row r="205" spans="1:30">
      <c r="A205" s="45" t="s">
        <v>239</v>
      </c>
      <c r="B205" s="45" t="s">
        <v>240</v>
      </c>
      <c r="C205" s="45" t="s">
        <v>498</v>
      </c>
      <c r="D205" s="45" t="s">
        <v>497</v>
      </c>
      <c r="E205" s="45" t="s">
        <v>499</v>
      </c>
      <c r="F205" s="45" t="s">
        <v>500</v>
      </c>
      <c r="G205" s="14">
        <v>23406.400000000001</v>
      </c>
      <c r="H205" s="14">
        <v>21651.4</v>
      </c>
      <c r="I205" s="14">
        <v>23923.8</v>
      </c>
      <c r="J205" s="14">
        <v>26206</v>
      </c>
      <c r="K205" s="14">
        <v>27862.3</v>
      </c>
      <c r="L205" s="14">
        <v>29631.7</v>
      </c>
      <c r="M205" s="14">
        <v>30547.8</v>
      </c>
      <c r="N205" s="14">
        <v>31218.3</v>
      </c>
      <c r="O205" s="14">
        <v>31309</v>
      </c>
      <c r="P205" s="14">
        <v>33915.699999999997</v>
      </c>
      <c r="Q205" s="14">
        <v>34268.9</v>
      </c>
      <c r="R205" s="14">
        <v>36802.800000000003</v>
      </c>
      <c r="S205" s="14">
        <v>36923.1</v>
      </c>
      <c r="T205" s="14">
        <v>36584.300000000003</v>
      </c>
      <c r="U205" s="14">
        <v>35391</v>
      </c>
      <c r="V205" s="14">
        <v>38278.5</v>
      </c>
      <c r="W205" s="14">
        <v>36805.800000000003</v>
      </c>
      <c r="X205" s="14">
        <v>38602.1</v>
      </c>
      <c r="Y205" s="14">
        <v>37580</v>
      </c>
      <c r="Z205" s="14">
        <v>34816.400000000001</v>
      </c>
      <c r="AA205" s="14"/>
      <c r="AB205" s="14"/>
      <c r="AC205" s="15">
        <f>IFERROR(Z205/G205-1,"")</f>
        <v>0.48747351151821716</v>
      </c>
      <c r="AD205" s="15">
        <f>IFERROR((Z205/G205)^(1/19)-1,"")</f>
        <v>2.1118808668014299E-2</v>
      </c>
    </row>
    <row r="206" spans="1:30">
      <c r="A206" s="45" t="s">
        <v>239</v>
      </c>
      <c r="B206" s="45" t="s">
        <v>240</v>
      </c>
      <c r="C206" s="45" t="s">
        <v>498</v>
      </c>
      <c r="D206" s="45" t="s">
        <v>501</v>
      </c>
      <c r="E206" s="45" t="s">
        <v>499</v>
      </c>
      <c r="F206" s="45" t="s">
        <v>500</v>
      </c>
      <c r="G206" s="14">
        <v>6643.6</v>
      </c>
      <c r="H206" s="14">
        <v>8888.6</v>
      </c>
      <c r="I206" s="14">
        <v>8175.8</v>
      </c>
      <c r="J206" s="14">
        <v>8389.9</v>
      </c>
      <c r="K206" s="14">
        <v>10304.1</v>
      </c>
      <c r="L206" s="14">
        <v>7385.5</v>
      </c>
      <c r="M206" s="14">
        <v>7504.8</v>
      </c>
      <c r="N206" s="14">
        <v>8612.1</v>
      </c>
      <c r="O206" s="14">
        <v>6254</v>
      </c>
      <c r="P206" s="14">
        <v>7228.7</v>
      </c>
      <c r="Q206" s="14">
        <v>11096.2</v>
      </c>
      <c r="R206" s="14">
        <v>11164.1</v>
      </c>
      <c r="S206" s="14">
        <v>10551</v>
      </c>
      <c r="T206" s="14">
        <v>3186.9</v>
      </c>
      <c r="U206" s="14">
        <v>3135.1</v>
      </c>
      <c r="V206" s="14">
        <v>3679.5</v>
      </c>
      <c r="W206" s="14">
        <v>3434.6</v>
      </c>
      <c r="X206" s="14">
        <v>3374</v>
      </c>
      <c r="Y206" s="14">
        <v>3124.1</v>
      </c>
      <c r="Z206" s="14">
        <v>1946.6</v>
      </c>
      <c r="AA206" s="14"/>
      <c r="AB206" s="14"/>
      <c r="AC206" s="15">
        <f>IFERROR(Z206/G206-1,"")</f>
        <v>-0.70699620687579023</v>
      </c>
      <c r="AD206" s="15">
        <f>IFERROR((Z206/G206)^(1/19)-1,"")</f>
        <v>-6.2566008660551509E-2</v>
      </c>
    </row>
    <row r="207" spans="1:30">
      <c r="A207" s="45" t="s">
        <v>269</v>
      </c>
      <c r="B207" s="45" t="s">
        <v>270</v>
      </c>
      <c r="C207" s="45" t="s">
        <v>490</v>
      </c>
      <c r="D207" s="45" t="s">
        <v>491</v>
      </c>
      <c r="E207" s="45" t="s">
        <v>492</v>
      </c>
      <c r="F207" s="45" t="s">
        <v>493</v>
      </c>
      <c r="G207" s="14">
        <v>12461</v>
      </c>
      <c r="H207" s="14">
        <v>15568</v>
      </c>
      <c r="I207" s="14">
        <v>16523</v>
      </c>
      <c r="J207" s="14">
        <v>18020</v>
      </c>
      <c r="K207" s="14">
        <v>20318</v>
      </c>
      <c r="L207" s="14">
        <v>25104</v>
      </c>
      <c r="M207" s="14">
        <v>26586</v>
      </c>
      <c r="N207" s="14">
        <v>29131</v>
      </c>
      <c r="O207" s="14">
        <v>31304</v>
      </c>
      <c r="P207" s="14">
        <v>33171</v>
      </c>
      <c r="Q207" s="14">
        <v>39496</v>
      </c>
      <c r="R207" s="14">
        <v>43581</v>
      </c>
      <c r="S207" s="14">
        <v>42979</v>
      </c>
      <c r="T207" s="14">
        <v>52517</v>
      </c>
      <c r="U207" s="14">
        <v>61499</v>
      </c>
      <c r="V207" s="14">
        <v>69413</v>
      </c>
      <c r="W207" s="14">
        <v>81841</v>
      </c>
      <c r="X207" s="14">
        <v>86122</v>
      </c>
      <c r="Y207" s="14">
        <v>91717</v>
      </c>
      <c r="Z207" s="14">
        <v>112176</v>
      </c>
      <c r="AA207" s="14">
        <v>115655</v>
      </c>
      <c r="AB207" s="14">
        <v>119611</v>
      </c>
    </row>
    <row r="208" spans="1:30">
      <c r="A208" s="45" t="s">
        <v>269</v>
      </c>
      <c r="B208" s="45" t="s">
        <v>270</v>
      </c>
      <c r="C208" s="45" t="s">
        <v>490</v>
      </c>
      <c r="D208" s="45" t="s">
        <v>494</v>
      </c>
      <c r="E208" s="45" t="s">
        <v>492</v>
      </c>
      <c r="F208" s="45" t="s">
        <v>493</v>
      </c>
      <c r="G208" s="14">
        <v>12036</v>
      </c>
      <c r="H208" s="14">
        <v>15155</v>
      </c>
      <c r="I208" s="14">
        <v>16041</v>
      </c>
      <c r="J208" s="14">
        <v>17423</v>
      </c>
      <c r="K208" s="14">
        <v>19067</v>
      </c>
      <c r="L208" s="14">
        <v>22863</v>
      </c>
      <c r="M208" s="14">
        <v>24629</v>
      </c>
      <c r="N208" s="14">
        <v>26995</v>
      </c>
      <c r="O208" s="14">
        <v>28148</v>
      </c>
      <c r="P208" s="14">
        <v>29967</v>
      </c>
      <c r="Q208" s="14">
        <v>34201</v>
      </c>
      <c r="R208" s="14">
        <v>37170</v>
      </c>
      <c r="S208" s="14">
        <v>37405</v>
      </c>
      <c r="T208" s="14">
        <v>45743</v>
      </c>
      <c r="U208" s="14">
        <v>58909</v>
      </c>
      <c r="V208" s="14">
        <v>66977</v>
      </c>
      <c r="W208" s="14">
        <v>77143</v>
      </c>
      <c r="X208" s="14">
        <v>81384</v>
      </c>
      <c r="Y208" s="14">
        <v>84145</v>
      </c>
      <c r="Z208" s="14">
        <v>101944</v>
      </c>
      <c r="AA208" s="14"/>
      <c r="AB208" s="14"/>
    </row>
    <row r="209" spans="1:30">
      <c r="A209" s="45" t="s">
        <v>269</v>
      </c>
      <c r="B209" s="45" t="s">
        <v>270</v>
      </c>
      <c r="C209" s="45" t="s">
        <v>490</v>
      </c>
      <c r="D209" s="45" t="s">
        <v>495</v>
      </c>
      <c r="E209" s="45" t="s">
        <v>492</v>
      </c>
      <c r="F209" s="45" t="s">
        <v>493</v>
      </c>
      <c r="G209" s="14">
        <v>475</v>
      </c>
      <c r="H209" s="14">
        <v>417</v>
      </c>
      <c r="I209" s="14">
        <v>496</v>
      </c>
      <c r="J209" s="14">
        <v>557</v>
      </c>
      <c r="K209" s="14">
        <v>624</v>
      </c>
      <c r="L209" s="14">
        <v>706</v>
      </c>
      <c r="M209" s="14">
        <v>686</v>
      </c>
      <c r="N209" s="14">
        <v>608</v>
      </c>
      <c r="O209" s="14">
        <v>689</v>
      </c>
      <c r="P209" s="14">
        <v>641</v>
      </c>
      <c r="Q209" s="14">
        <v>888</v>
      </c>
      <c r="R209" s="14">
        <v>671</v>
      </c>
      <c r="S209" s="14">
        <v>668</v>
      </c>
      <c r="T209" s="14">
        <v>1012</v>
      </c>
      <c r="U209" s="14">
        <v>1721</v>
      </c>
      <c r="V209" s="14">
        <v>3684</v>
      </c>
      <c r="W209" s="14">
        <v>4160</v>
      </c>
      <c r="X209" s="14">
        <v>4190</v>
      </c>
      <c r="Y209" s="14">
        <v>4400</v>
      </c>
      <c r="Z209" s="14">
        <v>17591</v>
      </c>
      <c r="AA209" s="14"/>
      <c r="AB209" s="14"/>
    </row>
    <row r="210" spans="1:30">
      <c r="A210" s="45" t="s">
        <v>269</v>
      </c>
      <c r="B210" s="45" t="s">
        <v>270</v>
      </c>
      <c r="C210" s="45" t="s">
        <v>490</v>
      </c>
      <c r="D210" s="45" t="s">
        <v>496</v>
      </c>
      <c r="E210" s="45" t="s">
        <v>492</v>
      </c>
      <c r="F210" s="45" t="s">
        <v>493</v>
      </c>
      <c r="G210" s="14">
        <v>2222</v>
      </c>
      <c r="H210" s="14">
        <v>2644</v>
      </c>
      <c r="I210" s="14">
        <v>2937</v>
      </c>
      <c r="J210" s="14">
        <v>3065</v>
      </c>
      <c r="K210" s="14">
        <v>3385</v>
      </c>
      <c r="L210" s="14">
        <v>3974</v>
      </c>
      <c r="M210" s="14">
        <v>3896</v>
      </c>
      <c r="N210" s="14">
        <v>4100</v>
      </c>
      <c r="O210" s="14">
        <v>4750</v>
      </c>
      <c r="P210" s="14">
        <v>5253</v>
      </c>
      <c r="Q210" s="14">
        <v>7048</v>
      </c>
      <c r="R210" s="14">
        <v>7265</v>
      </c>
      <c r="S210" s="14">
        <v>6702</v>
      </c>
      <c r="T210" s="14">
        <v>10044</v>
      </c>
      <c r="U210" s="14">
        <v>12831</v>
      </c>
      <c r="V210" s="14">
        <v>15941</v>
      </c>
      <c r="W210" s="14">
        <v>22331</v>
      </c>
      <c r="X210" s="14">
        <v>21423</v>
      </c>
      <c r="Y210" s="14">
        <v>24704</v>
      </c>
      <c r="Z210" s="14">
        <v>25458</v>
      </c>
      <c r="AA210" s="14"/>
      <c r="AB210" s="14"/>
    </row>
    <row r="211" spans="1:30">
      <c r="A211" s="45" t="s">
        <v>269</v>
      </c>
      <c r="B211" s="45" t="s">
        <v>270</v>
      </c>
      <c r="C211" s="45" t="s">
        <v>490</v>
      </c>
      <c r="D211" s="45" t="s">
        <v>497</v>
      </c>
      <c r="E211" s="45" t="s">
        <v>492</v>
      </c>
      <c r="F211" s="45" t="s">
        <v>493</v>
      </c>
      <c r="G211" s="14">
        <v>6716</v>
      </c>
      <c r="H211" s="14">
        <v>7155</v>
      </c>
      <c r="I211" s="14">
        <v>7855</v>
      </c>
      <c r="J211" s="14">
        <v>9141</v>
      </c>
      <c r="K211" s="14">
        <v>10049</v>
      </c>
      <c r="L211" s="14">
        <v>12992</v>
      </c>
      <c r="M211" s="14">
        <v>14412</v>
      </c>
      <c r="N211" s="14">
        <v>14777</v>
      </c>
      <c r="O211" s="14">
        <v>15094</v>
      </c>
      <c r="P211" s="14">
        <v>16498</v>
      </c>
      <c r="Q211" s="14">
        <v>17489</v>
      </c>
      <c r="R211" s="14">
        <v>17766</v>
      </c>
      <c r="S211" s="14">
        <v>19663</v>
      </c>
      <c r="T211" s="14">
        <v>23167</v>
      </c>
      <c r="U211" s="14">
        <v>31076</v>
      </c>
      <c r="V211" s="14">
        <v>32525</v>
      </c>
      <c r="W211" s="14">
        <v>33420</v>
      </c>
      <c r="X211" s="14">
        <v>37308</v>
      </c>
      <c r="Y211" s="14">
        <v>39018</v>
      </c>
      <c r="Z211" s="14">
        <v>43210</v>
      </c>
      <c r="AA211" s="14"/>
      <c r="AB211" s="14"/>
    </row>
    <row r="212" spans="1:30">
      <c r="A212" s="45" t="s">
        <v>269</v>
      </c>
      <c r="B212" s="45" t="s">
        <v>270</v>
      </c>
      <c r="C212" s="45" t="s">
        <v>498</v>
      </c>
      <c r="D212" s="45" t="s">
        <v>491</v>
      </c>
      <c r="E212" s="45" t="s">
        <v>499</v>
      </c>
      <c r="F212" s="45" t="s">
        <v>500</v>
      </c>
      <c r="G212" s="14">
        <v>23672.2</v>
      </c>
      <c r="H212" s="14">
        <v>25922.5</v>
      </c>
      <c r="I212" s="14">
        <v>25533.3</v>
      </c>
      <c r="J212" s="14">
        <v>25920.400000000001</v>
      </c>
      <c r="K212" s="14">
        <v>27371.3</v>
      </c>
      <c r="L212" s="14">
        <v>31773.8</v>
      </c>
      <c r="M212" s="14">
        <v>30934</v>
      </c>
      <c r="N212" s="14">
        <v>31584.799999999999</v>
      </c>
      <c r="O212" s="14">
        <v>31304</v>
      </c>
      <c r="P212" s="14">
        <v>30623.599999999999</v>
      </c>
      <c r="Q212" s="14">
        <v>33779.599999999999</v>
      </c>
      <c r="R212" s="14">
        <v>34671.5</v>
      </c>
      <c r="S212" s="14">
        <v>31704.799999999999</v>
      </c>
      <c r="T212" s="14">
        <v>36015.699999999997</v>
      </c>
      <c r="U212" s="14">
        <v>39014</v>
      </c>
      <c r="V212" s="14">
        <v>42475.1</v>
      </c>
      <c r="W212" s="14">
        <v>47926.400000000001</v>
      </c>
      <c r="X212" s="14">
        <v>48389.3</v>
      </c>
      <c r="Y212" s="14">
        <v>48400.2</v>
      </c>
      <c r="Z212" s="14">
        <v>52364.6</v>
      </c>
      <c r="AA212" s="14"/>
      <c r="AB212" s="14"/>
      <c r="AC212" s="15">
        <f>IFERROR(Z212/G212-1,"")</f>
        <v>1.2120715438362297</v>
      </c>
      <c r="AD212" s="15">
        <f>IFERROR((Z212/G212)^(1/19)-1,"")</f>
        <v>4.2671072236746044E-2</v>
      </c>
    </row>
    <row r="213" spans="1:30">
      <c r="A213" s="45" t="s">
        <v>269</v>
      </c>
      <c r="B213" s="45" t="s">
        <v>270</v>
      </c>
      <c r="C213" s="45" t="s">
        <v>498</v>
      </c>
      <c r="D213" s="45" t="s">
        <v>495</v>
      </c>
      <c r="E213" s="45" t="s">
        <v>499</v>
      </c>
      <c r="F213" s="45" t="s">
        <v>500</v>
      </c>
      <c r="G213" s="14">
        <v>901.4</v>
      </c>
      <c r="H213" s="14">
        <v>694.4</v>
      </c>
      <c r="I213" s="14">
        <v>766.7</v>
      </c>
      <c r="J213" s="14">
        <v>800.6</v>
      </c>
      <c r="K213" s="14">
        <v>841.1</v>
      </c>
      <c r="L213" s="14">
        <v>893.4</v>
      </c>
      <c r="M213" s="14">
        <v>798.6</v>
      </c>
      <c r="N213" s="14">
        <v>659.2</v>
      </c>
      <c r="O213" s="14">
        <v>689</v>
      </c>
      <c r="P213" s="14">
        <v>591.79999999999995</v>
      </c>
      <c r="Q213" s="14">
        <v>759.5</v>
      </c>
      <c r="R213" s="14">
        <v>533.79999999999995</v>
      </c>
      <c r="S213" s="14">
        <v>492.8</v>
      </c>
      <c r="T213" s="14">
        <v>694</v>
      </c>
      <c r="U213" s="14">
        <v>1091.8</v>
      </c>
      <c r="V213" s="14">
        <v>2254.3000000000002</v>
      </c>
      <c r="W213" s="14">
        <v>2436.1</v>
      </c>
      <c r="X213" s="14">
        <v>2354.1999999999998</v>
      </c>
      <c r="Y213" s="14">
        <v>2321.9</v>
      </c>
      <c r="Z213" s="14">
        <v>8211.6</v>
      </c>
      <c r="AA213" s="14"/>
      <c r="AB213" s="14"/>
      <c r="AC213" s="15">
        <f>IFERROR(Z213/G213-1,"")</f>
        <v>8.1098291546483257</v>
      </c>
      <c r="AD213" s="15">
        <f>IFERROR((Z213/G213)^(1/19)-1,"")</f>
        <v>0.12331236262584788</v>
      </c>
    </row>
    <row r="214" spans="1:30">
      <c r="A214" s="45" t="s">
        <v>269</v>
      </c>
      <c r="B214" s="45" t="s">
        <v>270</v>
      </c>
      <c r="C214" s="45" t="s">
        <v>498</v>
      </c>
      <c r="D214" s="45" t="s">
        <v>496</v>
      </c>
      <c r="E214" s="45" t="s">
        <v>499</v>
      </c>
      <c r="F214" s="45" t="s">
        <v>500</v>
      </c>
      <c r="G214" s="14">
        <v>4221.3999999999996</v>
      </c>
      <c r="H214" s="14">
        <v>4402.7</v>
      </c>
      <c r="I214" s="14">
        <v>4538.6000000000004</v>
      </c>
      <c r="J214" s="14">
        <v>4408.6000000000004</v>
      </c>
      <c r="K214" s="14">
        <v>4560.2</v>
      </c>
      <c r="L214" s="14">
        <v>5030.3</v>
      </c>
      <c r="M214" s="14">
        <v>4533.3999999999996</v>
      </c>
      <c r="N214" s="14">
        <v>4445.3999999999996</v>
      </c>
      <c r="O214" s="14">
        <v>4750</v>
      </c>
      <c r="P214" s="14">
        <v>4849.6000000000004</v>
      </c>
      <c r="Q214" s="14">
        <v>6027.9</v>
      </c>
      <c r="R214" s="14">
        <v>5779.8</v>
      </c>
      <c r="S214" s="14">
        <v>4943.8999999999996</v>
      </c>
      <c r="T214" s="14">
        <v>6888.1</v>
      </c>
      <c r="U214" s="14">
        <v>8139.8</v>
      </c>
      <c r="V214" s="14">
        <v>9754.6</v>
      </c>
      <c r="W214" s="14">
        <v>13077.1</v>
      </c>
      <c r="X214" s="14">
        <v>12036.9</v>
      </c>
      <c r="Y214" s="14">
        <v>13036.6</v>
      </c>
      <c r="Z214" s="14">
        <v>11884</v>
      </c>
      <c r="AA214" s="14"/>
      <c r="AB214" s="14"/>
      <c r="AC214" s="15">
        <f>IFERROR(Z214/G214-1,"")</f>
        <v>1.815179798171223</v>
      </c>
      <c r="AD214" s="15">
        <f>IFERROR((Z214/G214)^(1/19)-1,"")</f>
        <v>5.5986139291666293E-2</v>
      </c>
    </row>
    <row r="215" spans="1:30">
      <c r="A215" s="45" t="s">
        <v>269</v>
      </c>
      <c r="B215" s="45" t="s">
        <v>270</v>
      </c>
      <c r="C215" s="45" t="s">
        <v>498</v>
      </c>
      <c r="D215" s="45" t="s">
        <v>497</v>
      </c>
      <c r="E215" s="45" t="s">
        <v>499</v>
      </c>
      <c r="F215" s="45" t="s">
        <v>500</v>
      </c>
      <c r="G215" s="14">
        <v>12759.6</v>
      </c>
      <c r="H215" s="14">
        <v>11914.6</v>
      </c>
      <c r="I215" s="14">
        <v>12138.6</v>
      </c>
      <c r="J215" s="14">
        <v>13149</v>
      </c>
      <c r="K215" s="14">
        <v>13537.4</v>
      </c>
      <c r="L215" s="14">
        <v>16443.7</v>
      </c>
      <c r="M215" s="14">
        <v>16768.900000000001</v>
      </c>
      <c r="N215" s="14">
        <v>16021.7</v>
      </c>
      <c r="O215" s="14">
        <v>15094</v>
      </c>
      <c r="P215" s="14">
        <v>15231</v>
      </c>
      <c r="Q215" s="14">
        <v>14957.8</v>
      </c>
      <c r="R215" s="14">
        <v>14134</v>
      </c>
      <c r="S215" s="14">
        <v>14505</v>
      </c>
      <c r="T215" s="14">
        <v>15887.7</v>
      </c>
      <c r="U215" s="14">
        <v>19714.099999999999</v>
      </c>
      <c r="V215" s="14">
        <v>19902.599999999999</v>
      </c>
      <c r="W215" s="14">
        <v>19570.900000000001</v>
      </c>
      <c r="X215" s="14">
        <v>20962.2</v>
      </c>
      <c r="Y215" s="14">
        <v>20590.3</v>
      </c>
      <c r="Z215" s="14">
        <v>20171.2</v>
      </c>
      <c r="AA215" s="14"/>
      <c r="AB215" s="14"/>
      <c r="AC215" s="15">
        <f>IFERROR(Z215/G215-1,"")</f>
        <v>0.58086460390607852</v>
      </c>
      <c r="AD215" s="15">
        <f>IFERROR((Z215/G215)^(1/19)-1,"")</f>
        <v>2.4396629379660695E-2</v>
      </c>
    </row>
    <row r="216" spans="1:30">
      <c r="A216" s="45" t="s">
        <v>269</v>
      </c>
      <c r="B216" s="45" t="s">
        <v>270</v>
      </c>
      <c r="C216" s="45" t="s">
        <v>498</v>
      </c>
      <c r="D216" s="45" t="s">
        <v>501</v>
      </c>
      <c r="E216" s="45" t="s">
        <v>499</v>
      </c>
      <c r="F216" s="45" t="s">
        <v>500</v>
      </c>
      <c r="G216" s="14">
        <v>4982.5</v>
      </c>
      <c r="H216" s="14">
        <v>8223.5</v>
      </c>
      <c r="I216" s="14">
        <v>7345.3</v>
      </c>
      <c r="J216" s="14">
        <v>6704</v>
      </c>
      <c r="K216" s="14">
        <v>6747.4</v>
      </c>
      <c r="L216" s="14">
        <v>6569.4</v>
      </c>
      <c r="M216" s="14">
        <v>6555.5</v>
      </c>
      <c r="N216" s="14">
        <v>8142.6</v>
      </c>
      <c r="O216" s="14">
        <v>7614</v>
      </c>
      <c r="P216" s="14">
        <v>6994.2</v>
      </c>
      <c r="Q216" s="14">
        <v>7505.8</v>
      </c>
      <c r="R216" s="14">
        <v>9122.7000000000007</v>
      </c>
      <c r="S216" s="14">
        <v>7651.2</v>
      </c>
      <c r="T216" s="14">
        <v>7900.3</v>
      </c>
      <c r="U216" s="14">
        <v>8424.6</v>
      </c>
      <c r="V216" s="14">
        <v>9072.9</v>
      </c>
      <c r="W216" s="14">
        <v>10091.1</v>
      </c>
      <c r="X216" s="14">
        <v>10373.200000000001</v>
      </c>
      <c r="Y216" s="14">
        <v>8455.5</v>
      </c>
      <c r="Z216" s="14">
        <v>7322.3</v>
      </c>
      <c r="AA216" s="14"/>
      <c r="AB216" s="14"/>
      <c r="AC216" s="15">
        <f>IFERROR(Z216/G216-1,"")</f>
        <v>0.46960361264425488</v>
      </c>
      <c r="AD216" s="15">
        <f>IFERROR((Z216/G216)^(1/19)-1,"")</f>
        <v>2.0469458024173104E-2</v>
      </c>
    </row>
    <row r="217" spans="1:30">
      <c r="A217" s="45" t="s">
        <v>347</v>
      </c>
      <c r="B217" s="45" t="s">
        <v>348</v>
      </c>
      <c r="C217" s="45" t="s">
        <v>490</v>
      </c>
      <c r="D217" s="45" t="s">
        <v>491</v>
      </c>
      <c r="E217" s="45" t="s">
        <v>492</v>
      </c>
      <c r="F217" s="45" t="s">
        <v>493</v>
      </c>
      <c r="G217" s="14">
        <v>7170</v>
      </c>
      <c r="H217" s="14">
        <v>7596</v>
      </c>
      <c r="I217" s="14">
        <v>8041</v>
      </c>
      <c r="J217" s="14">
        <v>8926</v>
      </c>
      <c r="K217" s="14">
        <v>10559</v>
      </c>
      <c r="L217" s="14">
        <v>12369</v>
      </c>
      <c r="M217" s="14">
        <v>13812</v>
      </c>
      <c r="N217" s="14">
        <v>15369</v>
      </c>
      <c r="O217" s="14">
        <v>16595</v>
      </c>
      <c r="P217" s="14">
        <v>20607</v>
      </c>
      <c r="Q217" s="14">
        <v>23205</v>
      </c>
      <c r="R217" s="14">
        <v>27832</v>
      </c>
      <c r="S217" s="14">
        <v>29761</v>
      </c>
      <c r="T217" s="14">
        <v>31163</v>
      </c>
      <c r="U217" s="14">
        <v>33435</v>
      </c>
      <c r="V217" s="14">
        <v>33446</v>
      </c>
      <c r="W217" s="14">
        <v>39826</v>
      </c>
      <c r="X217" s="14">
        <v>43757</v>
      </c>
      <c r="Y217" s="14">
        <v>45998</v>
      </c>
      <c r="Z217" s="14">
        <v>60456</v>
      </c>
      <c r="AA217" s="14">
        <v>197692</v>
      </c>
      <c r="AB217" s="14">
        <v>474184</v>
      </c>
    </row>
    <row r="218" spans="1:30">
      <c r="A218" s="45" t="s">
        <v>347</v>
      </c>
      <c r="B218" s="45" t="s">
        <v>348</v>
      </c>
      <c r="C218" s="45" t="s">
        <v>490</v>
      </c>
      <c r="D218" s="45" t="s">
        <v>494</v>
      </c>
      <c r="E218" s="45" t="s">
        <v>492</v>
      </c>
      <c r="F218" s="45" t="s">
        <v>493</v>
      </c>
      <c r="G218" s="14">
        <v>6969</v>
      </c>
      <c r="H218" s="14">
        <v>7410</v>
      </c>
      <c r="I218" s="14">
        <v>7838</v>
      </c>
      <c r="J218" s="14">
        <v>8682</v>
      </c>
      <c r="K218" s="14">
        <v>10025</v>
      </c>
      <c r="L218" s="14">
        <v>11700</v>
      </c>
      <c r="M218" s="14">
        <v>13073</v>
      </c>
      <c r="N218" s="14">
        <v>14654</v>
      </c>
      <c r="O218" s="14">
        <v>15777</v>
      </c>
      <c r="P218" s="14">
        <v>19438</v>
      </c>
      <c r="Q218" s="14">
        <v>21971</v>
      </c>
      <c r="R218" s="14">
        <v>26351</v>
      </c>
      <c r="S218" s="14">
        <v>28284</v>
      </c>
      <c r="T218" s="14">
        <v>29454</v>
      </c>
      <c r="U218" s="14">
        <v>31761</v>
      </c>
      <c r="V218" s="14">
        <v>31953</v>
      </c>
      <c r="W218" s="14">
        <v>37055</v>
      </c>
      <c r="X218" s="14">
        <v>40865</v>
      </c>
      <c r="Y218" s="14">
        <v>43244</v>
      </c>
      <c r="Z218" s="14">
        <v>56882</v>
      </c>
      <c r="AA218" s="14"/>
      <c r="AB218" s="14"/>
    </row>
    <row r="219" spans="1:30">
      <c r="A219" s="45" t="s">
        <v>347</v>
      </c>
      <c r="B219" s="45" t="s">
        <v>348</v>
      </c>
      <c r="C219" s="45" t="s">
        <v>490</v>
      </c>
      <c r="D219" s="45" t="s">
        <v>495</v>
      </c>
      <c r="E219" s="45" t="s">
        <v>492</v>
      </c>
      <c r="F219" s="45" t="s">
        <v>493</v>
      </c>
      <c r="G219" s="14">
        <v>407</v>
      </c>
      <c r="H219" s="14">
        <v>276</v>
      </c>
      <c r="I219" s="14">
        <v>328</v>
      </c>
      <c r="J219" s="14">
        <v>373</v>
      </c>
      <c r="K219" s="14">
        <v>598</v>
      </c>
      <c r="L219" s="14">
        <v>721</v>
      </c>
      <c r="M219" s="14">
        <v>864</v>
      </c>
      <c r="N219" s="14">
        <v>719</v>
      </c>
      <c r="O219" s="14">
        <v>666</v>
      </c>
      <c r="P219" s="14">
        <v>830</v>
      </c>
      <c r="Q219" s="14">
        <v>1071</v>
      </c>
      <c r="R219" s="14">
        <v>1037</v>
      </c>
      <c r="S219" s="14">
        <v>959</v>
      </c>
      <c r="T219" s="14">
        <v>1070</v>
      </c>
      <c r="U219" s="14">
        <v>1161</v>
      </c>
      <c r="V219" s="14">
        <v>1162</v>
      </c>
      <c r="W219" s="14">
        <v>1264</v>
      </c>
      <c r="X219" s="14">
        <v>1348</v>
      </c>
      <c r="Y219" s="14">
        <v>1398</v>
      </c>
      <c r="Z219" s="14">
        <v>13544</v>
      </c>
      <c r="AA219" s="14"/>
      <c r="AB219" s="14"/>
    </row>
    <row r="220" spans="1:30">
      <c r="A220" s="45" t="s">
        <v>347</v>
      </c>
      <c r="B220" s="45" t="s">
        <v>348</v>
      </c>
      <c r="C220" s="45" t="s">
        <v>490</v>
      </c>
      <c r="D220" s="45" t="s">
        <v>496</v>
      </c>
      <c r="E220" s="45" t="s">
        <v>492</v>
      </c>
      <c r="F220" s="45" t="s">
        <v>493</v>
      </c>
      <c r="G220" s="14">
        <v>1474</v>
      </c>
      <c r="H220" s="14">
        <v>1510</v>
      </c>
      <c r="I220" s="14">
        <v>1758</v>
      </c>
      <c r="J220" s="14">
        <v>1795</v>
      </c>
      <c r="K220" s="14">
        <v>2194</v>
      </c>
      <c r="L220" s="14">
        <v>2509</v>
      </c>
      <c r="M220" s="14">
        <v>2952</v>
      </c>
      <c r="N220" s="14">
        <v>3288</v>
      </c>
      <c r="O220" s="14">
        <v>3430</v>
      </c>
      <c r="P220" s="14">
        <v>5010</v>
      </c>
      <c r="Q220" s="14">
        <v>5603</v>
      </c>
      <c r="R220" s="14">
        <v>6972</v>
      </c>
      <c r="S220" s="14">
        <v>8119</v>
      </c>
      <c r="T220" s="14">
        <v>7966</v>
      </c>
      <c r="U220" s="14">
        <v>9083</v>
      </c>
      <c r="V220" s="14">
        <v>9036</v>
      </c>
      <c r="W220" s="14">
        <v>13205</v>
      </c>
      <c r="X220" s="14">
        <v>14900</v>
      </c>
      <c r="Y220" s="14">
        <v>13441</v>
      </c>
      <c r="Z220" s="14">
        <v>13343</v>
      </c>
      <c r="AA220" s="14"/>
      <c r="AB220" s="14"/>
    </row>
    <row r="221" spans="1:30">
      <c r="A221" s="45" t="s">
        <v>347</v>
      </c>
      <c r="B221" s="45" t="s">
        <v>348</v>
      </c>
      <c r="C221" s="45" t="s">
        <v>490</v>
      </c>
      <c r="D221" s="45" t="s">
        <v>497</v>
      </c>
      <c r="E221" s="45" t="s">
        <v>492</v>
      </c>
      <c r="F221" s="45" t="s">
        <v>493</v>
      </c>
      <c r="G221" s="14">
        <v>4604</v>
      </c>
      <c r="H221" s="14">
        <v>4525</v>
      </c>
      <c r="I221" s="14">
        <v>5069</v>
      </c>
      <c r="J221" s="14">
        <v>5705</v>
      </c>
      <c r="K221" s="14">
        <v>6360</v>
      </c>
      <c r="L221" s="14">
        <v>7827</v>
      </c>
      <c r="M221" s="14">
        <v>8443</v>
      </c>
      <c r="N221" s="14">
        <v>9657</v>
      </c>
      <c r="O221" s="14">
        <v>10764</v>
      </c>
      <c r="P221" s="14">
        <v>12437</v>
      </c>
      <c r="Q221" s="14">
        <v>14325</v>
      </c>
      <c r="R221" s="14">
        <v>17294</v>
      </c>
      <c r="S221" s="14">
        <v>18071</v>
      </c>
      <c r="T221" s="14">
        <v>19091</v>
      </c>
      <c r="U221" s="14">
        <v>20121</v>
      </c>
      <c r="V221" s="14">
        <v>20335</v>
      </c>
      <c r="W221" s="14">
        <v>21160</v>
      </c>
      <c r="X221" s="14">
        <v>23082</v>
      </c>
      <c r="Y221" s="14">
        <v>26094</v>
      </c>
      <c r="Z221" s="14">
        <v>28012</v>
      </c>
      <c r="AA221" s="14"/>
      <c r="AB221" s="14"/>
    </row>
    <row r="222" spans="1:30">
      <c r="A222" s="45" t="s">
        <v>347</v>
      </c>
      <c r="B222" s="45" t="s">
        <v>348</v>
      </c>
      <c r="C222" s="45" t="s">
        <v>498</v>
      </c>
      <c r="D222" s="45" t="s">
        <v>491</v>
      </c>
      <c r="E222" s="45" t="s">
        <v>499</v>
      </c>
      <c r="F222" s="45" t="s">
        <v>500</v>
      </c>
      <c r="G222" s="14">
        <v>13622</v>
      </c>
      <c r="H222" s="14">
        <v>12647.6</v>
      </c>
      <c r="I222" s="14">
        <v>12426.4</v>
      </c>
      <c r="J222" s="14">
        <v>12839.9</v>
      </c>
      <c r="K222" s="14">
        <v>14224.5</v>
      </c>
      <c r="L222" s="14">
        <v>15655</v>
      </c>
      <c r="M222" s="14">
        <v>16071.2</v>
      </c>
      <c r="N222" s="14">
        <v>16663.599999999999</v>
      </c>
      <c r="O222" s="14">
        <v>16595</v>
      </c>
      <c r="P222" s="14">
        <v>19024.400000000001</v>
      </c>
      <c r="Q222" s="14">
        <v>19846.5</v>
      </c>
      <c r="R222" s="14">
        <v>22142.1</v>
      </c>
      <c r="S222" s="14">
        <v>21954.1</v>
      </c>
      <c r="T222" s="14">
        <v>21371.3</v>
      </c>
      <c r="U222" s="14">
        <v>21210.6</v>
      </c>
      <c r="V222" s="14">
        <v>20466.2</v>
      </c>
      <c r="W222" s="14">
        <v>23322.3</v>
      </c>
      <c r="X222" s="14">
        <v>24585.7</v>
      </c>
      <c r="Y222" s="14">
        <v>24273.7</v>
      </c>
      <c r="Z222" s="14">
        <v>28221.3</v>
      </c>
      <c r="AA222" s="14"/>
      <c r="AB222" s="14"/>
      <c r="AC222" s="15">
        <f>IFERROR(Z222/G222-1,"")</f>
        <v>1.0717442372632506</v>
      </c>
      <c r="AD222" s="15">
        <f>IFERROR((Z222/G222)^(1/19)-1,"")</f>
        <v>3.9080681424405128E-2</v>
      </c>
    </row>
    <row r="223" spans="1:30">
      <c r="A223" s="45" t="s">
        <v>347</v>
      </c>
      <c r="B223" s="45" t="s">
        <v>348</v>
      </c>
      <c r="C223" s="45" t="s">
        <v>498</v>
      </c>
      <c r="D223" s="45" t="s">
        <v>495</v>
      </c>
      <c r="E223" s="45" t="s">
        <v>499</v>
      </c>
      <c r="F223" s="45" t="s">
        <v>500</v>
      </c>
      <c r="G223" s="14">
        <v>773.4</v>
      </c>
      <c r="H223" s="14">
        <v>460.1</v>
      </c>
      <c r="I223" s="14">
        <v>506.9</v>
      </c>
      <c r="J223" s="14">
        <v>536.79999999999995</v>
      </c>
      <c r="K223" s="14">
        <v>805.9</v>
      </c>
      <c r="L223" s="14">
        <v>912.5</v>
      </c>
      <c r="M223" s="14">
        <v>1005</v>
      </c>
      <c r="N223" s="14">
        <v>779.6</v>
      </c>
      <c r="O223" s="14">
        <v>666</v>
      </c>
      <c r="P223" s="14">
        <v>766.3</v>
      </c>
      <c r="Q223" s="14">
        <v>916</v>
      </c>
      <c r="R223" s="14">
        <v>825</v>
      </c>
      <c r="S223" s="14">
        <v>707.4</v>
      </c>
      <c r="T223" s="14">
        <v>733.8</v>
      </c>
      <c r="U223" s="14">
        <v>736.5</v>
      </c>
      <c r="V223" s="14">
        <v>711</v>
      </c>
      <c r="W223" s="14">
        <v>740.2</v>
      </c>
      <c r="X223" s="14">
        <v>757.4</v>
      </c>
      <c r="Y223" s="14">
        <v>737.7</v>
      </c>
      <c r="Z223" s="14">
        <v>6322.4</v>
      </c>
      <c r="AA223" s="14"/>
      <c r="AB223" s="14"/>
      <c r="AC223" s="15">
        <f>IFERROR(Z223/G223-1,"")</f>
        <v>7.1748125161623992</v>
      </c>
      <c r="AD223" s="15">
        <f>IFERROR((Z223/G223)^(1/19)-1,"")</f>
        <v>0.11692792061455148</v>
      </c>
    </row>
    <row r="224" spans="1:30">
      <c r="A224" s="45" t="s">
        <v>347</v>
      </c>
      <c r="B224" s="45" t="s">
        <v>348</v>
      </c>
      <c r="C224" s="45" t="s">
        <v>498</v>
      </c>
      <c r="D224" s="45" t="s">
        <v>496</v>
      </c>
      <c r="E224" s="45" t="s">
        <v>499</v>
      </c>
      <c r="F224" s="45" t="s">
        <v>500</v>
      </c>
      <c r="G224" s="14">
        <v>2799.5</v>
      </c>
      <c r="H224" s="14">
        <v>2513.8000000000002</v>
      </c>
      <c r="I224" s="14">
        <v>2716.6</v>
      </c>
      <c r="J224" s="14">
        <v>2581.4</v>
      </c>
      <c r="K224" s="14">
        <v>2956.1</v>
      </c>
      <c r="L224" s="14">
        <v>3174.9</v>
      </c>
      <c r="M224" s="14">
        <v>3434.7</v>
      </c>
      <c r="N224" s="14">
        <v>3565</v>
      </c>
      <c r="O224" s="14">
        <v>3430</v>
      </c>
      <c r="P224" s="14">
        <v>4625.2</v>
      </c>
      <c r="Q224" s="14">
        <v>4792.1000000000004</v>
      </c>
      <c r="R224" s="14">
        <v>5546.7</v>
      </c>
      <c r="S224" s="14">
        <v>5989.2</v>
      </c>
      <c r="T224" s="14">
        <v>5463</v>
      </c>
      <c r="U224" s="14">
        <v>5762.1</v>
      </c>
      <c r="V224" s="14">
        <v>5529.3</v>
      </c>
      <c r="W224" s="14">
        <v>7732.9</v>
      </c>
      <c r="X224" s="14">
        <v>8371.7999999999993</v>
      </c>
      <c r="Y224" s="14">
        <v>7093</v>
      </c>
      <c r="Z224" s="14">
        <v>6228.6</v>
      </c>
      <c r="AA224" s="14"/>
      <c r="AB224" s="14"/>
      <c r="AC224" s="15">
        <f>IFERROR(Z224/G224-1,"")</f>
        <v>1.2248973030898376</v>
      </c>
      <c r="AD224" s="15">
        <f>IFERROR((Z224/G224)^(1/19)-1,"")</f>
        <v>4.2988385122485706E-2</v>
      </c>
    </row>
    <row r="225" spans="1:30">
      <c r="A225" s="45" t="s">
        <v>347</v>
      </c>
      <c r="B225" s="45" t="s">
        <v>348</v>
      </c>
      <c r="C225" s="45" t="s">
        <v>498</v>
      </c>
      <c r="D225" s="45" t="s">
        <v>497</v>
      </c>
      <c r="E225" s="45" t="s">
        <v>499</v>
      </c>
      <c r="F225" s="45" t="s">
        <v>500</v>
      </c>
      <c r="G225" s="14">
        <v>8746.9</v>
      </c>
      <c r="H225" s="14">
        <v>7534.6</v>
      </c>
      <c r="I225" s="14">
        <v>7833.6</v>
      </c>
      <c r="J225" s="14">
        <v>8205.5</v>
      </c>
      <c r="K225" s="14">
        <v>8567.7000000000007</v>
      </c>
      <c r="L225" s="14">
        <v>9906.7000000000007</v>
      </c>
      <c r="M225" s="14">
        <v>9823.2000000000007</v>
      </c>
      <c r="N225" s="14">
        <v>10470.4</v>
      </c>
      <c r="O225" s="14">
        <v>10764</v>
      </c>
      <c r="P225" s="14">
        <v>11481.9</v>
      </c>
      <c r="Q225" s="14">
        <v>12251.7</v>
      </c>
      <c r="R225" s="14">
        <v>13758.5</v>
      </c>
      <c r="S225" s="14">
        <v>13330.6</v>
      </c>
      <c r="T225" s="14">
        <v>13092.5</v>
      </c>
      <c r="U225" s="14">
        <v>12764.4</v>
      </c>
      <c r="V225" s="14">
        <v>12443.4</v>
      </c>
      <c r="W225" s="14">
        <v>12391.4</v>
      </c>
      <c r="X225" s="14">
        <v>12969.1</v>
      </c>
      <c r="Y225" s="14">
        <v>13770.1</v>
      </c>
      <c r="Z225" s="14">
        <v>13076.7</v>
      </c>
      <c r="AA225" s="14"/>
      <c r="AB225" s="14"/>
      <c r="AC225" s="15">
        <f>IFERROR(Z225/G225-1,"")</f>
        <v>0.4950096605654577</v>
      </c>
      <c r="AD225" s="15">
        <f>IFERROR((Z225/G225)^(1/19)-1,"")</f>
        <v>2.1390441855651643E-2</v>
      </c>
    </row>
    <row r="226" spans="1:30">
      <c r="A226" s="45" t="s">
        <v>347</v>
      </c>
      <c r="B226" s="45" t="s">
        <v>348</v>
      </c>
      <c r="C226" s="45" t="s">
        <v>498</v>
      </c>
      <c r="D226" s="45" t="s">
        <v>501</v>
      </c>
      <c r="E226" s="45" t="s">
        <v>499</v>
      </c>
      <c r="F226" s="45" t="s">
        <v>500</v>
      </c>
      <c r="G226" s="14">
        <v>919.4</v>
      </c>
      <c r="H226" s="14">
        <v>1829.7</v>
      </c>
      <c r="I226" s="14">
        <v>1055.2</v>
      </c>
      <c r="J226" s="14">
        <v>1165.3</v>
      </c>
      <c r="K226" s="14">
        <v>1175.5</v>
      </c>
      <c r="L226" s="14">
        <v>814.2</v>
      </c>
      <c r="M226" s="14">
        <v>948</v>
      </c>
      <c r="N226" s="14">
        <v>1073.4000000000001</v>
      </c>
      <c r="O226" s="14">
        <v>916</v>
      </c>
      <c r="P226" s="14">
        <v>1071.8</v>
      </c>
      <c r="Q226" s="14">
        <v>832.2</v>
      </c>
      <c r="R226" s="14">
        <v>833.8</v>
      </c>
      <c r="S226" s="14">
        <v>836.5</v>
      </c>
      <c r="T226" s="14">
        <v>909.4</v>
      </c>
      <c r="U226" s="14">
        <v>885.6</v>
      </c>
      <c r="V226" s="14">
        <v>868.9</v>
      </c>
      <c r="W226" s="14">
        <v>835.7</v>
      </c>
      <c r="X226" s="14">
        <v>862.5</v>
      </c>
      <c r="Y226" s="14">
        <v>1219.5</v>
      </c>
      <c r="Z226" s="14">
        <v>925.7</v>
      </c>
      <c r="AA226" s="14"/>
      <c r="AB226" s="14"/>
      <c r="AC226" s="15">
        <f>IFERROR(Z226/G226-1,"")</f>
        <v>6.8522949749838524E-3</v>
      </c>
      <c r="AD226" s="15">
        <f>IFERROR((Z226/G226)^(1/19)-1,"")</f>
        <v>3.5948168758936916E-4</v>
      </c>
    </row>
    <row r="227" spans="1:30">
      <c r="A227" s="45" t="s">
        <v>115</v>
      </c>
      <c r="B227" s="45" t="s">
        <v>116</v>
      </c>
      <c r="C227" s="45" t="s">
        <v>490</v>
      </c>
      <c r="D227" s="45" t="s">
        <v>491</v>
      </c>
      <c r="E227" s="45" t="s">
        <v>492</v>
      </c>
      <c r="F227" s="45" t="s">
        <v>493</v>
      </c>
      <c r="G227" s="14">
        <v>200150</v>
      </c>
      <c r="H227" s="14">
        <v>210545</v>
      </c>
      <c r="I227" s="14">
        <v>234169</v>
      </c>
      <c r="J227" s="14">
        <v>273088</v>
      </c>
      <c r="K227" s="14">
        <v>315642</v>
      </c>
      <c r="L227" s="14">
        <v>373211</v>
      </c>
      <c r="M227" s="14">
        <v>398280</v>
      </c>
      <c r="N227" s="14">
        <v>477968</v>
      </c>
      <c r="O227" s="14">
        <v>537968</v>
      </c>
      <c r="P227" s="14">
        <v>669766</v>
      </c>
      <c r="Q227" s="14">
        <v>797770</v>
      </c>
      <c r="R227" s="14">
        <v>883798</v>
      </c>
      <c r="S227" s="14">
        <v>932199</v>
      </c>
      <c r="T227" s="14">
        <v>981991</v>
      </c>
      <c r="U227" s="14">
        <v>1060507</v>
      </c>
      <c r="V227" s="14">
        <v>1145233</v>
      </c>
      <c r="W227" s="14">
        <v>1171343</v>
      </c>
      <c r="X227" s="14">
        <v>1265128</v>
      </c>
      <c r="Y227" s="14">
        <v>1292651</v>
      </c>
      <c r="Z227" s="14">
        <v>1394838</v>
      </c>
      <c r="AA227" s="14">
        <v>1598739</v>
      </c>
      <c r="AB227" s="14">
        <v>1735797</v>
      </c>
    </row>
    <row r="228" spans="1:30">
      <c r="A228" s="45" t="s">
        <v>115</v>
      </c>
      <c r="B228" s="45" t="s">
        <v>116</v>
      </c>
      <c r="C228" s="45" t="s">
        <v>490</v>
      </c>
      <c r="D228" s="45" t="s">
        <v>494</v>
      </c>
      <c r="E228" s="45" t="s">
        <v>492</v>
      </c>
      <c r="F228" s="45" t="s">
        <v>493</v>
      </c>
      <c r="G228" s="14">
        <v>176541</v>
      </c>
      <c r="H228" s="14">
        <v>188303</v>
      </c>
      <c r="I228" s="14">
        <v>208167</v>
      </c>
      <c r="J228" s="14">
        <v>241315</v>
      </c>
      <c r="K228" s="14">
        <v>275560</v>
      </c>
      <c r="L228" s="14">
        <v>331951</v>
      </c>
      <c r="M228" s="14">
        <v>353365</v>
      </c>
      <c r="N228" s="14">
        <v>426877</v>
      </c>
      <c r="O228" s="14">
        <v>476945</v>
      </c>
      <c r="P228" s="14">
        <v>593961</v>
      </c>
      <c r="Q228" s="14">
        <v>704863</v>
      </c>
      <c r="R228" s="14">
        <v>784563</v>
      </c>
      <c r="S228" s="14">
        <v>826321</v>
      </c>
      <c r="T228" s="14">
        <v>869451</v>
      </c>
      <c r="U228" s="14">
        <v>934389</v>
      </c>
      <c r="V228" s="14">
        <v>1010181</v>
      </c>
      <c r="W228" s="14">
        <v>1027845</v>
      </c>
      <c r="X228" s="14">
        <v>1115774</v>
      </c>
      <c r="Y228" s="14">
        <v>1136797</v>
      </c>
      <c r="Z228" s="14">
        <v>1214573</v>
      </c>
      <c r="AA228" s="14"/>
      <c r="AB228" s="14"/>
    </row>
    <row r="229" spans="1:30">
      <c r="A229" s="45" t="s">
        <v>115</v>
      </c>
      <c r="B229" s="45" t="s">
        <v>116</v>
      </c>
      <c r="C229" s="45" t="s">
        <v>490</v>
      </c>
      <c r="D229" s="45" t="s">
        <v>495</v>
      </c>
      <c r="E229" s="45" t="s">
        <v>492</v>
      </c>
      <c r="F229" s="45" t="s">
        <v>493</v>
      </c>
      <c r="G229" s="14">
        <v>17225</v>
      </c>
      <c r="H229" s="14">
        <v>15331</v>
      </c>
      <c r="I229" s="14">
        <v>18811</v>
      </c>
      <c r="J229" s="14">
        <v>21150</v>
      </c>
      <c r="K229" s="14">
        <v>20971</v>
      </c>
      <c r="L229" s="14">
        <v>32980</v>
      </c>
      <c r="M229" s="14">
        <v>32072</v>
      </c>
      <c r="N229" s="14">
        <v>33252</v>
      </c>
      <c r="O229" s="14">
        <v>38270</v>
      </c>
      <c r="P229" s="14">
        <v>54746</v>
      </c>
      <c r="Q229" s="14">
        <v>61661</v>
      </c>
      <c r="R229" s="14">
        <v>66083</v>
      </c>
      <c r="S229" s="14">
        <v>54892</v>
      </c>
      <c r="T229" s="14">
        <v>61670</v>
      </c>
      <c r="U229" s="14">
        <v>67210</v>
      </c>
      <c r="V229" s="14">
        <v>65724</v>
      </c>
      <c r="W229" s="14">
        <v>72506</v>
      </c>
      <c r="X229" s="14">
        <v>72930</v>
      </c>
      <c r="Y229" s="14">
        <v>81341</v>
      </c>
      <c r="Z229" s="14">
        <v>80879</v>
      </c>
      <c r="AA229" s="14"/>
      <c r="AB229" s="14"/>
    </row>
    <row r="230" spans="1:30">
      <c r="A230" s="45" t="s">
        <v>115</v>
      </c>
      <c r="B230" s="45" t="s">
        <v>116</v>
      </c>
      <c r="C230" s="45" t="s">
        <v>490</v>
      </c>
      <c r="D230" s="45" t="s">
        <v>496</v>
      </c>
      <c r="E230" s="45" t="s">
        <v>492</v>
      </c>
      <c r="F230" s="45" t="s">
        <v>493</v>
      </c>
      <c r="G230" s="14">
        <v>91348</v>
      </c>
      <c r="H230" s="14">
        <v>97441</v>
      </c>
      <c r="I230" s="14">
        <v>108346</v>
      </c>
      <c r="J230" s="14">
        <v>123818</v>
      </c>
      <c r="K230" s="14">
        <v>144597</v>
      </c>
      <c r="L230" s="14">
        <v>172647</v>
      </c>
      <c r="M230" s="14">
        <v>178994</v>
      </c>
      <c r="N230" s="14">
        <v>231423</v>
      </c>
      <c r="O230" s="14">
        <v>260301</v>
      </c>
      <c r="P230" s="14">
        <v>335604</v>
      </c>
      <c r="Q230" s="14">
        <v>420516</v>
      </c>
      <c r="R230" s="14">
        <v>463393</v>
      </c>
      <c r="S230" s="14">
        <v>493689</v>
      </c>
      <c r="T230" s="14">
        <v>503074</v>
      </c>
      <c r="U230" s="14">
        <v>550241</v>
      </c>
      <c r="V230" s="14">
        <v>597439</v>
      </c>
      <c r="W230" s="14">
        <v>596342</v>
      </c>
      <c r="X230" s="14">
        <v>641677</v>
      </c>
      <c r="Y230" s="14">
        <v>638971</v>
      </c>
      <c r="Z230" s="14">
        <v>687110</v>
      </c>
      <c r="AA230" s="14"/>
      <c r="AB230" s="14"/>
    </row>
    <row r="231" spans="1:30">
      <c r="A231" s="45" t="s">
        <v>115</v>
      </c>
      <c r="B231" s="45" t="s">
        <v>116</v>
      </c>
      <c r="C231" s="45" t="s">
        <v>490</v>
      </c>
      <c r="D231" s="45" t="s">
        <v>497</v>
      </c>
      <c r="E231" s="45" t="s">
        <v>492</v>
      </c>
      <c r="F231" s="45" t="s">
        <v>493</v>
      </c>
      <c r="G231" s="14">
        <v>61197</v>
      </c>
      <c r="H231" s="14">
        <v>66760</v>
      </c>
      <c r="I231" s="14">
        <v>71608</v>
      </c>
      <c r="J231" s="14">
        <v>84965</v>
      </c>
      <c r="K231" s="14">
        <v>97106</v>
      </c>
      <c r="L231" s="14">
        <v>115593</v>
      </c>
      <c r="M231" s="14">
        <v>128252</v>
      </c>
      <c r="N231" s="14">
        <v>145600</v>
      </c>
      <c r="O231" s="14">
        <v>162921</v>
      </c>
      <c r="P231" s="14">
        <v>184839</v>
      </c>
      <c r="Q231" s="14">
        <v>206657</v>
      </c>
      <c r="R231" s="14">
        <v>235880</v>
      </c>
      <c r="S231" s="14">
        <v>255655</v>
      </c>
      <c r="T231" s="14">
        <v>278755</v>
      </c>
      <c r="U231" s="14">
        <v>291791</v>
      </c>
      <c r="V231" s="14">
        <v>319247</v>
      </c>
      <c r="W231" s="14">
        <v>327419</v>
      </c>
      <c r="X231" s="14">
        <v>362433</v>
      </c>
      <c r="Y231" s="14">
        <v>377205</v>
      </c>
      <c r="Z231" s="14">
        <v>392190</v>
      </c>
      <c r="AA231" s="14"/>
      <c r="AB231" s="14"/>
    </row>
    <row r="232" spans="1:30">
      <c r="A232" s="45" t="s">
        <v>115</v>
      </c>
      <c r="B232" s="45" t="s">
        <v>116</v>
      </c>
      <c r="C232" s="45" t="s">
        <v>498</v>
      </c>
      <c r="D232" s="45" t="s">
        <v>491</v>
      </c>
      <c r="E232" s="45" t="s">
        <v>499</v>
      </c>
      <c r="F232" s="45" t="s">
        <v>500</v>
      </c>
      <c r="G232" s="14">
        <v>380234.6</v>
      </c>
      <c r="H232" s="14">
        <v>350581.2</v>
      </c>
      <c r="I232" s="14">
        <v>361865.5</v>
      </c>
      <c r="J232" s="14">
        <v>392817.1</v>
      </c>
      <c r="K232" s="14">
        <v>425222.9</v>
      </c>
      <c r="L232" s="14">
        <v>472361.3</v>
      </c>
      <c r="M232" s="14">
        <v>463409.7</v>
      </c>
      <c r="N232" s="14">
        <v>518228.9</v>
      </c>
      <c r="O232" s="14">
        <v>537968</v>
      </c>
      <c r="P232" s="14">
        <v>618329.69999999995</v>
      </c>
      <c r="Q232" s="14">
        <v>682306.8</v>
      </c>
      <c r="R232" s="14">
        <v>703117.8</v>
      </c>
      <c r="S232" s="14">
        <v>687664.9</v>
      </c>
      <c r="T232" s="14">
        <v>673441.7</v>
      </c>
      <c r="U232" s="14">
        <v>672768.8</v>
      </c>
      <c r="V232" s="14">
        <v>700789</v>
      </c>
      <c r="W232" s="14">
        <v>685943.1</v>
      </c>
      <c r="X232" s="14">
        <v>710836.4</v>
      </c>
      <c r="Y232" s="14">
        <v>682148.6</v>
      </c>
      <c r="Z232" s="14">
        <v>651120.5</v>
      </c>
      <c r="AA232" s="14"/>
      <c r="AB232" s="14"/>
      <c r="AC232" s="15">
        <f>IFERROR(Z232/G232-1,"")</f>
        <v>0.71241780732211124</v>
      </c>
      <c r="AD232" s="15">
        <f>IFERROR((Z232/G232)^(1/19)-1,"")</f>
        <v>2.8715418722479402E-2</v>
      </c>
    </row>
    <row r="233" spans="1:30">
      <c r="A233" s="45" t="s">
        <v>115</v>
      </c>
      <c r="B233" s="45" t="s">
        <v>116</v>
      </c>
      <c r="C233" s="45" t="s">
        <v>498</v>
      </c>
      <c r="D233" s="45" t="s">
        <v>495</v>
      </c>
      <c r="E233" s="45" t="s">
        <v>499</v>
      </c>
      <c r="F233" s="45" t="s">
        <v>500</v>
      </c>
      <c r="G233" s="14">
        <v>32723.4</v>
      </c>
      <c r="H233" s="14">
        <v>25528.6</v>
      </c>
      <c r="I233" s="14">
        <v>29068.9</v>
      </c>
      <c r="J233" s="14">
        <v>30423.200000000001</v>
      </c>
      <c r="K233" s="14">
        <v>28251.3</v>
      </c>
      <c r="L233" s="14">
        <v>41742.199999999997</v>
      </c>
      <c r="M233" s="14">
        <v>37317.1</v>
      </c>
      <c r="N233" s="14">
        <v>36052.9</v>
      </c>
      <c r="O233" s="14">
        <v>38270</v>
      </c>
      <c r="P233" s="14">
        <v>50541.599999999999</v>
      </c>
      <c r="Q233" s="14">
        <v>52736.7</v>
      </c>
      <c r="R233" s="14">
        <v>52573.3</v>
      </c>
      <c r="S233" s="14">
        <v>40492.699999999997</v>
      </c>
      <c r="T233" s="14">
        <v>42292.800000000003</v>
      </c>
      <c r="U233" s="14">
        <v>42637</v>
      </c>
      <c r="V233" s="14">
        <v>40217.699999999997</v>
      </c>
      <c r="W233" s="14">
        <v>42459.8</v>
      </c>
      <c r="X233" s="14">
        <v>40977.1</v>
      </c>
      <c r="Y233" s="14">
        <v>42924.7</v>
      </c>
      <c r="Z233" s="14">
        <v>37754.9</v>
      </c>
      <c r="AA233" s="14"/>
      <c r="AB233" s="14"/>
      <c r="AC233" s="15">
        <f>IFERROR(Z233/G233-1,"")</f>
        <v>0.15375847253036046</v>
      </c>
      <c r="AD233" s="15">
        <f>IFERROR((Z233/G233)^(1/19)-1,"")</f>
        <v>7.5560274844728159E-3</v>
      </c>
    </row>
    <row r="234" spans="1:30">
      <c r="A234" s="45" t="s">
        <v>115</v>
      </c>
      <c r="B234" s="45" t="s">
        <v>116</v>
      </c>
      <c r="C234" s="45" t="s">
        <v>498</v>
      </c>
      <c r="D234" s="45" t="s">
        <v>496</v>
      </c>
      <c r="E234" s="45" t="s">
        <v>499</v>
      </c>
      <c r="F234" s="45" t="s">
        <v>500</v>
      </c>
      <c r="G234" s="14">
        <v>173537.1</v>
      </c>
      <c r="H234" s="14">
        <v>162250.79999999999</v>
      </c>
      <c r="I234" s="14">
        <v>167429.29999999999</v>
      </c>
      <c r="J234" s="14">
        <v>178103.2</v>
      </c>
      <c r="K234" s="14">
        <v>194796.2</v>
      </c>
      <c r="L234" s="14">
        <v>218514.3</v>
      </c>
      <c r="M234" s="14">
        <v>208264.9</v>
      </c>
      <c r="N234" s="14">
        <v>250916.5</v>
      </c>
      <c r="O234" s="14">
        <v>260301</v>
      </c>
      <c r="P234" s="14">
        <v>309830.5</v>
      </c>
      <c r="Q234" s="14">
        <v>359653.7</v>
      </c>
      <c r="R234" s="14">
        <v>368658.8</v>
      </c>
      <c r="S234" s="14">
        <v>364184.7</v>
      </c>
      <c r="T234" s="14">
        <v>345004.2</v>
      </c>
      <c r="U234" s="14">
        <v>349064.1</v>
      </c>
      <c r="V234" s="14">
        <v>365583.8</v>
      </c>
      <c r="W234" s="14">
        <v>349220.2</v>
      </c>
      <c r="X234" s="14">
        <v>360538.5</v>
      </c>
      <c r="Y234" s="14">
        <v>337193.2</v>
      </c>
      <c r="Z234" s="14">
        <v>320748.90000000002</v>
      </c>
      <c r="AA234" s="14"/>
      <c r="AB234" s="14"/>
      <c r="AC234" s="15">
        <f>IFERROR(Z234/G234-1,"")</f>
        <v>0.84830160236629526</v>
      </c>
      <c r="AD234" s="15">
        <f>IFERROR((Z234/G234)^(1/19)-1,"")</f>
        <v>3.2858138176109053E-2</v>
      </c>
    </row>
    <row r="235" spans="1:30">
      <c r="A235" s="45" t="s">
        <v>115</v>
      </c>
      <c r="B235" s="45" t="s">
        <v>116</v>
      </c>
      <c r="C235" s="45" t="s">
        <v>498</v>
      </c>
      <c r="D235" s="45" t="s">
        <v>497</v>
      </c>
      <c r="E235" s="45" t="s">
        <v>499</v>
      </c>
      <c r="F235" s="45" t="s">
        <v>500</v>
      </c>
      <c r="G235" s="14">
        <v>116259.5</v>
      </c>
      <c r="H235" s="14">
        <v>111163.3</v>
      </c>
      <c r="I235" s="14">
        <v>110657.4</v>
      </c>
      <c r="J235" s="14">
        <v>122216.7</v>
      </c>
      <c r="K235" s="14">
        <v>130818.4</v>
      </c>
      <c r="L235" s="14">
        <v>146302.20000000001</v>
      </c>
      <c r="M235" s="14">
        <v>149225.4</v>
      </c>
      <c r="N235" s="14">
        <v>157864.4</v>
      </c>
      <c r="O235" s="14">
        <v>162921</v>
      </c>
      <c r="P235" s="14">
        <v>170643.8</v>
      </c>
      <c r="Q235" s="14">
        <v>176747</v>
      </c>
      <c r="R235" s="14">
        <v>187657.60000000001</v>
      </c>
      <c r="S235" s="14">
        <v>188591.7</v>
      </c>
      <c r="T235" s="14">
        <v>191168</v>
      </c>
      <c r="U235" s="14">
        <v>185107.6</v>
      </c>
      <c r="V235" s="14">
        <v>195353.1</v>
      </c>
      <c r="W235" s="14">
        <v>191737.9</v>
      </c>
      <c r="X235" s="14">
        <v>203639.9</v>
      </c>
      <c r="Y235" s="14">
        <v>199055.9</v>
      </c>
      <c r="Z235" s="14">
        <v>183081.4</v>
      </c>
      <c r="AA235" s="14"/>
      <c r="AB235" s="14"/>
      <c r="AC235" s="15">
        <f>IFERROR(Z235/G235-1,"")</f>
        <v>0.57476507296177948</v>
      </c>
      <c r="AD235" s="15">
        <f>IFERROR((Z235/G235)^(1/19)-1,"")</f>
        <v>2.4188222859181874E-2</v>
      </c>
    </row>
    <row r="236" spans="1:30">
      <c r="A236" s="45" t="s">
        <v>115</v>
      </c>
      <c r="B236" s="45" t="s">
        <v>116</v>
      </c>
      <c r="C236" s="45" t="s">
        <v>498</v>
      </c>
      <c r="D236" s="45" t="s">
        <v>501</v>
      </c>
      <c r="E236" s="45" t="s">
        <v>499</v>
      </c>
      <c r="F236" s="45" t="s">
        <v>500</v>
      </c>
      <c r="G236" s="14">
        <v>12862.6</v>
      </c>
      <c r="H236" s="14">
        <v>14603.1</v>
      </c>
      <c r="I236" s="14">
        <v>14529.5</v>
      </c>
      <c r="J236" s="14">
        <v>16371.1</v>
      </c>
      <c r="K236" s="14">
        <v>17359.7</v>
      </c>
      <c r="L236" s="14">
        <v>13581.4</v>
      </c>
      <c r="M236" s="14">
        <v>16343</v>
      </c>
      <c r="N236" s="14">
        <v>18001.5</v>
      </c>
      <c r="O236" s="14">
        <v>15455</v>
      </c>
      <c r="P236" s="14">
        <v>17331.3</v>
      </c>
      <c r="Q236" s="14">
        <v>13709.1</v>
      </c>
      <c r="R236" s="14">
        <v>15281.2</v>
      </c>
      <c r="S236" s="14">
        <v>16290.9</v>
      </c>
      <c r="T236" s="14">
        <v>17797</v>
      </c>
      <c r="U236" s="14">
        <v>15952.9</v>
      </c>
      <c r="V236" s="14">
        <v>16993</v>
      </c>
      <c r="W236" s="14">
        <v>18492.2</v>
      </c>
      <c r="X236" s="14">
        <v>21763.4</v>
      </c>
      <c r="Y236" s="14">
        <v>20728.599999999999</v>
      </c>
      <c r="Z236" s="14">
        <v>25391.5</v>
      </c>
      <c r="AA236" s="14"/>
      <c r="AB236" s="14"/>
      <c r="AC236" s="15">
        <f>IFERROR(Z236/G236-1,"")</f>
        <v>0.97405656710151911</v>
      </c>
      <c r="AD236" s="15">
        <f>IFERROR((Z236/G236)^(1/19)-1,"")</f>
        <v>3.6442568127893482E-2</v>
      </c>
    </row>
    <row r="237" spans="1:30">
      <c r="A237" s="45" t="s">
        <v>281</v>
      </c>
      <c r="B237" s="45" t="s">
        <v>282</v>
      </c>
      <c r="C237" s="45" t="s">
        <v>490</v>
      </c>
      <c r="D237" s="45" t="s">
        <v>491</v>
      </c>
      <c r="E237" s="45" t="s">
        <v>492</v>
      </c>
      <c r="F237" s="45" t="s">
        <v>493</v>
      </c>
      <c r="G237" s="14">
        <v>22911</v>
      </c>
      <c r="H237" s="14">
        <v>19861</v>
      </c>
      <c r="I237" s="14">
        <v>23307</v>
      </c>
      <c r="J237" s="14">
        <v>23270</v>
      </c>
      <c r="K237" s="14">
        <v>23764</v>
      </c>
      <c r="L237" s="14">
        <v>29572</v>
      </c>
      <c r="M237" s="14">
        <v>35896</v>
      </c>
      <c r="N237" s="14">
        <v>43333</v>
      </c>
      <c r="O237" s="14">
        <v>42556</v>
      </c>
      <c r="P237" s="14">
        <v>45970</v>
      </c>
      <c r="Q237" s="14">
        <v>53896</v>
      </c>
      <c r="R237" s="14">
        <v>57759</v>
      </c>
      <c r="S237" s="14">
        <v>63602</v>
      </c>
      <c r="T237" s="14">
        <v>68791</v>
      </c>
      <c r="U237" s="14">
        <v>70996</v>
      </c>
      <c r="V237" s="14">
        <v>77545</v>
      </c>
      <c r="W237" s="14">
        <v>86439</v>
      </c>
      <c r="X237" s="14">
        <v>96560</v>
      </c>
      <c r="Y237" s="14">
        <v>98340</v>
      </c>
      <c r="Z237" s="14">
        <v>106965</v>
      </c>
      <c r="AA237" s="14">
        <v>120903</v>
      </c>
      <c r="AB237" s="14">
        <v>131975</v>
      </c>
    </row>
    <row r="238" spans="1:30">
      <c r="A238" s="45" t="s">
        <v>281</v>
      </c>
      <c r="B238" s="45" t="s">
        <v>282</v>
      </c>
      <c r="C238" s="45" t="s">
        <v>490</v>
      </c>
      <c r="D238" s="45" t="s">
        <v>494</v>
      </c>
      <c r="E238" s="45" t="s">
        <v>492</v>
      </c>
      <c r="F238" s="45" t="s">
        <v>493</v>
      </c>
      <c r="G238" s="14">
        <v>22153</v>
      </c>
      <c r="H238" s="14">
        <v>19291</v>
      </c>
      <c r="I238" s="14">
        <v>22653</v>
      </c>
      <c r="J238" s="14">
        <v>22661</v>
      </c>
      <c r="K238" s="14">
        <v>22703</v>
      </c>
      <c r="L238" s="14">
        <v>27877</v>
      </c>
      <c r="M238" s="14">
        <v>33588</v>
      </c>
      <c r="N238" s="14">
        <v>38531</v>
      </c>
      <c r="O238" s="14">
        <v>39240</v>
      </c>
      <c r="P238" s="14">
        <v>42546</v>
      </c>
      <c r="Q238" s="14">
        <v>49561</v>
      </c>
      <c r="R238" s="14">
        <v>53192</v>
      </c>
      <c r="S238" s="14">
        <v>58263</v>
      </c>
      <c r="T238" s="14">
        <v>64920</v>
      </c>
      <c r="U238" s="14">
        <v>69176</v>
      </c>
      <c r="V238" s="14">
        <v>75698</v>
      </c>
      <c r="W238" s="14">
        <v>83486</v>
      </c>
      <c r="X238" s="14">
        <v>93671</v>
      </c>
      <c r="Y238" s="14">
        <v>95473</v>
      </c>
      <c r="Z238" s="14">
        <v>103285</v>
      </c>
      <c r="AA238" s="14"/>
      <c r="AB238" s="14"/>
    </row>
    <row r="239" spans="1:30">
      <c r="A239" s="45" t="s">
        <v>281</v>
      </c>
      <c r="B239" s="45" t="s">
        <v>282</v>
      </c>
      <c r="C239" s="45" t="s">
        <v>490</v>
      </c>
      <c r="D239" s="45" t="s">
        <v>495</v>
      </c>
      <c r="E239" s="45" t="s">
        <v>492</v>
      </c>
      <c r="F239" s="45" t="s">
        <v>493</v>
      </c>
      <c r="G239" s="14">
        <v>3592</v>
      </c>
      <c r="H239" s="14">
        <v>1757</v>
      </c>
      <c r="I239" s="14">
        <v>1729</v>
      </c>
      <c r="J239" s="14">
        <v>2523</v>
      </c>
      <c r="K239" s="14">
        <v>722</v>
      </c>
      <c r="L239" s="14">
        <v>783</v>
      </c>
      <c r="M239" s="14">
        <v>878</v>
      </c>
      <c r="N239" s="14">
        <v>1071</v>
      </c>
      <c r="O239" s="14">
        <v>1133</v>
      </c>
      <c r="P239" s="14">
        <v>1009</v>
      </c>
      <c r="Q239" s="14">
        <v>3364</v>
      </c>
      <c r="R239" s="14">
        <v>1395</v>
      </c>
      <c r="S239" s="14">
        <v>1734</v>
      </c>
      <c r="T239" s="14">
        <v>2230</v>
      </c>
      <c r="U239" s="14">
        <v>2761</v>
      </c>
      <c r="V239" s="14">
        <v>2635</v>
      </c>
      <c r="W239" s="14">
        <v>2822</v>
      </c>
      <c r="X239" s="14">
        <v>2774</v>
      </c>
      <c r="Y239" s="14">
        <v>2755</v>
      </c>
      <c r="Z239" s="14">
        <v>4589</v>
      </c>
      <c r="AA239" s="14"/>
      <c r="AB239" s="14"/>
    </row>
    <row r="240" spans="1:30">
      <c r="A240" s="45" t="s">
        <v>281</v>
      </c>
      <c r="B240" s="45" t="s">
        <v>282</v>
      </c>
      <c r="C240" s="45" t="s">
        <v>490</v>
      </c>
      <c r="D240" s="45" t="s">
        <v>496</v>
      </c>
      <c r="E240" s="45" t="s">
        <v>492</v>
      </c>
      <c r="F240" s="45" t="s">
        <v>493</v>
      </c>
      <c r="G240" s="14">
        <v>3467</v>
      </c>
      <c r="H240" s="14">
        <v>2993</v>
      </c>
      <c r="I240" s="14">
        <v>3672</v>
      </c>
      <c r="J240" s="14">
        <v>3616</v>
      </c>
      <c r="K240" s="14">
        <v>3778</v>
      </c>
      <c r="L240" s="14">
        <v>5224</v>
      </c>
      <c r="M240" s="14">
        <v>6058</v>
      </c>
      <c r="N240" s="14">
        <v>7386</v>
      </c>
      <c r="O240" s="14">
        <v>7256</v>
      </c>
      <c r="P240" s="14">
        <v>7547</v>
      </c>
      <c r="Q240" s="14">
        <v>9189</v>
      </c>
      <c r="R240" s="14">
        <v>10367</v>
      </c>
      <c r="S240" s="14">
        <v>11083</v>
      </c>
      <c r="T240" s="14">
        <v>12843</v>
      </c>
      <c r="U240" s="14">
        <v>13550</v>
      </c>
      <c r="V240" s="14">
        <v>15052</v>
      </c>
      <c r="W240" s="14">
        <v>19699</v>
      </c>
      <c r="X240" s="14">
        <v>21316</v>
      </c>
      <c r="Y240" s="14">
        <v>21058</v>
      </c>
      <c r="Z240" s="14">
        <v>22890</v>
      </c>
      <c r="AA240" s="14"/>
      <c r="AB240" s="14"/>
    </row>
    <row r="241" spans="1:30">
      <c r="A241" s="45" t="s">
        <v>281</v>
      </c>
      <c r="B241" s="45" t="s">
        <v>282</v>
      </c>
      <c r="C241" s="45" t="s">
        <v>490</v>
      </c>
      <c r="D241" s="45" t="s">
        <v>497</v>
      </c>
      <c r="E241" s="45" t="s">
        <v>492</v>
      </c>
      <c r="F241" s="45" t="s">
        <v>493</v>
      </c>
      <c r="G241" s="14">
        <v>10419</v>
      </c>
      <c r="H241" s="14">
        <v>10948</v>
      </c>
      <c r="I241" s="14">
        <v>12227</v>
      </c>
      <c r="J241" s="14">
        <v>13734</v>
      </c>
      <c r="K241" s="14">
        <v>15357</v>
      </c>
      <c r="L241" s="14">
        <v>19965</v>
      </c>
      <c r="M241" s="14">
        <v>23600</v>
      </c>
      <c r="N241" s="14">
        <v>27178</v>
      </c>
      <c r="O241" s="14">
        <v>28773</v>
      </c>
      <c r="P241" s="14">
        <v>31687</v>
      </c>
      <c r="Q241" s="14">
        <v>35272</v>
      </c>
      <c r="R241" s="14">
        <v>39524</v>
      </c>
      <c r="S241" s="14">
        <v>43412</v>
      </c>
      <c r="T241" s="14">
        <v>47510</v>
      </c>
      <c r="U241" s="14">
        <v>50459</v>
      </c>
      <c r="V241" s="14">
        <v>55627</v>
      </c>
      <c r="W241" s="14">
        <v>59001</v>
      </c>
      <c r="X241" s="14">
        <v>66437</v>
      </c>
      <c r="Y241" s="14">
        <v>67741</v>
      </c>
      <c r="Z241" s="14">
        <v>73375</v>
      </c>
      <c r="AA241" s="14"/>
      <c r="AB241" s="14"/>
    </row>
    <row r="242" spans="1:30">
      <c r="A242" s="45" t="s">
        <v>281</v>
      </c>
      <c r="B242" s="45" t="s">
        <v>282</v>
      </c>
      <c r="C242" s="45" t="s">
        <v>498</v>
      </c>
      <c r="D242" s="45" t="s">
        <v>491</v>
      </c>
      <c r="E242" s="45" t="s">
        <v>499</v>
      </c>
      <c r="F242" s="45" t="s">
        <v>500</v>
      </c>
      <c r="G242" s="14">
        <v>43524.4</v>
      </c>
      <c r="H242" s="14">
        <v>33070.5</v>
      </c>
      <c r="I242" s="14">
        <v>36017</v>
      </c>
      <c r="J242" s="14">
        <v>33471.9</v>
      </c>
      <c r="K242" s="14">
        <v>32013.8</v>
      </c>
      <c r="L242" s="14">
        <v>37428.199999999997</v>
      </c>
      <c r="M242" s="14">
        <v>41765.699999999997</v>
      </c>
      <c r="N242" s="14">
        <v>46983.1</v>
      </c>
      <c r="O242" s="14">
        <v>42556</v>
      </c>
      <c r="P242" s="14">
        <v>42439.6</v>
      </c>
      <c r="Q242" s="14">
        <v>46095.5</v>
      </c>
      <c r="R242" s="14">
        <v>45951</v>
      </c>
      <c r="S242" s="14">
        <v>46917.9</v>
      </c>
      <c r="T242" s="14">
        <v>47176.3</v>
      </c>
      <c r="U242" s="14">
        <v>45038.7</v>
      </c>
      <c r="V242" s="14">
        <v>47451.199999999997</v>
      </c>
      <c r="W242" s="14">
        <v>50619</v>
      </c>
      <c r="X242" s="14">
        <v>54254.1</v>
      </c>
      <c r="Y242" s="14">
        <v>51895.3</v>
      </c>
      <c r="Z242" s="14">
        <v>49932</v>
      </c>
      <c r="AA242" s="14"/>
      <c r="AB242" s="14"/>
      <c r="AC242" s="15">
        <f>IFERROR(Z242/G242-1,"")</f>
        <v>0.14721857165176311</v>
      </c>
      <c r="AD242" s="15">
        <f>IFERROR((Z242/G242)^(1/19)-1,"")</f>
        <v>7.254629263432566E-3</v>
      </c>
    </row>
    <row r="243" spans="1:30">
      <c r="A243" s="45" t="s">
        <v>281</v>
      </c>
      <c r="B243" s="45" t="s">
        <v>282</v>
      </c>
      <c r="C243" s="45" t="s">
        <v>498</v>
      </c>
      <c r="D243" s="45" t="s">
        <v>495</v>
      </c>
      <c r="E243" s="45" t="s">
        <v>499</v>
      </c>
      <c r="F243" s="45" t="s">
        <v>500</v>
      </c>
      <c r="G243" s="14">
        <v>6823.1</v>
      </c>
      <c r="H243" s="14">
        <v>2925.6</v>
      </c>
      <c r="I243" s="14">
        <v>2671.5</v>
      </c>
      <c r="J243" s="14">
        <v>3628.6</v>
      </c>
      <c r="K243" s="14">
        <v>972.8</v>
      </c>
      <c r="L243" s="14">
        <v>990.7</v>
      </c>
      <c r="M243" s="14">
        <v>1021.7</v>
      </c>
      <c r="N243" s="14">
        <v>1161.2</v>
      </c>
      <c r="O243" s="14">
        <v>1133</v>
      </c>
      <c r="P243" s="14">
        <v>931.5</v>
      </c>
      <c r="Q243" s="14">
        <v>2877.1</v>
      </c>
      <c r="R243" s="14">
        <v>1109.8</v>
      </c>
      <c r="S243" s="14">
        <v>1279.0999999999999</v>
      </c>
      <c r="T243" s="14">
        <v>1529.3</v>
      </c>
      <c r="U243" s="14">
        <v>1751.5</v>
      </c>
      <c r="V243" s="14">
        <v>1612.4</v>
      </c>
      <c r="W243" s="14">
        <v>1652.6</v>
      </c>
      <c r="X243" s="14">
        <v>1558.6</v>
      </c>
      <c r="Y243" s="14">
        <v>1453.8</v>
      </c>
      <c r="Z243" s="14">
        <v>2142.1999999999998</v>
      </c>
      <c r="AA243" s="14"/>
      <c r="AB243" s="14"/>
      <c r="AC243" s="15">
        <f>IFERROR(Z243/G243-1,"")</f>
        <v>-0.68603713854406356</v>
      </c>
      <c r="AD243" s="15">
        <f>IFERROR((Z243/G243)^(1/19)-1,"")</f>
        <v>-5.9151039532153948E-2</v>
      </c>
    </row>
    <row r="244" spans="1:30">
      <c r="A244" s="45" t="s">
        <v>281</v>
      </c>
      <c r="B244" s="45" t="s">
        <v>282</v>
      </c>
      <c r="C244" s="45" t="s">
        <v>498</v>
      </c>
      <c r="D244" s="45" t="s">
        <v>496</v>
      </c>
      <c r="E244" s="45" t="s">
        <v>499</v>
      </c>
      <c r="F244" s="45" t="s">
        <v>500</v>
      </c>
      <c r="G244" s="14">
        <v>6585.7</v>
      </c>
      <c r="H244" s="14">
        <v>4983.8</v>
      </c>
      <c r="I244" s="14">
        <v>5673.7</v>
      </c>
      <c r="J244" s="14">
        <v>5201.8999999999996</v>
      </c>
      <c r="K244" s="14">
        <v>5090.2</v>
      </c>
      <c r="L244" s="14">
        <v>6612</v>
      </c>
      <c r="M244" s="14">
        <v>7048.5</v>
      </c>
      <c r="N244" s="14">
        <v>8008.1</v>
      </c>
      <c r="O244" s="14">
        <v>7256</v>
      </c>
      <c r="P244" s="14">
        <v>6967.4</v>
      </c>
      <c r="Q244" s="14">
        <v>7859.1</v>
      </c>
      <c r="R244" s="14">
        <v>8247.6</v>
      </c>
      <c r="S244" s="14">
        <v>8175.7</v>
      </c>
      <c r="T244" s="14">
        <v>8807.6</v>
      </c>
      <c r="U244" s="14">
        <v>8595.9</v>
      </c>
      <c r="V244" s="14">
        <v>9210.6</v>
      </c>
      <c r="W244" s="14">
        <v>11535.8</v>
      </c>
      <c r="X244" s="14">
        <v>11976.8</v>
      </c>
      <c r="Y244" s="14">
        <v>11112.6</v>
      </c>
      <c r="Z244" s="14">
        <v>10685.7</v>
      </c>
      <c r="AA244" s="14"/>
      <c r="AB244" s="14"/>
      <c r="AC244" s="15">
        <f>IFERROR(Z244/G244-1,"")</f>
        <v>0.62256100338612463</v>
      </c>
      <c r="AD244" s="15">
        <f>IFERROR((Z244/G244)^(1/19)-1,"")</f>
        <v>2.5801222527070511E-2</v>
      </c>
    </row>
    <row r="245" spans="1:30">
      <c r="A245" s="45" t="s">
        <v>281</v>
      </c>
      <c r="B245" s="45" t="s">
        <v>282</v>
      </c>
      <c r="C245" s="45" t="s">
        <v>498</v>
      </c>
      <c r="D245" s="45" t="s">
        <v>497</v>
      </c>
      <c r="E245" s="45" t="s">
        <v>499</v>
      </c>
      <c r="F245" s="45" t="s">
        <v>500</v>
      </c>
      <c r="G245" s="14">
        <v>19793.599999999999</v>
      </c>
      <c r="H245" s="14">
        <v>18229.099999999999</v>
      </c>
      <c r="I245" s="14">
        <v>18895.099999999999</v>
      </c>
      <c r="J245" s="14">
        <v>19754.900000000001</v>
      </c>
      <c r="K245" s="14">
        <v>20688.900000000001</v>
      </c>
      <c r="L245" s="14">
        <v>25268.5</v>
      </c>
      <c r="M245" s="14">
        <v>27459.7</v>
      </c>
      <c r="N245" s="14">
        <v>29467.3</v>
      </c>
      <c r="O245" s="14">
        <v>28773</v>
      </c>
      <c r="P245" s="14">
        <v>29253.5</v>
      </c>
      <c r="Q245" s="14">
        <v>30167</v>
      </c>
      <c r="R245" s="14">
        <v>31443.9</v>
      </c>
      <c r="S245" s="14">
        <v>32024.2</v>
      </c>
      <c r="T245" s="14">
        <v>32582</v>
      </c>
      <c r="U245" s="14">
        <v>32010.400000000001</v>
      </c>
      <c r="V245" s="14">
        <v>34039.199999999997</v>
      </c>
      <c r="W245" s="14">
        <v>34551.199999999997</v>
      </c>
      <c r="X245" s="14">
        <v>37328.9</v>
      </c>
      <c r="Y245" s="14">
        <v>35747.800000000003</v>
      </c>
      <c r="Z245" s="14">
        <v>34252.9</v>
      </c>
      <c r="AA245" s="14"/>
      <c r="AB245" s="14"/>
      <c r="AC245" s="15">
        <f>IFERROR(Z245/G245-1,"")</f>
        <v>0.73050379920782493</v>
      </c>
      <c r="AD245" s="15">
        <f>IFERROR((Z245/G245)^(1/19)-1,"")</f>
        <v>2.928441695330819E-2</v>
      </c>
    </row>
    <row r="246" spans="1:30">
      <c r="A246" s="45" t="s">
        <v>281</v>
      </c>
      <c r="B246" s="45" t="s">
        <v>282</v>
      </c>
      <c r="C246" s="45" t="s">
        <v>498</v>
      </c>
      <c r="D246" s="45" t="s">
        <v>501</v>
      </c>
      <c r="E246" s="45" t="s">
        <v>499</v>
      </c>
      <c r="F246" s="45" t="s">
        <v>500</v>
      </c>
      <c r="G246" s="14">
        <v>8882.9</v>
      </c>
      <c r="H246" s="14">
        <v>5984</v>
      </c>
      <c r="I246" s="14">
        <v>7765.5</v>
      </c>
      <c r="J246" s="14">
        <v>4010.8</v>
      </c>
      <c r="K246" s="14">
        <v>3833.2</v>
      </c>
      <c r="L246" s="14">
        <v>2412.1999999999998</v>
      </c>
      <c r="M246" s="14">
        <v>3551.2</v>
      </c>
      <c r="N246" s="14">
        <v>3138.9</v>
      </c>
      <c r="O246" s="14">
        <v>2077</v>
      </c>
      <c r="P246" s="14">
        <v>2126.1</v>
      </c>
      <c r="Q246" s="14">
        <v>1484.7</v>
      </c>
      <c r="R246" s="14">
        <v>1517.1</v>
      </c>
      <c r="S246" s="14">
        <v>1500.4</v>
      </c>
      <c r="T246" s="14">
        <v>1603.4</v>
      </c>
      <c r="U246" s="14">
        <v>1525.7</v>
      </c>
      <c r="V246" s="14">
        <v>1458.8</v>
      </c>
      <c r="W246" s="14">
        <v>1149.5</v>
      </c>
      <c r="X246" s="14">
        <v>1766</v>
      </c>
      <c r="Y246" s="14">
        <v>2068.6</v>
      </c>
      <c r="Z246" s="14">
        <v>1134.8</v>
      </c>
      <c r="AA246" s="14"/>
      <c r="AB246" s="14"/>
      <c r="AC246" s="15">
        <f>IFERROR(Z246/G246-1,"")</f>
        <v>-0.87224892771504803</v>
      </c>
      <c r="AD246" s="15">
        <f>IFERROR((Z246/G246)^(1/19)-1,"")</f>
        <v>-0.10264031280336428</v>
      </c>
    </row>
    <row r="247" spans="1:30">
      <c r="A247" s="45" t="s">
        <v>147</v>
      </c>
      <c r="B247" s="45" t="s">
        <v>148</v>
      </c>
      <c r="C247" s="45" t="s">
        <v>490</v>
      </c>
      <c r="D247" s="45" t="s">
        <v>491</v>
      </c>
      <c r="E247" s="45" t="s">
        <v>492</v>
      </c>
      <c r="F247" s="45" t="s">
        <v>493</v>
      </c>
      <c r="G247" s="14">
        <v>81196</v>
      </c>
      <c r="H247" s="14">
        <v>105575</v>
      </c>
      <c r="I247" s="14">
        <v>107990</v>
      </c>
      <c r="J247" s="14">
        <v>123600</v>
      </c>
      <c r="K247" s="14">
        <v>142558</v>
      </c>
      <c r="L247" s="14">
        <v>157091</v>
      </c>
      <c r="M247" s="14">
        <v>173185</v>
      </c>
      <c r="N247" s="14">
        <v>209404</v>
      </c>
      <c r="O247" s="14">
        <v>234467</v>
      </c>
      <c r="P247" s="14">
        <v>260417</v>
      </c>
      <c r="Q247" s="14">
        <v>318971</v>
      </c>
      <c r="R247" s="14">
        <v>358161</v>
      </c>
      <c r="S247" s="14">
        <v>365938</v>
      </c>
      <c r="T247" s="14">
        <v>418688</v>
      </c>
      <c r="U247" s="14">
        <v>408706</v>
      </c>
      <c r="V247" s="14">
        <v>478722</v>
      </c>
      <c r="W247" s="14">
        <v>550759</v>
      </c>
      <c r="X247" s="14">
        <v>578376</v>
      </c>
      <c r="Y247" s="14">
        <v>597286</v>
      </c>
      <c r="Z247" s="14">
        <v>605673</v>
      </c>
      <c r="AA247" s="14">
        <v>639755</v>
      </c>
      <c r="AB247" s="14">
        <v>615957</v>
      </c>
    </row>
    <row r="248" spans="1:30">
      <c r="A248" s="45" t="s">
        <v>147</v>
      </c>
      <c r="B248" s="45" t="s">
        <v>148</v>
      </c>
      <c r="C248" s="45" t="s">
        <v>490</v>
      </c>
      <c r="D248" s="45" t="s">
        <v>494</v>
      </c>
      <c r="E248" s="45" t="s">
        <v>492</v>
      </c>
      <c r="F248" s="45" t="s">
        <v>493</v>
      </c>
      <c r="G248" s="14">
        <v>75303</v>
      </c>
      <c r="H248" s="14">
        <v>98920</v>
      </c>
      <c r="I248" s="14">
        <v>101423</v>
      </c>
      <c r="J248" s="14">
        <v>115535</v>
      </c>
      <c r="K248" s="14">
        <v>129078</v>
      </c>
      <c r="L248" s="14">
        <v>136413</v>
      </c>
      <c r="M248" s="14">
        <v>153882</v>
      </c>
      <c r="N248" s="14">
        <v>186934</v>
      </c>
      <c r="O248" s="14">
        <v>202047</v>
      </c>
      <c r="P248" s="14">
        <v>225870</v>
      </c>
      <c r="Q248" s="14">
        <v>263021</v>
      </c>
      <c r="R248" s="14">
        <v>299111</v>
      </c>
      <c r="S248" s="14">
        <v>302571</v>
      </c>
      <c r="T248" s="14">
        <v>349236</v>
      </c>
      <c r="U248" s="14">
        <v>383099</v>
      </c>
      <c r="V248" s="14">
        <v>451243</v>
      </c>
      <c r="W248" s="14">
        <v>515675</v>
      </c>
      <c r="X248" s="14">
        <v>540441</v>
      </c>
      <c r="Y248" s="14">
        <v>562352</v>
      </c>
      <c r="Z248" s="14">
        <v>555294</v>
      </c>
      <c r="AA248" s="14"/>
      <c r="AB248" s="14"/>
    </row>
    <row r="249" spans="1:30">
      <c r="A249" s="45" t="s">
        <v>147</v>
      </c>
      <c r="B249" s="45" t="s">
        <v>148</v>
      </c>
      <c r="C249" s="45" t="s">
        <v>490</v>
      </c>
      <c r="D249" s="45" t="s">
        <v>495</v>
      </c>
      <c r="E249" s="45" t="s">
        <v>492</v>
      </c>
      <c r="F249" s="45" t="s">
        <v>493</v>
      </c>
      <c r="G249" s="14">
        <v>5381</v>
      </c>
      <c r="H249" s="14">
        <v>5976</v>
      </c>
      <c r="I249" s="14">
        <v>6447</v>
      </c>
      <c r="J249" s="14">
        <v>6368</v>
      </c>
      <c r="K249" s="14">
        <v>6705</v>
      </c>
      <c r="L249" s="14">
        <v>5365</v>
      </c>
      <c r="M249" s="14">
        <v>6433</v>
      </c>
      <c r="N249" s="14">
        <v>8305</v>
      </c>
      <c r="O249" s="14">
        <v>6708</v>
      </c>
      <c r="P249" s="14">
        <v>8982</v>
      </c>
      <c r="Q249" s="14">
        <v>10333</v>
      </c>
      <c r="R249" s="14">
        <v>9549</v>
      </c>
      <c r="S249" s="14">
        <v>10657</v>
      </c>
      <c r="T249" s="14">
        <v>11022</v>
      </c>
      <c r="U249" s="14">
        <v>12360</v>
      </c>
      <c r="V249" s="14">
        <v>15445</v>
      </c>
      <c r="W249" s="14">
        <v>18852</v>
      </c>
      <c r="X249" s="14">
        <v>16728</v>
      </c>
      <c r="Y249" s="14">
        <v>15885</v>
      </c>
      <c r="Z249" s="14">
        <v>16405</v>
      </c>
      <c r="AA249" s="14"/>
      <c r="AB249" s="14"/>
    </row>
    <row r="250" spans="1:30">
      <c r="A250" s="45" t="s">
        <v>147</v>
      </c>
      <c r="B250" s="45" t="s">
        <v>148</v>
      </c>
      <c r="C250" s="45" t="s">
        <v>490</v>
      </c>
      <c r="D250" s="45" t="s">
        <v>496</v>
      </c>
      <c r="E250" s="45" t="s">
        <v>492</v>
      </c>
      <c r="F250" s="45" t="s">
        <v>493</v>
      </c>
      <c r="G250" s="14">
        <v>17294</v>
      </c>
      <c r="H250" s="14">
        <v>20966</v>
      </c>
      <c r="I250" s="14">
        <v>22335</v>
      </c>
      <c r="J250" s="14">
        <v>25387</v>
      </c>
      <c r="K250" s="14">
        <v>28826</v>
      </c>
      <c r="L250" s="14">
        <v>33176</v>
      </c>
      <c r="M250" s="14">
        <v>35308</v>
      </c>
      <c r="N250" s="14">
        <v>42412</v>
      </c>
      <c r="O250" s="14">
        <v>47382</v>
      </c>
      <c r="P250" s="14">
        <v>53681</v>
      </c>
      <c r="Q250" s="14">
        <v>63658</v>
      </c>
      <c r="R250" s="14">
        <v>66685</v>
      </c>
      <c r="S250" s="14">
        <v>70212</v>
      </c>
      <c r="T250" s="14">
        <v>80900</v>
      </c>
      <c r="U250" s="14">
        <v>83683</v>
      </c>
      <c r="V250" s="14">
        <v>98762</v>
      </c>
      <c r="W250" s="14">
        <v>122173</v>
      </c>
      <c r="X250" s="14">
        <v>136163</v>
      </c>
      <c r="Y250" s="14">
        <v>137233</v>
      </c>
      <c r="Z250" s="14">
        <v>146734</v>
      </c>
      <c r="AA250" s="14"/>
      <c r="AB250" s="14"/>
    </row>
    <row r="251" spans="1:30">
      <c r="A251" s="45" t="s">
        <v>147</v>
      </c>
      <c r="B251" s="45" t="s">
        <v>148</v>
      </c>
      <c r="C251" s="45" t="s">
        <v>490</v>
      </c>
      <c r="D251" s="45" t="s">
        <v>497</v>
      </c>
      <c r="E251" s="45" t="s">
        <v>492</v>
      </c>
      <c r="F251" s="45" t="s">
        <v>493</v>
      </c>
      <c r="G251" s="14">
        <v>30773</v>
      </c>
      <c r="H251" s="14">
        <v>34443</v>
      </c>
      <c r="I251" s="14">
        <v>36918</v>
      </c>
      <c r="J251" s="14">
        <v>44669</v>
      </c>
      <c r="K251" s="14">
        <v>49746</v>
      </c>
      <c r="L251" s="14">
        <v>58129</v>
      </c>
      <c r="M251" s="14">
        <v>68082</v>
      </c>
      <c r="N251" s="14">
        <v>76893</v>
      </c>
      <c r="O251" s="14">
        <v>85594</v>
      </c>
      <c r="P251" s="14">
        <v>98446</v>
      </c>
      <c r="Q251" s="14">
        <v>103487</v>
      </c>
      <c r="R251" s="14">
        <v>126772</v>
      </c>
      <c r="S251" s="14">
        <v>114296</v>
      </c>
      <c r="T251" s="14">
        <v>141927</v>
      </c>
      <c r="U251" s="14">
        <v>150802</v>
      </c>
      <c r="V251" s="14">
        <v>169242</v>
      </c>
      <c r="W251" s="14">
        <v>170402</v>
      </c>
      <c r="X251" s="14">
        <v>186594</v>
      </c>
      <c r="Y251" s="14">
        <v>194946</v>
      </c>
      <c r="Z251" s="14">
        <v>197510</v>
      </c>
      <c r="AA251" s="14"/>
      <c r="AB251" s="14"/>
    </row>
    <row r="252" spans="1:30">
      <c r="A252" s="45" t="s">
        <v>147</v>
      </c>
      <c r="B252" s="45" t="s">
        <v>148</v>
      </c>
      <c r="C252" s="45" t="s">
        <v>498</v>
      </c>
      <c r="D252" s="45" t="s">
        <v>491</v>
      </c>
      <c r="E252" s="45" t="s">
        <v>499</v>
      </c>
      <c r="F252" s="45" t="s">
        <v>500</v>
      </c>
      <c r="G252" s="14">
        <v>154252.5</v>
      </c>
      <c r="H252" s="14">
        <v>175794.7</v>
      </c>
      <c r="I252" s="14">
        <v>166879.20000000001</v>
      </c>
      <c r="J252" s="14">
        <v>177789.7</v>
      </c>
      <c r="K252" s="14">
        <v>192049.7</v>
      </c>
      <c r="L252" s="14">
        <v>198825.4</v>
      </c>
      <c r="M252" s="14">
        <v>201505.2</v>
      </c>
      <c r="N252" s="14">
        <v>227042.8</v>
      </c>
      <c r="O252" s="14">
        <v>234467</v>
      </c>
      <c r="P252" s="14">
        <v>240417.6</v>
      </c>
      <c r="Q252" s="14">
        <v>272805.5</v>
      </c>
      <c r="R252" s="14">
        <v>284940</v>
      </c>
      <c r="S252" s="14">
        <v>269945.3</v>
      </c>
      <c r="T252" s="14">
        <v>287132.90000000002</v>
      </c>
      <c r="U252" s="14">
        <v>259276.6</v>
      </c>
      <c r="V252" s="14">
        <v>292938.7</v>
      </c>
      <c r="W252" s="14">
        <v>322526.59999999998</v>
      </c>
      <c r="X252" s="14">
        <v>324971.59999999998</v>
      </c>
      <c r="Y252" s="14">
        <v>315195.5</v>
      </c>
      <c r="Z252" s="14">
        <v>282732.59999999998</v>
      </c>
      <c r="AA252" s="14"/>
      <c r="AB252" s="14"/>
      <c r="AC252" s="15">
        <f>IFERROR(Z252/G252-1,"")</f>
        <v>0.83292069820586367</v>
      </c>
      <c r="AD252" s="15">
        <f>IFERROR((Z252/G252)^(1/19)-1,"")</f>
        <v>3.2403972908202183E-2</v>
      </c>
    </row>
    <row r="253" spans="1:30">
      <c r="A253" s="45" t="s">
        <v>147</v>
      </c>
      <c r="B253" s="45" t="s">
        <v>148</v>
      </c>
      <c r="C253" s="45" t="s">
        <v>498</v>
      </c>
      <c r="D253" s="45" t="s">
        <v>495</v>
      </c>
      <c r="E253" s="45" t="s">
        <v>499</v>
      </c>
      <c r="F253" s="45" t="s">
        <v>500</v>
      </c>
      <c r="G253" s="14">
        <v>10223.299999999999</v>
      </c>
      <c r="H253" s="14">
        <v>9951.2000000000007</v>
      </c>
      <c r="I253" s="14">
        <v>9962.7000000000007</v>
      </c>
      <c r="J253" s="14">
        <v>9159.6</v>
      </c>
      <c r="K253" s="14">
        <v>9032.5</v>
      </c>
      <c r="L253" s="14">
        <v>6790.6</v>
      </c>
      <c r="M253" s="14">
        <v>7484.8</v>
      </c>
      <c r="N253" s="14">
        <v>9004.6</v>
      </c>
      <c r="O253" s="14">
        <v>6708</v>
      </c>
      <c r="P253" s="14">
        <v>8292.2000000000007</v>
      </c>
      <c r="Q253" s="14">
        <v>8837.5</v>
      </c>
      <c r="R253" s="14">
        <v>7596.8</v>
      </c>
      <c r="S253" s="14">
        <v>7861.5</v>
      </c>
      <c r="T253" s="14">
        <v>7558.8</v>
      </c>
      <c r="U253" s="14">
        <v>7841</v>
      </c>
      <c r="V253" s="14">
        <v>9451.1</v>
      </c>
      <c r="W253" s="14">
        <v>11039.8</v>
      </c>
      <c r="X253" s="14">
        <v>9398.9</v>
      </c>
      <c r="Y253" s="14">
        <v>8382.7000000000007</v>
      </c>
      <c r="Z253" s="14">
        <v>7658</v>
      </c>
      <c r="AA253" s="14"/>
      <c r="AB253" s="14"/>
      <c r="AC253" s="15">
        <f>IFERROR(Z253/G253-1,"")</f>
        <v>-0.25092680445648663</v>
      </c>
      <c r="AD253" s="15">
        <f>IFERROR((Z253/G253)^(1/19)-1,"")</f>
        <v>-1.5091209757268298E-2</v>
      </c>
    </row>
    <row r="254" spans="1:30">
      <c r="A254" s="45" t="s">
        <v>147</v>
      </c>
      <c r="B254" s="45" t="s">
        <v>148</v>
      </c>
      <c r="C254" s="45" t="s">
        <v>498</v>
      </c>
      <c r="D254" s="45" t="s">
        <v>496</v>
      </c>
      <c r="E254" s="45" t="s">
        <v>499</v>
      </c>
      <c r="F254" s="45" t="s">
        <v>500</v>
      </c>
      <c r="G254" s="14">
        <v>32854.800000000003</v>
      </c>
      <c r="H254" s="14">
        <v>34910.5</v>
      </c>
      <c r="I254" s="14">
        <v>34515.1</v>
      </c>
      <c r="J254" s="14">
        <v>36517.199999999997</v>
      </c>
      <c r="K254" s="14">
        <v>38833.5</v>
      </c>
      <c r="L254" s="14">
        <v>41989.3</v>
      </c>
      <c r="M254" s="14">
        <v>41081.599999999999</v>
      </c>
      <c r="N254" s="14">
        <v>45984.5</v>
      </c>
      <c r="O254" s="14">
        <v>47382</v>
      </c>
      <c r="P254" s="14">
        <v>49558.400000000001</v>
      </c>
      <c r="Q254" s="14">
        <v>54444.6</v>
      </c>
      <c r="R254" s="14">
        <v>53052.2</v>
      </c>
      <c r="S254" s="14">
        <v>51794</v>
      </c>
      <c r="T254" s="14">
        <v>55480.6</v>
      </c>
      <c r="U254" s="14">
        <v>53087.199999999997</v>
      </c>
      <c r="V254" s="14">
        <v>60434.3</v>
      </c>
      <c r="W254" s="14">
        <v>71545</v>
      </c>
      <c r="X254" s="14">
        <v>76505.8</v>
      </c>
      <c r="Y254" s="14">
        <v>72419.600000000006</v>
      </c>
      <c r="Z254" s="14">
        <v>68497.399999999994</v>
      </c>
      <c r="AA254" s="14"/>
      <c r="AB254" s="14"/>
      <c r="AC254" s="15">
        <f>IFERROR(Z254/G254-1,"")</f>
        <v>1.0848521372828319</v>
      </c>
      <c r="AD254" s="15">
        <f>IFERROR((Z254/G254)^(1/19)-1,"")</f>
        <v>3.9425661850782223E-2</v>
      </c>
    </row>
    <row r="255" spans="1:30">
      <c r="A255" s="45" t="s">
        <v>147</v>
      </c>
      <c r="B255" s="45" t="s">
        <v>148</v>
      </c>
      <c r="C255" s="45" t="s">
        <v>498</v>
      </c>
      <c r="D255" s="45" t="s">
        <v>497</v>
      </c>
      <c r="E255" s="45" t="s">
        <v>499</v>
      </c>
      <c r="F255" s="45" t="s">
        <v>500</v>
      </c>
      <c r="G255" s="14">
        <v>58460.6</v>
      </c>
      <c r="H255" s="14">
        <v>57351.9</v>
      </c>
      <c r="I255" s="14">
        <v>57050.400000000001</v>
      </c>
      <c r="J255" s="14">
        <v>64253.7</v>
      </c>
      <c r="K255" s="14">
        <v>67016.399999999994</v>
      </c>
      <c r="L255" s="14">
        <v>73571.7</v>
      </c>
      <c r="M255" s="14">
        <v>79215.3</v>
      </c>
      <c r="N255" s="14">
        <v>83370</v>
      </c>
      <c r="O255" s="14">
        <v>85594</v>
      </c>
      <c r="P255" s="14">
        <v>90885.6</v>
      </c>
      <c r="Q255" s="14">
        <v>88509.1</v>
      </c>
      <c r="R255" s="14">
        <v>100855.2</v>
      </c>
      <c r="S255" s="14">
        <v>84313.9</v>
      </c>
      <c r="T255" s="14">
        <v>97332.4</v>
      </c>
      <c r="U255" s="14">
        <v>95666.4</v>
      </c>
      <c r="V255" s="14">
        <v>103562.3</v>
      </c>
      <c r="W255" s="14">
        <v>99788.1</v>
      </c>
      <c r="X255" s="14">
        <v>104841.4</v>
      </c>
      <c r="Y255" s="14">
        <v>102875.5</v>
      </c>
      <c r="Z255" s="14">
        <v>92201</v>
      </c>
      <c r="AA255" s="14"/>
      <c r="AB255" s="14"/>
      <c r="AC255" s="15">
        <f>IFERROR(Z255/G255-1,"")</f>
        <v>0.57714768579179831</v>
      </c>
      <c r="AD255" s="15">
        <f>IFERROR((Z255/G255)^(1/19)-1,"")</f>
        <v>2.4269721960833879E-2</v>
      </c>
    </row>
    <row r="256" spans="1:30">
      <c r="A256" s="45" t="s">
        <v>147</v>
      </c>
      <c r="B256" s="45" t="s">
        <v>148</v>
      </c>
      <c r="C256" s="45" t="s">
        <v>498</v>
      </c>
      <c r="D256" s="45" t="s">
        <v>501</v>
      </c>
      <c r="E256" s="45" t="s">
        <v>499</v>
      </c>
      <c r="F256" s="45" t="s">
        <v>500</v>
      </c>
      <c r="G256" s="14">
        <v>41518.400000000001</v>
      </c>
      <c r="H256" s="14">
        <v>62499.8</v>
      </c>
      <c r="I256" s="14">
        <v>55203.6</v>
      </c>
      <c r="J256" s="14">
        <v>56257.4</v>
      </c>
      <c r="K256" s="14">
        <v>59007.1</v>
      </c>
      <c r="L256" s="14">
        <v>50301.9</v>
      </c>
      <c r="M256" s="14">
        <v>51264.7</v>
      </c>
      <c r="N256" s="14">
        <v>64320</v>
      </c>
      <c r="O256" s="14">
        <v>62362</v>
      </c>
      <c r="P256" s="14">
        <v>59788.4</v>
      </c>
      <c r="Q256" s="14">
        <v>73161.3</v>
      </c>
      <c r="R256" s="14">
        <v>76458.5</v>
      </c>
      <c r="S256" s="14">
        <v>79231.3</v>
      </c>
      <c r="T256" s="14">
        <v>79132.2</v>
      </c>
      <c r="U256" s="14">
        <v>86437.4</v>
      </c>
      <c r="V256" s="14">
        <v>102676.2</v>
      </c>
      <c r="W256" s="14">
        <v>119608.4</v>
      </c>
      <c r="X256" s="14">
        <v>112911</v>
      </c>
      <c r="Y256" s="14">
        <v>113082.5</v>
      </c>
      <c r="Z256" s="14">
        <v>90861.7</v>
      </c>
      <c r="AA256" s="14"/>
      <c r="AB256" s="14"/>
      <c r="AC256" s="15">
        <f>IFERROR(Z256/G256-1,"")</f>
        <v>1.1884682454044468</v>
      </c>
      <c r="AD256" s="15">
        <f>IFERROR((Z256/G256)^(1/19)-1,"")</f>
        <v>4.2082537593318037E-2</v>
      </c>
    </row>
    <row r="257" spans="1:30">
      <c r="A257" s="45" t="s">
        <v>167</v>
      </c>
      <c r="B257" s="45" t="s">
        <v>168</v>
      </c>
      <c r="C257" s="45" t="s">
        <v>490</v>
      </c>
      <c r="D257" s="45" t="s">
        <v>491</v>
      </c>
      <c r="E257" s="45" t="s">
        <v>492</v>
      </c>
      <c r="F257" s="45" t="s">
        <v>493</v>
      </c>
      <c r="G257" s="14">
        <v>76097</v>
      </c>
      <c r="H257" s="14">
        <v>83189</v>
      </c>
      <c r="I257" s="14">
        <v>85583</v>
      </c>
      <c r="J257" s="14">
        <v>112156</v>
      </c>
      <c r="K257" s="14">
        <v>121935</v>
      </c>
      <c r="L257" s="14">
        <v>149338</v>
      </c>
      <c r="M257" s="14">
        <v>204611</v>
      </c>
      <c r="N257" s="14">
        <v>183638</v>
      </c>
      <c r="O257" s="14">
        <v>195639</v>
      </c>
      <c r="P257" s="14">
        <v>286941</v>
      </c>
      <c r="Q257" s="14">
        <v>334254</v>
      </c>
      <c r="R257" s="14">
        <v>343642</v>
      </c>
      <c r="S257" s="14">
        <v>296263</v>
      </c>
      <c r="T257" s="14">
        <v>271748</v>
      </c>
      <c r="U257" s="14">
        <v>242807</v>
      </c>
      <c r="V257" s="14">
        <v>304021</v>
      </c>
      <c r="W257" s="14">
        <v>293511</v>
      </c>
      <c r="X257" s="14">
        <v>314828</v>
      </c>
      <c r="Y257" s="14">
        <v>321061</v>
      </c>
      <c r="Z257" s="14">
        <v>373657</v>
      </c>
      <c r="AA257" s="14">
        <v>538285</v>
      </c>
      <c r="AB257" s="14">
        <v>540233</v>
      </c>
    </row>
    <row r="258" spans="1:30">
      <c r="A258" s="45" t="s">
        <v>167</v>
      </c>
      <c r="B258" s="45" t="s">
        <v>168</v>
      </c>
      <c r="C258" s="45" t="s">
        <v>490</v>
      </c>
      <c r="D258" s="45" t="s">
        <v>494</v>
      </c>
      <c r="E258" s="45" t="s">
        <v>492</v>
      </c>
      <c r="F258" s="45" t="s">
        <v>493</v>
      </c>
      <c r="G258" s="14">
        <v>72692</v>
      </c>
      <c r="H258" s="14">
        <v>79325</v>
      </c>
      <c r="I258" s="14">
        <v>81616</v>
      </c>
      <c r="J258" s="14">
        <v>106659</v>
      </c>
      <c r="K258" s="14">
        <v>114791</v>
      </c>
      <c r="L258" s="14">
        <v>140644</v>
      </c>
      <c r="M258" s="14">
        <v>194589</v>
      </c>
      <c r="N258" s="14">
        <v>173371</v>
      </c>
      <c r="O258" s="14">
        <v>183271</v>
      </c>
      <c r="P258" s="14">
        <v>264402</v>
      </c>
      <c r="Q258" s="14">
        <v>310580</v>
      </c>
      <c r="R258" s="14">
        <v>320989</v>
      </c>
      <c r="S258" s="14">
        <v>276576</v>
      </c>
      <c r="T258" s="14">
        <v>247240</v>
      </c>
      <c r="U258" s="14">
        <v>221319</v>
      </c>
      <c r="V258" s="14">
        <v>275278</v>
      </c>
      <c r="W258" s="14">
        <v>275406</v>
      </c>
      <c r="X258" s="14">
        <v>295030</v>
      </c>
      <c r="Y258" s="14">
        <v>301329</v>
      </c>
      <c r="Z258" s="14">
        <v>350488</v>
      </c>
      <c r="AA258" s="14"/>
      <c r="AB258" s="14"/>
    </row>
    <row r="259" spans="1:30">
      <c r="A259" s="45" t="s">
        <v>167</v>
      </c>
      <c r="B259" s="45" t="s">
        <v>168</v>
      </c>
      <c r="C259" s="45" t="s">
        <v>490</v>
      </c>
      <c r="D259" s="45" t="s">
        <v>495</v>
      </c>
      <c r="E259" s="45" t="s">
        <v>492</v>
      </c>
      <c r="F259" s="45" t="s">
        <v>493</v>
      </c>
      <c r="G259" s="14">
        <v>26039</v>
      </c>
      <c r="H259" s="14">
        <v>24365</v>
      </c>
      <c r="I259" s="14">
        <v>23980</v>
      </c>
      <c r="J259" s="14">
        <v>36544</v>
      </c>
      <c r="K259" s="14">
        <v>38805</v>
      </c>
      <c r="L259" s="14">
        <v>50714</v>
      </c>
      <c r="M259" s="14">
        <v>93172</v>
      </c>
      <c r="N259" s="14">
        <v>57499</v>
      </c>
      <c r="O259" s="14">
        <v>59337</v>
      </c>
      <c r="P259" s="14">
        <v>90218</v>
      </c>
      <c r="Q259" s="14">
        <v>100888</v>
      </c>
      <c r="R259" s="14">
        <v>105391</v>
      </c>
      <c r="S259" s="14">
        <v>86446</v>
      </c>
      <c r="T259" s="14">
        <v>50998</v>
      </c>
      <c r="U259" s="14">
        <v>17755</v>
      </c>
      <c r="V259" s="14">
        <v>30073</v>
      </c>
      <c r="W259" s="14">
        <v>63631</v>
      </c>
      <c r="X259" s="14">
        <v>56819</v>
      </c>
      <c r="Y259" s="14">
        <v>58902</v>
      </c>
      <c r="Z259" s="14">
        <v>89197</v>
      </c>
      <c r="AA259" s="14"/>
      <c r="AB259" s="14"/>
    </row>
    <row r="260" spans="1:30">
      <c r="A260" s="45" t="s">
        <v>167</v>
      </c>
      <c r="B260" s="45" t="s">
        <v>168</v>
      </c>
      <c r="C260" s="45" t="s">
        <v>490</v>
      </c>
      <c r="D260" s="45" t="s">
        <v>496</v>
      </c>
      <c r="E260" s="45" t="s">
        <v>492</v>
      </c>
      <c r="F260" s="45" t="s">
        <v>493</v>
      </c>
      <c r="G260" s="14">
        <v>17827</v>
      </c>
      <c r="H260" s="14">
        <v>20871</v>
      </c>
      <c r="I260" s="14">
        <v>22567</v>
      </c>
      <c r="J260" s="14">
        <v>29726</v>
      </c>
      <c r="K260" s="14">
        <v>33346</v>
      </c>
      <c r="L260" s="14">
        <v>39070</v>
      </c>
      <c r="M260" s="14">
        <v>45568</v>
      </c>
      <c r="N260" s="14">
        <v>51926</v>
      </c>
      <c r="O260" s="14">
        <v>56817</v>
      </c>
      <c r="P260" s="14">
        <v>84508</v>
      </c>
      <c r="Q260" s="14">
        <v>132130</v>
      </c>
      <c r="R260" s="14">
        <v>126634</v>
      </c>
      <c r="S260" s="14">
        <v>117846</v>
      </c>
      <c r="T260" s="14">
        <v>112232</v>
      </c>
      <c r="U260" s="14">
        <v>96631</v>
      </c>
      <c r="V260" s="14">
        <v>134590</v>
      </c>
      <c r="W260" s="14">
        <v>95269</v>
      </c>
      <c r="X260" s="14">
        <v>104344</v>
      </c>
      <c r="Y260" s="14">
        <v>103487</v>
      </c>
      <c r="Z260" s="14">
        <v>114031</v>
      </c>
      <c r="AA260" s="14"/>
      <c r="AB260" s="14"/>
    </row>
    <row r="261" spans="1:30">
      <c r="A261" s="45" t="s">
        <v>167</v>
      </c>
      <c r="B261" s="45" t="s">
        <v>168</v>
      </c>
      <c r="C261" s="45" t="s">
        <v>490</v>
      </c>
      <c r="D261" s="45" t="s">
        <v>497</v>
      </c>
      <c r="E261" s="45" t="s">
        <v>492</v>
      </c>
      <c r="F261" s="45" t="s">
        <v>493</v>
      </c>
      <c r="G261" s="14">
        <v>21553</v>
      </c>
      <c r="H261" s="14">
        <v>23402</v>
      </c>
      <c r="I261" s="14">
        <v>24894</v>
      </c>
      <c r="J261" s="14">
        <v>28946</v>
      </c>
      <c r="K261" s="14">
        <v>32716</v>
      </c>
      <c r="L261" s="14">
        <v>42497</v>
      </c>
      <c r="M261" s="14">
        <v>46180</v>
      </c>
      <c r="N261" s="14">
        <v>53951</v>
      </c>
      <c r="O261" s="14">
        <v>56118</v>
      </c>
      <c r="P261" s="14">
        <v>62100</v>
      </c>
      <c r="Q261" s="14">
        <v>65874</v>
      </c>
      <c r="R261" s="14">
        <v>77434</v>
      </c>
      <c r="S261" s="14">
        <v>62295</v>
      </c>
      <c r="T261" s="14">
        <v>73096</v>
      </c>
      <c r="U261" s="14">
        <v>94545</v>
      </c>
      <c r="V261" s="14">
        <v>98029</v>
      </c>
      <c r="W261" s="14">
        <v>101417</v>
      </c>
      <c r="X261" s="14">
        <v>112264</v>
      </c>
      <c r="Y261" s="14">
        <v>116590</v>
      </c>
      <c r="Z261" s="14">
        <v>125133</v>
      </c>
      <c r="AA261" s="14"/>
      <c r="AB261" s="14"/>
    </row>
    <row r="262" spans="1:30">
      <c r="A262" s="45" t="s">
        <v>167</v>
      </c>
      <c r="B262" s="45" t="s">
        <v>168</v>
      </c>
      <c r="C262" s="45" t="s">
        <v>498</v>
      </c>
      <c r="D262" s="45" t="s">
        <v>491</v>
      </c>
      <c r="E262" s="45" t="s">
        <v>499</v>
      </c>
      <c r="F262" s="45" t="s">
        <v>500</v>
      </c>
      <c r="G262" s="14">
        <v>144564.4</v>
      </c>
      <c r="H262" s="14">
        <v>138518.79999999999</v>
      </c>
      <c r="I262" s="14">
        <v>132253.79999999999</v>
      </c>
      <c r="J262" s="14">
        <v>161328.79999999999</v>
      </c>
      <c r="K262" s="14">
        <v>164267</v>
      </c>
      <c r="L262" s="14">
        <v>189012.3</v>
      </c>
      <c r="M262" s="14">
        <v>238070.2</v>
      </c>
      <c r="N262" s="14">
        <v>199106.5</v>
      </c>
      <c r="O262" s="14">
        <v>195639</v>
      </c>
      <c r="P262" s="14">
        <v>264904.7</v>
      </c>
      <c r="Q262" s="14">
        <v>285876.59999999998</v>
      </c>
      <c r="R262" s="14">
        <v>273389.2</v>
      </c>
      <c r="S262" s="14">
        <v>218547.4</v>
      </c>
      <c r="T262" s="14">
        <v>186362.6</v>
      </c>
      <c r="U262" s="14">
        <v>154032.9</v>
      </c>
      <c r="V262" s="14">
        <v>186036</v>
      </c>
      <c r="W262" s="14">
        <v>171881.2</v>
      </c>
      <c r="X262" s="14">
        <v>176892.1</v>
      </c>
      <c r="Y262" s="14">
        <v>169428</v>
      </c>
      <c r="Z262" s="14">
        <v>174425.8</v>
      </c>
      <c r="AA262" s="14"/>
      <c r="AB262" s="14"/>
      <c r="AC262" s="15">
        <f>IFERROR(Z262/G262-1,"")</f>
        <v>0.20656122807551514</v>
      </c>
      <c r="AD262" s="15">
        <f>IFERROR((Z262/G262)^(1/19)-1,"")</f>
        <v>9.931857444322123E-3</v>
      </c>
    </row>
    <row r="263" spans="1:30">
      <c r="A263" s="45" t="s">
        <v>167</v>
      </c>
      <c r="B263" s="45" t="s">
        <v>168</v>
      </c>
      <c r="C263" s="45" t="s">
        <v>498</v>
      </c>
      <c r="D263" s="45" t="s">
        <v>495</v>
      </c>
      <c r="E263" s="45" t="s">
        <v>499</v>
      </c>
      <c r="F263" s="45" t="s">
        <v>500</v>
      </c>
      <c r="G263" s="14">
        <v>49468.2</v>
      </c>
      <c r="H263" s="14">
        <v>40570.800000000003</v>
      </c>
      <c r="I263" s="14">
        <v>37057.199999999997</v>
      </c>
      <c r="J263" s="14">
        <v>52566</v>
      </c>
      <c r="K263" s="14">
        <v>52276.4</v>
      </c>
      <c r="L263" s="14">
        <v>64186.5</v>
      </c>
      <c r="M263" s="14">
        <v>108407.8</v>
      </c>
      <c r="N263" s="14">
        <v>62342.3</v>
      </c>
      <c r="O263" s="14">
        <v>59337</v>
      </c>
      <c r="P263" s="14">
        <v>83289.5</v>
      </c>
      <c r="Q263" s="14">
        <v>86286.2</v>
      </c>
      <c r="R263" s="14">
        <v>83845.3</v>
      </c>
      <c r="S263" s="14">
        <v>63769.5</v>
      </c>
      <c r="T263" s="14">
        <v>34974</v>
      </c>
      <c r="U263" s="14">
        <v>11263.5</v>
      </c>
      <c r="V263" s="14">
        <v>18402.2</v>
      </c>
      <c r="W263" s="14">
        <v>37262.6</v>
      </c>
      <c r="X263" s="14">
        <v>31924.799999999999</v>
      </c>
      <c r="Y263" s="14">
        <v>31083.3</v>
      </c>
      <c r="Z263" s="14">
        <v>41637.800000000003</v>
      </c>
      <c r="AA263" s="14"/>
      <c r="AB263" s="14"/>
      <c r="AC263" s="15">
        <f>IFERROR(Z263/G263-1,"")</f>
        <v>-0.15829158934426546</v>
      </c>
      <c r="AD263" s="15">
        <f>IFERROR((Z263/G263)^(1/19)-1,"")</f>
        <v>-9.0285550950922611E-3</v>
      </c>
    </row>
    <row r="264" spans="1:30">
      <c r="A264" s="45" t="s">
        <v>167</v>
      </c>
      <c r="B264" s="45" t="s">
        <v>168</v>
      </c>
      <c r="C264" s="45" t="s">
        <v>498</v>
      </c>
      <c r="D264" s="45" t="s">
        <v>496</v>
      </c>
      <c r="E264" s="45" t="s">
        <v>499</v>
      </c>
      <c r="F264" s="45" t="s">
        <v>500</v>
      </c>
      <c r="G264" s="14">
        <v>33866.9</v>
      </c>
      <c r="H264" s="14">
        <v>34752.400000000001</v>
      </c>
      <c r="I264" s="14">
        <v>34873</v>
      </c>
      <c r="J264" s="14">
        <v>42758.400000000001</v>
      </c>
      <c r="K264" s="14">
        <v>44923</v>
      </c>
      <c r="L264" s="14">
        <v>49449.2</v>
      </c>
      <c r="M264" s="14">
        <v>53020.2</v>
      </c>
      <c r="N264" s="14">
        <v>56299.9</v>
      </c>
      <c r="O264" s="14">
        <v>56817</v>
      </c>
      <c r="P264" s="14">
        <v>78018</v>
      </c>
      <c r="Q264" s="14">
        <v>113006.5</v>
      </c>
      <c r="R264" s="14">
        <v>100745.4</v>
      </c>
      <c r="S264" s="14">
        <v>86932.7</v>
      </c>
      <c r="T264" s="14">
        <v>76967.8</v>
      </c>
      <c r="U264" s="14">
        <v>61301.2</v>
      </c>
      <c r="V264" s="14">
        <v>82358.100000000006</v>
      </c>
      <c r="W264" s="14">
        <v>55789.9</v>
      </c>
      <c r="X264" s="14">
        <v>58627.7</v>
      </c>
      <c r="Y264" s="14">
        <v>54611.4</v>
      </c>
      <c r="Z264" s="14">
        <v>53231</v>
      </c>
      <c r="AA264" s="14"/>
      <c r="AB264" s="14"/>
      <c r="AC264" s="15">
        <f>IFERROR(Z264/G264-1,"")</f>
        <v>0.57177066693438139</v>
      </c>
      <c r="AD264" s="15">
        <f>IFERROR((Z264/G264)^(1/19)-1,"")</f>
        <v>2.4085631077927383E-2</v>
      </c>
    </row>
    <row r="265" spans="1:30">
      <c r="A265" s="45" t="s">
        <v>167</v>
      </c>
      <c r="B265" s="45" t="s">
        <v>168</v>
      </c>
      <c r="C265" s="45" t="s">
        <v>498</v>
      </c>
      <c r="D265" s="45" t="s">
        <v>497</v>
      </c>
      <c r="E265" s="45" t="s">
        <v>499</v>
      </c>
      <c r="F265" s="45" t="s">
        <v>500</v>
      </c>
      <c r="G265" s="14">
        <v>40945.599999999999</v>
      </c>
      <c r="H265" s="14">
        <v>38967.199999999997</v>
      </c>
      <c r="I265" s="14">
        <v>38468.699999999997</v>
      </c>
      <c r="J265" s="14">
        <v>41637.300000000003</v>
      </c>
      <c r="K265" s="14">
        <v>44073.3</v>
      </c>
      <c r="L265" s="14">
        <v>53787.5</v>
      </c>
      <c r="M265" s="14">
        <v>53731.3</v>
      </c>
      <c r="N265" s="14">
        <v>58495.5</v>
      </c>
      <c r="O265" s="14">
        <v>56118</v>
      </c>
      <c r="P265" s="14">
        <v>57330.9</v>
      </c>
      <c r="Q265" s="14">
        <v>56339.9</v>
      </c>
      <c r="R265" s="14">
        <v>61603.7</v>
      </c>
      <c r="S265" s="14">
        <v>45953.8</v>
      </c>
      <c r="T265" s="14">
        <v>50128.7</v>
      </c>
      <c r="U265" s="14">
        <v>59977.8</v>
      </c>
      <c r="V265" s="14">
        <v>59985.7</v>
      </c>
      <c r="W265" s="14">
        <v>59390.2</v>
      </c>
      <c r="X265" s="14">
        <v>63077.7</v>
      </c>
      <c r="Y265" s="14">
        <v>61526</v>
      </c>
      <c r="Z265" s="14">
        <v>58414.400000000001</v>
      </c>
      <c r="AA265" s="14"/>
      <c r="AB265" s="14"/>
      <c r="AC265" s="15">
        <f>IFERROR(Z265/G265-1,"")</f>
        <v>0.42663436364346841</v>
      </c>
      <c r="AD265" s="15">
        <f>IFERROR((Z265/G265)^(1/19)-1,"")</f>
        <v>1.8876909434997202E-2</v>
      </c>
    </row>
    <row r="266" spans="1:30">
      <c r="A266" s="45" t="s">
        <v>167</v>
      </c>
      <c r="B266" s="45" t="s">
        <v>168</v>
      </c>
      <c r="C266" s="45" t="s">
        <v>498</v>
      </c>
      <c r="D266" s="45" t="s">
        <v>501</v>
      </c>
      <c r="E266" s="45" t="s">
        <v>499</v>
      </c>
      <c r="F266" s="45" t="s">
        <v>500</v>
      </c>
      <c r="G266" s="14">
        <v>13815.3</v>
      </c>
      <c r="H266" s="14">
        <v>17795.400000000001</v>
      </c>
      <c r="I266" s="14">
        <v>15724.7</v>
      </c>
      <c r="J266" s="14">
        <v>16459.2</v>
      </c>
      <c r="K266" s="14">
        <v>13370.2</v>
      </c>
      <c r="L266" s="14">
        <v>10585.4</v>
      </c>
      <c r="M266" s="14">
        <v>11250.8</v>
      </c>
      <c r="N266" s="14">
        <v>10836.9</v>
      </c>
      <c r="O266" s="14">
        <v>10999</v>
      </c>
      <c r="P266" s="14">
        <v>25458.2</v>
      </c>
      <c r="Q266" s="14">
        <v>9996.4</v>
      </c>
      <c r="R266" s="14">
        <v>9172.9</v>
      </c>
      <c r="S266" s="14">
        <v>7368.7</v>
      </c>
      <c r="T266" s="14">
        <v>7485.4</v>
      </c>
      <c r="U266" s="14">
        <v>7859.4</v>
      </c>
      <c r="V266" s="14">
        <v>7701</v>
      </c>
      <c r="W266" s="14">
        <v>8836.2000000000007</v>
      </c>
      <c r="X266" s="14">
        <v>12138.1</v>
      </c>
      <c r="Y266" s="14">
        <v>11794.9</v>
      </c>
      <c r="Z266" s="14">
        <v>10329</v>
      </c>
      <c r="AA266" s="14"/>
      <c r="AB266" s="14"/>
      <c r="AC266" s="15">
        <f>IFERROR(Z266/G266-1,"")</f>
        <v>-0.25235065470890961</v>
      </c>
      <c r="AD266" s="15">
        <f>IFERROR((Z266/G266)^(1/19)-1,"")</f>
        <v>-1.5189831758742445E-2</v>
      </c>
    </row>
    <row r="267" spans="1:30">
      <c r="A267" s="45" t="s">
        <v>261</v>
      </c>
      <c r="B267" s="45" t="s">
        <v>262</v>
      </c>
      <c r="C267" s="45" t="s">
        <v>490</v>
      </c>
      <c r="D267" s="45" t="s">
        <v>491</v>
      </c>
      <c r="E267" s="45" t="s">
        <v>492</v>
      </c>
      <c r="F267" s="45" t="s">
        <v>493</v>
      </c>
      <c r="G267" s="14">
        <v>15778</v>
      </c>
      <c r="H267" s="14">
        <v>17705</v>
      </c>
      <c r="I267" s="14">
        <v>20067</v>
      </c>
      <c r="J267" s="14">
        <v>23435</v>
      </c>
      <c r="K267" s="14">
        <v>30019</v>
      </c>
      <c r="L267" s="14">
        <v>32599</v>
      </c>
      <c r="M267" s="14">
        <v>35857</v>
      </c>
      <c r="N267" s="14">
        <v>38285</v>
      </c>
      <c r="O267" s="14">
        <v>46772</v>
      </c>
      <c r="P267" s="14">
        <v>53647</v>
      </c>
      <c r="Q267" s="14">
        <v>58614</v>
      </c>
      <c r="R267" s="14">
        <v>64566</v>
      </c>
      <c r="S267" s="14">
        <v>70780</v>
      </c>
      <c r="T267" s="14">
        <v>76561</v>
      </c>
      <c r="U267" s="14">
        <v>77561</v>
      </c>
      <c r="V267" s="14">
        <v>80776</v>
      </c>
      <c r="W267" s="14">
        <v>95111</v>
      </c>
      <c r="X267" s="14">
        <v>105222</v>
      </c>
      <c r="Y267" s="14">
        <v>110989</v>
      </c>
      <c r="Z267" s="14">
        <v>118372</v>
      </c>
      <c r="AA267" s="14">
        <v>142820</v>
      </c>
      <c r="AB267" s="14">
        <v>150902</v>
      </c>
    </row>
    <row r="268" spans="1:30">
      <c r="A268" s="45" t="s">
        <v>261</v>
      </c>
      <c r="B268" s="45" t="s">
        <v>262</v>
      </c>
      <c r="C268" s="45" t="s">
        <v>490</v>
      </c>
      <c r="D268" s="45" t="s">
        <v>494</v>
      </c>
      <c r="E268" s="45" t="s">
        <v>492</v>
      </c>
      <c r="F268" s="45" t="s">
        <v>493</v>
      </c>
      <c r="G268" s="14">
        <v>14684</v>
      </c>
      <c r="H268" s="14">
        <v>16567</v>
      </c>
      <c r="I268" s="14">
        <v>18518</v>
      </c>
      <c r="J268" s="14">
        <v>21576</v>
      </c>
      <c r="K268" s="14">
        <v>27311</v>
      </c>
      <c r="L268" s="14">
        <v>30188</v>
      </c>
      <c r="M268" s="14">
        <v>33389</v>
      </c>
      <c r="N268" s="14">
        <v>35576</v>
      </c>
      <c r="O268" s="14">
        <v>43048</v>
      </c>
      <c r="P268" s="14">
        <v>49007</v>
      </c>
      <c r="Q268" s="14">
        <v>53643</v>
      </c>
      <c r="R268" s="14">
        <v>59823</v>
      </c>
      <c r="S268" s="14">
        <v>65881</v>
      </c>
      <c r="T268" s="14">
        <v>71485</v>
      </c>
      <c r="U268" s="14">
        <v>73067</v>
      </c>
      <c r="V268" s="14">
        <v>76234</v>
      </c>
      <c r="W268" s="14">
        <v>87118</v>
      </c>
      <c r="X268" s="14">
        <v>96592</v>
      </c>
      <c r="Y268" s="14">
        <v>101767</v>
      </c>
      <c r="Z268" s="14">
        <v>107209</v>
      </c>
      <c r="AA268" s="14"/>
      <c r="AB268" s="14"/>
    </row>
    <row r="269" spans="1:30">
      <c r="A269" s="45" t="s">
        <v>261</v>
      </c>
      <c r="B269" s="45" t="s">
        <v>262</v>
      </c>
      <c r="C269" s="45" t="s">
        <v>490</v>
      </c>
      <c r="D269" s="45" t="s">
        <v>495</v>
      </c>
      <c r="E269" s="45" t="s">
        <v>492</v>
      </c>
      <c r="F269" s="45" t="s">
        <v>493</v>
      </c>
      <c r="G269" s="14">
        <v>3009</v>
      </c>
      <c r="H269" s="14">
        <v>2752</v>
      </c>
      <c r="I269" s="14">
        <v>3118</v>
      </c>
      <c r="J269" s="14">
        <v>3977</v>
      </c>
      <c r="K269" s="14">
        <v>5253</v>
      </c>
      <c r="L269" s="14">
        <v>6723</v>
      </c>
      <c r="M269" s="14">
        <v>7679</v>
      </c>
      <c r="N269" s="14">
        <v>5891</v>
      </c>
      <c r="O269" s="14">
        <v>9150</v>
      </c>
      <c r="P269" s="14">
        <v>8735</v>
      </c>
      <c r="Q269" s="14">
        <v>10786</v>
      </c>
      <c r="R269" s="14">
        <v>10422</v>
      </c>
      <c r="S269" s="14">
        <v>13364</v>
      </c>
      <c r="T269" s="14">
        <v>13630</v>
      </c>
      <c r="U269" s="14">
        <v>11599</v>
      </c>
      <c r="V269" s="14">
        <v>10477</v>
      </c>
      <c r="W269" s="14">
        <v>9249</v>
      </c>
      <c r="X269" s="14">
        <v>10541</v>
      </c>
      <c r="Y269" s="14">
        <v>13331</v>
      </c>
      <c r="Z269" s="14">
        <v>12552</v>
      </c>
      <c r="AA269" s="14"/>
      <c r="AB269" s="14"/>
    </row>
    <row r="270" spans="1:30">
      <c r="A270" s="45" t="s">
        <v>261</v>
      </c>
      <c r="B270" s="45" t="s">
        <v>262</v>
      </c>
      <c r="C270" s="45" t="s">
        <v>490</v>
      </c>
      <c r="D270" s="45" t="s">
        <v>496</v>
      </c>
      <c r="E270" s="45" t="s">
        <v>492</v>
      </c>
      <c r="F270" s="45" t="s">
        <v>493</v>
      </c>
      <c r="G270" s="14">
        <v>3285</v>
      </c>
      <c r="H270" s="14">
        <v>3924</v>
      </c>
      <c r="I270" s="14">
        <v>4633</v>
      </c>
      <c r="J270" s="14">
        <v>4999</v>
      </c>
      <c r="K270" s="14">
        <v>6297</v>
      </c>
      <c r="L270" s="14">
        <v>7231</v>
      </c>
      <c r="M270" s="14">
        <v>7231</v>
      </c>
      <c r="N270" s="14">
        <v>8706</v>
      </c>
      <c r="O270" s="14">
        <v>10633</v>
      </c>
      <c r="P270" s="14">
        <v>13713</v>
      </c>
      <c r="Q270" s="14">
        <v>16414</v>
      </c>
      <c r="R270" s="14">
        <v>17152</v>
      </c>
      <c r="S270" s="14">
        <v>17082</v>
      </c>
      <c r="T270" s="14">
        <v>19697</v>
      </c>
      <c r="U270" s="14">
        <v>20422</v>
      </c>
      <c r="V270" s="14">
        <v>21805</v>
      </c>
      <c r="W270" s="14">
        <v>32847</v>
      </c>
      <c r="X270" s="14">
        <v>37357</v>
      </c>
      <c r="Y270" s="14">
        <v>38170</v>
      </c>
      <c r="Z270" s="14">
        <v>41702</v>
      </c>
      <c r="AA270" s="14"/>
      <c r="AB270" s="14"/>
    </row>
    <row r="271" spans="1:30">
      <c r="A271" s="45" t="s">
        <v>261</v>
      </c>
      <c r="B271" s="45" t="s">
        <v>262</v>
      </c>
      <c r="C271" s="45" t="s">
        <v>490</v>
      </c>
      <c r="D271" s="45" t="s">
        <v>497</v>
      </c>
      <c r="E271" s="45" t="s">
        <v>492</v>
      </c>
      <c r="F271" s="45" t="s">
        <v>493</v>
      </c>
      <c r="G271" s="14">
        <v>7447</v>
      </c>
      <c r="H271" s="14">
        <v>8767</v>
      </c>
      <c r="I271" s="14">
        <v>9759</v>
      </c>
      <c r="J271" s="14">
        <v>11275</v>
      </c>
      <c r="K271" s="14">
        <v>13409</v>
      </c>
      <c r="L271" s="14">
        <v>15126</v>
      </c>
      <c r="M271" s="14">
        <v>17010</v>
      </c>
      <c r="N271" s="14">
        <v>19076</v>
      </c>
      <c r="O271" s="14">
        <v>21506</v>
      </c>
      <c r="P271" s="14">
        <v>24310</v>
      </c>
      <c r="Q271" s="14">
        <v>24504</v>
      </c>
      <c r="R271" s="14">
        <v>30397</v>
      </c>
      <c r="S271" s="14">
        <v>33386</v>
      </c>
      <c r="T271" s="14">
        <v>35786</v>
      </c>
      <c r="U271" s="14">
        <v>38729</v>
      </c>
      <c r="V271" s="14">
        <v>41448</v>
      </c>
      <c r="W271" s="14">
        <v>42274</v>
      </c>
      <c r="X271" s="14">
        <v>45906</v>
      </c>
      <c r="Y271" s="14">
        <v>47268</v>
      </c>
      <c r="Z271" s="14">
        <v>49044</v>
      </c>
      <c r="AA271" s="14"/>
      <c r="AB271" s="14"/>
    </row>
    <row r="272" spans="1:30">
      <c r="A272" s="45" t="s">
        <v>261</v>
      </c>
      <c r="B272" s="45" t="s">
        <v>262</v>
      </c>
      <c r="C272" s="45" t="s">
        <v>498</v>
      </c>
      <c r="D272" s="45" t="s">
        <v>491</v>
      </c>
      <c r="E272" s="45" t="s">
        <v>499</v>
      </c>
      <c r="F272" s="45" t="s">
        <v>500</v>
      </c>
      <c r="G272" s="14">
        <v>29974.400000000001</v>
      </c>
      <c r="H272" s="14">
        <v>29481.3</v>
      </c>
      <c r="I272" s="14">
        <v>31010.1</v>
      </c>
      <c r="J272" s="14">
        <v>33708.9</v>
      </c>
      <c r="K272" s="14">
        <v>40440</v>
      </c>
      <c r="L272" s="14">
        <v>41259.300000000003</v>
      </c>
      <c r="M272" s="14">
        <v>41720.6</v>
      </c>
      <c r="N272" s="14">
        <v>41509.9</v>
      </c>
      <c r="O272" s="14">
        <v>46772</v>
      </c>
      <c r="P272" s="14">
        <v>49527</v>
      </c>
      <c r="Q272" s="14">
        <v>50130.7</v>
      </c>
      <c r="R272" s="14">
        <v>51366.400000000001</v>
      </c>
      <c r="S272" s="14">
        <v>52213</v>
      </c>
      <c r="T272" s="14">
        <v>52504.9</v>
      </c>
      <c r="U272" s="14">
        <v>49203.5</v>
      </c>
      <c r="V272" s="14">
        <v>49428.3</v>
      </c>
      <c r="W272" s="14">
        <v>55697.4</v>
      </c>
      <c r="X272" s="14">
        <v>59121</v>
      </c>
      <c r="Y272" s="14">
        <v>58570.3</v>
      </c>
      <c r="Z272" s="14">
        <v>55256.9</v>
      </c>
      <c r="AA272" s="14"/>
      <c r="AB272" s="14"/>
      <c r="AC272" s="15">
        <f>IFERROR(Z272/G272-1,"")</f>
        <v>0.84346976086260272</v>
      </c>
      <c r="AD272" s="15">
        <f>IFERROR((Z272/G272)^(1/19)-1,"")</f>
        <v>3.2715851155487918E-2</v>
      </c>
    </row>
    <row r="273" spans="1:30">
      <c r="A273" s="45" t="s">
        <v>261</v>
      </c>
      <c r="B273" s="45" t="s">
        <v>262</v>
      </c>
      <c r="C273" s="45" t="s">
        <v>498</v>
      </c>
      <c r="D273" s="45" t="s">
        <v>495</v>
      </c>
      <c r="E273" s="45" t="s">
        <v>499</v>
      </c>
      <c r="F273" s="45" t="s">
        <v>500</v>
      </c>
      <c r="G273" s="14">
        <v>5716.4</v>
      </c>
      <c r="H273" s="14">
        <v>4581.7</v>
      </c>
      <c r="I273" s="14">
        <v>4818.3</v>
      </c>
      <c r="J273" s="14">
        <v>5720.3</v>
      </c>
      <c r="K273" s="14">
        <v>7076.6</v>
      </c>
      <c r="L273" s="14">
        <v>8509.2000000000007</v>
      </c>
      <c r="M273" s="14">
        <v>8934.5</v>
      </c>
      <c r="N273" s="14">
        <v>6387.2</v>
      </c>
      <c r="O273" s="14">
        <v>9150</v>
      </c>
      <c r="P273" s="14">
        <v>8064.2</v>
      </c>
      <c r="Q273" s="14">
        <v>9224.9</v>
      </c>
      <c r="R273" s="14">
        <v>8291.4</v>
      </c>
      <c r="S273" s="14">
        <v>9858.4</v>
      </c>
      <c r="T273" s="14">
        <v>9347.2999999999993</v>
      </c>
      <c r="U273" s="14">
        <v>7358.2</v>
      </c>
      <c r="V273" s="14">
        <v>6411.1</v>
      </c>
      <c r="W273" s="14">
        <v>5416.3</v>
      </c>
      <c r="X273" s="14">
        <v>5922.7</v>
      </c>
      <c r="Y273" s="14">
        <v>7034.9</v>
      </c>
      <c r="Z273" s="14">
        <v>5859.4</v>
      </c>
      <c r="AA273" s="14"/>
      <c r="AB273" s="14"/>
      <c r="AC273" s="15">
        <f>IFERROR(Z273/G273-1,"")</f>
        <v>2.5015744174655463E-2</v>
      </c>
      <c r="AD273" s="15">
        <f>IFERROR((Z273/G273)^(1/19)-1,"")</f>
        <v>1.3012655250042027E-3</v>
      </c>
    </row>
    <row r="274" spans="1:30">
      <c r="A274" s="45" t="s">
        <v>261</v>
      </c>
      <c r="B274" s="45" t="s">
        <v>262</v>
      </c>
      <c r="C274" s="45" t="s">
        <v>498</v>
      </c>
      <c r="D274" s="45" t="s">
        <v>496</v>
      </c>
      <c r="E274" s="45" t="s">
        <v>499</v>
      </c>
      <c r="F274" s="45" t="s">
        <v>500</v>
      </c>
      <c r="G274" s="14">
        <v>6240.5</v>
      </c>
      <c r="H274" s="14">
        <v>6534</v>
      </c>
      <c r="I274" s="14">
        <v>7158.9</v>
      </c>
      <c r="J274" s="14">
        <v>7190.8</v>
      </c>
      <c r="K274" s="14">
        <v>8482.5</v>
      </c>
      <c r="L274" s="14">
        <v>9152.1</v>
      </c>
      <c r="M274" s="14">
        <v>8413.9</v>
      </c>
      <c r="N274" s="14">
        <v>9439.2999999999993</v>
      </c>
      <c r="O274" s="14">
        <v>10633</v>
      </c>
      <c r="P274" s="14">
        <v>12659.9</v>
      </c>
      <c r="Q274" s="14">
        <v>14038.4</v>
      </c>
      <c r="R274" s="14">
        <v>13645.5</v>
      </c>
      <c r="S274" s="14">
        <v>12601.1</v>
      </c>
      <c r="T274" s="14">
        <v>13508</v>
      </c>
      <c r="U274" s="14">
        <v>12955.4</v>
      </c>
      <c r="V274" s="14">
        <v>13342.9</v>
      </c>
      <c r="W274" s="14">
        <v>19235.3</v>
      </c>
      <c r="X274" s="14">
        <v>20989.7</v>
      </c>
      <c r="Y274" s="14">
        <v>20142.8</v>
      </c>
      <c r="Z274" s="14">
        <v>19466.8</v>
      </c>
      <c r="AA274" s="14"/>
      <c r="AB274" s="14"/>
      <c r="AC274" s="15">
        <f>IFERROR(Z274/G274-1,"")</f>
        <v>2.1194295328899928</v>
      </c>
      <c r="AD274" s="15">
        <f>IFERROR((Z274/G274)^(1/19)-1,"")</f>
        <v>6.1705230247202758E-2</v>
      </c>
    </row>
    <row r="275" spans="1:30">
      <c r="A275" s="45" t="s">
        <v>261</v>
      </c>
      <c r="B275" s="45" t="s">
        <v>262</v>
      </c>
      <c r="C275" s="45" t="s">
        <v>498</v>
      </c>
      <c r="D275" s="45" t="s">
        <v>497</v>
      </c>
      <c r="E275" s="45" t="s">
        <v>499</v>
      </c>
      <c r="F275" s="45" t="s">
        <v>500</v>
      </c>
      <c r="G275" s="14">
        <v>14146.7</v>
      </c>
      <c r="H275" s="14">
        <v>14597.8</v>
      </c>
      <c r="I275" s="14">
        <v>15080.8</v>
      </c>
      <c r="J275" s="14">
        <v>16218.8</v>
      </c>
      <c r="K275" s="14">
        <v>18064.2</v>
      </c>
      <c r="L275" s="14">
        <v>19144.3</v>
      </c>
      <c r="M275" s="14">
        <v>19791.900000000001</v>
      </c>
      <c r="N275" s="14">
        <v>20682.8</v>
      </c>
      <c r="O275" s="14">
        <v>21506</v>
      </c>
      <c r="P275" s="14">
        <v>22443.1</v>
      </c>
      <c r="Q275" s="14">
        <v>20957.5</v>
      </c>
      <c r="R275" s="14">
        <v>24182.799999999999</v>
      </c>
      <c r="S275" s="14">
        <v>24628.2</v>
      </c>
      <c r="T275" s="14">
        <v>24541.8</v>
      </c>
      <c r="U275" s="14">
        <v>24569.1</v>
      </c>
      <c r="V275" s="14">
        <v>25362.799999999999</v>
      </c>
      <c r="W275" s="14">
        <v>24755.8</v>
      </c>
      <c r="X275" s="14">
        <v>25793.200000000001</v>
      </c>
      <c r="Y275" s="14">
        <v>24943.9</v>
      </c>
      <c r="Z275" s="14">
        <v>22894.6</v>
      </c>
      <c r="AA275" s="14"/>
      <c r="AB275" s="14"/>
      <c r="AC275" s="15">
        <f>IFERROR(Z275/G275-1,"")</f>
        <v>0.61837036199254936</v>
      </c>
      <c r="AD275" s="15">
        <f>IFERROR((Z275/G275)^(1/19)-1,"")</f>
        <v>2.5661611102602899E-2</v>
      </c>
    </row>
    <row r="276" spans="1:30">
      <c r="A276" s="45" t="s">
        <v>261</v>
      </c>
      <c r="B276" s="45" t="s">
        <v>262</v>
      </c>
      <c r="C276" s="45" t="s">
        <v>498</v>
      </c>
      <c r="D276" s="45" t="s">
        <v>501</v>
      </c>
      <c r="E276" s="45" t="s">
        <v>499</v>
      </c>
      <c r="F276" s="45" t="s">
        <v>500</v>
      </c>
      <c r="G276" s="14">
        <v>1792.1</v>
      </c>
      <c r="H276" s="14">
        <v>1871.9</v>
      </c>
      <c r="I276" s="14">
        <v>1558.9</v>
      </c>
      <c r="J276" s="14">
        <v>1906.2</v>
      </c>
      <c r="K276" s="14">
        <v>3168.7</v>
      </c>
      <c r="L276" s="14">
        <v>1402</v>
      </c>
      <c r="M276" s="14">
        <v>1709.1</v>
      </c>
      <c r="N276" s="14">
        <v>2063.3000000000002</v>
      </c>
      <c r="O276" s="14">
        <v>1759</v>
      </c>
      <c r="P276" s="14">
        <v>2075.4</v>
      </c>
      <c r="Q276" s="14">
        <v>1659.2</v>
      </c>
      <c r="R276" s="14">
        <v>1473.4</v>
      </c>
      <c r="S276" s="14">
        <v>1510.8</v>
      </c>
      <c r="T276" s="14">
        <v>1626.7</v>
      </c>
      <c r="U276" s="14">
        <v>1469.9</v>
      </c>
      <c r="V276" s="14">
        <v>1532.2</v>
      </c>
      <c r="W276" s="14">
        <v>1608.7</v>
      </c>
      <c r="X276" s="14">
        <v>1567.1</v>
      </c>
      <c r="Y276" s="14">
        <v>1582.1</v>
      </c>
      <c r="Z276" s="14">
        <v>1826.2</v>
      </c>
      <c r="AA276" s="14"/>
      <c r="AB276" s="14"/>
      <c r="AC276" s="15">
        <f>IFERROR(Z276/G276-1,"")</f>
        <v>1.9027956029239457E-2</v>
      </c>
      <c r="AD276" s="15">
        <f>IFERROR((Z276/G276)^(1/19)-1,"")</f>
        <v>9.9255481645688093E-4</v>
      </c>
    </row>
    <row r="277" spans="1:30">
      <c r="A277" s="45" t="s">
        <v>193</v>
      </c>
      <c r="B277" s="45" t="s">
        <v>194</v>
      </c>
      <c r="C277" s="45" t="s">
        <v>490</v>
      </c>
      <c r="D277" s="45" t="s">
        <v>491</v>
      </c>
      <c r="E277" s="45" t="s">
        <v>492</v>
      </c>
      <c r="F277" s="45" t="s">
        <v>493</v>
      </c>
      <c r="G277" s="14">
        <v>56299</v>
      </c>
      <c r="H277" s="14">
        <v>52775</v>
      </c>
      <c r="I277" s="14">
        <v>52232</v>
      </c>
      <c r="J277" s="14">
        <v>66166</v>
      </c>
      <c r="K277" s="14">
        <v>83423</v>
      </c>
      <c r="L277" s="14">
        <v>83075</v>
      </c>
      <c r="M277" s="14">
        <v>78003</v>
      </c>
      <c r="N277" s="14">
        <v>60962</v>
      </c>
      <c r="O277" s="14">
        <v>85202</v>
      </c>
      <c r="P277" s="14">
        <v>184708</v>
      </c>
      <c r="Q277" s="14">
        <v>229498</v>
      </c>
      <c r="R277" s="14">
        <v>192098</v>
      </c>
      <c r="S277" s="14">
        <v>207508</v>
      </c>
      <c r="T277" s="14">
        <v>150297</v>
      </c>
      <c r="U277" s="14">
        <v>100150</v>
      </c>
      <c r="V277" s="14">
        <v>119906</v>
      </c>
      <c r="W277" s="14">
        <v>169861</v>
      </c>
      <c r="X277" s="14">
        <v>181406</v>
      </c>
      <c r="Y277" s="14">
        <v>161004</v>
      </c>
      <c r="Z277" s="14">
        <v>210948</v>
      </c>
      <c r="AA277" s="14">
        <v>302478</v>
      </c>
      <c r="AB277" s="14">
        <v>231816</v>
      </c>
    </row>
    <row r="278" spans="1:30">
      <c r="A278" s="45" t="s">
        <v>193</v>
      </c>
      <c r="B278" s="45" t="s">
        <v>194</v>
      </c>
      <c r="C278" s="45" t="s">
        <v>490</v>
      </c>
      <c r="D278" s="45" t="s">
        <v>494</v>
      </c>
      <c r="E278" s="45" t="s">
        <v>492</v>
      </c>
      <c r="F278" s="45" t="s">
        <v>493</v>
      </c>
      <c r="G278" s="14">
        <v>54845</v>
      </c>
      <c r="H278" s="14">
        <v>51187</v>
      </c>
      <c r="I278" s="14">
        <v>50490</v>
      </c>
      <c r="J278" s="14">
        <v>63990</v>
      </c>
      <c r="K278" s="14">
        <v>80170</v>
      </c>
      <c r="L278" s="14">
        <v>77946</v>
      </c>
      <c r="M278" s="14">
        <v>73783</v>
      </c>
      <c r="N278" s="14">
        <v>55480</v>
      </c>
      <c r="O278" s="14">
        <v>78542</v>
      </c>
      <c r="P278" s="14">
        <v>178477</v>
      </c>
      <c r="Q278" s="14">
        <v>221937</v>
      </c>
      <c r="R278" s="14">
        <v>185365</v>
      </c>
      <c r="S278" s="14">
        <v>200958</v>
      </c>
      <c r="T278" s="14">
        <v>143687</v>
      </c>
      <c r="U278" s="14">
        <v>96401</v>
      </c>
      <c r="V278" s="14">
        <v>116398</v>
      </c>
      <c r="W278" s="14">
        <v>164946</v>
      </c>
      <c r="X278" s="14">
        <v>175921</v>
      </c>
      <c r="Y278" s="14">
        <v>155329</v>
      </c>
      <c r="Z278" s="14">
        <v>203394</v>
      </c>
      <c r="AA278" s="14"/>
      <c r="AB278" s="14"/>
    </row>
    <row r="279" spans="1:30">
      <c r="A279" s="45" t="s">
        <v>193</v>
      </c>
      <c r="B279" s="45" t="s">
        <v>194</v>
      </c>
      <c r="C279" s="45" t="s">
        <v>490</v>
      </c>
      <c r="D279" s="45" t="s">
        <v>495</v>
      </c>
      <c r="E279" s="45" t="s">
        <v>492</v>
      </c>
      <c r="F279" s="45" t="s">
        <v>493</v>
      </c>
      <c r="G279" s="14">
        <v>32744</v>
      </c>
      <c r="H279" s="14">
        <v>26066</v>
      </c>
      <c r="I279" s="14">
        <v>22300</v>
      </c>
      <c r="J279" s="14">
        <v>31872</v>
      </c>
      <c r="K279" s="14">
        <v>40605</v>
      </c>
      <c r="L279" s="14">
        <v>35388</v>
      </c>
      <c r="M279" s="14">
        <v>34566</v>
      </c>
      <c r="N279" s="14">
        <v>13514</v>
      </c>
      <c r="O279" s="14">
        <v>29395</v>
      </c>
      <c r="P279" s="14">
        <v>106568</v>
      </c>
      <c r="Q279" s="14">
        <v>140778</v>
      </c>
      <c r="R279" s="14">
        <v>104304</v>
      </c>
      <c r="S279" s="14">
        <v>111424</v>
      </c>
      <c r="T279" s="14">
        <v>58225</v>
      </c>
      <c r="U279" s="14">
        <v>15377</v>
      </c>
      <c r="V279" s="14">
        <v>26629</v>
      </c>
      <c r="W279" s="14">
        <v>58253</v>
      </c>
      <c r="X279" s="14">
        <v>58567</v>
      </c>
      <c r="Y279" s="14">
        <v>35877</v>
      </c>
      <c r="Z279" s="14">
        <v>74994</v>
      </c>
      <c r="AA279" s="14"/>
      <c r="AB279" s="14"/>
    </row>
    <row r="280" spans="1:30">
      <c r="A280" s="45" t="s">
        <v>193</v>
      </c>
      <c r="B280" s="45" t="s">
        <v>194</v>
      </c>
      <c r="C280" s="45" t="s">
        <v>490</v>
      </c>
      <c r="D280" s="45" t="s">
        <v>496</v>
      </c>
      <c r="E280" s="45" t="s">
        <v>492</v>
      </c>
      <c r="F280" s="45" t="s">
        <v>493</v>
      </c>
      <c r="G280" s="14">
        <v>8680</v>
      </c>
      <c r="H280" s="14">
        <v>8504</v>
      </c>
      <c r="I280" s="14">
        <v>9669</v>
      </c>
      <c r="J280" s="14">
        <v>10250</v>
      </c>
      <c r="K280" s="14">
        <v>13391</v>
      </c>
      <c r="L280" s="14">
        <v>12284</v>
      </c>
      <c r="M280" s="14">
        <v>10618</v>
      </c>
      <c r="N280" s="14">
        <v>9072</v>
      </c>
      <c r="O280" s="14">
        <v>14383</v>
      </c>
      <c r="P280" s="14">
        <v>32493</v>
      </c>
      <c r="Q280" s="14">
        <v>40166</v>
      </c>
      <c r="R280" s="14">
        <v>36320</v>
      </c>
      <c r="S280" s="14">
        <v>37171</v>
      </c>
      <c r="T280" s="14">
        <v>28765</v>
      </c>
      <c r="U280" s="14">
        <v>21409</v>
      </c>
      <c r="V280" s="14">
        <v>24955</v>
      </c>
      <c r="W280" s="14">
        <v>38155</v>
      </c>
      <c r="X280" s="14">
        <v>42102</v>
      </c>
      <c r="Y280" s="14">
        <v>38899</v>
      </c>
      <c r="Z280" s="14">
        <v>47258</v>
      </c>
      <c r="AA280" s="14"/>
      <c r="AB280" s="14"/>
    </row>
    <row r="281" spans="1:30">
      <c r="A281" s="45" t="s">
        <v>193</v>
      </c>
      <c r="B281" s="45" t="s">
        <v>194</v>
      </c>
      <c r="C281" s="45" t="s">
        <v>490</v>
      </c>
      <c r="D281" s="45" t="s">
        <v>497</v>
      </c>
      <c r="E281" s="45" t="s">
        <v>492</v>
      </c>
      <c r="F281" s="45" t="s">
        <v>493</v>
      </c>
      <c r="G281" s="14">
        <v>10785</v>
      </c>
      <c r="H281" s="14">
        <v>12424</v>
      </c>
      <c r="I281" s="14">
        <v>13183</v>
      </c>
      <c r="J281" s="14">
        <v>16085</v>
      </c>
      <c r="K281" s="14">
        <v>19374</v>
      </c>
      <c r="L281" s="14">
        <v>22579</v>
      </c>
      <c r="M281" s="14">
        <v>25049</v>
      </c>
      <c r="N281" s="14">
        <v>27985</v>
      </c>
      <c r="O281" s="14">
        <v>29191</v>
      </c>
      <c r="P281" s="14">
        <v>33027</v>
      </c>
      <c r="Q281" s="14">
        <v>35323</v>
      </c>
      <c r="R281" s="14">
        <v>38467</v>
      </c>
      <c r="S281" s="14">
        <v>45479</v>
      </c>
      <c r="T281" s="14">
        <v>49840</v>
      </c>
      <c r="U281" s="14">
        <v>52553</v>
      </c>
      <c r="V281" s="14">
        <v>57620</v>
      </c>
      <c r="W281" s="14">
        <v>58860</v>
      </c>
      <c r="X281" s="14">
        <v>64090</v>
      </c>
      <c r="Y281" s="14">
        <v>66556</v>
      </c>
      <c r="Z281" s="14">
        <v>69035</v>
      </c>
      <c r="AA281" s="14"/>
      <c r="AB281" s="14"/>
    </row>
    <row r="282" spans="1:30">
      <c r="A282" s="45" t="s">
        <v>193</v>
      </c>
      <c r="B282" s="45" t="s">
        <v>194</v>
      </c>
      <c r="C282" s="45" t="s">
        <v>498</v>
      </c>
      <c r="D282" s="45" t="s">
        <v>491</v>
      </c>
      <c r="E282" s="45" t="s">
        <v>499</v>
      </c>
      <c r="F282" s="45" t="s">
        <v>500</v>
      </c>
      <c r="G282" s="14">
        <v>106953.1</v>
      </c>
      <c r="H282" s="14">
        <v>87876.5</v>
      </c>
      <c r="I282" s="14">
        <v>80715.399999999994</v>
      </c>
      <c r="J282" s="14">
        <v>95174.8</v>
      </c>
      <c r="K282" s="14">
        <v>112384.6</v>
      </c>
      <c r="L282" s="14">
        <v>105146.1</v>
      </c>
      <c r="M282" s="14">
        <v>90758.7</v>
      </c>
      <c r="N282" s="14">
        <v>66097</v>
      </c>
      <c r="O282" s="14">
        <v>85202</v>
      </c>
      <c r="P282" s="14">
        <v>170522.9</v>
      </c>
      <c r="Q282" s="14">
        <v>196282.2</v>
      </c>
      <c r="R282" s="14">
        <v>152826.20000000001</v>
      </c>
      <c r="S282" s="14">
        <v>153074.6</v>
      </c>
      <c r="T282" s="14">
        <v>103072.5</v>
      </c>
      <c r="U282" s="14">
        <v>63533.599999999999</v>
      </c>
      <c r="V282" s="14">
        <v>73372.7</v>
      </c>
      <c r="W282" s="14">
        <v>99471.3</v>
      </c>
      <c r="X282" s="14">
        <v>101926.39999999999</v>
      </c>
      <c r="Y282" s="14">
        <v>84963.9</v>
      </c>
      <c r="Z282" s="14">
        <v>98472.1</v>
      </c>
      <c r="AA282" s="14"/>
      <c r="AB282" s="14"/>
      <c r="AC282" s="15">
        <f>IFERROR(Z282/G282-1,"")</f>
        <v>-7.929643928039487E-2</v>
      </c>
      <c r="AD282" s="15">
        <f>IFERROR((Z282/G282)^(1/19)-1,"")</f>
        <v>-4.3388316013216466E-3</v>
      </c>
    </row>
    <row r="283" spans="1:30">
      <c r="A283" s="45" t="s">
        <v>193</v>
      </c>
      <c r="B283" s="45" t="s">
        <v>194</v>
      </c>
      <c r="C283" s="45" t="s">
        <v>498</v>
      </c>
      <c r="D283" s="45" t="s">
        <v>495</v>
      </c>
      <c r="E283" s="45" t="s">
        <v>499</v>
      </c>
      <c r="F283" s="45" t="s">
        <v>500</v>
      </c>
      <c r="G283" s="14">
        <v>62205</v>
      </c>
      <c r="H283" s="14">
        <v>43403.5</v>
      </c>
      <c r="I283" s="14">
        <v>34461.1</v>
      </c>
      <c r="J283" s="14">
        <v>45846</v>
      </c>
      <c r="K283" s="14">
        <v>54701.8</v>
      </c>
      <c r="L283" s="14">
        <v>44789.7</v>
      </c>
      <c r="M283" s="14">
        <v>40218.6</v>
      </c>
      <c r="N283" s="14">
        <v>14652.3</v>
      </c>
      <c r="O283" s="14">
        <v>29395</v>
      </c>
      <c r="P283" s="14">
        <v>98383.8</v>
      </c>
      <c r="Q283" s="14">
        <v>120402.9</v>
      </c>
      <c r="R283" s="14">
        <v>82980.5</v>
      </c>
      <c r="S283" s="14">
        <v>82195.3</v>
      </c>
      <c r="T283" s="14">
        <v>39930.199999999997</v>
      </c>
      <c r="U283" s="14">
        <v>9754.9</v>
      </c>
      <c r="V283" s="14">
        <v>16294.8</v>
      </c>
      <c r="W283" s="14">
        <v>34113.199999999997</v>
      </c>
      <c r="X283" s="14">
        <v>32907</v>
      </c>
      <c r="Y283" s="14">
        <v>18932.8</v>
      </c>
      <c r="Z283" s="14">
        <v>35007.699999999997</v>
      </c>
      <c r="AA283" s="14"/>
      <c r="AB283" s="14"/>
      <c r="AC283" s="15">
        <f>IFERROR(Z283/G283-1,"")</f>
        <v>-0.43722048066875663</v>
      </c>
      <c r="AD283" s="15">
        <f>IFERROR((Z283/G283)^(1/19)-1,"")</f>
        <v>-2.9803039520730157E-2</v>
      </c>
    </row>
    <row r="284" spans="1:30">
      <c r="A284" s="45" t="s">
        <v>193</v>
      </c>
      <c r="B284" s="45" t="s">
        <v>194</v>
      </c>
      <c r="C284" s="45" t="s">
        <v>498</v>
      </c>
      <c r="D284" s="45" t="s">
        <v>496</v>
      </c>
      <c r="E284" s="45" t="s">
        <v>499</v>
      </c>
      <c r="F284" s="45" t="s">
        <v>500</v>
      </c>
      <c r="G284" s="14">
        <v>16490.099999999999</v>
      </c>
      <c r="H284" s="14">
        <v>14159.9</v>
      </c>
      <c r="I284" s="14">
        <v>14942.4</v>
      </c>
      <c r="J284" s="14">
        <v>14744.3</v>
      </c>
      <c r="K284" s="14">
        <v>18040.400000000001</v>
      </c>
      <c r="L284" s="14">
        <v>15547</v>
      </c>
      <c r="M284" s="14">
        <v>12354.9</v>
      </c>
      <c r="N284" s="14">
        <v>9836.2000000000007</v>
      </c>
      <c r="O284" s="14">
        <v>14383</v>
      </c>
      <c r="P284" s="14">
        <v>29997.599999999999</v>
      </c>
      <c r="Q284" s="14">
        <v>34352.699999999997</v>
      </c>
      <c r="R284" s="14">
        <v>28894.9</v>
      </c>
      <c r="S284" s="14">
        <v>27420.3</v>
      </c>
      <c r="T284" s="14">
        <v>19726.8</v>
      </c>
      <c r="U284" s="14">
        <v>13581.5</v>
      </c>
      <c r="V284" s="14">
        <v>15270.4</v>
      </c>
      <c r="W284" s="14">
        <v>22343.7</v>
      </c>
      <c r="X284" s="14">
        <v>23655.8</v>
      </c>
      <c r="Y284" s="14">
        <v>20527.5</v>
      </c>
      <c r="Z284" s="14">
        <v>22060.799999999999</v>
      </c>
      <c r="AA284" s="14"/>
      <c r="AB284" s="14"/>
      <c r="AC284" s="15">
        <f>IFERROR(Z284/G284-1,"")</f>
        <v>0.33782087434278751</v>
      </c>
      <c r="AD284" s="15">
        <f>IFERROR((Z284/G284)^(1/19)-1,"")</f>
        <v>1.5435926020561652E-2</v>
      </c>
    </row>
    <row r="285" spans="1:30">
      <c r="A285" s="45" t="s">
        <v>193</v>
      </c>
      <c r="B285" s="45" t="s">
        <v>194</v>
      </c>
      <c r="C285" s="45" t="s">
        <v>498</v>
      </c>
      <c r="D285" s="45" t="s">
        <v>497</v>
      </c>
      <c r="E285" s="45" t="s">
        <v>499</v>
      </c>
      <c r="F285" s="45" t="s">
        <v>500</v>
      </c>
      <c r="G285" s="14">
        <v>20488</v>
      </c>
      <c r="H285" s="14">
        <v>20687.8</v>
      </c>
      <c r="I285" s="14">
        <v>20372.5</v>
      </c>
      <c r="J285" s="14">
        <v>23136.6</v>
      </c>
      <c r="K285" s="14">
        <v>26100.3</v>
      </c>
      <c r="L285" s="14">
        <v>28577.5</v>
      </c>
      <c r="M285" s="14">
        <v>29144.799999999999</v>
      </c>
      <c r="N285" s="14">
        <v>30342.3</v>
      </c>
      <c r="O285" s="14">
        <v>29191</v>
      </c>
      <c r="P285" s="14">
        <v>30490.6</v>
      </c>
      <c r="Q285" s="14">
        <v>30210.6</v>
      </c>
      <c r="R285" s="14">
        <v>30603</v>
      </c>
      <c r="S285" s="14">
        <v>33549</v>
      </c>
      <c r="T285" s="14">
        <v>34179.9</v>
      </c>
      <c r="U285" s="14">
        <v>33338.800000000003</v>
      </c>
      <c r="V285" s="14">
        <v>35258.699999999997</v>
      </c>
      <c r="W285" s="14">
        <v>34468.6</v>
      </c>
      <c r="X285" s="14">
        <v>36010.199999999997</v>
      </c>
      <c r="Y285" s="14">
        <v>35122.5</v>
      </c>
      <c r="Z285" s="14">
        <v>32227</v>
      </c>
      <c r="AA285" s="14"/>
      <c r="AB285" s="14"/>
      <c r="AC285" s="15">
        <f>IFERROR(Z285/G285-1,"")</f>
        <v>0.57296954314720816</v>
      </c>
      <c r="AD285" s="15">
        <f>IFERROR((Z285/G285)^(1/19)-1,"")</f>
        <v>2.4126728158514466E-2</v>
      </c>
    </row>
    <row r="286" spans="1:30">
      <c r="A286" s="45" t="s">
        <v>193</v>
      </c>
      <c r="B286" s="45" t="s">
        <v>194</v>
      </c>
      <c r="C286" s="45" t="s">
        <v>498</v>
      </c>
      <c r="D286" s="45" t="s">
        <v>501</v>
      </c>
      <c r="E286" s="45" t="s">
        <v>499</v>
      </c>
      <c r="F286" s="45" t="s">
        <v>500</v>
      </c>
      <c r="G286" s="14">
        <v>5007.7</v>
      </c>
      <c r="H286" s="14">
        <v>6980.4</v>
      </c>
      <c r="I286" s="14">
        <v>8247.7999999999993</v>
      </c>
      <c r="J286" s="14">
        <v>8317.7000000000007</v>
      </c>
      <c r="K286" s="14">
        <v>9159.7999999999993</v>
      </c>
      <c r="L286" s="14">
        <v>9740</v>
      </c>
      <c r="M286" s="14">
        <v>4129.8999999999996</v>
      </c>
      <c r="N286" s="14">
        <v>5322.5</v>
      </c>
      <c r="O286" s="14">
        <v>5573</v>
      </c>
      <c r="P286" s="14">
        <v>5898.3</v>
      </c>
      <c r="Q286" s="14">
        <v>4850.2</v>
      </c>
      <c r="R286" s="14">
        <v>4989.8</v>
      </c>
      <c r="S286" s="14">
        <v>5078.2</v>
      </c>
      <c r="T286" s="14">
        <v>4702.5</v>
      </c>
      <c r="U286" s="14">
        <v>4480</v>
      </c>
      <c r="V286" s="14">
        <v>4402.1000000000004</v>
      </c>
      <c r="W286" s="14">
        <v>5667.5</v>
      </c>
      <c r="X286" s="14">
        <v>6271.6</v>
      </c>
      <c r="Y286" s="14">
        <v>7386.4</v>
      </c>
      <c r="Z286" s="14">
        <v>5651.6</v>
      </c>
      <c r="AA286" s="14"/>
      <c r="AB286" s="14"/>
      <c r="AC286" s="15">
        <f>IFERROR(Z286/G286-1,"")</f>
        <v>0.12858198374503282</v>
      </c>
      <c r="AD286" s="15">
        <f>IFERROR((Z286/G286)^(1/19)-1,"")</f>
        <v>6.3867278295901553E-3</v>
      </c>
    </row>
    <row r="287" spans="1:30">
      <c r="A287" s="45" t="s">
        <v>123</v>
      </c>
      <c r="B287" s="45" t="s">
        <v>124</v>
      </c>
      <c r="C287" s="45" t="s">
        <v>490</v>
      </c>
      <c r="D287" s="45" t="s">
        <v>491</v>
      </c>
      <c r="E287" s="45" t="s">
        <v>492</v>
      </c>
      <c r="F287" s="45" t="s">
        <v>493</v>
      </c>
      <c r="G287" s="14">
        <v>148502</v>
      </c>
      <c r="H287" s="14">
        <v>174841</v>
      </c>
      <c r="I287" s="14">
        <v>202543</v>
      </c>
      <c r="J287" s="14">
        <v>233642</v>
      </c>
      <c r="K287" s="14">
        <v>307319</v>
      </c>
      <c r="L287" s="14">
        <v>336356</v>
      </c>
      <c r="M287" s="14">
        <v>365337</v>
      </c>
      <c r="N287" s="14">
        <v>434831</v>
      </c>
      <c r="O287" s="14">
        <v>473140</v>
      </c>
      <c r="P287" s="14">
        <v>485246</v>
      </c>
      <c r="Q287" s="14">
        <v>578965</v>
      </c>
      <c r="R287" s="14">
        <v>663989</v>
      </c>
      <c r="S287" s="14">
        <v>701637</v>
      </c>
      <c r="T287" s="14">
        <v>738018</v>
      </c>
      <c r="U287" s="14">
        <v>784614</v>
      </c>
      <c r="V287" s="14">
        <v>808680</v>
      </c>
      <c r="W287" s="14">
        <v>864705</v>
      </c>
      <c r="X287" s="14">
        <v>903775</v>
      </c>
      <c r="Y287" s="14">
        <v>956379</v>
      </c>
      <c r="Z287" s="14">
        <v>1002193</v>
      </c>
      <c r="AA287" s="14">
        <v>1186374</v>
      </c>
      <c r="AB287" s="14">
        <v>1260346</v>
      </c>
    </row>
    <row r="288" spans="1:30">
      <c r="A288" s="45" t="s">
        <v>123</v>
      </c>
      <c r="B288" s="45" t="s">
        <v>124</v>
      </c>
      <c r="C288" s="45" t="s">
        <v>490</v>
      </c>
      <c r="D288" s="45" t="s">
        <v>494</v>
      </c>
      <c r="E288" s="45" t="s">
        <v>492</v>
      </c>
      <c r="F288" s="45" t="s">
        <v>493</v>
      </c>
      <c r="G288" s="14">
        <v>137813</v>
      </c>
      <c r="H288" s="14">
        <v>162427</v>
      </c>
      <c r="I288" s="14">
        <v>188313</v>
      </c>
      <c r="J288" s="14">
        <v>217500</v>
      </c>
      <c r="K288" s="14">
        <v>278526</v>
      </c>
      <c r="L288" s="14">
        <v>305790</v>
      </c>
      <c r="M288" s="14">
        <v>331592</v>
      </c>
      <c r="N288" s="14">
        <v>396584</v>
      </c>
      <c r="O288" s="14">
        <v>431839</v>
      </c>
      <c r="P288" s="14">
        <v>446778</v>
      </c>
      <c r="Q288" s="14">
        <v>524621</v>
      </c>
      <c r="R288" s="14">
        <v>612685</v>
      </c>
      <c r="S288" s="14">
        <v>636248</v>
      </c>
      <c r="T288" s="14">
        <v>670762</v>
      </c>
      <c r="U288" s="14">
        <v>716800</v>
      </c>
      <c r="V288" s="14">
        <v>740653</v>
      </c>
      <c r="W288" s="14">
        <v>791039</v>
      </c>
      <c r="X288" s="14">
        <v>831902</v>
      </c>
      <c r="Y288" s="14">
        <v>867404</v>
      </c>
      <c r="Z288" s="14">
        <v>904757</v>
      </c>
      <c r="AA288" s="14"/>
      <c r="AB288" s="14"/>
    </row>
    <row r="289" spans="1:30">
      <c r="A289" s="45" t="s">
        <v>123</v>
      </c>
      <c r="B289" s="45" t="s">
        <v>124</v>
      </c>
      <c r="C289" s="45" t="s">
        <v>490</v>
      </c>
      <c r="D289" s="45" t="s">
        <v>495</v>
      </c>
      <c r="E289" s="45" t="s">
        <v>492</v>
      </c>
      <c r="F289" s="45" t="s">
        <v>493</v>
      </c>
      <c r="G289" s="14">
        <v>11779</v>
      </c>
      <c r="H289" s="14">
        <v>9180</v>
      </c>
      <c r="I289" s="14">
        <v>12254</v>
      </c>
      <c r="J289" s="14">
        <v>15002</v>
      </c>
      <c r="K289" s="14">
        <v>20069</v>
      </c>
      <c r="L289" s="14">
        <v>24289</v>
      </c>
      <c r="M289" s="14">
        <v>27266</v>
      </c>
      <c r="N289" s="14">
        <v>33861</v>
      </c>
      <c r="O289" s="14">
        <v>39238</v>
      </c>
      <c r="P289" s="14">
        <v>40876</v>
      </c>
      <c r="Q289" s="14">
        <v>58406</v>
      </c>
      <c r="R289" s="14">
        <v>95851</v>
      </c>
      <c r="S289" s="14">
        <v>83108</v>
      </c>
      <c r="T289" s="14">
        <v>65403</v>
      </c>
      <c r="U289" s="14">
        <v>68535</v>
      </c>
      <c r="V289" s="14">
        <v>48305</v>
      </c>
      <c r="W289" s="14">
        <v>49022</v>
      </c>
      <c r="X289" s="14">
        <v>52512</v>
      </c>
      <c r="Y289" s="14">
        <v>52368</v>
      </c>
      <c r="Z289" s="14">
        <v>45712</v>
      </c>
      <c r="AA289" s="14"/>
      <c r="AB289" s="14"/>
    </row>
    <row r="290" spans="1:30">
      <c r="A290" s="45" t="s">
        <v>123</v>
      </c>
      <c r="B290" s="45" t="s">
        <v>124</v>
      </c>
      <c r="C290" s="45" t="s">
        <v>490</v>
      </c>
      <c r="D290" s="45" t="s">
        <v>496</v>
      </c>
      <c r="E290" s="45" t="s">
        <v>492</v>
      </c>
      <c r="F290" s="45" t="s">
        <v>493</v>
      </c>
      <c r="G290" s="14">
        <v>46494</v>
      </c>
      <c r="H290" s="14">
        <v>58132</v>
      </c>
      <c r="I290" s="14">
        <v>66551</v>
      </c>
      <c r="J290" s="14">
        <v>75623</v>
      </c>
      <c r="K290" s="14">
        <v>109847</v>
      </c>
      <c r="L290" s="14">
        <v>118985</v>
      </c>
      <c r="M290" s="14">
        <v>125158</v>
      </c>
      <c r="N290" s="14">
        <v>156156</v>
      </c>
      <c r="O290" s="14">
        <v>176385</v>
      </c>
      <c r="P290" s="14">
        <v>165903</v>
      </c>
      <c r="Q290" s="14">
        <v>210457</v>
      </c>
      <c r="R290" s="14">
        <v>230454</v>
      </c>
      <c r="S290" s="14">
        <v>239349</v>
      </c>
      <c r="T290" s="14">
        <v>258721</v>
      </c>
      <c r="U290" s="14">
        <v>287266</v>
      </c>
      <c r="V290" s="14">
        <v>312827</v>
      </c>
      <c r="W290" s="14">
        <v>332507</v>
      </c>
      <c r="X290" s="14">
        <v>346968</v>
      </c>
      <c r="Y290" s="14">
        <v>355341</v>
      </c>
      <c r="Z290" s="14">
        <v>365315</v>
      </c>
      <c r="AA290" s="14"/>
      <c r="AB290" s="14"/>
    </row>
    <row r="291" spans="1:30">
      <c r="A291" s="45" t="s">
        <v>123</v>
      </c>
      <c r="B291" s="45" t="s">
        <v>124</v>
      </c>
      <c r="C291" s="45" t="s">
        <v>490</v>
      </c>
      <c r="D291" s="45" t="s">
        <v>497</v>
      </c>
      <c r="E291" s="45" t="s">
        <v>492</v>
      </c>
      <c r="F291" s="45" t="s">
        <v>493</v>
      </c>
      <c r="G291" s="14">
        <v>69585</v>
      </c>
      <c r="H291" s="14">
        <v>79521</v>
      </c>
      <c r="I291" s="14">
        <v>89623</v>
      </c>
      <c r="J291" s="14">
        <v>100847</v>
      </c>
      <c r="K291" s="14">
        <v>118927</v>
      </c>
      <c r="L291" s="14">
        <v>136700</v>
      </c>
      <c r="M291" s="14">
        <v>150851</v>
      </c>
      <c r="N291" s="14">
        <v>172403</v>
      </c>
      <c r="O291" s="14">
        <v>190677</v>
      </c>
      <c r="P291" s="14">
        <v>212502</v>
      </c>
      <c r="Q291" s="14">
        <v>224935</v>
      </c>
      <c r="R291" s="14">
        <v>261779</v>
      </c>
      <c r="S291" s="14">
        <v>279720</v>
      </c>
      <c r="T291" s="14">
        <v>307694</v>
      </c>
      <c r="U291" s="14">
        <v>319497</v>
      </c>
      <c r="V291" s="14">
        <v>335697</v>
      </c>
      <c r="W291" s="14">
        <v>367940</v>
      </c>
      <c r="X291" s="14">
        <v>384327</v>
      </c>
      <c r="Y291" s="14">
        <v>402552</v>
      </c>
      <c r="Z291" s="14">
        <v>419272</v>
      </c>
      <c r="AA291" s="14"/>
      <c r="AB291" s="14"/>
    </row>
    <row r="292" spans="1:30">
      <c r="A292" s="45" t="s">
        <v>123</v>
      </c>
      <c r="B292" s="45" t="s">
        <v>124</v>
      </c>
      <c r="C292" s="45" t="s">
        <v>498</v>
      </c>
      <c r="D292" s="45" t="s">
        <v>491</v>
      </c>
      <c r="E292" s="45" t="s">
        <v>499</v>
      </c>
      <c r="F292" s="45" t="s">
        <v>500</v>
      </c>
      <c r="G292" s="14">
        <v>282115.8</v>
      </c>
      <c r="H292" s="14">
        <v>291130.3</v>
      </c>
      <c r="I292" s="14">
        <v>312993.7</v>
      </c>
      <c r="J292" s="14">
        <v>336076.5</v>
      </c>
      <c r="K292" s="14">
        <v>414009.3</v>
      </c>
      <c r="L292" s="14">
        <v>425715.7</v>
      </c>
      <c r="M292" s="14">
        <v>425079.5</v>
      </c>
      <c r="N292" s="14">
        <v>471458.3</v>
      </c>
      <c r="O292" s="14">
        <v>473140</v>
      </c>
      <c r="P292" s="14">
        <v>447980.3</v>
      </c>
      <c r="Q292" s="14">
        <v>495170</v>
      </c>
      <c r="R292" s="14">
        <v>528245.69999999995</v>
      </c>
      <c r="S292" s="14">
        <v>517583.8</v>
      </c>
      <c r="T292" s="14">
        <v>506126.9</v>
      </c>
      <c r="U292" s="14">
        <v>497746.7</v>
      </c>
      <c r="V292" s="14">
        <v>494846</v>
      </c>
      <c r="W292" s="14">
        <v>506374.6</v>
      </c>
      <c r="X292" s="14">
        <v>507803.3</v>
      </c>
      <c r="Y292" s="14">
        <v>504693.5</v>
      </c>
      <c r="Z292" s="14">
        <v>467831</v>
      </c>
      <c r="AA292" s="14"/>
      <c r="AB292" s="14"/>
      <c r="AC292" s="15">
        <f>IFERROR(Z292/G292-1,"")</f>
        <v>0.65829421818983569</v>
      </c>
      <c r="AD292" s="15">
        <f>IFERROR((Z292/G292)^(1/19)-1,"")</f>
        <v>2.6977990364316584E-2</v>
      </c>
    </row>
    <row r="293" spans="1:30">
      <c r="A293" s="45" t="s">
        <v>123</v>
      </c>
      <c r="B293" s="45" t="s">
        <v>124</v>
      </c>
      <c r="C293" s="45" t="s">
        <v>498</v>
      </c>
      <c r="D293" s="45" t="s">
        <v>495</v>
      </c>
      <c r="E293" s="45" t="s">
        <v>499</v>
      </c>
      <c r="F293" s="45" t="s">
        <v>500</v>
      </c>
      <c r="G293" s="14">
        <v>22377.4</v>
      </c>
      <c r="H293" s="14">
        <v>15285.8</v>
      </c>
      <c r="I293" s="14">
        <v>18935.599999999999</v>
      </c>
      <c r="J293" s="14">
        <v>21579.599999999999</v>
      </c>
      <c r="K293" s="14">
        <v>27036.5</v>
      </c>
      <c r="L293" s="14">
        <v>30742.2</v>
      </c>
      <c r="M293" s="14">
        <v>31724.9</v>
      </c>
      <c r="N293" s="14">
        <v>36713.199999999997</v>
      </c>
      <c r="O293" s="14">
        <v>39238</v>
      </c>
      <c r="P293" s="14">
        <v>37736.800000000003</v>
      </c>
      <c r="Q293" s="14">
        <v>49952.800000000003</v>
      </c>
      <c r="R293" s="14">
        <v>76255.600000000006</v>
      </c>
      <c r="S293" s="14">
        <v>61307.1</v>
      </c>
      <c r="T293" s="14">
        <v>44852.9</v>
      </c>
      <c r="U293" s="14">
        <v>43477.5</v>
      </c>
      <c r="V293" s="14">
        <v>29558.7</v>
      </c>
      <c r="W293" s="14">
        <v>28707.5</v>
      </c>
      <c r="X293" s="14">
        <v>29504.9</v>
      </c>
      <c r="Y293" s="14">
        <v>27635.3</v>
      </c>
      <c r="Z293" s="14">
        <v>21338.7</v>
      </c>
      <c r="AA293" s="14"/>
      <c r="AB293" s="14"/>
      <c r="AC293" s="15">
        <f>IFERROR(Z293/G293-1,"")</f>
        <v>-4.6417367522589736E-2</v>
      </c>
      <c r="AD293" s="15">
        <f>IFERROR((Z293/G293)^(1/19)-1,"")</f>
        <v>-2.4984103658944878E-3</v>
      </c>
    </row>
    <row r="294" spans="1:30">
      <c r="A294" s="45" t="s">
        <v>123</v>
      </c>
      <c r="B294" s="45" t="s">
        <v>124</v>
      </c>
      <c r="C294" s="45" t="s">
        <v>498</v>
      </c>
      <c r="D294" s="45" t="s">
        <v>496</v>
      </c>
      <c r="E294" s="45" t="s">
        <v>499</v>
      </c>
      <c r="F294" s="45" t="s">
        <v>500</v>
      </c>
      <c r="G294" s="14">
        <v>88326.9</v>
      </c>
      <c r="H294" s="14">
        <v>96796.1</v>
      </c>
      <c r="I294" s="14">
        <v>102843.1</v>
      </c>
      <c r="J294" s="14">
        <v>108777.60000000001</v>
      </c>
      <c r="K294" s="14">
        <v>147981.79999999999</v>
      </c>
      <c r="L294" s="14">
        <v>150595.29999999999</v>
      </c>
      <c r="M294" s="14">
        <v>145624.6</v>
      </c>
      <c r="N294" s="14">
        <v>169309.5</v>
      </c>
      <c r="O294" s="14">
        <v>176385</v>
      </c>
      <c r="P294" s="14">
        <v>153162.1</v>
      </c>
      <c r="Q294" s="14">
        <v>179997</v>
      </c>
      <c r="R294" s="14">
        <v>183340.9</v>
      </c>
      <c r="S294" s="14">
        <v>176563</v>
      </c>
      <c r="T294" s="14">
        <v>177428.8</v>
      </c>
      <c r="U294" s="14">
        <v>182237</v>
      </c>
      <c r="V294" s="14">
        <v>191424.5</v>
      </c>
      <c r="W294" s="14">
        <v>194717.4</v>
      </c>
      <c r="X294" s="14">
        <v>194950.6</v>
      </c>
      <c r="Y294" s="14">
        <v>187518</v>
      </c>
      <c r="Z294" s="14">
        <v>170533.1</v>
      </c>
      <c r="AA294" s="14"/>
      <c r="AB294" s="14"/>
      <c r="AC294" s="15">
        <f>IFERROR(Z294/G294-1,"")</f>
        <v>0.93070400976373024</v>
      </c>
      <c r="AD294" s="15">
        <f>IFERROR((Z294/G294)^(1/19)-1,"")</f>
        <v>3.5231953182095044E-2</v>
      </c>
    </row>
    <row r="295" spans="1:30">
      <c r="A295" s="45" t="s">
        <v>123</v>
      </c>
      <c r="B295" s="45" t="s">
        <v>124</v>
      </c>
      <c r="C295" s="45" t="s">
        <v>498</v>
      </c>
      <c r="D295" s="45" t="s">
        <v>497</v>
      </c>
      <c r="E295" s="45" t="s">
        <v>499</v>
      </c>
      <c r="F295" s="45" t="s">
        <v>500</v>
      </c>
      <c r="G295" s="14">
        <v>132193.60000000001</v>
      </c>
      <c r="H295" s="14">
        <v>132411.70000000001</v>
      </c>
      <c r="I295" s="14">
        <v>138495.9</v>
      </c>
      <c r="J295" s="14">
        <v>145060.70000000001</v>
      </c>
      <c r="K295" s="14">
        <v>160213.9</v>
      </c>
      <c r="L295" s="14">
        <v>173016.4</v>
      </c>
      <c r="M295" s="14">
        <v>175520</v>
      </c>
      <c r="N295" s="14">
        <v>186925.1</v>
      </c>
      <c r="O295" s="14">
        <v>190677</v>
      </c>
      <c r="P295" s="14">
        <v>196182.39999999999</v>
      </c>
      <c r="Q295" s="14">
        <v>192379.6</v>
      </c>
      <c r="R295" s="14">
        <v>208261.9</v>
      </c>
      <c r="S295" s="14">
        <v>206343.9</v>
      </c>
      <c r="T295" s="14">
        <v>211014.1</v>
      </c>
      <c r="U295" s="14">
        <v>202683.8</v>
      </c>
      <c r="V295" s="14">
        <v>205419.1</v>
      </c>
      <c r="W295" s="14">
        <v>215467.1</v>
      </c>
      <c r="X295" s="14">
        <v>215941.5</v>
      </c>
      <c r="Y295" s="14">
        <v>212431.9</v>
      </c>
      <c r="Z295" s="14">
        <v>195723.4</v>
      </c>
      <c r="AA295" s="14"/>
      <c r="AB295" s="14"/>
      <c r="AC295" s="15">
        <f>IFERROR(Z295/G295-1,"")</f>
        <v>0.48058151075392441</v>
      </c>
      <c r="AD295" s="15">
        <f>IFERROR((Z295/G295)^(1/19)-1,"")</f>
        <v>2.0869249376163745E-2</v>
      </c>
    </row>
    <row r="296" spans="1:30">
      <c r="A296" s="45" t="s">
        <v>123</v>
      </c>
      <c r="B296" s="45" t="s">
        <v>124</v>
      </c>
      <c r="C296" s="45" t="s">
        <v>498</v>
      </c>
      <c r="D296" s="45" t="s">
        <v>501</v>
      </c>
      <c r="E296" s="45" t="s">
        <v>499</v>
      </c>
      <c r="F296" s="45" t="s">
        <v>500</v>
      </c>
      <c r="G296" s="14">
        <v>18911.599999999999</v>
      </c>
      <c r="H296" s="14">
        <v>25965.3</v>
      </c>
      <c r="I296" s="14">
        <v>30728.799999999999</v>
      </c>
      <c r="J296" s="14">
        <v>37439.699999999997</v>
      </c>
      <c r="K296" s="14">
        <v>39988.300000000003</v>
      </c>
      <c r="L296" s="14">
        <v>32674.799999999999</v>
      </c>
      <c r="M296" s="14">
        <v>32946.800000000003</v>
      </c>
      <c r="N296" s="14">
        <v>37041.699999999997</v>
      </c>
      <c r="O296" s="14">
        <v>25538</v>
      </c>
      <c r="P296" s="14">
        <v>25386.2</v>
      </c>
      <c r="Q296" s="14">
        <v>26362.799999999999</v>
      </c>
      <c r="R296" s="14">
        <v>19571.7</v>
      </c>
      <c r="S296" s="14">
        <v>25133.5</v>
      </c>
      <c r="T296" s="14">
        <v>26707.5</v>
      </c>
      <c r="U296" s="14">
        <v>26328.2</v>
      </c>
      <c r="V296" s="14">
        <v>26816.1</v>
      </c>
      <c r="W296" s="14">
        <v>24344.1</v>
      </c>
      <c r="X296" s="14">
        <v>27023.1</v>
      </c>
      <c r="Y296" s="14">
        <v>30155.599999999999</v>
      </c>
      <c r="Z296" s="14">
        <v>34757.5</v>
      </c>
      <c r="AA296" s="14"/>
      <c r="AB296" s="14"/>
      <c r="AC296" s="15">
        <f>IFERROR(Z296/G296-1,"")</f>
        <v>0.83789314494807443</v>
      </c>
      <c r="AD296" s="15">
        <f>IFERROR((Z296/G296)^(1/19)-1,"")</f>
        <v>3.2551192317212818E-2</v>
      </c>
    </row>
    <row r="297" spans="1:30">
      <c r="A297" s="45" t="s">
        <v>237</v>
      </c>
      <c r="B297" s="45" t="s">
        <v>238</v>
      </c>
      <c r="C297" s="45" t="s">
        <v>490</v>
      </c>
      <c r="D297" s="45" t="s">
        <v>491</v>
      </c>
      <c r="E297" s="45" t="s">
        <v>492</v>
      </c>
      <c r="F297" s="45" t="s">
        <v>493</v>
      </c>
      <c r="G297" s="14">
        <v>21472</v>
      </c>
      <c r="H297" s="14">
        <v>25298</v>
      </c>
      <c r="I297" s="14">
        <v>27896</v>
      </c>
      <c r="J297" s="14">
        <v>28773</v>
      </c>
      <c r="K297" s="14">
        <v>35695</v>
      </c>
      <c r="L297" s="14">
        <v>42327</v>
      </c>
      <c r="M297" s="14">
        <v>46213</v>
      </c>
      <c r="N297" s="14">
        <v>51873</v>
      </c>
      <c r="O297" s="14">
        <v>57017</v>
      </c>
      <c r="P297" s="14">
        <v>64831</v>
      </c>
      <c r="Q297" s="14">
        <v>74325</v>
      </c>
      <c r="R297" s="14">
        <v>82163</v>
      </c>
      <c r="S297" s="14">
        <v>83105</v>
      </c>
      <c r="T297" s="14">
        <v>100412</v>
      </c>
      <c r="U297" s="14">
        <v>107434</v>
      </c>
      <c r="V297" s="14">
        <v>144438</v>
      </c>
      <c r="W297" s="14">
        <v>125193</v>
      </c>
      <c r="X297" s="14">
        <v>123552</v>
      </c>
      <c r="Y297" s="14">
        <v>124224</v>
      </c>
      <c r="Z297" s="14">
        <v>140410</v>
      </c>
      <c r="AA297" s="14">
        <v>171108</v>
      </c>
      <c r="AB297" s="14">
        <v>225342</v>
      </c>
    </row>
    <row r="298" spans="1:30">
      <c r="A298" s="45" t="s">
        <v>237</v>
      </c>
      <c r="B298" s="45" t="s">
        <v>238</v>
      </c>
      <c r="C298" s="45" t="s">
        <v>490</v>
      </c>
      <c r="D298" s="45" t="s">
        <v>494</v>
      </c>
      <c r="E298" s="45" t="s">
        <v>492</v>
      </c>
      <c r="F298" s="45" t="s">
        <v>493</v>
      </c>
      <c r="G298" s="14">
        <v>20632</v>
      </c>
      <c r="H298" s="14">
        <v>24479</v>
      </c>
      <c r="I298" s="14">
        <v>26972</v>
      </c>
      <c r="J298" s="14">
        <v>27648</v>
      </c>
      <c r="K298" s="14">
        <v>33675</v>
      </c>
      <c r="L298" s="14">
        <v>39415</v>
      </c>
      <c r="M298" s="14">
        <v>43304</v>
      </c>
      <c r="N298" s="14">
        <v>48669</v>
      </c>
      <c r="O298" s="14">
        <v>52864</v>
      </c>
      <c r="P298" s="14">
        <v>59684</v>
      </c>
      <c r="Q298" s="14">
        <v>67990</v>
      </c>
      <c r="R298" s="14">
        <v>76546</v>
      </c>
      <c r="S298" s="14">
        <v>77647</v>
      </c>
      <c r="T298" s="14">
        <v>92313</v>
      </c>
      <c r="U298" s="14">
        <v>99181</v>
      </c>
      <c r="V298" s="14">
        <v>130613</v>
      </c>
      <c r="W298" s="14">
        <v>113233</v>
      </c>
      <c r="X298" s="14">
        <v>115338</v>
      </c>
      <c r="Y298" s="14">
        <v>115541</v>
      </c>
      <c r="Z298" s="14">
        <v>129026</v>
      </c>
      <c r="AA298" s="14"/>
      <c r="AB298" s="14"/>
    </row>
    <row r="299" spans="1:30">
      <c r="A299" s="45" t="s">
        <v>237</v>
      </c>
      <c r="B299" s="45" t="s">
        <v>238</v>
      </c>
      <c r="C299" s="45" t="s">
        <v>490</v>
      </c>
      <c r="D299" s="45" t="s">
        <v>495</v>
      </c>
      <c r="E299" s="45" t="s">
        <v>492</v>
      </c>
      <c r="F299" s="45" t="s">
        <v>493</v>
      </c>
      <c r="G299" s="14">
        <v>1139</v>
      </c>
      <c r="H299" s="14">
        <v>2098</v>
      </c>
      <c r="I299" s="14">
        <v>2986</v>
      </c>
      <c r="J299" s="14">
        <v>1104</v>
      </c>
      <c r="K299" s="14">
        <v>1290</v>
      </c>
      <c r="L299" s="14">
        <v>1606</v>
      </c>
      <c r="M299" s="14">
        <v>1821</v>
      </c>
      <c r="N299" s="14">
        <v>1957</v>
      </c>
      <c r="O299" s="14">
        <v>2439</v>
      </c>
      <c r="P299" s="14">
        <v>2928</v>
      </c>
      <c r="Q299" s="14">
        <v>3597</v>
      </c>
      <c r="R299" s="14">
        <v>4846</v>
      </c>
      <c r="S299" s="14">
        <v>5213</v>
      </c>
      <c r="T299" s="14">
        <v>6703</v>
      </c>
      <c r="U299" s="14">
        <v>10990</v>
      </c>
      <c r="V299" s="14">
        <v>20904</v>
      </c>
      <c r="W299" s="14">
        <v>11304</v>
      </c>
      <c r="X299" s="14">
        <v>7838</v>
      </c>
      <c r="Y299" s="14">
        <v>5865</v>
      </c>
      <c r="Z299" s="14">
        <v>5741</v>
      </c>
      <c r="AA299" s="14"/>
      <c r="AB299" s="14"/>
    </row>
    <row r="300" spans="1:30">
      <c r="A300" s="45" t="s">
        <v>237</v>
      </c>
      <c r="B300" s="45" t="s">
        <v>238</v>
      </c>
      <c r="C300" s="45" t="s">
        <v>490</v>
      </c>
      <c r="D300" s="45" t="s">
        <v>496</v>
      </c>
      <c r="E300" s="45" t="s">
        <v>492</v>
      </c>
      <c r="F300" s="45" t="s">
        <v>493</v>
      </c>
      <c r="G300" s="14">
        <v>3659</v>
      </c>
      <c r="H300" s="14">
        <v>4386</v>
      </c>
      <c r="I300" s="14">
        <v>4945</v>
      </c>
      <c r="J300" s="14">
        <v>5467</v>
      </c>
      <c r="K300" s="14">
        <v>7107</v>
      </c>
      <c r="L300" s="14">
        <v>8823</v>
      </c>
      <c r="M300" s="14">
        <v>8952</v>
      </c>
      <c r="N300" s="14">
        <v>11213</v>
      </c>
      <c r="O300" s="14">
        <v>13513</v>
      </c>
      <c r="P300" s="14">
        <v>14548</v>
      </c>
      <c r="Q300" s="14">
        <v>22938</v>
      </c>
      <c r="R300" s="14">
        <v>24261</v>
      </c>
      <c r="S300" s="14">
        <v>22017</v>
      </c>
      <c r="T300" s="14">
        <v>29503</v>
      </c>
      <c r="U300" s="14">
        <v>29345</v>
      </c>
      <c r="V300" s="14">
        <v>39104</v>
      </c>
      <c r="W300" s="14">
        <v>26456</v>
      </c>
      <c r="X300" s="14">
        <v>29160</v>
      </c>
      <c r="Y300" s="14">
        <v>29608</v>
      </c>
      <c r="Z300" s="14">
        <v>31221</v>
      </c>
      <c r="AA300" s="14"/>
      <c r="AB300" s="14"/>
    </row>
    <row r="301" spans="1:30">
      <c r="A301" s="45" t="s">
        <v>237</v>
      </c>
      <c r="B301" s="45" t="s">
        <v>238</v>
      </c>
      <c r="C301" s="45" t="s">
        <v>490</v>
      </c>
      <c r="D301" s="45" t="s">
        <v>497</v>
      </c>
      <c r="E301" s="45" t="s">
        <v>492</v>
      </c>
      <c r="F301" s="45" t="s">
        <v>493</v>
      </c>
      <c r="G301" s="14">
        <v>12757</v>
      </c>
      <c r="H301" s="14">
        <v>13875</v>
      </c>
      <c r="I301" s="14">
        <v>15409</v>
      </c>
      <c r="J301" s="14">
        <v>17610</v>
      </c>
      <c r="K301" s="14">
        <v>20318</v>
      </c>
      <c r="L301" s="14">
        <v>24544</v>
      </c>
      <c r="M301" s="14">
        <v>27360</v>
      </c>
      <c r="N301" s="14">
        <v>29665</v>
      </c>
      <c r="O301" s="14">
        <v>31396</v>
      </c>
      <c r="P301" s="14">
        <v>35465</v>
      </c>
      <c r="Q301" s="14">
        <v>36859</v>
      </c>
      <c r="R301" s="14">
        <v>43934</v>
      </c>
      <c r="S301" s="14">
        <v>46521</v>
      </c>
      <c r="T301" s="14">
        <v>51071</v>
      </c>
      <c r="U301" s="14">
        <v>53063</v>
      </c>
      <c r="V301" s="14">
        <v>56373</v>
      </c>
      <c r="W301" s="14">
        <v>57764</v>
      </c>
      <c r="X301" s="14">
        <v>62963</v>
      </c>
      <c r="Y301" s="14">
        <v>60607</v>
      </c>
      <c r="Z301" s="14">
        <v>69139</v>
      </c>
      <c r="AA301" s="14"/>
      <c r="AB301" s="14"/>
    </row>
    <row r="302" spans="1:30">
      <c r="A302" s="45" t="s">
        <v>237</v>
      </c>
      <c r="B302" s="45" t="s">
        <v>238</v>
      </c>
      <c r="C302" s="45" t="s">
        <v>498</v>
      </c>
      <c r="D302" s="45" t="s">
        <v>491</v>
      </c>
      <c r="E302" s="45" t="s">
        <v>499</v>
      </c>
      <c r="F302" s="45" t="s">
        <v>500</v>
      </c>
      <c r="G302" s="14">
        <v>40790.699999999997</v>
      </c>
      <c r="H302" s="14">
        <v>42123.7</v>
      </c>
      <c r="I302" s="14">
        <v>43107.9</v>
      </c>
      <c r="J302" s="14">
        <v>41388</v>
      </c>
      <c r="K302" s="14">
        <v>48086.9</v>
      </c>
      <c r="L302" s="14">
        <v>53571.6</v>
      </c>
      <c r="M302" s="14">
        <v>53770.1</v>
      </c>
      <c r="N302" s="14">
        <v>56242.400000000001</v>
      </c>
      <c r="O302" s="14">
        <v>57017</v>
      </c>
      <c r="P302" s="14">
        <v>59852.1</v>
      </c>
      <c r="Q302" s="14">
        <v>63567.8</v>
      </c>
      <c r="R302" s="14">
        <v>65365.9</v>
      </c>
      <c r="S302" s="14">
        <v>61304.9</v>
      </c>
      <c r="T302" s="14">
        <v>68861.8</v>
      </c>
      <c r="U302" s="14">
        <v>68154.399999999994</v>
      </c>
      <c r="V302" s="14">
        <v>88384.2</v>
      </c>
      <c r="W302" s="14">
        <v>73313.5</v>
      </c>
      <c r="X302" s="14">
        <v>69420.100000000006</v>
      </c>
      <c r="Y302" s="14">
        <v>65554.600000000006</v>
      </c>
      <c r="Z302" s="14">
        <v>65544.399999999994</v>
      </c>
      <c r="AA302" s="14"/>
      <c r="AB302" s="14"/>
      <c r="AC302" s="15">
        <f>IFERROR(Z302/G302-1,"")</f>
        <v>0.60684665867464882</v>
      </c>
      <c r="AD302" s="15">
        <f>IFERROR((Z302/G302)^(1/19)-1,"")</f>
        <v>2.5275925167816959E-2</v>
      </c>
    </row>
    <row r="303" spans="1:30">
      <c r="A303" s="45" t="s">
        <v>237</v>
      </c>
      <c r="B303" s="45" t="s">
        <v>238</v>
      </c>
      <c r="C303" s="45" t="s">
        <v>498</v>
      </c>
      <c r="D303" s="45" t="s">
        <v>495</v>
      </c>
      <c r="E303" s="45" t="s">
        <v>499</v>
      </c>
      <c r="F303" s="45" t="s">
        <v>500</v>
      </c>
      <c r="G303" s="14">
        <v>2164.3000000000002</v>
      </c>
      <c r="H303" s="14">
        <v>3492.8</v>
      </c>
      <c r="I303" s="14">
        <v>4613.6000000000004</v>
      </c>
      <c r="J303" s="14">
        <v>1587.6</v>
      </c>
      <c r="K303" s="14">
        <v>1738.4</v>
      </c>
      <c r="L303" s="14">
        <v>2033</v>
      </c>
      <c r="M303" s="14">
        <v>2119</v>
      </c>
      <c r="N303" s="14">
        <v>2121.8000000000002</v>
      </c>
      <c r="O303" s="14">
        <v>2439</v>
      </c>
      <c r="P303" s="14">
        <v>2703.1</v>
      </c>
      <c r="Q303" s="14">
        <v>3076.4</v>
      </c>
      <c r="R303" s="14">
        <v>3855.3</v>
      </c>
      <c r="S303" s="14">
        <v>3845.5</v>
      </c>
      <c r="T303" s="14">
        <v>4596.8999999999996</v>
      </c>
      <c r="U303" s="14">
        <v>6971.9</v>
      </c>
      <c r="V303" s="14">
        <v>12791.5</v>
      </c>
      <c r="W303" s="14">
        <v>6619.7</v>
      </c>
      <c r="X303" s="14">
        <v>4403.8999999999996</v>
      </c>
      <c r="Y303" s="14">
        <v>3095</v>
      </c>
      <c r="Z303" s="14">
        <v>2679.9</v>
      </c>
      <c r="AA303" s="14"/>
      <c r="AB303" s="14"/>
      <c r="AC303" s="15">
        <f>IFERROR(Z303/G303-1,"")</f>
        <v>0.23822945063068879</v>
      </c>
      <c r="AD303" s="15">
        <f>IFERROR((Z303/G303)^(1/19)-1,"")</f>
        <v>1.1309926238272761E-2</v>
      </c>
    </row>
    <row r="304" spans="1:30">
      <c r="A304" s="45" t="s">
        <v>237</v>
      </c>
      <c r="B304" s="45" t="s">
        <v>238</v>
      </c>
      <c r="C304" s="45" t="s">
        <v>498</v>
      </c>
      <c r="D304" s="45" t="s">
        <v>496</v>
      </c>
      <c r="E304" s="45" t="s">
        <v>499</v>
      </c>
      <c r="F304" s="45" t="s">
        <v>500</v>
      </c>
      <c r="G304" s="14">
        <v>6951.4</v>
      </c>
      <c r="H304" s="14">
        <v>7304</v>
      </c>
      <c r="I304" s="14">
        <v>7641.9</v>
      </c>
      <c r="J304" s="14">
        <v>7863.8</v>
      </c>
      <c r="K304" s="14">
        <v>9574</v>
      </c>
      <c r="L304" s="14">
        <v>11167.3</v>
      </c>
      <c r="M304" s="14">
        <v>10416.5</v>
      </c>
      <c r="N304" s="14">
        <v>12157.5</v>
      </c>
      <c r="O304" s="14">
        <v>13513</v>
      </c>
      <c r="P304" s="14">
        <v>13430.8</v>
      </c>
      <c r="Q304" s="14">
        <v>19618.099999999999</v>
      </c>
      <c r="R304" s="14">
        <v>19301.2</v>
      </c>
      <c r="S304" s="14">
        <v>16241.5</v>
      </c>
      <c r="T304" s="14">
        <v>20232.900000000001</v>
      </c>
      <c r="U304" s="14">
        <v>18616</v>
      </c>
      <c r="V304" s="14">
        <v>23928.5</v>
      </c>
      <c r="W304" s="14">
        <v>15492.7</v>
      </c>
      <c r="X304" s="14">
        <v>16384.099999999999</v>
      </c>
      <c r="Y304" s="14">
        <v>15624.5</v>
      </c>
      <c r="Z304" s="14">
        <v>14574.7</v>
      </c>
      <c r="AA304" s="14"/>
      <c r="AB304" s="14"/>
      <c r="AC304" s="15">
        <f>IFERROR(Z304/G304-1,"")</f>
        <v>1.096656788560578</v>
      </c>
      <c r="AD304" s="15">
        <f>IFERROR((Z304/G304)^(1/19)-1,"")</f>
        <v>3.9734588694443129E-2</v>
      </c>
    </row>
    <row r="305" spans="1:30">
      <c r="A305" s="45" t="s">
        <v>237</v>
      </c>
      <c r="B305" s="45" t="s">
        <v>238</v>
      </c>
      <c r="C305" s="45" t="s">
        <v>498</v>
      </c>
      <c r="D305" s="45" t="s">
        <v>497</v>
      </c>
      <c r="E305" s="45" t="s">
        <v>499</v>
      </c>
      <c r="F305" s="45" t="s">
        <v>500</v>
      </c>
      <c r="G305" s="14">
        <v>24235</v>
      </c>
      <c r="H305" s="14">
        <v>23102.9</v>
      </c>
      <c r="I305" s="14">
        <v>23811.599999999999</v>
      </c>
      <c r="J305" s="14">
        <v>25330.799999999999</v>
      </c>
      <c r="K305" s="14">
        <v>27372.2</v>
      </c>
      <c r="L305" s="14">
        <v>31064.799999999999</v>
      </c>
      <c r="M305" s="14">
        <v>31833.599999999999</v>
      </c>
      <c r="N305" s="14">
        <v>32163.8</v>
      </c>
      <c r="O305" s="14">
        <v>31396</v>
      </c>
      <c r="P305" s="14">
        <v>32741.4</v>
      </c>
      <c r="Q305" s="14">
        <v>31524.3</v>
      </c>
      <c r="R305" s="14">
        <v>34952.300000000003</v>
      </c>
      <c r="S305" s="14">
        <v>34317.599999999999</v>
      </c>
      <c r="T305" s="14">
        <v>35024.1</v>
      </c>
      <c r="U305" s="14">
        <v>33662.300000000003</v>
      </c>
      <c r="V305" s="14">
        <v>34495.699999999997</v>
      </c>
      <c r="W305" s="14">
        <v>33826.800000000003</v>
      </c>
      <c r="X305" s="14">
        <v>35377</v>
      </c>
      <c r="Y305" s="14">
        <v>31983.1</v>
      </c>
      <c r="Z305" s="14">
        <v>32275.1</v>
      </c>
      <c r="AA305" s="14"/>
      <c r="AB305" s="14"/>
      <c r="AC305" s="15">
        <f>IFERROR(Z305/G305-1,"")</f>
        <v>0.33175572519083962</v>
      </c>
      <c r="AD305" s="15">
        <f>IFERROR((Z305/G305)^(1/19)-1,"")</f>
        <v>1.5193110281012334E-2</v>
      </c>
    </row>
    <row r="306" spans="1:30">
      <c r="A306" s="45" t="s">
        <v>237</v>
      </c>
      <c r="B306" s="45" t="s">
        <v>238</v>
      </c>
      <c r="C306" s="45" t="s">
        <v>498</v>
      </c>
      <c r="D306" s="45" t="s">
        <v>501</v>
      </c>
      <c r="E306" s="45" t="s">
        <v>499</v>
      </c>
      <c r="F306" s="45" t="s">
        <v>500</v>
      </c>
      <c r="G306" s="14">
        <v>5845.5</v>
      </c>
      <c r="H306" s="14">
        <v>6859.9</v>
      </c>
      <c r="I306" s="14">
        <v>5613.1</v>
      </c>
      <c r="J306" s="14">
        <v>4986.8999999999996</v>
      </c>
      <c r="K306" s="14">
        <v>6681.6</v>
      </c>
      <c r="L306" s="14">
        <v>5620.6</v>
      </c>
      <c r="M306" s="14">
        <v>6016.5</v>
      </c>
      <c r="N306" s="14">
        <v>6325.4</v>
      </c>
      <c r="O306" s="14">
        <v>5516</v>
      </c>
      <c r="P306" s="14">
        <v>6225.2</v>
      </c>
      <c r="Q306" s="14">
        <v>3930.8</v>
      </c>
      <c r="R306" s="14">
        <v>2788.5</v>
      </c>
      <c r="S306" s="14">
        <v>2874.7</v>
      </c>
      <c r="T306" s="14">
        <v>3453.6</v>
      </c>
      <c r="U306" s="14">
        <v>3668</v>
      </c>
      <c r="V306" s="14">
        <v>8708.2000000000007</v>
      </c>
      <c r="W306" s="14">
        <v>10370.5</v>
      </c>
      <c r="X306" s="14">
        <v>8640.4</v>
      </c>
      <c r="Y306" s="14">
        <v>10270.299999999999</v>
      </c>
      <c r="Z306" s="14">
        <v>10701.6</v>
      </c>
      <c r="AA306" s="14"/>
      <c r="AB306" s="14"/>
      <c r="AC306" s="15">
        <f>IFERROR(Z306/G306-1,"")</f>
        <v>0.83074159609956388</v>
      </c>
      <c r="AD306" s="15">
        <f>IFERROR((Z306/G306)^(1/19)-1,"")</f>
        <v>3.2339336879766423E-2</v>
      </c>
    </row>
    <row r="307" spans="1:30">
      <c r="A307" s="45" t="s">
        <v>367</v>
      </c>
      <c r="B307" s="45" t="s">
        <v>368</v>
      </c>
      <c r="C307" s="45" t="s">
        <v>490</v>
      </c>
      <c r="D307" s="45" t="s">
        <v>491</v>
      </c>
      <c r="E307" s="45" t="s">
        <v>492</v>
      </c>
      <c r="F307" s="45" t="s">
        <v>493</v>
      </c>
      <c r="G307" s="14">
        <v>9739</v>
      </c>
      <c r="H307" s="14">
        <v>12000</v>
      </c>
      <c r="I307" s="14">
        <v>13904</v>
      </c>
      <c r="J307" s="14">
        <v>17014</v>
      </c>
      <c r="K307" s="14">
        <v>16333</v>
      </c>
      <c r="L307" s="14">
        <v>18501</v>
      </c>
      <c r="M307" s="14">
        <v>18364</v>
      </c>
      <c r="N307" s="14">
        <v>23793</v>
      </c>
      <c r="O307" s="14">
        <v>24794</v>
      </c>
      <c r="P307" s="14">
        <v>26939</v>
      </c>
      <c r="Q307" s="14">
        <v>28565</v>
      </c>
      <c r="R307" s="14">
        <v>33655</v>
      </c>
      <c r="S307" s="14">
        <v>35074</v>
      </c>
      <c r="T307" s="14">
        <v>41596</v>
      </c>
      <c r="U307" s="14">
        <v>41142</v>
      </c>
      <c r="V307" s="14">
        <v>42805</v>
      </c>
      <c r="W307" s="14">
        <v>44685</v>
      </c>
      <c r="X307" s="14">
        <v>46723</v>
      </c>
      <c r="Y307" s="14">
        <v>49987</v>
      </c>
      <c r="Z307" s="14">
        <v>52506</v>
      </c>
      <c r="AA307" s="14">
        <v>58596</v>
      </c>
      <c r="AB307" s="14">
        <v>65460</v>
      </c>
    </row>
    <row r="308" spans="1:30">
      <c r="A308" s="45" t="s">
        <v>367</v>
      </c>
      <c r="B308" s="45" t="s">
        <v>368</v>
      </c>
      <c r="C308" s="45" t="s">
        <v>490</v>
      </c>
      <c r="D308" s="45" t="s">
        <v>494</v>
      </c>
      <c r="E308" s="45" t="s">
        <v>492</v>
      </c>
      <c r="F308" s="45" t="s">
        <v>493</v>
      </c>
      <c r="G308" s="14">
        <v>9474</v>
      </c>
      <c r="H308" s="14">
        <v>11704</v>
      </c>
      <c r="I308" s="14">
        <v>13483</v>
      </c>
      <c r="J308" s="14">
        <v>16466</v>
      </c>
      <c r="K308" s="14">
        <v>15455</v>
      </c>
      <c r="L308" s="14">
        <v>17467</v>
      </c>
      <c r="M308" s="14">
        <v>16904</v>
      </c>
      <c r="N308" s="14">
        <v>22682</v>
      </c>
      <c r="O308" s="14">
        <v>23641</v>
      </c>
      <c r="P308" s="14">
        <v>25423</v>
      </c>
      <c r="Q308" s="14">
        <v>27115</v>
      </c>
      <c r="R308" s="14">
        <v>32177</v>
      </c>
      <c r="S308" s="14">
        <v>33615</v>
      </c>
      <c r="T308" s="14">
        <v>38944</v>
      </c>
      <c r="U308" s="14">
        <v>40022</v>
      </c>
      <c r="V308" s="14">
        <v>41746</v>
      </c>
      <c r="W308" s="14">
        <v>43413</v>
      </c>
      <c r="X308" s="14">
        <v>45419</v>
      </c>
      <c r="Y308" s="14">
        <v>48452</v>
      </c>
      <c r="Z308" s="14">
        <v>50524</v>
      </c>
      <c r="AA308" s="14"/>
      <c r="AB308" s="14"/>
    </row>
    <row r="309" spans="1:30">
      <c r="A309" s="45" t="s">
        <v>367</v>
      </c>
      <c r="B309" s="45" t="s">
        <v>368</v>
      </c>
      <c r="C309" s="45" t="s">
        <v>490</v>
      </c>
      <c r="D309" s="45" t="s">
        <v>495</v>
      </c>
      <c r="E309" s="45" t="s">
        <v>492</v>
      </c>
      <c r="F309" s="45" t="s">
        <v>493</v>
      </c>
      <c r="G309" s="14">
        <v>447</v>
      </c>
      <c r="H309" s="14">
        <v>329</v>
      </c>
      <c r="I309" s="14">
        <v>449</v>
      </c>
      <c r="J309" s="14">
        <v>589</v>
      </c>
      <c r="K309" s="14">
        <v>494</v>
      </c>
      <c r="L309" s="14">
        <v>520</v>
      </c>
      <c r="M309" s="14">
        <v>442</v>
      </c>
      <c r="N309" s="14">
        <v>700</v>
      </c>
      <c r="O309" s="14">
        <v>670</v>
      </c>
      <c r="P309" s="14">
        <v>1006</v>
      </c>
      <c r="Q309" s="14">
        <v>1161</v>
      </c>
      <c r="R309" s="14">
        <v>1270</v>
      </c>
      <c r="S309" s="14">
        <v>1324</v>
      </c>
      <c r="T309" s="14">
        <v>1317</v>
      </c>
      <c r="U309" s="14">
        <v>1829</v>
      </c>
      <c r="V309" s="14">
        <v>1944</v>
      </c>
      <c r="W309" s="14">
        <v>1693</v>
      </c>
      <c r="X309" s="14">
        <v>1619</v>
      </c>
      <c r="Y309" s="14">
        <v>1432</v>
      </c>
      <c r="Z309" s="14">
        <v>1596</v>
      </c>
      <c r="AA309" s="14"/>
      <c r="AB309" s="14"/>
    </row>
    <row r="310" spans="1:30">
      <c r="A310" s="45" t="s">
        <v>367</v>
      </c>
      <c r="B310" s="45" t="s">
        <v>368</v>
      </c>
      <c r="C310" s="45" t="s">
        <v>490</v>
      </c>
      <c r="D310" s="45" t="s">
        <v>496</v>
      </c>
      <c r="E310" s="45" t="s">
        <v>492</v>
      </c>
      <c r="F310" s="45" t="s">
        <v>493</v>
      </c>
      <c r="G310" s="14">
        <v>1419</v>
      </c>
      <c r="H310" s="14">
        <v>1761</v>
      </c>
      <c r="I310" s="14">
        <v>2153</v>
      </c>
      <c r="J310" s="14">
        <v>2736</v>
      </c>
      <c r="K310" s="14">
        <v>2461</v>
      </c>
      <c r="L310" s="14">
        <v>2816</v>
      </c>
      <c r="M310" s="14">
        <v>2192</v>
      </c>
      <c r="N310" s="14">
        <v>3544</v>
      </c>
      <c r="O310" s="14">
        <v>3944</v>
      </c>
      <c r="P310" s="14">
        <v>4245</v>
      </c>
      <c r="Q310" s="14">
        <v>4900</v>
      </c>
      <c r="R310" s="14">
        <v>5823</v>
      </c>
      <c r="S310" s="14">
        <v>5986</v>
      </c>
      <c r="T310" s="14">
        <v>7136</v>
      </c>
      <c r="U310" s="14">
        <v>7650</v>
      </c>
      <c r="V310" s="14">
        <v>7846</v>
      </c>
      <c r="W310" s="14">
        <v>8785</v>
      </c>
      <c r="X310" s="14">
        <v>9401</v>
      </c>
      <c r="Y310" s="14">
        <v>9990</v>
      </c>
      <c r="Z310" s="14">
        <v>10733</v>
      </c>
      <c r="AA310" s="14"/>
      <c r="AB310" s="14"/>
    </row>
    <row r="311" spans="1:30">
      <c r="A311" s="45" t="s">
        <v>367</v>
      </c>
      <c r="B311" s="45" t="s">
        <v>368</v>
      </c>
      <c r="C311" s="45" t="s">
        <v>490</v>
      </c>
      <c r="D311" s="45" t="s">
        <v>497</v>
      </c>
      <c r="E311" s="45" t="s">
        <v>492</v>
      </c>
      <c r="F311" s="45" t="s">
        <v>493</v>
      </c>
      <c r="G311" s="14">
        <v>6264</v>
      </c>
      <c r="H311" s="14">
        <v>6812</v>
      </c>
      <c r="I311" s="14">
        <v>7714</v>
      </c>
      <c r="J311" s="14">
        <v>10138</v>
      </c>
      <c r="K311" s="14">
        <v>9579</v>
      </c>
      <c r="L311" s="14">
        <v>12292</v>
      </c>
      <c r="M311" s="14">
        <v>10109</v>
      </c>
      <c r="N311" s="14">
        <v>15516</v>
      </c>
      <c r="O311" s="14">
        <v>17115</v>
      </c>
      <c r="P311" s="14">
        <v>17643</v>
      </c>
      <c r="Q311" s="14">
        <v>19617</v>
      </c>
      <c r="R311" s="14">
        <v>23627</v>
      </c>
      <c r="S311" s="14">
        <v>24785</v>
      </c>
      <c r="T311" s="14">
        <v>26643</v>
      </c>
      <c r="U311" s="14">
        <v>28119</v>
      </c>
      <c r="V311" s="14">
        <v>29339</v>
      </c>
      <c r="W311" s="14">
        <v>30165</v>
      </c>
      <c r="X311" s="14">
        <v>32036</v>
      </c>
      <c r="Y311" s="14">
        <v>32160</v>
      </c>
      <c r="Z311" s="14">
        <v>34364</v>
      </c>
      <c r="AA311" s="14"/>
      <c r="AB311" s="14"/>
    </row>
    <row r="312" spans="1:30">
      <c r="A312" s="45" t="s">
        <v>367</v>
      </c>
      <c r="B312" s="45" t="s">
        <v>368</v>
      </c>
      <c r="C312" s="45" t="s">
        <v>498</v>
      </c>
      <c r="D312" s="45" t="s">
        <v>491</v>
      </c>
      <c r="E312" s="45" t="s">
        <v>499</v>
      </c>
      <c r="F312" s="45" t="s">
        <v>500</v>
      </c>
      <c r="G312" s="14">
        <v>18502.400000000001</v>
      </c>
      <c r="H312" s="14">
        <v>19981.400000000001</v>
      </c>
      <c r="I312" s="14">
        <v>21486.3</v>
      </c>
      <c r="J312" s="14">
        <v>24473.3</v>
      </c>
      <c r="K312" s="14">
        <v>22003.9</v>
      </c>
      <c r="L312" s="14">
        <v>23416.2</v>
      </c>
      <c r="M312" s="14">
        <v>21367.599999999999</v>
      </c>
      <c r="N312" s="14">
        <v>25797.200000000001</v>
      </c>
      <c r="O312" s="14">
        <v>24794</v>
      </c>
      <c r="P312" s="14">
        <v>24870.2</v>
      </c>
      <c r="Q312" s="14">
        <v>24430.7</v>
      </c>
      <c r="R312" s="14">
        <v>26774.7</v>
      </c>
      <c r="S312" s="14">
        <v>25873.4</v>
      </c>
      <c r="T312" s="14">
        <v>28526.2</v>
      </c>
      <c r="U312" s="14">
        <v>26099.8</v>
      </c>
      <c r="V312" s="14">
        <v>26193.200000000001</v>
      </c>
      <c r="W312" s="14">
        <v>26167.7</v>
      </c>
      <c r="X312" s="14">
        <v>26252.2</v>
      </c>
      <c r="Y312" s="14">
        <v>26378.799999999999</v>
      </c>
      <c r="Z312" s="14">
        <v>24510.2</v>
      </c>
      <c r="AA312" s="14"/>
      <c r="AB312" s="14"/>
      <c r="AC312" s="15">
        <f>IFERROR(Z312/G312-1,"")</f>
        <v>0.32470382220684879</v>
      </c>
      <c r="AD312" s="15">
        <f>IFERROR((Z312/G312)^(1/19)-1,"")</f>
        <v>1.4909469598623382E-2</v>
      </c>
    </row>
    <row r="313" spans="1:30">
      <c r="A313" s="45" t="s">
        <v>367</v>
      </c>
      <c r="B313" s="45" t="s">
        <v>368</v>
      </c>
      <c r="C313" s="45" t="s">
        <v>498</v>
      </c>
      <c r="D313" s="45" t="s">
        <v>495</v>
      </c>
      <c r="E313" s="45" t="s">
        <v>499</v>
      </c>
      <c r="F313" s="45" t="s">
        <v>500</v>
      </c>
      <c r="G313" s="14">
        <v>849.1</v>
      </c>
      <c r="H313" s="14">
        <v>547.4</v>
      </c>
      <c r="I313" s="14">
        <v>694.4</v>
      </c>
      <c r="J313" s="14">
        <v>847.1</v>
      </c>
      <c r="K313" s="14">
        <v>666</v>
      </c>
      <c r="L313" s="14">
        <v>657.9</v>
      </c>
      <c r="M313" s="14">
        <v>513.70000000000005</v>
      </c>
      <c r="N313" s="14">
        <v>759</v>
      </c>
      <c r="O313" s="14">
        <v>670</v>
      </c>
      <c r="P313" s="14">
        <v>928.7</v>
      </c>
      <c r="Q313" s="14">
        <v>993</v>
      </c>
      <c r="R313" s="14">
        <v>1010.4</v>
      </c>
      <c r="S313" s="14">
        <v>976.7</v>
      </c>
      <c r="T313" s="14">
        <v>903.2</v>
      </c>
      <c r="U313" s="14">
        <v>1160.3</v>
      </c>
      <c r="V313" s="14">
        <v>1189.5999999999999</v>
      </c>
      <c r="W313" s="14">
        <v>991.4</v>
      </c>
      <c r="X313" s="14">
        <v>909.7</v>
      </c>
      <c r="Y313" s="14">
        <v>755.7</v>
      </c>
      <c r="Z313" s="14">
        <v>745</v>
      </c>
      <c r="AA313" s="14"/>
      <c r="AB313" s="14"/>
      <c r="AC313" s="15">
        <f>IFERROR(Z313/G313-1,"")</f>
        <v>-0.12260040042397835</v>
      </c>
      <c r="AD313" s="15">
        <f>IFERROR((Z313/G313)^(1/19)-1,"")</f>
        <v>-6.8601894945209407E-3</v>
      </c>
    </row>
    <row r="314" spans="1:30">
      <c r="A314" s="45" t="s">
        <v>367</v>
      </c>
      <c r="B314" s="45" t="s">
        <v>368</v>
      </c>
      <c r="C314" s="45" t="s">
        <v>498</v>
      </c>
      <c r="D314" s="45" t="s">
        <v>496</v>
      </c>
      <c r="E314" s="45" t="s">
        <v>499</v>
      </c>
      <c r="F314" s="45" t="s">
        <v>500</v>
      </c>
      <c r="G314" s="14">
        <v>2696.2</v>
      </c>
      <c r="H314" s="14">
        <v>2933.1</v>
      </c>
      <c r="I314" s="14">
        <v>3327.2</v>
      </c>
      <c r="J314" s="14">
        <v>3935.5</v>
      </c>
      <c r="K314" s="14">
        <v>3315</v>
      </c>
      <c r="L314" s="14">
        <v>3563.5</v>
      </c>
      <c r="M314" s="14">
        <v>2549.9</v>
      </c>
      <c r="N314" s="14">
        <v>3842.5</v>
      </c>
      <c r="O314" s="14">
        <v>3944</v>
      </c>
      <c r="P314" s="14">
        <v>3919</v>
      </c>
      <c r="Q314" s="14">
        <v>4190.8</v>
      </c>
      <c r="R314" s="14">
        <v>4632.6000000000004</v>
      </c>
      <c r="S314" s="14">
        <v>4415.8</v>
      </c>
      <c r="T314" s="14">
        <v>4893.8</v>
      </c>
      <c r="U314" s="14">
        <v>4853</v>
      </c>
      <c r="V314" s="14">
        <v>4801.1000000000004</v>
      </c>
      <c r="W314" s="14">
        <v>5144.5</v>
      </c>
      <c r="X314" s="14">
        <v>5282.1</v>
      </c>
      <c r="Y314" s="14">
        <v>5271.9</v>
      </c>
      <c r="Z314" s="14">
        <v>5010.2</v>
      </c>
      <c r="AA314" s="14"/>
      <c r="AB314" s="14"/>
      <c r="AC314" s="15">
        <f>IFERROR(Z314/G314-1,"")</f>
        <v>0.85824493731919005</v>
      </c>
      <c r="AD314" s="15">
        <f>IFERROR((Z314/G314)^(1/19)-1,"")</f>
        <v>3.3149841947788916E-2</v>
      </c>
    </row>
    <row r="315" spans="1:30">
      <c r="A315" s="45" t="s">
        <v>367</v>
      </c>
      <c r="B315" s="45" t="s">
        <v>368</v>
      </c>
      <c r="C315" s="45" t="s">
        <v>498</v>
      </c>
      <c r="D315" s="45" t="s">
        <v>497</v>
      </c>
      <c r="E315" s="45" t="s">
        <v>499</v>
      </c>
      <c r="F315" s="45" t="s">
        <v>500</v>
      </c>
      <c r="G315" s="14">
        <v>11900.7</v>
      </c>
      <c r="H315" s="14">
        <v>11342</v>
      </c>
      <c r="I315" s="14">
        <v>11920.5</v>
      </c>
      <c r="J315" s="14">
        <v>14582.6</v>
      </c>
      <c r="K315" s="14">
        <v>12904.8</v>
      </c>
      <c r="L315" s="14">
        <v>15557.1</v>
      </c>
      <c r="M315" s="14">
        <v>11761.6</v>
      </c>
      <c r="N315" s="14">
        <v>16823</v>
      </c>
      <c r="O315" s="14">
        <v>17115</v>
      </c>
      <c r="P315" s="14">
        <v>16288.1</v>
      </c>
      <c r="Q315" s="14">
        <v>16777.8</v>
      </c>
      <c r="R315" s="14">
        <v>18796.8</v>
      </c>
      <c r="S315" s="14">
        <v>18283.400000000001</v>
      </c>
      <c r="T315" s="14">
        <v>18271.599999999999</v>
      </c>
      <c r="U315" s="14">
        <v>17838.2</v>
      </c>
      <c r="V315" s="14">
        <v>17953.099999999999</v>
      </c>
      <c r="W315" s="14">
        <v>17664.7</v>
      </c>
      <c r="X315" s="14">
        <v>18000</v>
      </c>
      <c r="Y315" s="14">
        <v>16971.2</v>
      </c>
      <c r="Z315" s="14">
        <v>16041.8</v>
      </c>
      <c r="AA315" s="14"/>
      <c r="AB315" s="14"/>
      <c r="AC315" s="15">
        <f>IFERROR(Z315/G315-1,"")</f>
        <v>0.3479711277487878</v>
      </c>
      <c r="AD315" s="15">
        <f>IFERROR((Z315/G315)^(1/19)-1,"")</f>
        <v>1.583996371401919E-2</v>
      </c>
    </row>
    <row r="316" spans="1:30">
      <c r="A316" s="45" t="s">
        <v>367</v>
      </c>
      <c r="B316" s="45" t="s">
        <v>368</v>
      </c>
      <c r="C316" s="45" t="s">
        <v>498</v>
      </c>
      <c r="D316" s="45" t="s">
        <v>501</v>
      </c>
      <c r="E316" s="45" t="s">
        <v>499</v>
      </c>
      <c r="F316" s="45" t="s">
        <v>500</v>
      </c>
      <c r="G316" s="14">
        <v>2551.8000000000002</v>
      </c>
      <c r="H316" s="14">
        <v>4665.3</v>
      </c>
      <c r="I316" s="14">
        <v>4893.3999999999996</v>
      </c>
      <c r="J316" s="14">
        <v>4319.7</v>
      </c>
      <c r="K316" s="14">
        <v>3934.1</v>
      </c>
      <c r="L316" s="14">
        <v>2328.5</v>
      </c>
      <c r="M316" s="14">
        <v>4842.8</v>
      </c>
      <c r="N316" s="14">
        <v>3169.2</v>
      </c>
      <c r="O316" s="14">
        <v>1912</v>
      </c>
      <c r="P316" s="14">
        <v>2334.8000000000002</v>
      </c>
      <c r="Q316" s="14">
        <v>1229</v>
      </c>
      <c r="R316" s="14">
        <v>1159.0999999999999</v>
      </c>
      <c r="S316" s="14">
        <v>1120.5</v>
      </c>
      <c r="T316" s="14">
        <v>2638.2</v>
      </c>
      <c r="U316" s="14">
        <v>1537.1</v>
      </c>
      <c r="V316" s="14">
        <v>1601.4</v>
      </c>
      <c r="W316" s="14">
        <v>1622.1</v>
      </c>
      <c r="X316" s="14">
        <v>1327.7</v>
      </c>
      <c r="Y316" s="14">
        <v>2570</v>
      </c>
      <c r="Z316" s="14">
        <v>1788.3</v>
      </c>
      <c r="AA316" s="14"/>
      <c r="AB316" s="14"/>
      <c r="AC316" s="15">
        <f>IFERROR(Z316/G316-1,"")</f>
        <v>-0.29920056430754771</v>
      </c>
      <c r="AD316" s="15">
        <f>IFERROR((Z316/G316)^(1/19)-1,"")</f>
        <v>-1.85383038163901E-2</v>
      </c>
    </row>
    <row r="317" spans="1:30">
      <c r="A317" s="45" t="s">
        <v>379</v>
      </c>
      <c r="B317" s="45" t="s">
        <v>380</v>
      </c>
      <c r="C317" s="45" t="s">
        <v>490</v>
      </c>
      <c r="D317" s="45" t="s">
        <v>491</v>
      </c>
      <c r="E317" s="45" t="s">
        <v>492</v>
      </c>
      <c r="F317" s="45" t="s">
        <v>493</v>
      </c>
      <c r="G317" s="14">
        <v>9716</v>
      </c>
      <c r="H317" s="14">
        <v>10673</v>
      </c>
      <c r="I317" s="14">
        <v>12158</v>
      </c>
      <c r="J317" s="14">
        <v>13352</v>
      </c>
      <c r="K317" s="14">
        <v>15721</v>
      </c>
      <c r="L317" s="14">
        <v>18457</v>
      </c>
      <c r="M317" s="14">
        <v>21013</v>
      </c>
      <c r="N317" s="14">
        <v>22811</v>
      </c>
      <c r="O317" s="14">
        <v>23494</v>
      </c>
      <c r="P317" s="14">
        <v>26042</v>
      </c>
      <c r="Q317" s="14">
        <v>28425</v>
      </c>
      <c r="R317" s="14">
        <v>30935</v>
      </c>
      <c r="S317" s="14">
        <v>33280</v>
      </c>
      <c r="T317" s="14">
        <v>35880</v>
      </c>
      <c r="U317" s="14">
        <v>37256</v>
      </c>
      <c r="V317" s="14">
        <v>40150</v>
      </c>
      <c r="W317" s="14">
        <v>43640</v>
      </c>
      <c r="X317" s="14">
        <v>42960</v>
      </c>
      <c r="Y317" s="14">
        <v>44554</v>
      </c>
      <c r="Z317" s="14">
        <v>48166</v>
      </c>
      <c r="AA317" s="14">
        <v>46989</v>
      </c>
      <c r="AB317" s="14">
        <v>54170</v>
      </c>
    </row>
    <row r="318" spans="1:30">
      <c r="A318" s="45" t="s">
        <v>379</v>
      </c>
      <c r="B318" s="45" t="s">
        <v>380</v>
      </c>
      <c r="C318" s="45" t="s">
        <v>490</v>
      </c>
      <c r="D318" s="45" t="s">
        <v>494</v>
      </c>
      <c r="E318" s="45" t="s">
        <v>492</v>
      </c>
      <c r="F318" s="45" t="s">
        <v>493</v>
      </c>
      <c r="G318" s="14">
        <v>9414</v>
      </c>
      <c r="H318" s="14">
        <v>10376</v>
      </c>
      <c r="I318" s="14">
        <v>11837</v>
      </c>
      <c r="J318" s="14">
        <v>12998</v>
      </c>
      <c r="K318" s="14">
        <v>15105</v>
      </c>
      <c r="L318" s="14">
        <v>17650</v>
      </c>
      <c r="M318" s="14">
        <v>19915</v>
      </c>
      <c r="N318" s="14">
        <v>21869</v>
      </c>
      <c r="O318" s="14">
        <v>22448</v>
      </c>
      <c r="P318" s="14">
        <v>24921</v>
      </c>
      <c r="Q318" s="14">
        <v>27202</v>
      </c>
      <c r="R318" s="14">
        <v>29807</v>
      </c>
      <c r="S318" s="14">
        <v>31753</v>
      </c>
      <c r="T318" s="14">
        <v>34425</v>
      </c>
      <c r="U318" s="14">
        <v>36295</v>
      </c>
      <c r="V318" s="14">
        <v>39153</v>
      </c>
      <c r="W318" s="14">
        <v>42783</v>
      </c>
      <c r="X318" s="14">
        <v>41829</v>
      </c>
      <c r="Y318" s="14">
        <v>43466</v>
      </c>
      <c r="Z318" s="14">
        <v>46698</v>
      </c>
      <c r="AA318" s="14"/>
      <c r="AB318" s="14"/>
    </row>
    <row r="319" spans="1:30">
      <c r="A319" s="45" t="s">
        <v>379</v>
      </c>
      <c r="B319" s="45" t="s">
        <v>380</v>
      </c>
      <c r="C319" s="45" t="s">
        <v>490</v>
      </c>
      <c r="D319" s="45" t="s">
        <v>495</v>
      </c>
      <c r="E319" s="45" t="s">
        <v>492</v>
      </c>
      <c r="F319" s="45" t="s">
        <v>493</v>
      </c>
      <c r="G319" s="14">
        <v>533</v>
      </c>
      <c r="H319" s="14">
        <v>372</v>
      </c>
      <c r="I319" s="14">
        <v>461</v>
      </c>
      <c r="J319" s="14">
        <v>524</v>
      </c>
      <c r="K319" s="14">
        <v>495</v>
      </c>
      <c r="L319" s="14">
        <v>612</v>
      </c>
      <c r="M319" s="14">
        <v>574</v>
      </c>
      <c r="N319" s="14">
        <v>678</v>
      </c>
      <c r="O319" s="14">
        <v>619</v>
      </c>
      <c r="P319" s="14">
        <v>671</v>
      </c>
      <c r="Q319" s="14">
        <v>893</v>
      </c>
      <c r="R319" s="14">
        <v>847</v>
      </c>
      <c r="S319" s="14">
        <v>796</v>
      </c>
      <c r="T319" s="14">
        <v>927</v>
      </c>
      <c r="U319" s="14">
        <v>1098</v>
      </c>
      <c r="V319" s="14">
        <v>1062</v>
      </c>
      <c r="W319" s="14">
        <v>1326</v>
      </c>
      <c r="X319" s="14">
        <v>974</v>
      </c>
      <c r="Y319" s="14">
        <v>978</v>
      </c>
      <c r="Z319" s="14">
        <v>1156</v>
      </c>
      <c r="AA319" s="14"/>
      <c r="AB319" s="14"/>
    </row>
    <row r="320" spans="1:30">
      <c r="A320" s="45" t="s">
        <v>379</v>
      </c>
      <c r="B320" s="45" t="s">
        <v>380</v>
      </c>
      <c r="C320" s="45" t="s">
        <v>490</v>
      </c>
      <c r="D320" s="45" t="s">
        <v>496</v>
      </c>
      <c r="E320" s="45" t="s">
        <v>492</v>
      </c>
      <c r="F320" s="45" t="s">
        <v>493</v>
      </c>
      <c r="G320" s="14">
        <v>1852</v>
      </c>
      <c r="H320" s="14">
        <v>2089</v>
      </c>
      <c r="I320" s="14">
        <v>2391</v>
      </c>
      <c r="J320" s="14">
        <v>2540</v>
      </c>
      <c r="K320" s="14">
        <v>3134</v>
      </c>
      <c r="L320" s="14">
        <v>3586</v>
      </c>
      <c r="M320" s="14">
        <v>3539</v>
      </c>
      <c r="N320" s="14">
        <v>4077</v>
      </c>
      <c r="O320" s="14">
        <v>4586</v>
      </c>
      <c r="P320" s="14">
        <v>5069</v>
      </c>
      <c r="Q320" s="14">
        <v>5988</v>
      </c>
      <c r="R320" s="14">
        <v>6308</v>
      </c>
      <c r="S320" s="14">
        <v>6489</v>
      </c>
      <c r="T320" s="14">
        <v>7324</v>
      </c>
      <c r="U320" s="14">
        <v>7941</v>
      </c>
      <c r="V320" s="14">
        <v>8393</v>
      </c>
      <c r="W320" s="14">
        <v>8738</v>
      </c>
      <c r="X320" s="14">
        <v>8946</v>
      </c>
      <c r="Y320" s="14">
        <v>9343</v>
      </c>
      <c r="Z320" s="14">
        <v>9922</v>
      </c>
      <c r="AA320" s="14"/>
      <c r="AB320" s="14"/>
    </row>
    <row r="321" spans="1:30">
      <c r="A321" s="45" t="s">
        <v>379</v>
      </c>
      <c r="B321" s="45" t="s">
        <v>380</v>
      </c>
      <c r="C321" s="45" t="s">
        <v>490</v>
      </c>
      <c r="D321" s="45" t="s">
        <v>497</v>
      </c>
      <c r="E321" s="45" t="s">
        <v>492</v>
      </c>
      <c r="F321" s="45" t="s">
        <v>493</v>
      </c>
      <c r="G321" s="14">
        <v>6272</v>
      </c>
      <c r="H321" s="14">
        <v>6701</v>
      </c>
      <c r="I321" s="14">
        <v>7679</v>
      </c>
      <c r="J321" s="14">
        <v>9003</v>
      </c>
      <c r="K321" s="14">
        <v>10278</v>
      </c>
      <c r="L321" s="14">
        <v>12461</v>
      </c>
      <c r="M321" s="14">
        <v>13665</v>
      </c>
      <c r="N321" s="14">
        <v>15293</v>
      </c>
      <c r="O321" s="14">
        <v>15931</v>
      </c>
      <c r="P321" s="14">
        <v>17727</v>
      </c>
      <c r="Q321" s="14">
        <v>19351</v>
      </c>
      <c r="R321" s="14">
        <v>21772</v>
      </c>
      <c r="S321" s="14">
        <v>22756</v>
      </c>
      <c r="T321" s="14">
        <v>24891</v>
      </c>
      <c r="U321" s="14">
        <v>26482</v>
      </c>
      <c r="V321" s="14">
        <v>28767</v>
      </c>
      <c r="W321" s="14">
        <v>29331</v>
      </c>
      <c r="X321" s="14">
        <v>30328</v>
      </c>
      <c r="Y321" s="14">
        <v>31154</v>
      </c>
      <c r="Z321" s="14">
        <v>33140</v>
      </c>
      <c r="AA321" s="14"/>
      <c r="AB321" s="14"/>
    </row>
    <row r="322" spans="1:30">
      <c r="A322" s="45" t="s">
        <v>379</v>
      </c>
      <c r="B322" s="45" t="s">
        <v>380</v>
      </c>
      <c r="C322" s="45" t="s">
        <v>498</v>
      </c>
      <c r="D322" s="45" t="s">
        <v>491</v>
      </c>
      <c r="E322" s="45" t="s">
        <v>499</v>
      </c>
      <c r="F322" s="45" t="s">
        <v>500</v>
      </c>
      <c r="G322" s="14">
        <v>18457.5</v>
      </c>
      <c r="H322" s="14">
        <v>17772.2</v>
      </c>
      <c r="I322" s="14">
        <v>18787.8</v>
      </c>
      <c r="J322" s="14">
        <v>19206.5</v>
      </c>
      <c r="K322" s="14">
        <v>21178.9</v>
      </c>
      <c r="L322" s="14">
        <v>23360.400000000001</v>
      </c>
      <c r="M322" s="14">
        <v>24449</v>
      </c>
      <c r="N322" s="14">
        <v>24732.400000000001</v>
      </c>
      <c r="O322" s="14">
        <v>23494</v>
      </c>
      <c r="P322" s="14">
        <v>24042</v>
      </c>
      <c r="Q322" s="14">
        <v>24311</v>
      </c>
      <c r="R322" s="14">
        <v>24610.799999999999</v>
      </c>
      <c r="S322" s="14">
        <v>24550</v>
      </c>
      <c r="T322" s="14">
        <v>24606.2</v>
      </c>
      <c r="U322" s="14">
        <v>23634.6</v>
      </c>
      <c r="V322" s="14">
        <v>24568.5</v>
      </c>
      <c r="W322" s="14">
        <v>25555.8</v>
      </c>
      <c r="X322" s="14">
        <v>24137.9</v>
      </c>
      <c r="Y322" s="14">
        <v>23511.7</v>
      </c>
      <c r="Z322" s="14">
        <v>22484.2</v>
      </c>
      <c r="AA322" s="14"/>
      <c r="AB322" s="14"/>
      <c r="AC322" s="15">
        <f>IFERROR(Z322/G322-1,"")</f>
        <v>0.21816063930651497</v>
      </c>
      <c r="AD322" s="15">
        <f>IFERROR((Z322/G322)^(1/19)-1,"")</f>
        <v>1.0440549725645454E-2</v>
      </c>
    </row>
    <row r="323" spans="1:30">
      <c r="A323" s="45" t="s">
        <v>379</v>
      </c>
      <c r="B323" s="45" t="s">
        <v>380</v>
      </c>
      <c r="C323" s="45" t="s">
        <v>498</v>
      </c>
      <c r="D323" s="45" t="s">
        <v>495</v>
      </c>
      <c r="E323" s="45" t="s">
        <v>499</v>
      </c>
      <c r="F323" s="45" t="s">
        <v>500</v>
      </c>
      <c r="G323" s="14">
        <v>1012.2</v>
      </c>
      <c r="H323" s="14">
        <v>618.79999999999995</v>
      </c>
      <c r="I323" s="14">
        <v>712.5</v>
      </c>
      <c r="J323" s="14">
        <v>754.4</v>
      </c>
      <c r="K323" s="14">
        <v>666.5</v>
      </c>
      <c r="L323" s="14">
        <v>775</v>
      </c>
      <c r="M323" s="14">
        <v>668</v>
      </c>
      <c r="N323" s="14">
        <v>735.1</v>
      </c>
      <c r="O323" s="14">
        <v>619</v>
      </c>
      <c r="P323" s="14">
        <v>619.5</v>
      </c>
      <c r="Q323" s="14">
        <v>763.8</v>
      </c>
      <c r="R323" s="14">
        <v>673.8</v>
      </c>
      <c r="S323" s="14">
        <v>587.20000000000005</v>
      </c>
      <c r="T323" s="14">
        <v>635.70000000000005</v>
      </c>
      <c r="U323" s="14">
        <v>696.6</v>
      </c>
      <c r="V323" s="14">
        <v>649.9</v>
      </c>
      <c r="W323" s="14">
        <v>776.5</v>
      </c>
      <c r="X323" s="14">
        <v>547.29999999999995</v>
      </c>
      <c r="Y323" s="14">
        <v>516.1</v>
      </c>
      <c r="Z323" s="14">
        <v>539.6</v>
      </c>
      <c r="AA323" s="14"/>
      <c r="AB323" s="14"/>
      <c r="AC323" s="15">
        <f>IFERROR(Z323/G323-1,"")</f>
        <v>-0.46690377395771587</v>
      </c>
      <c r="AD323" s="15">
        <f>IFERROR((Z323/G323)^(1/19)-1,"")</f>
        <v>-3.2565996879703185E-2</v>
      </c>
    </row>
    <row r="324" spans="1:30">
      <c r="A324" s="45" t="s">
        <v>379</v>
      </c>
      <c r="B324" s="45" t="s">
        <v>380</v>
      </c>
      <c r="C324" s="45" t="s">
        <v>498</v>
      </c>
      <c r="D324" s="45" t="s">
        <v>496</v>
      </c>
      <c r="E324" s="45" t="s">
        <v>499</v>
      </c>
      <c r="F324" s="45" t="s">
        <v>500</v>
      </c>
      <c r="G324" s="14">
        <v>3517.8</v>
      </c>
      <c r="H324" s="14">
        <v>3477.8</v>
      </c>
      <c r="I324" s="14">
        <v>3694.2</v>
      </c>
      <c r="J324" s="14">
        <v>3653.5</v>
      </c>
      <c r="K324" s="14">
        <v>4222.2</v>
      </c>
      <c r="L324" s="14">
        <v>4539</v>
      </c>
      <c r="M324" s="14">
        <v>4117.8999999999996</v>
      </c>
      <c r="N324" s="14">
        <v>4420.3999999999996</v>
      </c>
      <c r="O324" s="14">
        <v>4586</v>
      </c>
      <c r="P324" s="14">
        <v>4679.7</v>
      </c>
      <c r="Q324" s="14">
        <v>5121.3</v>
      </c>
      <c r="R324" s="14">
        <v>5018.3999999999996</v>
      </c>
      <c r="S324" s="14">
        <v>4786.8</v>
      </c>
      <c r="T324" s="14">
        <v>5022.7</v>
      </c>
      <c r="U324" s="14">
        <v>5037.6000000000004</v>
      </c>
      <c r="V324" s="14">
        <v>5135.8</v>
      </c>
      <c r="W324" s="14">
        <v>5117</v>
      </c>
      <c r="X324" s="14">
        <v>5026.5</v>
      </c>
      <c r="Y324" s="14">
        <v>4930.3999999999996</v>
      </c>
      <c r="Z324" s="14">
        <v>4631.7</v>
      </c>
      <c r="AA324" s="14"/>
      <c r="AB324" s="14"/>
      <c r="AC324" s="15">
        <f>IFERROR(Z324/G324-1,"")</f>
        <v>0.31664676786627988</v>
      </c>
      <c r="AD324" s="15">
        <f>IFERROR((Z324/G324)^(1/19)-1,"")</f>
        <v>1.4583643725679885E-2</v>
      </c>
    </row>
    <row r="325" spans="1:30">
      <c r="A325" s="45" t="s">
        <v>379</v>
      </c>
      <c r="B325" s="45" t="s">
        <v>380</v>
      </c>
      <c r="C325" s="45" t="s">
        <v>498</v>
      </c>
      <c r="D325" s="45" t="s">
        <v>497</v>
      </c>
      <c r="E325" s="45" t="s">
        <v>499</v>
      </c>
      <c r="F325" s="45" t="s">
        <v>500</v>
      </c>
      <c r="G325" s="14">
        <v>11915.5</v>
      </c>
      <c r="H325" s="14">
        <v>11158.2</v>
      </c>
      <c r="I325" s="14">
        <v>11866.4</v>
      </c>
      <c r="J325" s="14">
        <v>12950.2</v>
      </c>
      <c r="K325" s="14">
        <v>13846.3</v>
      </c>
      <c r="L325" s="14">
        <v>15771.8</v>
      </c>
      <c r="M325" s="14">
        <v>15899.7</v>
      </c>
      <c r="N325" s="14">
        <v>16581.2</v>
      </c>
      <c r="O325" s="14">
        <v>15931</v>
      </c>
      <c r="P325" s="14">
        <v>16365.6</v>
      </c>
      <c r="Q325" s="14">
        <v>16550.3</v>
      </c>
      <c r="R325" s="14">
        <v>17321</v>
      </c>
      <c r="S325" s="14">
        <v>16786.7</v>
      </c>
      <c r="T325" s="14">
        <v>17070.099999999999</v>
      </c>
      <c r="U325" s="14">
        <v>16799.8</v>
      </c>
      <c r="V325" s="14">
        <v>17603.099999999999</v>
      </c>
      <c r="W325" s="14">
        <v>17176.3</v>
      </c>
      <c r="X325" s="14">
        <v>17040.400000000001</v>
      </c>
      <c r="Y325" s="14">
        <v>16440.400000000001</v>
      </c>
      <c r="Z325" s="14">
        <v>15470.5</v>
      </c>
      <c r="AA325" s="14"/>
      <c r="AB325" s="14"/>
      <c r="AC325" s="15">
        <f>IFERROR(Z325/G325-1,"")</f>
        <v>0.29835088749947558</v>
      </c>
      <c r="AD325" s="15">
        <f>IFERROR((Z325/G325)^(1/19)-1,"")</f>
        <v>1.3836690461333401E-2</v>
      </c>
    </row>
    <row r="326" spans="1:30">
      <c r="A326" s="45" t="s">
        <v>379</v>
      </c>
      <c r="B326" s="45" t="s">
        <v>380</v>
      </c>
      <c r="C326" s="45" t="s">
        <v>498</v>
      </c>
      <c r="D326" s="45" t="s">
        <v>501</v>
      </c>
      <c r="E326" s="45" t="s">
        <v>499</v>
      </c>
      <c r="F326" s="45" t="s">
        <v>500</v>
      </c>
      <c r="G326" s="14">
        <v>1438.8</v>
      </c>
      <c r="H326" s="14">
        <v>2022.3</v>
      </c>
      <c r="I326" s="14">
        <v>2018.5</v>
      </c>
      <c r="J326" s="14">
        <v>1338.9</v>
      </c>
      <c r="K326" s="14">
        <v>1614.5</v>
      </c>
      <c r="L326" s="14">
        <v>1252.9000000000001</v>
      </c>
      <c r="M326" s="14">
        <v>2486.4</v>
      </c>
      <c r="N326" s="14">
        <v>1974.4</v>
      </c>
      <c r="O326" s="14">
        <v>1312</v>
      </c>
      <c r="P326" s="14">
        <v>1342.3</v>
      </c>
      <c r="Q326" s="14">
        <v>829.6</v>
      </c>
      <c r="R326" s="14">
        <v>700.1</v>
      </c>
      <c r="S326" s="14">
        <v>1262.9000000000001</v>
      </c>
      <c r="T326" s="14">
        <v>879.2</v>
      </c>
      <c r="U326" s="14">
        <v>491</v>
      </c>
      <c r="V326" s="14">
        <v>569.70000000000005</v>
      </c>
      <c r="W326" s="14">
        <v>1983.4</v>
      </c>
      <c r="X326" s="14">
        <v>888.3</v>
      </c>
      <c r="Y326" s="14">
        <v>1050.7</v>
      </c>
      <c r="Z326" s="14">
        <v>1158.0999999999999</v>
      </c>
      <c r="AA326" s="14"/>
      <c r="AB326" s="14"/>
      <c r="AC326" s="15">
        <f>IFERROR(Z326/G326-1,"")</f>
        <v>-0.19509313316652765</v>
      </c>
      <c r="AD326" s="15">
        <f>IFERROR((Z326/G326)^(1/19)-1,"")</f>
        <v>-1.1357573453574799E-2</v>
      </c>
    </row>
    <row r="327" spans="1:30">
      <c r="A327" s="45" t="s">
        <v>255</v>
      </c>
      <c r="B327" s="45" t="s">
        <v>256</v>
      </c>
      <c r="C327" s="45" t="s">
        <v>490</v>
      </c>
      <c r="D327" s="45" t="s">
        <v>491</v>
      </c>
      <c r="E327" s="45" t="s">
        <v>492</v>
      </c>
      <c r="F327" s="45" t="s">
        <v>493</v>
      </c>
      <c r="G327" s="14">
        <v>19999</v>
      </c>
      <c r="H327" s="14">
        <v>22517</v>
      </c>
      <c r="I327" s="14">
        <v>24332</v>
      </c>
      <c r="J327" s="14">
        <v>26586</v>
      </c>
      <c r="K327" s="14">
        <v>31659</v>
      </c>
      <c r="L327" s="14">
        <v>33087</v>
      </c>
      <c r="M327" s="14">
        <v>36882</v>
      </c>
      <c r="N327" s="14">
        <v>40794</v>
      </c>
      <c r="O327" s="14">
        <v>46088</v>
      </c>
      <c r="P327" s="14">
        <v>67988</v>
      </c>
      <c r="Q327" s="14">
        <v>75759</v>
      </c>
      <c r="R327" s="14">
        <v>73886</v>
      </c>
      <c r="S327" s="14">
        <v>444758</v>
      </c>
      <c r="T327" s="14">
        <v>88400</v>
      </c>
      <c r="U327" s="14">
        <v>88642</v>
      </c>
      <c r="V327" s="14">
        <v>96955</v>
      </c>
      <c r="W327" s="14">
        <v>103647</v>
      </c>
      <c r="X327" s="14">
        <v>111036</v>
      </c>
      <c r="Y327" s="14">
        <v>113748</v>
      </c>
      <c r="Z327" s="14">
        <v>123141</v>
      </c>
      <c r="AA327" s="14">
        <v>141940</v>
      </c>
      <c r="AB327" s="14">
        <v>154742</v>
      </c>
    </row>
    <row r="328" spans="1:30">
      <c r="A328" s="45" t="s">
        <v>255</v>
      </c>
      <c r="B328" s="45" t="s">
        <v>256</v>
      </c>
      <c r="C328" s="45" t="s">
        <v>490</v>
      </c>
      <c r="D328" s="45" t="s">
        <v>494</v>
      </c>
      <c r="E328" s="45" t="s">
        <v>492</v>
      </c>
      <c r="F328" s="45" t="s">
        <v>493</v>
      </c>
      <c r="G328" s="14">
        <v>18874</v>
      </c>
      <c r="H328" s="14">
        <v>21429</v>
      </c>
      <c r="I328" s="14">
        <v>23212</v>
      </c>
      <c r="J328" s="14">
        <v>25164</v>
      </c>
      <c r="K328" s="14">
        <v>29045</v>
      </c>
      <c r="L328" s="14">
        <v>30186</v>
      </c>
      <c r="M328" s="14">
        <v>33934</v>
      </c>
      <c r="N328" s="14">
        <v>37795</v>
      </c>
      <c r="O328" s="14">
        <v>41575</v>
      </c>
      <c r="P328" s="14">
        <v>61753</v>
      </c>
      <c r="Q328" s="14">
        <v>68137</v>
      </c>
      <c r="R328" s="14">
        <v>66181</v>
      </c>
      <c r="S328" s="14">
        <v>434643</v>
      </c>
      <c r="T328" s="14">
        <v>79164</v>
      </c>
      <c r="U328" s="14">
        <v>83104</v>
      </c>
      <c r="V328" s="14">
        <v>91570</v>
      </c>
      <c r="W328" s="14">
        <v>95368</v>
      </c>
      <c r="X328" s="14">
        <v>102835</v>
      </c>
      <c r="Y328" s="14">
        <v>105198</v>
      </c>
      <c r="Z328" s="14">
        <v>111950</v>
      </c>
      <c r="AA328" s="14"/>
      <c r="AB328" s="14"/>
    </row>
    <row r="329" spans="1:30">
      <c r="A329" s="45" t="s">
        <v>255</v>
      </c>
      <c r="B329" s="45" t="s">
        <v>256</v>
      </c>
      <c r="C329" s="45" t="s">
        <v>490</v>
      </c>
      <c r="D329" s="45" t="s">
        <v>495</v>
      </c>
      <c r="E329" s="45" t="s">
        <v>492</v>
      </c>
      <c r="F329" s="45" t="s">
        <v>493</v>
      </c>
      <c r="G329" s="14">
        <v>2076</v>
      </c>
      <c r="H329" s="14">
        <v>1859</v>
      </c>
      <c r="I329" s="14">
        <v>1729</v>
      </c>
      <c r="J329" s="14">
        <v>2195</v>
      </c>
      <c r="K329" s="14">
        <v>2772</v>
      </c>
      <c r="L329" s="14">
        <v>3071</v>
      </c>
      <c r="M329" s="14">
        <v>3345</v>
      </c>
      <c r="N329" s="14">
        <v>3004</v>
      </c>
      <c r="O329" s="14">
        <v>4904</v>
      </c>
      <c r="P329" s="14">
        <v>14153</v>
      </c>
      <c r="Q329" s="14">
        <v>16101</v>
      </c>
      <c r="R329" s="14">
        <v>8867</v>
      </c>
      <c r="S329" s="14">
        <v>307625</v>
      </c>
      <c r="T329" s="14">
        <v>12671</v>
      </c>
      <c r="U329" s="14">
        <v>13730</v>
      </c>
      <c r="V329" s="14">
        <v>16377</v>
      </c>
      <c r="W329" s="14">
        <v>11977</v>
      </c>
      <c r="X329" s="14">
        <v>10793</v>
      </c>
      <c r="Y329" s="14">
        <v>9850</v>
      </c>
      <c r="Z329" s="14">
        <v>7914</v>
      </c>
      <c r="AA329" s="14"/>
      <c r="AB329" s="14"/>
    </row>
    <row r="330" spans="1:30">
      <c r="A330" s="45" t="s">
        <v>255</v>
      </c>
      <c r="B330" s="45" t="s">
        <v>256</v>
      </c>
      <c r="C330" s="45" t="s">
        <v>490</v>
      </c>
      <c r="D330" s="45" t="s">
        <v>496</v>
      </c>
      <c r="E330" s="45" t="s">
        <v>492</v>
      </c>
      <c r="F330" s="45" t="s">
        <v>493</v>
      </c>
      <c r="G330" s="14">
        <v>4097</v>
      </c>
      <c r="H330" s="14">
        <v>4685</v>
      </c>
      <c r="I330" s="14">
        <v>4895</v>
      </c>
      <c r="J330" s="14">
        <v>5052</v>
      </c>
      <c r="K330" s="14">
        <v>5604</v>
      </c>
      <c r="L330" s="14">
        <v>6328</v>
      </c>
      <c r="M330" s="14">
        <v>6763</v>
      </c>
      <c r="N330" s="14">
        <v>7646</v>
      </c>
      <c r="O330" s="14">
        <v>8765</v>
      </c>
      <c r="P330" s="14">
        <v>15765</v>
      </c>
      <c r="Q330" s="14">
        <v>17995</v>
      </c>
      <c r="R330" s="14">
        <v>17727</v>
      </c>
      <c r="S330" s="14">
        <v>82594</v>
      </c>
      <c r="T330" s="14">
        <v>19920</v>
      </c>
      <c r="U330" s="14">
        <v>21939</v>
      </c>
      <c r="V330" s="14">
        <v>23766</v>
      </c>
      <c r="W330" s="14">
        <v>31310</v>
      </c>
      <c r="X330" s="14">
        <v>34502</v>
      </c>
      <c r="Y330" s="14">
        <v>35322</v>
      </c>
      <c r="Z330" s="14">
        <v>36105</v>
      </c>
      <c r="AA330" s="14"/>
      <c r="AB330" s="14"/>
    </row>
    <row r="331" spans="1:30">
      <c r="A331" s="45" t="s">
        <v>255</v>
      </c>
      <c r="B331" s="45" t="s">
        <v>256</v>
      </c>
      <c r="C331" s="45" t="s">
        <v>490</v>
      </c>
      <c r="D331" s="45" t="s">
        <v>497</v>
      </c>
      <c r="E331" s="45" t="s">
        <v>492</v>
      </c>
      <c r="F331" s="45" t="s">
        <v>493</v>
      </c>
      <c r="G331" s="14">
        <v>9594</v>
      </c>
      <c r="H331" s="14">
        <v>10650</v>
      </c>
      <c r="I331" s="14">
        <v>11325</v>
      </c>
      <c r="J331" s="14">
        <v>12604</v>
      </c>
      <c r="K331" s="14">
        <v>13994</v>
      </c>
      <c r="L331" s="14">
        <v>16130</v>
      </c>
      <c r="M331" s="14">
        <v>18238</v>
      </c>
      <c r="N331" s="14">
        <v>20691</v>
      </c>
      <c r="O331" s="14">
        <v>21804</v>
      </c>
      <c r="P331" s="14">
        <v>24842</v>
      </c>
      <c r="Q331" s="14">
        <v>26853</v>
      </c>
      <c r="R331" s="14">
        <v>31628</v>
      </c>
      <c r="S331" s="14">
        <v>35058</v>
      </c>
      <c r="T331" s="14">
        <v>36292</v>
      </c>
      <c r="U331" s="14">
        <v>38190</v>
      </c>
      <c r="V331" s="14">
        <v>41560</v>
      </c>
      <c r="W331" s="14">
        <v>41743</v>
      </c>
      <c r="X331" s="14">
        <v>45915</v>
      </c>
      <c r="Y331" s="14">
        <v>45777</v>
      </c>
      <c r="Z331" s="14">
        <v>48024</v>
      </c>
      <c r="AA331" s="14"/>
      <c r="AB331" s="14"/>
    </row>
    <row r="332" spans="1:30">
      <c r="A332" s="45" t="s">
        <v>255</v>
      </c>
      <c r="B332" s="45" t="s">
        <v>256</v>
      </c>
      <c r="C332" s="45" t="s">
        <v>498</v>
      </c>
      <c r="D332" s="45" t="s">
        <v>491</v>
      </c>
      <c r="E332" s="45" t="s">
        <v>499</v>
      </c>
      <c r="F332" s="45" t="s">
        <v>500</v>
      </c>
      <c r="G332" s="14">
        <v>37992.1</v>
      </c>
      <c r="H332" s="14">
        <v>37492.9</v>
      </c>
      <c r="I332" s="14">
        <v>37601</v>
      </c>
      <c r="J332" s="14">
        <v>38241.699999999997</v>
      </c>
      <c r="K332" s="14">
        <v>42649.8</v>
      </c>
      <c r="L332" s="14">
        <v>41877.199999999997</v>
      </c>
      <c r="M332" s="14">
        <v>42913.5</v>
      </c>
      <c r="N332" s="14">
        <v>44230.2</v>
      </c>
      <c r="O332" s="14">
        <v>46088</v>
      </c>
      <c r="P332" s="14">
        <v>62766.7</v>
      </c>
      <c r="Q332" s="14">
        <v>64794.2</v>
      </c>
      <c r="R332" s="14">
        <v>58781</v>
      </c>
      <c r="S332" s="14">
        <v>328089.2</v>
      </c>
      <c r="T332" s="14">
        <v>60624</v>
      </c>
      <c r="U332" s="14">
        <v>56233.1</v>
      </c>
      <c r="V332" s="14">
        <v>59328.5</v>
      </c>
      <c r="W332" s="14">
        <v>60696.1</v>
      </c>
      <c r="X332" s="14">
        <v>62387.7</v>
      </c>
      <c r="Y332" s="14">
        <v>60026.3</v>
      </c>
      <c r="Z332" s="14">
        <v>57483.1</v>
      </c>
      <c r="AA332" s="14"/>
      <c r="AB332" s="14"/>
      <c r="AC332" s="15">
        <f>IFERROR(Z332/G332-1,"")</f>
        <v>0.51302770839200784</v>
      </c>
      <c r="AD332" s="15">
        <f>IFERROR((Z332/G332)^(1/19)-1,"")</f>
        <v>2.2034662757759893E-2</v>
      </c>
    </row>
    <row r="333" spans="1:30">
      <c r="A333" s="45" t="s">
        <v>255</v>
      </c>
      <c r="B333" s="45" t="s">
        <v>256</v>
      </c>
      <c r="C333" s="45" t="s">
        <v>498</v>
      </c>
      <c r="D333" s="45" t="s">
        <v>495</v>
      </c>
      <c r="E333" s="45" t="s">
        <v>499</v>
      </c>
      <c r="F333" s="45" t="s">
        <v>500</v>
      </c>
      <c r="G333" s="14">
        <v>3944</v>
      </c>
      <c r="H333" s="14">
        <v>3094.8</v>
      </c>
      <c r="I333" s="14">
        <v>2672.1</v>
      </c>
      <c r="J333" s="14">
        <v>3156.8</v>
      </c>
      <c r="K333" s="14">
        <v>3734.5</v>
      </c>
      <c r="L333" s="14">
        <v>3887.2</v>
      </c>
      <c r="M333" s="14">
        <v>3891.7</v>
      </c>
      <c r="N333" s="14">
        <v>3257</v>
      </c>
      <c r="O333" s="14">
        <v>4904</v>
      </c>
      <c r="P333" s="14">
        <v>13066.1</v>
      </c>
      <c r="Q333" s="14">
        <v>13770.7</v>
      </c>
      <c r="R333" s="14">
        <v>7054.3</v>
      </c>
      <c r="S333" s="14">
        <v>226928.9</v>
      </c>
      <c r="T333" s="14">
        <v>8689.7000000000007</v>
      </c>
      <c r="U333" s="14">
        <v>8710.1</v>
      </c>
      <c r="V333" s="14">
        <v>10021.4</v>
      </c>
      <c r="W333" s="14">
        <v>7013.8</v>
      </c>
      <c r="X333" s="14">
        <v>6064.3</v>
      </c>
      <c r="Y333" s="14">
        <v>5198</v>
      </c>
      <c r="Z333" s="14">
        <v>3694.3</v>
      </c>
      <c r="AA333" s="14"/>
      <c r="AB333" s="14"/>
      <c r="AC333" s="15">
        <f>IFERROR(Z333/G333-1,"")</f>
        <v>-6.3311359026369085E-2</v>
      </c>
      <c r="AD333" s="15">
        <f>IFERROR((Z333/G333)^(1/19)-1,"")</f>
        <v>-3.4364159337924027E-3</v>
      </c>
    </row>
    <row r="334" spans="1:30">
      <c r="A334" s="45" t="s">
        <v>255</v>
      </c>
      <c r="B334" s="45" t="s">
        <v>256</v>
      </c>
      <c r="C334" s="45" t="s">
        <v>498</v>
      </c>
      <c r="D334" s="45" t="s">
        <v>496</v>
      </c>
      <c r="E334" s="45" t="s">
        <v>499</v>
      </c>
      <c r="F334" s="45" t="s">
        <v>500</v>
      </c>
      <c r="G334" s="14">
        <v>7782.5</v>
      </c>
      <c r="H334" s="14">
        <v>7801.5</v>
      </c>
      <c r="I334" s="14">
        <v>7563.7</v>
      </c>
      <c r="J334" s="14">
        <v>7267.6</v>
      </c>
      <c r="K334" s="14">
        <v>7549</v>
      </c>
      <c r="L334" s="14">
        <v>8009.1</v>
      </c>
      <c r="M334" s="14">
        <v>7868.6</v>
      </c>
      <c r="N334" s="14">
        <v>8290</v>
      </c>
      <c r="O334" s="14">
        <v>8765</v>
      </c>
      <c r="P334" s="14">
        <v>14554.3</v>
      </c>
      <c r="Q334" s="14">
        <v>15390.5</v>
      </c>
      <c r="R334" s="14">
        <v>14103</v>
      </c>
      <c r="S334" s="14">
        <v>60928</v>
      </c>
      <c r="T334" s="14">
        <v>13661</v>
      </c>
      <c r="U334" s="14">
        <v>13917.8</v>
      </c>
      <c r="V334" s="14">
        <v>14542.8</v>
      </c>
      <c r="W334" s="14">
        <v>18335.3</v>
      </c>
      <c r="X334" s="14">
        <v>19385.599999999999</v>
      </c>
      <c r="Y334" s="14">
        <v>18639.900000000001</v>
      </c>
      <c r="Z334" s="14">
        <v>16854.5</v>
      </c>
      <c r="AA334" s="14"/>
      <c r="AB334" s="14"/>
      <c r="AC334" s="15">
        <f>IFERROR(Z334/G334-1,"")</f>
        <v>1.1656922582717635</v>
      </c>
      <c r="AD334" s="15">
        <f>IFERROR((Z334/G334)^(1/19)-1,"")</f>
        <v>4.1508902531490977E-2</v>
      </c>
    </row>
    <row r="335" spans="1:30">
      <c r="A335" s="45" t="s">
        <v>255</v>
      </c>
      <c r="B335" s="45" t="s">
        <v>256</v>
      </c>
      <c r="C335" s="45" t="s">
        <v>498</v>
      </c>
      <c r="D335" s="45" t="s">
        <v>497</v>
      </c>
      <c r="E335" s="45" t="s">
        <v>499</v>
      </c>
      <c r="F335" s="45" t="s">
        <v>500</v>
      </c>
      <c r="G335" s="14">
        <v>18226.3</v>
      </c>
      <c r="H335" s="14">
        <v>17733</v>
      </c>
      <c r="I335" s="14">
        <v>17500.599999999999</v>
      </c>
      <c r="J335" s="14">
        <v>18130.3</v>
      </c>
      <c r="K335" s="14">
        <v>18851.900000000001</v>
      </c>
      <c r="L335" s="14">
        <v>20415.400000000001</v>
      </c>
      <c r="M335" s="14">
        <v>21220.9</v>
      </c>
      <c r="N335" s="14">
        <v>22433.9</v>
      </c>
      <c r="O335" s="14">
        <v>21804</v>
      </c>
      <c r="P335" s="14">
        <v>22934.2</v>
      </c>
      <c r="Q335" s="14">
        <v>22966.5</v>
      </c>
      <c r="R335" s="14">
        <v>25162.1</v>
      </c>
      <c r="S335" s="14">
        <v>25861.599999999999</v>
      </c>
      <c r="T335" s="14">
        <v>24888.799999999999</v>
      </c>
      <c r="U335" s="14">
        <v>24227.1</v>
      </c>
      <c r="V335" s="14">
        <v>25431.3</v>
      </c>
      <c r="W335" s="14">
        <v>24444.9</v>
      </c>
      <c r="X335" s="14">
        <v>25798.2</v>
      </c>
      <c r="Y335" s="14">
        <v>24157.1</v>
      </c>
      <c r="Z335" s="14">
        <v>22418.400000000001</v>
      </c>
      <c r="AA335" s="14"/>
      <c r="AB335" s="14"/>
      <c r="AC335" s="15">
        <f>IFERROR(Z335/G335-1,"")</f>
        <v>0.23000279815431557</v>
      </c>
      <c r="AD335" s="15">
        <f>IFERROR((Z335/G335)^(1/19)-1,"")</f>
        <v>1.0955175572393783E-2</v>
      </c>
    </row>
    <row r="336" spans="1:30">
      <c r="A336" s="45" t="s">
        <v>255</v>
      </c>
      <c r="B336" s="45" t="s">
        <v>256</v>
      </c>
      <c r="C336" s="45" t="s">
        <v>498</v>
      </c>
      <c r="D336" s="45" t="s">
        <v>501</v>
      </c>
      <c r="E336" s="45" t="s">
        <v>499</v>
      </c>
      <c r="F336" s="45" t="s">
        <v>500</v>
      </c>
      <c r="G336" s="14">
        <v>5902.8</v>
      </c>
      <c r="H336" s="14">
        <v>7053.1</v>
      </c>
      <c r="I336" s="14">
        <v>8134</v>
      </c>
      <c r="J336" s="14">
        <v>7641.6</v>
      </c>
      <c r="K336" s="14">
        <v>8993</v>
      </c>
      <c r="L336" s="14">
        <v>5893.6</v>
      </c>
      <c r="M336" s="14">
        <v>6502.5</v>
      </c>
      <c r="N336" s="14">
        <v>6997.6</v>
      </c>
      <c r="O336" s="14">
        <v>6102</v>
      </c>
      <c r="P336" s="14">
        <v>6456</v>
      </c>
      <c r="Q336" s="14">
        <v>6146.8</v>
      </c>
      <c r="R336" s="14">
        <v>6332.7</v>
      </c>
      <c r="S336" s="14">
        <v>6909.1</v>
      </c>
      <c r="T336" s="14">
        <v>7051.3</v>
      </c>
      <c r="U336" s="14">
        <v>5864.9</v>
      </c>
      <c r="V336" s="14">
        <v>6037.2</v>
      </c>
      <c r="W336" s="14">
        <v>6053.4</v>
      </c>
      <c r="X336" s="14">
        <v>6531.7</v>
      </c>
      <c r="Y336" s="14">
        <v>7519.4</v>
      </c>
      <c r="Z336" s="14">
        <v>9292.2999999999993</v>
      </c>
      <c r="AA336" s="14"/>
      <c r="AB336" s="14"/>
      <c r="AC336" s="15">
        <f>IFERROR(Z336/G336-1,"")</f>
        <v>0.57421901470488557</v>
      </c>
      <c r="AD336" s="15">
        <f>IFERROR((Z336/G336)^(1/19)-1,"")</f>
        <v>2.4169528063403556E-2</v>
      </c>
    </row>
    <row r="337" spans="1:30">
      <c r="A337" s="45" t="s">
        <v>131</v>
      </c>
      <c r="B337" s="45" t="s">
        <v>132</v>
      </c>
      <c r="C337" s="45" t="s">
        <v>490</v>
      </c>
      <c r="D337" s="45" t="s">
        <v>491</v>
      </c>
      <c r="E337" s="45" t="s">
        <v>492</v>
      </c>
      <c r="F337" s="45" t="s">
        <v>493</v>
      </c>
      <c r="G337" s="14">
        <v>140559</v>
      </c>
      <c r="H337" s="14">
        <v>144431</v>
      </c>
      <c r="I337" s="14">
        <v>158789</v>
      </c>
      <c r="J337" s="14">
        <v>188925</v>
      </c>
      <c r="K337" s="14">
        <v>216478</v>
      </c>
      <c r="L337" s="14">
        <v>256647</v>
      </c>
      <c r="M337" s="14">
        <v>277754</v>
      </c>
      <c r="N337" s="14">
        <v>330403</v>
      </c>
      <c r="O337" s="14">
        <v>380268</v>
      </c>
      <c r="P337" s="14">
        <v>457197</v>
      </c>
      <c r="Q337" s="14">
        <v>526835</v>
      </c>
      <c r="R337" s="14">
        <v>586499</v>
      </c>
      <c r="S337" s="14">
        <v>570962</v>
      </c>
      <c r="T337" s="14">
        <v>622689</v>
      </c>
      <c r="U337" s="14">
        <v>630185</v>
      </c>
      <c r="V337" s="14">
        <v>721961</v>
      </c>
      <c r="W337" s="14">
        <v>699725</v>
      </c>
      <c r="X337" s="14">
        <v>745132</v>
      </c>
      <c r="Y337" s="14">
        <v>752944</v>
      </c>
      <c r="Z337" s="14">
        <v>804224</v>
      </c>
      <c r="AA337" s="14">
        <v>930342</v>
      </c>
      <c r="AB337" s="14">
        <v>955847</v>
      </c>
    </row>
    <row r="338" spans="1:30">
      <c r="A338" s="45" t="s">
        <v>131</v>
      </c>
      <c r="B338" s="45" t="s">
        <v>132</v>
      </c>
      <c r="C338" s="45" t="s">
        <v>490</v>
      </c>
      <c r="D338" s="45" t="s">
        <v>494</v>
      </c>
      <c r="E338" s="45" t="s">
        <v>492</v>
      </c>
      <c r="F338" s="45" t="s">
        <v>493</v>
      </c>
      <c r="G338" s="14">
        <v>126268</v>
      </c>
      <c r="H338" s="14">
        <v>127791</v>
      </c>
      <c r="I338" s="14">
        <v>141824</v>
      </c>
      <c r="J338" s="14">
        <v>169004</v>
      </c>
      <c r="K338" s="14">
        <v>194031</v>
      </c>
      <c r="L338" s="14">
        <v>231151</v>
      </c>
      <c r="M338" s="14">
        <v>248685</v>
      </c>
      <c r="N338" s="14">
        <v>296542</v>
      </c>
      <c r="O338" s="14">
        <v>337600</v>
      </c>
      <c r="P338" s="14">
        <v>406731</v>
      </c>
      <c r="Q338" s="14">
        <v>467237</v>
      </c>
      <c r="R338" s="14">
        <v>513161</v>
      </c>
      <c r="S338" s="14">
        <v>512435</v>
      </c>
      <c r="T338" s="14">
        <v>560535</v>
      </c>
      <c r="U338" s="14">
        <v>573865</v>
      </c>
      <c r="V338" s="14">
        <v>650964</v>
      </c>
      <c r="W338" s="14">
        <v>622493</v>
      </c>
      <c r="X338" s="14">
        <v>671699</v>
      </c>
      <c r="Y338" s="14">
        <v>676881</v>
      </c>
      <c r="Z338" s="14">
        <v>717010</v>
      </c>
      <c r="AA338" s="14"/>
      <c r="AB338" s="14"/>
    </row>
    <row r="339" spans="1:30">
      <c r="A339" s="45" t="s">
        <v>131</v>
      </c>
      <c r="B339" s="45" t="s">
        <v>132</v>
      </c>
      <c r="C339" s="45" t="s">
        <v>490</v>
      </c>
      <c r="D339" s="45" t="s">
        <v>495</v>
      </c>
      <c r="E339" s="45" t="s">
        <v>492</v>
      </c>
      <c r="F339" s="45" t="s">
        <v>493</v>
      </c>
      <c r="G339" s="14">
        <v>23246</v>
      </c>
      <c r="H339" s="14">
        <v>12963</v>
      </c>
      <c r="I339" s="14">
        <v>14603</v>
      </c>
      <c r="J339" s="14">
        <v>20232</v>
      </c>
      <c r="K339" s="14">
        <v>22559</v>
      </c>
      <c r="L339" s="14">
        <v>29435</v>
      </c>
      <c r="M339" s="14">
        <v>32448</v>
      </c>
      <c r="N339" s="14">
        <v>31256</v>
      </c>
      <c r="O339" s="14">
        <v>37230</v>
      </c>
      <c r="P339" s="14">
        <v>52929</v>
      </c>
      <c r="Q339" s="14">
        <v>63890</v>
      </c>
      <c r="R339" s="14">
        <v>70352</v>
      </c>
      <c r="S339" s="14">
        <v>71708</v>
      </c>
      <c r="T339" s="14">
        <v>86248</v>
      </c>
      <c r="U339" s="14">
        <v>95008</v>
      </c>
      <c r="V339" s="14">
        <v>99459</v>
      </c>
      <c r="W339" s="14">
        <v>73840</v>
      </c>
      <c r="X339" s="14">
        <v>84006</v>
      </c>
      <c r="Y339" s="14">
        <v>88085</v>
      </c>
      <c r="Z339" s="14">
        <v>80321</v>
      </c>
      <c r="AA339" s="14"/>
      <c r="AB339" s="14"/>
    </row>
    <row r="340" spans="1:30">
      <c r="A340" s="45" t="s">
        <v>131</v>
      </c>
      <c r="B340" s="45" t="s">
        <v>132</v>
      </c>
      <c r="C340" s="45" t="s">
        <v>490</v>
      </c>
      <c r="D340" s="45" t="s">
        <v>496</v>
      </c>
      <c r="E340" s="45" t="s">
        <v>492</v>
      </c>
      <c r="F340" s="45" t="s">
        <v>493</v>
      </c>
      <c r="G340" s="14">
        <v>52521</v>
      </c>
      <c r="H340" s="14">
        <v>59533</v>
      </c>
      <c r="I340" s="14">
        <v>66491</v>
      </c>
      <c r="J340" s="14">
        <v>78500</v>
      </c>
      <c r="K340" s="14">
        <v>91113</v>
      </c>
      <c r="L340" s="14">
        <v>113154</v>
      </c>
      <c r="M340" s="14">
        <v>115409</v>
      </c>
      <c r="N340" s="14">
        <v>154290</v>
      </c>
      <c r="O340" s="14">
        <v>179073</v>
      </c>
      <c r="P340" s="14">
        <v>216222</v>
      </c>
      <c r="Q340" s="14">
        <v>253552</v>
      </c>
      <c r="R340" s="14">
        <v>271455</v>
      </c>
      <c r="S340" s="14">
        <v>253773</v>
      </c>
      <c r="T340" s="14">
        <v>271262</v>
      </c>
      <c r="U340" s="14">
        <v>269849</v>
      </c>
      <c r="V340" s="14">
        <v>329264</v>
      </c>
      <c r="W340" s="14">
        <v>327738</v>
      </c>
      <c r="X340" s="14">
        <v>345707</v>
      </c>
      <c r="Y340" s="14">
        <v>336528</v>
      </c>
      <c r="Z340" s="14">
        <v>364932</v>
      </c>
      <c r="AA340" s="14"/>
      <c r="AB340" s="14"/>
    </row>
    <row r="341" spans="1:30">
      <c r="A341" s="45" t="s">
        <v>131</v>
      </c>
      <c r="B341" s="45" t="s">
        <v>132</v>
      </c>
      <c r="C341" s="45" t="s">
        <v>490</v>
      </c>
      <c r="D341" s="45" t="s">
        <v>497</v>
      </c>
      <c r="E341" s="45" t="s">
        <v>492</v>
      </c>
      <c r="F341" s="45" t="s">
        <v>493</v>
      </c>
      <c r="G341" s="14">
        <v>44178</v>
      </c>
      <c r="H341" s="14">
        <v>47869</v>
      </c>
      <c r="I341" s="14">
        <v>52282</v>
      </c>
      <c r="J341" s="14">
        <v>60196</v>
      </c>
      <c r="K341" s="14">
        <v>67835</v>
      </c>
      <c r="L341" s="14">
        <v>82683</v>
      </c>
      <c r="M341" s="14">
        <v>92455</v>
      </c>
      <c r="N341" s="14">
        <v>101399</v>
      </c>
      <c r="O341" s="14">
        <v>111792</v>
      </c>
      <c r="P341" s="14">
        <v>124794</v>
      </c>
      <c r="Q341" s="14">
        <v>137356</v>
      </c>
      <c r="R341" s="14">
        <v>157320</v>
      </c>
      <c r="S341" s="14">
        <v>170985</v>
      </c>
      <c r="T341" s="14">
        <v>184774</v>
      </c>
      <c r="U341" s="14">
        <v>191734</v>
      </c>
      <c r="V341" s="14">
        <v>205432</v>
      </c>
      <c r="W341" s="14">
        <v>207061</v>
      </c>
      <c r="X341" s="14">
        <v>227381</v>
      </c>
      <c r="Y341" s="14">
        <v>234902</v>
      </c>
      <c r="Z341" s="14">
        <v>252593</v>
      </c>
      <c r="AA341" s="14"/>
      <c r="AB341" s="14"/>
    </row>
    <row r="342" spans="1:30">
      <c r="A342" s="45" t="s">
        <v>131</v>
      </c>
      <c r="B342" s="45" t="s">
        <v>132</v>
      </c>
      <c r="C342" s="45" t="s">
        <v>498</v>
      </c>
      <c r="D342" s="45" t="s">
        <v>491</v>
      </c>
      <c r="E342" s="45" t="s">
        <v>499</v>
      </c>
      <c r="F342" s="45" t="s">
        <v>500</v>
      </c>
      <c r="G342" s="14">
        <v>267026.5</v>
      </c>
      <c r="H342" s="14">
        <v>240493.3</v>
      </c>
      <c r="I342" s="14">
        <v>245380</v>
      </c>
      <c r="J342" s="14">
        <v>271755.09999999998</v>
      </c>
      <c r="K342" s="14">
        <v>291631.7</v>
      </c>
      <c r="L342" s="14">
        <v>324829.8</v>
      </c>
      <c r="M342" s="14">
        <v>323175.09999999998</v>
      </c>
      <c r="N342" s="14">
        <v>358234</v>
      </c>
      <c r="O342" s="14">
        <v>380268</v>
      </c>
      <c r="P342" s="14">
        <v>422085.4</v>
      </c>
      <c r="Q342" s="14">
        <v>450584.9</v>
      </c>
      <c r="R342" s="14">
        <v>466597.5</v>
      </c>
      <c r="S342" s="14">
        <v>421187.4</v>
      </c>
      <c r="T342" s="14">
        <v>427035.2</v>
      </c>
      <c r="U342" s="14">
        <v>399779.3</v>
      </c>
      <c r="V342" s="14">
        <v>441781.1</v>
      </c>
      <c r="W342" s="14">
        <v>409761.7</v>
      </c>
      <c r="X342" s="14">
        <v>418666.7</v>
      </c>
      <c r="Y342" s="14">
        <v>397338.3</v>
      </c>
      <c r="Z342" s="14">
        <v>375417.59999999998</v>
      </c>
      <c r="AA342" s="14"/>
      <c r="AB342" s="14"/>
      <c r="AC342" s="15">
        <f>IFERROR(Z342/G342-1,"")</f>
        <v>0.4059188882002347</v>
      </c>
      <c r="AD342" s="15">
        <f>IFERROR((Z342/G342)^(1/19)-1,"")</f>
        <v>1.8092838199512684E-2</v>
      </c>
    </row>
    <row r="343" spans="1:30">
      <c r="A343" s="45" t="s">
        <v>131</v>
      </c>
      <c r="B343" s="45" t="s">
        <v>132</v>
      </c>
      <c r="C343" s="45" t="s">
        <v>498</v>
      </c>
      <c r="D343" s="45" t="s">
        <v>495</v>
      </c>
      <c r="E343" s="45" t="s">
        <v>499</v>
      </c>
      <c r="F343" s="45" t="s">
        <v>500</v>
      </c>
      <c r="G343" s="14">
        <v>44160.800000000003</v>
      </c>
      <c r="H343" s="14">
        <v>21584.400000000001</v>
      </c>
      <c r="I343" s="14">
        <v>22565.7</v>
      </c>
      <c r="J343" s="14">
        <v>29102</v>
      </c>
      <c r="K343" s="14">
        <v>30390.3</v>
      </c>
      <c r="L343" s="14">
        <v>37255.4</v>
      </c>
      <c r="M343" s="14">
        <v>37754</v>
      </c>
      <c r="N343" s="14">
        <v>33888.800000000003</v>
      </c>
      <c r="O343" s="14">
        <v>37230</v>
      </c>
      <c r="P343" s="14">
        <v>48864.2</v>
      </c>
      <c r="Q343" s="14">
        <v>54643</v>
      </c>
      <c r="R343" s="14">
        <v>55969.5</v>
      </c>
      <c r="S343" s="14">
        <v>52897.599999999999</v>
      </c>
      <c r="T343" s="14">
        <v>59148.2</v>
      </c>
      <c r="U343" s="14">
        <v>60271.6</v>
      </c>
      <c r="V343" s="14">
        <v>60860.800000000003</v>
      </c>
      <c r="W343" s="14">
        <v>43241</v>
      </c>
      <c r="X343" s="14">
        <v>47200.4</v>
      </c>
      <c r="Y343" s="14">
        <v>46483.6</v>
      </c>
      <c r="Z343" s="14">
        <v>37494.400000000001</v>
      </c>
      <c r="AA343" s="14"/>
      <c r="AB343" s="14"/>
      <c r="AC343" s="15">
        <f>IFERROR(Z343/G343-1,"")</f>
        <v>-0.15095741019184439</v>
      </c>
      <c r="AD343" s="15">
        <f>IFERROR((Z343/G343)^(1/19)-1,"")</f>
        <v>-8.5759585056972565E-3</v>
      </c>
    </row>
    <row r="344" spans="1:30">
      <c r="A344" s="45" t="s">
        <v>131</v>
      </c>
      <c r="B344" s="45" t="s">
        <v>132</v>
      </c>
      <c r="C344" s="45" t="s">
        <v>498</v>
      </c>
      <c r="D344" s="45" t="s">
        <v>496</v>
      </c>
      <c r="E344" s="45" t="s">
        <v>499</v>
      </c>
      <c r="F344" s="45" t="s">
        <v>500</v>
      </c>
      <c r="G344" s="14">
        <v>99776.9</v>
      </c>
      <c r="H344" s="14">
        <v>99129.600000000006</v>
      </c>
      <c r="I344" s="14">
        <v>102749.2</v>
      </c>
      <c r="J344" s="14">
        <v>112916.5</v>
      </c>
      <c r="K344" s="14">
        <v>122744.2</v>
      </c>
      <c r="L344" s="14">
        <v>143215.1</v>
      </c>
      <c r="M344" s="14">
        <v>134281.29999999999</v>
      </c>
      <c r="N344" s="14">
        <v>167286.39999999999</v>
      </c>
      <c r="O344" s="14">
        <v>179073</v>
      </c>
      <c r="P344" s="14">
        <v>199616.7</v>
      </c>
      <c r="Q344" s="14">
        <v>216854.8</v>
      </c>
      <c r="R344" s="14">
        <v>215959.8</v>
      </c>
      <c r="S344" s="14">
        <v>187203.3</v>
      </c>
      <c r="T344" s="14">
        <v>186029.3</v>
      </c>
      <c r="U344" s="14">
        <v>171187.9</v>
      </c>
      <c r="V344" s="14">
        <v>201482.6</v>
      </c>
      <c r="W344" s="14">
        <v>191924.7</v>
      </c>
      <c r="X344" s="14">
        <v>194242.1</v>
      </c>
      <c r="Y344" s="14">
        <v>177590.2</v>
      </c>
      <c r="Z344" s="14">
        <v>170353.9</v>
      </c>
      <c r="AA344" s="14"/>
      <c r="AB344" s="14"/>
      <c r="AC344" s="15">
        <f>IFERROR(Z344/G344-1,"")</f>
        <v>0.70734809359681461</v>
      </c>
      <c r="AD344" s="15">
        <f>IFERROR((Z344/G344)^(1/19)-1,"")</f>
        <v>2.8554900206636535E-2</v>
      </c>
    </row>
    <row r="345" spans="1:30">
      <c r="A345" s="45" t="s">
        <v>131</v>
      </c>
      <c r="B345" s="45" t="s">
        <v>132</v>
      </c>
      <c r="C345" s="45" t="s">
        <v>498</v>
      </c>
      <c r="D345" s="45" t="s">
        <v>497</v>
      </c>
      <c r="E345" s="45" t="s">
        <v>499</v>
      </c>
      <c r="F345" s="45" t="s">
        <v>500</v>
      </c>
      <c r="G345" s="14">
        <v>83927.2</v>
      </c>
      <c r="H345" s="14">
        <v>79706.7</v>
      </c>
      <c r="I345" s="14">
        <v>80792.100000000006</v>
      </c>
      <c r="J345" s="14">
        <v>86587.1</v>
      </c>
      <c r="K345" s="14">
        <v>91384.9</v>
      </c>
      <c r="L345" s="14">
        <v>104649</v>
      </c>
      <c r="M345" s="14">
        <v>107573.7</v>
      </c>
      <c r="N345" s="14">
        <v>109940.2</v>
      </c>
      <c r="O345" s="14">
        <v>111792</v>
      </c>
      <c r="P345" s="14">
        <v>115210.1</v>
      </c>
      <c r="Q345" s="14">
        <v>117476.1</v>
      </c>
      <c r="R345" s="14">
        <v>125158.1</v>
      </c>
      <c r="S345" s="14">
        <v>126132.3</v>
      </c>
      <c r="T345" s="14">
        <v>126716.5</v>
      </c>
      <c r="U345" s="14">
        <v>121633</v>
      </c>
      <c r="V345" s="14">
        <v>125707.6</v>
      </c>
      <c r="W345" s="14">
        <v>121255.7</v>
      </c>
      <c r="X345" s="14">
        <v>127758.39999999999</v>
      </c>
      <c r="Y345" s="14">
        <v>123960.8</v>
      </c>
      <c r="Z345" s="14">
        <v>117914.6</v>
      </c>
      <c r="AA345" s="14"/>
      <c r="AB345" s="14"/>
      <c r="AC345" s="15">
        <f>IFERROR(Z345/G345-1,"")</f>
        <v>0.40496287258481178</v>
      </c>
      <c r="AD345" s="15">
        <f>IFERROR((Z345/G345)^(1/19)-1,"")</f>
        <v>1.8056389802891815E-2</v>
      </c>
    </row>
    <row r="346" spans="1:30">
      <c r="A346" s="45" t="s">
        <v>131</v>
      </c>
      <c r="B346" s="45" t="s">
        <v>132</v>
      </c>
      <c r="C346" s="45" t="s">
        <v>498</v>
      </c>
      <c r="D346" s="45" t="s">
        <v>501</v>
      </c>
      <c r="E346" s="45" t="s">
        <v>499</v>
      </c>
      <c r="F346" s="45" t="s">
        <v>500</v>
      </c>
      <c r="G346" s="14">
        <v>12012.4</v>
      </c>
      <c r="H346" s="14">
        <v>12365.5</v>
      </c>
      <c r="I346" s="14">
        <v>13057.1</v>
      </c>
      <c r="J346" s="14">
        <v>14494.1</v>
      </c>
      <c r="K346" s="14">
        <v>16872.900000000001</v>
      </c>
      <c r="L346" s="14">
        <v>7440.9</v>
      </c>
      <c r="M346" s="14">
        <v>9743.4</v>
      </c>
      <c r="N346" s="14">
        <v>10405.4</v>
      </c>
      <c r="O346" s="14">
        <v>9506</v>
      </c>
      <c r="P346" s="14">
        <v>11805</v>
      </c>
      <c r="Q346" s="14">
        <v>10638.7</v>
      </c>
      <c r="R346" s="14">
        <v>11165.7</v>
      </c>
      <c r="S346" s="14">
        <v>11780.8</v>
      </c>
      <c r="T346" s="14">
        <v>12516.4</v>
      </c>
      <c r="U346" s="14">
        <v>10959</v>
      </c>
      <c r="V346" s="14">
        <v>10285.1</v>
      </c>
      <c r="W346" s="14">
        <v>8113</v>
      </c>
      <c r="X346" s="14">
        <v>8206.1</v>
      </c>
      <c r="Y346" s="14">
        <v>9164.2999999999993</v>
      </c>
      <c r="Z346" s="14">
        <v>8945.9</v>
      </c>
      <c r="AA346" s="14"/>
      <c r="AB346" s="14"/>
      <c r="AC346" s="15">
        <f>IFERROR(Z346/G346-1,"")</f>
        <v>-0.25527787952449132</v>
      </c>
      <c r="AD346" s="15">
        <f>IFERROR((Z346/G346)^(1/19)-1,"")</f>
        <v>-1.5393144119751567E-2</v>
      </c>
    </row>
    <row r="347" spans="1:30">
      <c r="A347" s="45" t="s">
        <v>319</v>
      </c>
      <c r="B347" s="45" t="s">
        <v>320</v>
      </c>
      <c r="C347" s="45" t="s">
        <v>490</v>
      </c>
      <c r="D347" s="45" t="s">
        <v>491</v>
      </c>
      <c r="E347" s="45" t="s">
        <v>492</v>
      </c>
      <c r="F347" s="45" t="s">
        <v>493</v>
      </c>
      <c r="G347" s="14">
        <v>10673</v>
      </c>
      <c r="H347" s="14">
        <v>12152</v>
      </c>
      <c r="I347" s="14">
        <v>15342</v>
      </c>
      <c r="J347" s="14">
        <v>16835</v>
      </c>
      <c r="K347" s="14">
        <v>19454</v>
      </c>
      <c r="L347" s="14">
        <v>20842</v>
      </c>
      <c r="M347" s="14">
        <v>22587</v>
      </c>
      <c r="N347" s="14">
        <v>27107</v>
      </c>
      <c r="O347" s="14">
        <v>27773</v>
      </c>
      <c r="P347" s="14">
        <v>32879</v>
      </c>
      <c r="Q347" s="14">
        <v>36974</v>
      </c>
      <c r="R347" s="14">
        <v>42511</v>
      </c>
      <c r="S347" s="14">
        <v>45955</v>
      </c>
      <c r="T347" s="14">
        <v>48130</v>
      </c>
      <c r="U347" s="14">
        <v>50435</v>
      </c>
      <c r="V347" s="14">
        <v>53849</v>
      </c>
      <c r="W347" s="14">
        <v>62301</v>
      </c>
      <c r="X347" s="14">
        <v>69507</v>
      </c>
      <c r="Y347" s="14">
        <v>72244</v>
      </c>
      <c r="Z347" s="14">
        <v>78555</v>
      </c>
      <c r="AA347" s="14">
        <v>91969</v>
      </c>
      <c r="AB347" s="14">
        <v>106164</v>
      </c>
    </row>
    <row r="348" spans="1:30">
      <c r="A348" s="45" t="s">
        <v>319</v>
      </c>
      <c r="B348" s="45" t="s">
        <v>320</v>
      </c>
      <c r="C348" s="45" t="s">
        <v>490</v>
      </c>
      <c r="D348" s="45" t="s">
        <v>494</v>
      </c>
      <c r="E348" s="45" t="s">
        <v>492</v>
      </c>
      <c r="F348" s="45" t="s">
        <v>493</v>
      </c>
      <c r="G348" s="14">
        <v>10391</v>
      </c>
      <c r="H348" s="14">
        <v>11872</v>
      </c>
      <c r="I348" s="14">
        <v>14924</v>
      </c>
      <c r="J348" s="14">
        <v>16332</v>
      </c>
      <c r="K348" s="14">
        <v>18534</v>
      </c>
      <c r="L348" s="14">
        <v>19765</v>
      </c>
      <c r="M348" s="14">
        <v>21408</v>
      </c>
      <c r="N348" s="14">
        <v>25927</v>
      </c>
      <c r="O348" s="14">
        <v>26332</v>
      </c>
      <c r="P348" s="14">
        <v>31189</v>
      </c>
      <c r="Q348" s="14">
        <v>35178</v>
      </c>
      <c r="R348" s="14">
        <v>40614</v>
      </c>
      <c r="S348" s="14">
        <v>43614</v>
      </c>
      <c r="T348" s="14">
        <v>45753</v>
      </c>
      <c r="U348" s="14">
        <v>48766</v>
      </c>
      <c r="V348" s="14">
        <v>52263</v>
      </c>
      <c r="W348" s="14">
        <v>59494</v>
      </c>
      <c r="X348" s="14">
        <v>66345</v>
      </c>
      <c r="Y348" s="14">
        <v>68866</v>
      </c>
      <c r="Z348" s="14">
        <v>74409</v>
      </c>
      <c r="AA348" s="14"/>
      <c r="AB348" s="14"/>
    </row>
    <row r="349" spans="1:30">
      <c r="A349" s="45" t="s">
        <v>319</v>
      </c>
      <c r="B349" s="45" t="s">
        <v>320</v>
      </c>
      <c r="C349" s="45" t="s">
        <v>490</v>
      </c>
      <c r="D349" s="45" t="s">
        <v>495</v>
      </c>
      <c r="E349" s="45" t="s">
        <v>492</v>
      </c>
      <c r="F349" s="45" t="s">
        <v>493</v>
      </c>
      <c r="G349" s="14">
        <v>535</v>
      </c>
      <c r="H349" s="14">
        <v>408</v>
      </c>
      <c r="I349" s="14">
        <v>570</v>
      </c>
      <c r="J349" s="14">
        <v>614</v>
      </c>
      <c r="K349" s="14">
        <v>604</v>
      </c>
      <c r="L349" s="14">
        <v>647</v>
      </c>
      <c r="M349" s="14">
        <v>640</v>
      </c>
      <c r="N349" s="14">
        <v>838</v>
      </c>
      <c r="O349" s="14">
        <v>758</v>
      </c>
      <c r="P349" s="14">
        <v>869</v>
      </c>
      <c r="Q349" s="14">
        <v>1122</v>
      </c>
      <c r="R349" s="14">
        <v>1153</v>
      </c>
      <c r="S349" s="14">
        <v>1217</v>
      </c>
      <c r="T349" s="14">
        <v>1132</v>
      </c>
      <c r="U349" s="14">
        <v>1654</v>
      </c>
      <c r="V349" s="14">
        <v>1674</v>
      </c>
      <c r="W349" s="14">
        <v>1380</v>
      </c>
      <c r="X349" s="14">
        <v>1437</v>
      </c>
      <c r="Y349" s="14">
        <v>1376</v>
      </c>
      <c r="Z349" s="14">
        <v>1492</v>
      </c>
      <c r="AA349" s="14"/>
      <c r="AB349" s="14"/>
    </row>
    <row r="350" spans="1:30">
      <c r="A350" s="45" t="s">
        <v>319</v>
      </c>
      <c r="B350" s="45" t="s">
        <v>320</v>
      </c>
      <c r="C350" s="45" t="s">
        <v>490</v>
      </c>
      <c r="D350" s="45" t="s">
        <v>496</v>
      </c>
      <c r="E350" s="45" t="s">
        <v>492</v>
      </c>
      <c r="F350" s="45" t="s">
        <v>493</v>
      </c>
      <c r="G350" s="14">
        <v>1756</v>
      </c>
      <c r="H350" s="14">
        <v>2126</v>
      </c>
      <c r="I350" s="14">
        <v>2587</v>
      </c>
      <c r="J350" s="14">
        <v>2836</v>
      </c>
      <c r="K350" s="14">
        <v>3298</v>
      </c>
      <c r="L350" s="14">
        <v>3496</v>
      </c>
      <c r="M350" s="14">
        <v>3415</v>
      </c>
      <c r="N350" s="14">
        <v>4768</v>
      </c>
      <c r="O350" s="14">
        <v>5479</v>
      </c>
      <c r="P350" s="14">
        <v>6274</v>
      </c>
      <c r="Q350" s="14">
        <v>7640</v>
      </c>
      <c r="R350" s="14">
        <v>8347</v>
      </c>
      <c r="S350" s="14">
        <v>8805</v>
      </c>
      <c r="T350" s="14">
        <v>9563</v>
      </c>
      <c r="U350" s="14">
        <v>10572</v>
      </c>
      <c r="V350" s="14">
        <v>11358</v>
      </c>
      <c r="W350" s="14">
        <v>15998</v>
      </c>
      <c r="X350" s="14">
        <v>18055</v>
      </c>
      <c r="Y350" s="14">
        <v>18922</v>
      </c>
      <c r="Z350" s="14">
        <v>19755</v>
      </c>
      <c r="AA350" s="14"/>
      <c r="AB350" s="14"/>
    </row>
    <row r="351" spans="1:30">
      <c r="A351" s="45" t="s">
        <v>319</v>
      </c>
      <c r="B351" s="45" t="s">
        <v>320</v>
      </c>
      <c r="C351" s="45" t="s">
        <v>490</v>
      </c>
      <c r="D351" s="45" t="s">
        <v>497</v>
      </c>
      <c r="E351" s="45" t="s">
        <v>492</v>
      </c>
      <c r="F351" s="45" t="s">
        <v>493</v>
      </c>
      <c r="G351" s="14">
        <v>7129</v>
      </c>
      <c r="H351" s="14">
        <v>8168</v>
      </c>
      <c r="I351" s="14">
        <v>8812</v>
      </c>
      <c r="J351" s="14">
        <v>10340</v>
      </c>
      <c r="K351" s="14">
        <v>11930</v>
      </c>
      <c r="L351" s="14">
        <v>13889</v>
      </c>
      <c r="M351" s="14">
        <v>14943</v>
      </c>
      <c r="N351" s="14">
        <v>17989</v>
      </c>
      <c r="O351" s="14">
        <v>18438</v>
      </c>
      <c r="P351" s="14">
        <v>21273</v>
      </c>
      <c r="Q351" s="14">
        <v>24661</v>
      </c>
      <c r="R351" s="14">
        <v>29288</v>
      </c>
      <c r="S351" s="14">
        <v>30881</v>
      </c>
      <c r="T351" s="14">
        <v>32703</v>
      </c>
      <c r="U351" s="14">
        <v>34574</v>
      </c>
      <c r="V351" s="14">
        <v>36804</v>
      </c>
      <c r="W351" s="14">
        <v>38098</v>
      </c>
      <c r="X351" s="14">
        <v>41666</v>
      </c>
      <c r="Y351" s="14">
        <v>43540</v>
      </c>
      <c r="Z351" s="14">
        <v>47602</v>
      </c>
      <c r="AA351" s="14"/>
      <c r="AB351" s="14"/>
    </row>
    <row r="352" spans="1:30">
      <c r="A352" s="45" t="s">
        <v>319</v>
      </c>
      <c r="B352" s="45" t="s">
        <v>320</v>
      </c>
      <c r="C352" s="45" t="s">
        <v>498</v>
      </c>
      <c r="D352" s="45" t="s">
        <v>491</v>
      </c>
      <c r="E352" s="45" t="s">
        <v>499</v>
      </c>
      <c r="F352" s="45" t="s">
        <v>500</v>
      </c>
      <c r="G352" s="14">
        <v>20275.099999999999</v>
      </c>
      <c r="H352" s="14">
        <v>20235.2</v>
      </c>
      <c r="I352" s="14">
        <v>23708.2</v>
      </c>
      <c r="J352" s="14">
        <v>24216.6</v>
      </c>
      <c r="K352" s="14">
        <v>26208.3</v>
      </c>
      <c r="L352" s="14">
        <v>26379.200000000001</v>
      </c>
      <c r="M352" s="14">
        <v>26281.200000000001</v>
      </c>
      <c r="N352" s="14">
        <v>29390.3</v>
      </c>
      <c r="O352" s="14">
        <v>27773</v>
      </c>
      <c r="P352" s="14">
        <v>30354</v>
      </c>
      <c r="Q352" s="14">
        <v>31622.7</v>
      </c>
      <c r="R352" s="14">
        <v>33820.199999999997</v>
      </c>
      <c r="S352" s="14">
        <v>33900.1</v>
      </c>
      <c r="T352" s="14">
        <v>33007.199999999997</v>
      </c>
      <c r="U352" s="14">
        <v>31995.200000000001</v>
      </c>
      <c r="V352" s="14">
        <v>32951.199999999997</v>
      </c>
      <c r="W352" s="14">
        <v>36483.699999999997</v>
      </c>
      <c r="X352" s="14">
        <v>39053.800000000003</v>
      </c>
      <c r="Y352" s="14">
        <v>38124.1</v>
      </c>
      <c r="Z352" s="14">
        <v>36670</v>
      </c>
      <c r="AA352" s="14"/>
      <c r="AB352" s="14"/>
      <c r="AC352" s="15">
        <f>IFERROR(Z352/G352-1,"")</f>
        <v>0.80862239890308807</v>
      </c>
      <c r="AD352" s="15">
        <f>IFERROR((Z352/G352)^(1/19)-1,"")</f>
        <v>3.1679085728147038E-2</v>
      </c>
    </row>
    <row r="353" spans="1:30">
      <c r="A353" s="45" t="s">
        <v>319</v>
      </c>
      <c r="B353" s="45" t="s">
        <v>320</v>
      </c>
      <c r="C353" s="45" t="s">
        <v>498</v>
      </c>
      <c r="D353" s="45" t="s">
        <v>495</v>
      </c>
      <c r="E353" s="45" t="s">
        <v>499</v>
      </c>
      <c r="F353" s="45" t="s">
        <v>500</v>
      </c>
      <c r="G353" s="14">
        <v>1015.6</v>
      </c>
      <c r="H353" s="14">
        <v>679.7</v>
      </c>
      <c r="I353" s="14">
        <v>881.5</v>
      </c>
      <c r="J353" s="14">
        <v>882.9</v>
      </c>
      <c r="K353" s="14">
        <v>813.7</v>
      </c>
      <c r="L353" s="14">
        <v>818.4</v>
      </c>
      <c r="M353" s="14">
        <v>745.1</v>
      </c>
      <c r="N353" s="14">
        <v>908.6</v>
      </c>
      <c r="O353" s="14">
        <v>758</v>
      </c>
      <c r="P353" s="14">
        <v>802.3</v>
      </c>
      <c r="Q353" s="14">
        <v>959.6</v>
      </c>
      <c r="R353" s="14">
        <v>917.3</v>
      </c>
      <c r="S353" s="14">
        <v>897.8</v>
      </c>
      <c r="T353" s="14">
        <v>776.3</v>
      </c>
      <c r="U353" s="14">
        <v>1049.3</v>
      </c>
      <c r="V353" s="14">
        <v>1024.4000000000001</v>
      </c>
      <c r="W353" s="14">
        <v>808.1</v>
      </c>
      <c r="X353" s="14">
        <v>807.4</v>
      </c>
      <c r="Y353" s="14">
        <v>726.1</v>
      </c>
      <c r="Z353" s="14">
        <v>696.9</v>
      </c>
      <c r="AA353" s="14"/>
      <c r="AB353" s="14"/>
      <c r="AC353" s="15">
        <f>IFERROR(Z353/G353-1,"")</f>
        <v>-0.31380464749901538</v>
      </c>
      <c r="AD353" s="15">
        <f>IFERROR((Z353/G353)^(1/19)-1,"")</f>
        <v>-1.9625541778254818E-2</v>
      </c>
    </row>
    <row r="354" spans="1:30">
      <c r="A354" s="45" t="s">
        <v>319</v>
      </c>
      <c r="B354" s="45" t="s">
        <v>320</v>
      </c>
      <c r="C354" s="45" t="s">
        <v>498</v>
      </c>
      <c r="D354" s="45" t="s">
        <v>496</v>
      </c>
      <c r="E354" s="45" t="s">
        <v>499</v>
      </c>
      <c r="F354" s="45" t="s">
        <v>500</v>
      </c>
      <c r="G354" s="14">
        <v>3335.9</v>
      </c>
      <c r="H354" s="14">
        <v>3540.9</v>
      </c>
      <c r="I354" s="14">
        <v>3997.8</v>
      </c>
      <c r="J354" s="14">
        <v>4078.9</v>
      </c>
      <c r="K354" s="14">
        <v>4443</v>
      </c>
      <c r="L354" s="14">
        <v>4424.5</v>
      </c>
      <c r="M354" s="14">
        <v>3973.7</v>
      </c>
      <c r="N354" s="14">
        <v>5169.6000000000004</v>
      </c>
      <c r="O354" s="14">
        <v>5479</v>
      </c>
      <c r="P354" s="14">
        <v>5792.2</v>
      </c>
      <c r="Q354" s="14">
        <v>6534.2</v>
      </c>
      <c r="R354" s="14">
        <v>6640.6</v>
      </c>
      <c r="S354" s="14">
        <v>6495.3</v>
      </c>
      <c r="T354" s="14">
        <v>6558.2</v>
      </c>
      <c r="U354" s="14">
        <v>6706.7</v>
      </c>
      <c r="V354" s="14">
        <v>6950.2</v>
      </c>
      <c r="W354" s="14">
        <v>9368.5</v>
      </c>
      <c r="X354" s="14">
        <v>10144.5</v>
      </c>
      <c r="Y354" s="14">
        <v>9985.4</v>
      </c>
      <c r="Z354" s="14">
        <v>9222.2000000000007</v>
      </c>
      <c r="AA354" s="14"/>
      <c r="AB354" s="14"/>
      <c r="AC354" s="15">
        <f>IFERROR(Z354/G354-1,"")</f>
        <v>1.7645313108906144</v>
      </c>
      <c r="AD354" s="15">
        <f>IFERROR((Z354/G354)^(1/19)-1,"")</f>
        <v>5.4977597654803478E-2</v>
      </c>
    </row>
    <row r="355" spans="1:30">
      <c r="A355" s="45" t="s">
        <v>319</v>
      </c>
      <c r="B355" s="45" t="s">
        <v>320</v>
      </c>
      <c r="C355" s="45" t="s">
        <v>498</v>
      </c>
      <c r="D355" s="45" t="s">
        <v>497</v>
      </c>
      <c r="E355" s="45" t="s">
        <v>499</v>
      </c>
      <c r="F355" s="45" t="s">
        <v>500</v>
      </c>
      <c r="G355" s="14">
        <v>13543.2</v>
      </c>
      <c r="H355" s="14">
        <v>13601</v>
      </c>
      <c r="I355" s="14">
        <v>13618.1</v>
      </c>
      <c r="J355" s="14">
        <v>14873.9</v>
      </c>
      <c r="K355" s="14">
        <v>16072.1</v>
      </c>
      <c r="L355" s="14">
        <v>17578.8</v>
      </c>
      <c r="M355" s="14">
        <v>17386.7</v>
      </c>
      <c r="N355" s="14">
        <v>19504.3</v>
      </c>
      <c r="O355" s="14">
        <v>18438</v>
      </c>
      <c r="P355" s="14">
        <v>19639.3</v>
      </c>
      <c r="Q355" s="14">
        <v>21091.8</v>
      </c>
      <c r="R355" s="14">
        <v>23300.5</v>
      </c>
      <c r="S355" s="14">
        <v>22780.3</v>
      </c>
      <c r="T355" s="14">
        <v>22427.5</v>
      </c>
      <c r="U355" s="14">
        <v>21933.200000000001</v>
      </c>
      <c r="V355" s="14">
        <v>22521</v>
      </c>
      <c r="W355" s="14">
        <v>22310.3</v>
      </c>
      <c r="X355" s="14">
        <v>23410.799999999999</v>
      </c>
      <c r="Y355" s="14">
        <v>22976.6</v>
      </c>
      <c r="Z355" s="14">
        <v>22221.9</v>
      </c>
      <c r="AA355" s="14"/>
      <c r="AB355" s="14"/>
      <c r="AC355" s="15">
        <f>IFERROR(Z355/G355-1,"")</f>
        <v>0.64081605528973951</v>
      </c>
      <c r="AD355" s="15">
        <f>IFERROR((Z355/G355)^(1/19)-1,"")</f>
        <v>2.6405432409204677E-2</v>
      </c>
    </row>
    <row r="356" spans="1:30">
      <c r="A356" s="45" t="s">
        <v>319</v>
      </c>
      <c r="B356" s="45" t="s">
        <v>320</v>
      </c>
      <c r="C356" s="45" t="s">
        <v>498</v>
      </c>
      <c r="D356" s="45" t="s">
        <v>501</v>
      </c>
      <c r="E356" s="45" t="s">
        <v>499</v>
      </c>
      <c r="F356" s="45" t="s">
        <v>500</v>
      </c>
      <c r="G356" s="14">
        <v>1845.2</v>
      </c>
      <c r="H356" s="14">
        <v>1947.2</v>
      </c>
      <c r="I356" s="14">
        <v>4564.5</v>
      </c>
      <c r="J356" s="14">
        <v>3656.4</v>
      </c>
      <c r="K356" s="14">
        <v>3640.2</v>
      </c>
      <c r="L356" s="14">
        <v>2194.3000000000002</v>
      </c>
      <c r="M356" s="14">
        <v>2803.6</v>
      </c>
      <c r="N356" s="14">
        <v>2529.5</v>
      </c>
      <c r="O356" s="14">
        <v>1657</v>
      </c>
      <c r="P356" s="14">
        <v>2560</v>
      </c>
      <c r="Q356" s="14">
        <v>1500.1</v>
      </c>
      <c r="R356" s="14">
        <v>1452.7</v>
      </c>
      <c r="S356" s="14">
        <v>1999.9</v>
      </c>
      <c r="T356" s="14">
        <v>1615</v>
      </c>
      <c r="U356" s="14">
        <v>1247.2</v>
      </c>
      <c r="V356" s="14">
        <v>1485.1</v>
      </c>
      <c r="W356" s="14">
        <v>2353</v>
      </c>
      <c r="X356" s="14">
        <v>2914.4</v>
      </c>
      <c r="Y356" s="14">
        <v>2653.9</v>
      </c>
      <c r="Z356" s="14">
        <v>2595</v>
      </c>
      <c r="AA356" s="14"/>
      <c r="AB356" s="14"/>
      <c r="AC356" s="15">
        <f>IFERROR(Z356/G356-1,"")</f>
        <v>0.40635161500108397</v>
      </c>
      <c r="AD356" s="15">
        <f>IFERROR((Z356/G356)^(1/19)-1,"")</f>
        <v>1.8109328326493257E-2</v>
      </c>
    </row>
    <row r="357" spans="1:30">
      <c r="A357" s="45" t="s">
        <v>105</v>
      </c>
      <c r="B357" s="45" t="s">
        <v>106</v>
      </c>
      <c r="C357" s="45" t="s">
        <v>490</v>
      </c>
      <c r="D357" s="45" t="s">
        <v>491</v>
      </c>
      <c r="E357" s="45" t="s">
        <v>492</v>
      </c>
      <c r="F357" s="45" t="s">
        <v>493</v>
      </c>
      <c r="G357" s="14">
        <v>795802</v>
      </c>
      <c r="H357" s="14">
        <v>929591</v>
      </c>
      <c r="I357" s="14">
        <v>1040453</v>
      </c>
      <c r="J357" s="14">
        <v>1235279</v>
      </c>
      <c r="K357" s="14">
        <v>1364605</v>
      </c>
      <c r="L357" s="14">
        <v>1700809</v>
      </c>
      <c r="M357" s="14">
        <v>1935127</v>
      </c>
      <c r="N357" s="14">
        <v>2168431</v>
      </c>
      <c r="O357" s="14">
        <v>2794285</v>
      </c>
      <c r="P357" s="14">
        <v>2966445</v>
      </c>
      <c r="Q357" s="14">
        <v>3516135</v>
      </c>
      <c r="R357" s="14">
        <v>4136921</v>
      </c>
      <c r="S357" s="14">
        <v>4383204</v>
      </c>
      <c r="T357" s="14">
        <v>4627678</v>
      </c>
      <c r="U357" s="14">
        <v>5210838</v>
      </c>
      <c r="V357" s="14">
        <v>5023625</v>
      </c>
      <c r="W357" s="14">
        <v>5310681</v>
      </c>
      <c r="X357" s="14">
        <v>5615596</v>
      </c>
      <c r="Y357" s="14">
        <v>5918025</v>
      </c>
      <c r="Z357" s="14">
        <v>6845358</v>
      </c>
      <c r="AA357" s="14">
        <v>7490688</v>
      </c>
      <c r="AB357" s="14">
        <v>7608526</v>
      </c>
    </row>
    <row r="358" spans="1:30">
      <c r="A358" s="45" t="s">
        <v>105</v>
      </c>
      <c r="B358" s="45" t="s">
        <v>106</v>
      </c>
      <c r="C358" s="45" t="s">
        <v>490</v>
      </c>
      <c r="D358" s="45" t="s">
        <v>494</v>
      </c>
      <c r="E358" s="45" t="s">
        <v>492</v>
      </c>
      <c r="F358" s="45" t="s">
        <v>493</v>
      </c>
      <c r="G358" s="14">
        <v>681782</v>
      </c>
      <c r="H358" s="14">
        <v>786826</v>
      </c>
      <c r="I358" s="14">
        <v>877597</v>
      </c>
      <c r="J358" s="14">
        <v>1060312</v>
      </c>
      <c r="K358" s="14">
        <v>1171174</v>
      </c>
      <c r="L358" s="14">
        <v>1496936</v>
      </c>
      <c r="M358" s="14">
        <v>1671172</v>
      </c>
      <c r="N358" s="14">
        <v>1896946</v>
      </c>
      <c r="O358" s="14">
        <v>2432376</v>
      </c>
      <c r="P358" s="14">
        <v>2561777</v>
      </c>
      <c r="Q358" s="14">
        <v>3050864</v>
      </c>
      <c r="R358" s="14">
        <v>3593182</v>
      </c>
      <c r="S358" s="14">
        <v>3767536</v>
      </c>
      <c r="T358" s="14">
        <v>4028321</v>
      </c>
      <c r="U358" s="14">
        <v>4382888</v>
      </c>
      <c r="V358" s="14">
        <v>4250603</v>
      </c>
      <c r="W358" s="14">
        <v>4469965</v>
      </c>
      <c r="X358" s="14">
        <v>4773405</v>
      </c>
      <c r="Y358" s="14">
        <v>4971935</v>
      </c>
      <c r="Z358" s="14">
        <v>5682309</v>
      </c>
      <c r="AA358" s="14"/>
      <c r="AB358" s="14"/>
    </row>
    <row r="359" spans="1:30">
      <c r="A359" s="45" t="s">
        <v>105</v>
      </c>
      <c r="B359" s="45" t="s">
        <v>106</v>
      </c>
      <c r="C359" s="45" t="s">
        <v>490</v>
      </c>
      <c r="D359" s="45" t="s">
        <v>495</v>
      </c>
      <c r="E359" s="45" t="s">
        <v>492</v>
      </c>
      <c r="F359" s="45" t="s">
        <v>493</v>
      </c>
      <c r="G359" s="14">
        <v>225706</v>
      </c>
      <c r="H359" s="14">
        <v>237349</v>
      </c>
      <c r="I359" s="14">
        <v>248976</v>
      </c>
      <c r="J359" s="14">
        <v>321000</v>
      </c>
      <c r="K359" s="14">
        <v>327225</v>
      </c>
      <c r="L359" s="14">
        <v>442775</v>
      </c>
      <c r="M359" s="14">
        <v>404664</v>
      </c>
      <c r="N359" s="14">
        <v>362641</v>
      </c>
      <c r="O359" s="14">
        <v>590557</v>
      </c>
      <c r="P359" s="14">
        <v>625370</v>
      </c>
      <c r="Q359" s="14">
        <v>801282</v>
      </c>
      <c r="R359" s="14">
        <v>862449</v>
      </c>
      <c r="S359" s="14">
        <v>666657</v>
      </c>
      <c r="T359" s="14">
        <v>842921</v>
      </c>
      <c r="U359" s="14">
        <v>782826</v>
      </c>
      <c r="V359" s="14">
        <v>671014</v>
      </c>
      <c r="W359" s="14">
        <v>743189</v>
      </c>
      <c r="X359" s="14">
        <v>731443</v>
      </c>
      <c r="Y359" s="14">
        <v>649004</v>
      </c>
      <c r="Z359" s="14">
        <v>577662</v>
      </c>
      <c r="AA359" s="14"/>
      <c r="AB359" s="14"/>
    </row>
    <row r="360" spans="1:30">
      <c r="A360" s="45" t="s">
        <v>105</v>
      </c>
      <c r="B360" s="45" t="s">
        <v>106</v>
      </c>
      <c r="C360" s="45" t="s">
        <v>490</v>
      </c>
      <c r="D360" s="45" t="s">
        <v>496</v>
      </c>
      <c r="E360" s="45" t="s">
        <v>492</v>
      </c>
      <c r="F360" s="45" t="s">
        <v>493</v>
      </c>
      <c r="G360" s="14">
        <v>293878</v>
      </c>
      <c r="H360" s="14">
        <v>358308</v>
      </c>
      <c r="I360" s="14">
        <v>416022</v>
      </c>
      <c r="J360" s="14">
        <v>484912</v>
      </c>
      <c r="K360" s="14">
        <v>538696</v>
      </c>
      <c r="L360" s="14">
        <v>697616</v>
      </c>
      <c r="M360" s="14">
        <v>857923</v>
      </c>
      <c r="N360" s="14">
        <v>1057985</v>
      </c>
      <c r="O360" s="14">
        <v>1266261</v>
      </c>
      <c r="P360" s="14">
        <v>1283258</v>
      </c>
      <c r="Q360" s="14">
        <v>1528073</v>
      </c>
      <c r="R360" s="14">
        <v>1890078</v>
      </c>
      <c r="S360" s="14">
        <v>2143591</v>
      </c>
      <c r="T360" s="14">
        <v>2145440</v>
      </c>
      <c r="U360" s="14">
        <v>2466941</v>
      </c>
      <c r="V360" s="14">
        <v>2443975</v>
      </c>
      <c r="W360" s="14">
        <v>2481983</v>
      </c>
      <c r="X360" s="14">
        <v>2684813</v>
      </c>
      <c r="Y360" s="14">
        <v>2822759</v>
      </c>
      <c r="Z360" s="14">
        <v>3470184</v>
      </c>
      <c r="AA360" s="14"/>
      <c r="AB360" s="14"/>
    </row>
    <row r="361" spans="1:30">
      <c r="A361" s="45" t="s">
        <v>105</v>
      </c>
      <c r="B361" s="45" t="s">
        <v>106</v>
      </c>
      <c r="C361" s="45" t="s">
        <v>490</v>
      </c>
      <c r="D361" s="45" t="s">
        <v>497</v>
      </c>
      <c r="E361" s="45" t="s">
        <v>492</v>
      </c>
      <c r="F361" s="45" t="s">
        <v>493</v>
      </c>
      <c r="G361" s="14">
        <v>153423</v>
      </c>
      <c r="H361" s="14">
        <v>176371</v>
      </c>
      <c r="I361" s="14">
        <v>201097</v>
      </c>
      <c r="J361" s="14">
        <v>242161</v>
      </c>
      <c r="K361" s="14">
        <v>289155</v>
      </c>
      <c r="L361" s="14">
        <v>345377</v>
      </c>
      <c r="M361" s="14">
        <v>394958</v>
      </c>
      <c r="N361" s="14">
        <v>461767</v>
      </c>
      <c r="O361" s="14">
        <v>555034</v>
      </c>
      <c r="P361" s="14">
        <v>629824</v>
      </c>
      <c r="Q361" s="14">
        <v>692870</v>
      </c>
      <c r="R361" s="14">
        <v>805378</v>
      </c>
      <c r="S361" s="14">
        <v>919396</v>
      </c>
      <c r="T361" s="14">
        <v>1009194</v>
      </c>
      <c r="U361" s="14">
        <v>1108963</v>
      </c>
      <c r="V361" s="14">
        <v>1103911</v>
      </c>
      <c r="W361" s="14">
        <v>1206105</v>
      </c>
      <c r="X361" s="14">
        <v>1302848</v>
      </c>
      <c r="Y361" s="14">
        <v>1435385</v>
      </c>
      <c r="Z361" s="14">
        <v>1550432</v>
      </c>
      <c r="AA361" s="14"/>
      <c r="AB361" s="14"/>
    </row>
    <row r="362" spans="1:30">
      <c r="A362" s="45" t="s">
        <v>105</v>
      </c>
      <c r="B362" s="45" t="s">
        <v>106</v>
      </c>
      <c r="C362" s="45" t="s">
        <v>498</v>
      </c>
      <c r="D362" s="45" t="s">
        <v>491</v>
      </c>
      <c r="E362" s="45" t="s">
        <v>499</v>
      </c>
      <c r="F362" s="45" t="s">
        <v>500</v>
      </c>
      <c r="G362" s="14">
        <v>1511821.1</v>
      </c>
      <c r="H362" s="14">
        <v>1547875.2</v>
      </c>
      <c r="I362" s="14">
        <v>1607833.1</v>
      </c>
      <c r="J362" s="14">
        <v>1776859</v>
      </c>
      <c r="K362" s="14">
        <v>1838350.4</v>
      </c>
      <c r="L362" s="14">
        <v>2152661.7999999998</v>
      </c>
      <c r="M362" s="14">
        <v>2251575.7999999998</v>
      </c>
      <c r="N362" s="14">
        <v>2351085.2999999998</v>
      </c>
      <c r="O362" s="14">
        <v>2794285</v>
      </c>
      <c r="P362" s="14">
        <v>2738629.6</v>
      </c>
      <c r="Q362" s="14">
        <v>3007236.2</v>
      </c>
      <c r="R362" s="14">
        <v>3291185.2</v>
      </c>
      <c r="S362" s="14">
        <v>3233403.3</v>
      </c>
      <c r="T362" s="14">
        <v>3173624.9</v>
      </c>
      <c r="U362" s="14">
        <v>3305672.8</v>
      </c>
      <c r="V362" s="14">
        <v>3074047.7</v>
      </c>
      <c r="W362" s="14">
        <v>3109955.6</v>
      </c>
      <c r="X362" s="14">
        <v>3155230</v>
      </c>
      <c r="Y362" s="14">
        <v>3123018.1</v>
      </c>
      <c r="Z362" s="14">
        <v>3195463</v>
      </c>
      <c r="AA362" s="14"/>
      <c r="AB362" s="14"/>
      <c r="AC362" s="15">
        <f>IFERROR(Z362/G362-1,"")</f>
        <v>1.1136515425006306</v>
      </c>
      <c r="AD362" s="15">
        <f>IFERROR((Z362/G362)^(1/19)-1,"")</f>
        <v>4.0176458669537451E-2</v>
      </c>
    </row>
    <row r="363" spans="1:30">
      <c r="A363" s="45" t="s">
        <v>105</v>
      </c>
      <c r="B363" s="45" t="s">
        <v>106</v>
      </c>
      <c r="C363" s="45" t="s">
        <v>498</v>
      </c>
      <c r="D363" s="45" t="s">
        <v>495</v>
      </c>
      <c r="E363" s="45" t="s">
        <v>499</v>
      </c>
      <c r="F363" s="45" t="s">
        <v>500</v>
      </c>
      <c r="G363" s="14">
        <v>428783.9</v>
      </c>
      <c r="H363" s="14">
        <v>395213.4</v>
      </c>
      <c r="I363" s="14">
        <v>384747</v>
      </c>
      <c r="J363" s="14">
        <v>461734.9</v>
      </c>
      <c r="K363" s="14">
        <v>440827.2</v>
      </c>
      <c r="L363" s="14">
        <v>560407</v>
      </c>
      <c r="M363" s="14">
        <v>470838.2</v>
      </c>
      <c r="N363" s="14">
        <v>393187.5</v>
      </c>
      <c r="O363" s="14">
        <v>590557</v>
      </c>
      <c r="P363" s="14">
        <v>577343.19999999995</v>
      </c>
      <c r="Q363" s="14">
        <v>685310.5</v>
      </c>
      <c r="R363" s="14">
        <v>686133.3</v>
      </c>
      <c r="S363" s="14">
        <v>491779.7</v>
      </c>
      <c r="T363" s="14">
        <v>578068.5</v>
      </c>
      <c r="U363" s="14">
        <v>496612.4</v>
      </c>
      <c r="V363" s="14">
        <v>410605.7</v>
      </c>
      <c r="W363" s="14">
        <v>435214.4</v>
      </c>
      <c r="X363" s="14">
        <v>410975.2</v>
      </c>
      <c r="Y363" s="14">
        <v>342487.8</v>
      </c>
      <c r="Z363" s="14">
        <v>269656.8</v>
      </c>
      <c r="AA363" s="14"/>
      <c r="AB363" s="14"/>
      <c r="AC363" s="15">
        <f>IFERROR(Z363/G363-1,"")</f>
        <v>-0.37111258141921843</v>
      </c>
      <c r="AD363" s="15">
        <f>IFERROR((Z363/G363)^(1/19)-1,"")</f>
        <v>-2.4115154233313896E-2</v>
      </c>
    </row>
    <row r="364" spans="1:30">
      <c r="A364" s="45" t="s">
        <v>105</v>
      </c>
      <c r="B364" s="45" t="s">
        <v>106</v>
      </c>
      <c r="C364" s="45" t="s">
        <v>498</v>
      </c>
      <c r="D364" s="45" t="s">
        <v>496</v>
      </c>
      <c r="E364" s="45" t="s">
        <v>499</v>
      </c>
      <c r="F364" s="45" t="s">
        <v>500</v>
      </c>
      <c r="G364" s="14">
        <v>558293.30000000005</v>
      </c>
      <c r="H364" s="14">
        <v>596624</v>
      </c>
      <c r="I364" s="14">
        <v>642887.30000000005</v>
      </c>
      <c r="J364" s="14">
        <v>697510.6</v>
      </c>
      <c r="K364" s="14">
        <v>725712.6</v>
      </c>
      <c r="L364" s="14">
        <v>882951.7</v>
      </c>
      <c r="M364" s="14">
        <v>998218.4</v>
      </c>
      <c r="N364" s="14">
        <v>1147102.7</v>
      </c>
      <c r="O364" s="14">
        <v>1266261</v>
      </c>
      <c r="P364" s="14">
        <v>1184707.1000000001</v>
      </c>
      <c r="Q364" s="14">
        <v>1306911.3</v>
      </c>
      <c r="R364" s="14">
        <v>1503677.9</v>
      </c>
      <c r="S364" s="14">
        <v>1581284.9</v>
      </c>
      <c r="T364" s="14">
        <v>1471325.8</v>
      </c>
      <c r="U364" s="14">
        <v>1564988.2</v>
      </c>
      <c r="V364" s="14">
        <v>1495512.9</v>
      </c>
      <c r="W364" s="14">
        <v>1453459</v>
      </c>
      <c r="X364" s="14">
        <v>1508513.5</v>
      </c>
      <c r="Y364" s="14">
        <v>1489606.3</v>
      </c>
      <c r="Z364" s="14">
        <v>1619911.9</v>
      </c>
      <c r="AA364" s="14"/>
      <c r="AB364" s="14"/>
      <c r="AC364" s="15">
        <f>IFERROR(Z364/G364-1,"")</f>
        <v>1.9015427912174476</v>
      </c>
      <c r="AD364" s="15">
        <f>IFERROR((Z364/G364)^(1/19)-1,"")</f>
        <v>5.7666852469642427E-2</v>
      </c>
    </row>
    <row r="365" spans="1:30">
      <c r="A365" s="45" t="s">
        <v>105</v>
      </c>
      <c r="B365" s="45" t="s">
        <v>106</v>
      </c>
      <c r="C365" s="45" t="s">
        <v>498</v>
      </c>
      <c r="D365" s="45" t="s">
        <v>497</v>
      </c>
      <c r="E365" s="45" t="s">
        <v>499</v>
      </c>
      <c r="F365" s="45" t="s">
        <v>500</v>
      </c>
      <c r="G365" s="14">
        <v>291464.2</v>
      </c>
      <c r="H365" s="14">
        <v>293678.59999999998</v>
      </c>
      <c r="I365" s="14">
        <v>310759.09999999998</v>
      </c>
      <c r="J365" s="14">
        <v>348331</v>
      </c>
      <c r="K365" s="14">
        <v>389540.3</v>
      </c>
      <c r="L365" s="14">
        <v>437132.5</v>
      </c>
      <c r="M365" s="14">
        <v>459545.1</v>
      </c>
      <c r="N365" s="14">
        <v>500663.2</v>
      </c>
      <c r="O365" s="14">
        <v>555034</v>
      </c>
      <c r="P365" s="14">
        <v>581455.1</v>
      </c>
      <c r="Q365" s="14">
        <v>592589.19999999995</v>
      </c>
      <c r="R365" s="14">
        <v>640729.69999999995</v>
      </c>
      <c r="S365" s="14">
        <v>678220.3</v>
      </c>
      <c r="T365" s="14">
        <v>692097.3</v>
      </c>
      <c r="U365" s="14">
        <v>703508.5</v>
      </c>
      <c r="V365" s="14">
        <v>675503.3</v>
      </c>
      <c r="W365" s="14">
        <v>706299.8</v>
      </c>
      <c r="X365" s="14">
        <v>732030.1</v>
      </c>
      <c r="Y365" s="14">
        <v>757471.2</v>
      </c>
      <c r="Z365" s="14">
        <v>723768.8</v>
      </c>
      <c r="AA365" s="14"/>
      <c r="AB365" s="14"/>
      <c r="AC365" s="15">
        <f>IFERROR(Z365/G365-1,"")</f>
        <v>1.4832168067296085</v>
      </c>
      <c r="AD365" s="15">
        <f>IFERROR((Z365/G365)^(1/19)-1,"")</f>
        <v>4.9035642328816298E-2</v>
      </c>
    </row>
    <row r="366" spans="1:30">
      <c r="A366" s="45" t="s">
        <v>105</v>
      </c>
      <c r="B366" s="45" t="s">
        <v>106</v>
      </c>
      <c r="C366" s="45" t="s">
        <v>498</v>
      </c>
      <c r="D366" s="45" t="s">
        <v>501</v>
      </c>
      <c r="E366" s="45" t="s">
        <v>499</v>
      </c>
      <c r="F366" s="45" t="s">
        <v>500</v>
      </c>
      <c r="G366" s="14">
        <v>16672</v>
      </c>
      <c r="H366" s="14">
        <v>24638.3</v>
      </c>
      <c r="I366" s="14">
        <v>17775</v>
      </c>
      <c r="J366" s="14">
        <v>17605.400000000001</v>
      </c>
      <c r="K366" s="14">
        <v>21686.3</v>
      </c>
      <c r="L366" s="14">
        <v>14135.5</v>
      </c>
      <c r="M366" s="14">
        <v>15854.9</v>
      </c>
      <c r="N366" s="14">
        <v>15778.8</v>
      </c>
      <c r="O366" s="14">
        <v>20524</v>
      </c>
      <c r="P366" s="14">
        <v>21534.6</v>
      </c>
      <c r="Q366" s="14">
        <v>24494.9</v>
      </c>
      <c r="R366" s="14">
        <v>28064.3</v>
      </c>
      <c r="S366" s="14">
        <v>27952.2</v>
      </c>
      <c r="T366" s="14">
        <v>21098.400000000001</v>
      </c>
      <c r="U366" s="14">
        <v>15325.5</v>
      </c>
      <c r="V366" s="14">
        <v>19399.599999999999</v>
      </c>
      <c r="W366" s="14">
        <v>22655.3</v>
      </c>
      <c r="X366" s="14">
        <v>30510.1</v>
      </c>
      <c r="Y366" s="14">
        <v>34189.5</v>
      </c>
      <c r="Z366" s="14">
        <v>39226.300000000003</v>
      </c>
      <c r="AA366" s="14"/>
      <c r="AB366" s="14"/>
      <c r="AC366" s="15">
        <f>IFERROR(Z366/G366-1,"")</f>
        <v>1.35282509596929</v>
      </c>
      <c r="AD366" s="15">
        <f>IFERROR((Z366/G366)^(1/19)-1,"")</f>
        <v>4.6061816430588376E-2</v>
      </c>
    </row>
    <row r="367" spans="1:30">
      <c r="A367" s="45" t="s">
        <v>341</v>
      </c>
      <c r="B367" s="45" t="s">
        <v>342</v>
      </c>
      <c r="C367" s="45" t="s">
        <v>490</v>
      </c>
      <c r="D367" s="45" t="s">
        <v>491</v>
      </c>
      <c r="E367" s="45" t="s">
        <v>492</v>
      </c>
      <c r="F367" s="45" t="s">
        <v>493</v>
      </c>
      <c r="G367" s="14">
        <v>9253</v>
      </c>
      <c r="H367" s="14">
        <v>9940</v>
      </c>
      <c r="I367" s="14">
        <v>11701</v>
      </c>
      <c r="J367" s="14">
        <v>12882</v>
      </c>
      <c r="K367" s="14">
        <v>14735</v>
      </c>
      <c r="L367" s="14">
        <v>17161</v>
      </c>
      <c r="M367" s="14">
        <v>19041</v>
      </c>
      <c r="N367" s="14">
        <v>20748</v>
      </c>
      <c r="O367" s="14">
        <v>20875</v>
      </c>
      <c r="P367" s="14">
        <v>24722</v>
      </c>
      <c r="Q367" s="14">
        <v>26539</v>
      </c>
      <c r="R367" s="14">
        <v>31374</v>
      </c>
      <c r="S367" s="14">
        <v>34372</v>
      </c>
      <c r="T367" s="14">
        <v>36805</v>
      </c>
      <c r="U367" s="14">
        <v>40780</v>
      </c>
      <c r="V367" s="14">
        <v>42127</v>
      </c>
      <c r="W367" s="14">
        <v>46847</v>
      </c>
      <c r="X367" s="14">
        <v>53557</v>
      </c>
      <c r="Y367" s="14">
        <v>54971</v>
      </c>
      <c r="Z367" s="14">
        <v>62292</v>
      </c>
      <c r="AA367" s="14">
        <v>70242</v>
      </c>
      <c r="AB367" s="14">
        <v>75044</v>
      </c>
    </row>
    <row r="368" spans="1:30">
      <c r="A368" s="45" t="s">
        <v>341</v>
      </c>
      <c r="B368" s="45" t="s">
        <v>342</v>
      </c>
      <c r="C368" s="45" t="s">
        <v>490</v>
      </c>
      <c r="D368" s="45" t="s">
        <v>494</v>
      </c>
      <c r="E368" s="45" t="s">
        <v>492</v>
      </c>
      <c r="F368" s="45" t="s">
        <v>493</v>
      </c>
      <c r="G368" s="14">
        <v>8977</v>
      </c>
      <c r="H368" s="14">
        <v>9684</v>
      </c>
      <c r="I368" s="14">
        <v>11357</v>
      </c>
      <c r="J368" s="14">
        <v>12489</v>
      </c>
      <c r="K368" s="14">
        <v>14068</v>
      </c>
      <c r="L368" s="14">
        <v>16397</v>
      </c>
      <c r="M368" s="14">
        <v>18115</v>
      </c>
      <c r="N368" s="14">
        <v>19890</v>
      </c>
      <c r="O368" s="14">
        <v>19908</v>
      </c>
      <c r="P368" s="14">
        <v>23423</v>
      </c>
      <c r="Q368" s="14">
        <v>25209</v>
      </c>
      <c r="R368" s="14">
        <v>30010</v>
      </c>
      <c r="S368" s="14">
        <v>32586</v>
      </c>
      <c r="T368" s="14">
        <v>34950</v>
      </c>
      <c r="U368" s="14">
        <v>38984</v>
      </c>
      <c r="V368" s="14">
        <v>41254</v>
      </c>
      <c r="W368" s="14">
        <v>45175</v>
      </c>
      <c r="X368" s="14">
        <v>51719</v>
      </c>
      <c r="Y368" s="14">
        <v>53087</v>
      </c>
      <c r="Z368" s="14">
        <v>59672</v>
      </c>
      <c r="AA368" s="14"/>
      <c r="AB368" s="14"/>
    </row>
    <row r="369" spans="1:30">
      <c r="A369" s="45" t="s">
        <v>341</v>
      </c>
      <c r="B369" s="45" t="s">
        <v>342</v>
      </c>
      <c r="C369" s="45" t="s">
        <v>490</v>
      </c>
      <c r="D369" s="45" t="s">
        <v>495</v>
      </c>
      <c r="E369" s="45" t="s">
        <v>492</v>
      </c>
      <c r="F369" s="45" t="s">
        <v>493</v>
      </c>
      <c r="G369" s="14">
        <v>502</v>
      </c>
      <c r="H369" s="14">
        <v>403</v>
      </c>
      <c r="I369" s="14">
        <v>582</v>
      </c>
      <c r="J369" s="14">
        <v>498</v>
      </c>
      <c r="K369" s="14">
        <v>543</v>
      </c>
      <c r="L369" s="14">
        <v>592</v>
      </c>
      <c r="M369" s="14">
        <v>591</v>
      </c>
      <c r="N369" s="14">
        <v>894</v>
      </c>
      <c r="O369" s="14">
        <v>766</v>
      </c>
      <c r="P369" s="14">
        <v>692</v>
      </c>
      <c r="Q369" s="14">
        <v>856</v>
      </c>
      <c r="R369" s="14">
        <v>872</v>
      </c>
      <c r="S369" s="14">
        <v>896</v>
      </c>
      <c r="T369" s="14">
        <v>1262</v>
      </c>
      <c r="U369" s="14">
        <v>1954</v>
      </c>
      <c r="V369" s="14">
        <v>1862</v>
      </c>
      <c r="W369" s="14">
        <v>1674</v>
      </c>
      <c r="X369" s="14">
        <v>2029</v>
      </c>
      <c r="Y369" s="14">
        <v>1863</v>
      </c>
      <c r="Z369" s="14">
        <v>2314</v>
      </c>
      <c r="AA369" s="14"/>
      <c r="AB369" s="14"/>
    </row>
    <row r="370" spans="1:30">
      <c r="A370" s="45" t="s">
        <v>341</v>
      </c>
      <c r="B370" s="45" t="s">
        <v>342</v>
      </c>
      <c r="C370" s="45" t="s">
        <v>490</v>
      </c>
      <c r="D370" s="45" t="s">
        <v>496</v>
      </c>
      <c r="E370" s="45" t="s">
        <v>492</v>
      </c>
      <c r="F370" s="45" t="s">
        <v>493</v>
      </c>
      <c r="G370" s="14">
        <v>1883</v>
      </c>
      <c r="H370" s="14">
        <v>1734</v>
      </c>
      <c r="I370" s="14">
        <v>2231</v>
      </c>
      <c r="J370" s="14">
        <v>2478</v>
      </c>
      <c r="K370" s="14">
        <v>2777</v>
      </c>
      <c r="L370" s="14">
        <v>3103</v>
      </c>
      <c r="M370" s="14">
        <v>3095</v>
      </c>
      <c r="N370" s="14">
        <v>3520</v>
      </c>
      <c r="O370" s="14">
        <v>3483</v>
      </c>
      <c r="P370" s="14">
        <v>4519</v>
      </c>
      <c r="Q370" s="14">
        <v>5348</v>
      </c>
      <c r="R370" s="14">
        <v>6145</v>
      </c>
      <c r="S370" s="14">
        <v>6120</v>
      </c>
      <c r="T370" s="14">
        <v>7249</v>
      </c>
      <c r="U370" s="14">
        <v>9527</v>
      </c>
      <c r="V370" s="14">
        <v>8341</v>
      </c>
      <c r="W370" s="14">
        <v>11346</v>
      </c>
      <c r="X370" s="14">
        <v>13597</v>
      </c>
      <c r="Y370" s="14">
        <v>13825</v>
      </c>
      <c r="Z370" s="14">
        <v>15739</v>
      </c>
      <c r="AA370" s="14"/>
      <c r="AB370" s="14"/>
    </row>
    <row r="371" spans="1:30">
      <c r="A371" s="45" t="s">
        <v>341</v>
      </c>
      <c r="B371" s="45" t="s">
        <v>342</v>
      </c>
      <c r="C371" s="45" t="s">
        <v>490</v>
      </c>
      <c r="D371" s="45" t="s">
        <v>497</v>
      </c>
      <c r="E371" s="45" t="s">
        <v>492</v>
      </c>
      <c r="F371" s="45" t="s">
        <v>493</v>
      </c>
      <c r="G371" s="14">
        <v>5783</v>
      </c>
      <c r="H371" s="14">
        <v>6502</v>
      </c>
      <c r="I371" s="14">
        <v>7026</v>
      </c>
      <c r="J371" s="14">
        <v>8316</v>
      </c>
      <c r="K371" s="14">
        <v>9285</v>
      </c>
      <c r="L371" s="14">
        <v>11787</v>
      </c>
      <c r="M371" s="14">
        <v>12783</v>
      </c>
      <c r="N371" s="14">
        <v>13735</v>
      </c>
      <c r="O371" s="14">
        <v>14343</v>
      </c>
      <c r="P371" s="14">
        <v>15891</v>
      </c>
      <c r="Q371" s="14">
        <v>17607</v>
      </c>
      <c r="R371" s="14">
        <v>21430</v>
      </c>
      <c r="S371" s="14">
        <v>23146</v>
      </c>
      <c r="T371" s="14">
        <v>24403</v>
      </c>
      <c r="U371" s="14">
        <v>25422</v>
      </c>
      <c r="V371" s="14">
        <v>28808</v>
      </c>
      <c r="W371" s="14">
        <v>29968</v>
      </c>
      <c r="X371" s="14">
        <v>33968</v>
      </c>
      <c r="Y371" s="14">
        <v>34655</v>
      </c>
      <c r="Z371" s="14">
        <v>38366</v>
      </c>
      <c r="AA371" s="14"/>
      <c r="AB371" s="14"/>
    </row>
    <row r="372" spans="1:30">
      <c r="A372" s="45" t="s">
        <v>341</v>
      </c>
      <c r="B372" s="45" t="s">
        <v>342</v>
      </c>
      <c r="C372" s="45" t="s">
        <v>498</v>
      </c>
      <c r="D372" s="45" t="s">
        <v>491</v>
      </c>
      <c r="E372" s="45" t="s">
        <v>499</v>
      </c>
      <c r="F372" s="45" t="s">
        <v>500</v>
      </c>
      <c r="G372" s="14">
        <v>17578.400000000001</v>
      </c>
      <c r="H372" s="14">
        <v>16550.5</v>
      </c>
      <c r="I372" s="14">
        <v>18081.400000000001</v>
      </c>
      <c r="J372" s="14">
        <v>18530.3</v>
      </c>
      <c r="K372" s="14">
        <v>19851.099999999999</v>
      </c>
      <c r="L372" s="14">
        <v>21720.7</v>
      </c>
      <c r="M372" s="14">
        <v>22154.7</v>
      </c>
      <c r="N372" s="14">
        <v>22495.7</v>
      </c>
      <c r="O372" s="14">
        <v>20875</v>
      </c>
      <c r="P372" s="14">
        <v>22823.4</v>
      </c>
      <c r="Q372" s="14">
        <v>22697.9</v>
      </c>
      <c r="R372" s="14">
        <v>24960</v>
      </c>
      <c r="S372" s="14">
        <v>25355.5</v>
      </c>
      <c r="T372" s="14">
        <v>25240.6</v>
      </c>
      <c r="U372" s="14">
        <v>25870.2</v>
      </c>
      <c r="V372" s="14">
        <v>25778.3</v>
      </c>
      <c r="W372" s="14">
        <v>27433.8</v>
      </c>
      <c r="X372" s="14">
        <v>30092</v>
      </c>
      <c r="Y372" s="14">
        <v>29008.9</v>
      </c>
      <c r="Z372" s="14">
        <v>29078.400000000001</v>
      </c>
      <c r="AA372" s="14"/>
      <c r="AB372" s="14"/>
      <c r="AC372" s="15">
        <f>IFERROR(Z372/G372-1,"")</f>
        <v>0.65421198743912989</v>
      </c>
      <c r="AD372" s="15">
        <f>IFERROR((Z372/G372)^(1/19)-1,"")</f>
        <v>2.6844776191844666E-2</v>
      </c>
    </row>
    <row r="373" spans="1:30">
      <c r="A373" s="45" t="s">
        <v>341</v>
      </c>
      <c r="B373" s="45" t="s">
        <v>342</v>
      </c>
      <c r="C373" s="45" t="s">
        <v>498</v>
      </c>
      <c r="D373" s="45" t="s">
        <v>495</v>
      </c>
      <c r="E373" s="45" t="s">
        <v>499</v>
      </c>
      <c r="F373" s="45" t="s">
        <v>500</v>
      </c>
      <c r="G373" s="14">
        <v>953.3</v>
      </c>
      <c r="H373" s="14">
        <v>671.2</v>
      </c>
      <c r="I373" s="14">
        <v>900.1</v>
      </c>
      <c r="J373" s="14">
        <v>716.3</v>
      </c>
      <c r="K373" s="14">
        <v>731.4</v>
      </c>
      <c r="L373" s="14">
        <v>749.9</v>
      </c>
      <c r="M373" s="14">
        <v>687.3</v>
      </c>
      <c r="N373" s="14">
        <v>969.3</v>
      </c>
      <c r="O373" s="14">
        <v>766</v>
      </c>
      <c r="P373" s="14">
        <v>638.9</v>
      </c>
      <c r="Q373" s="14">
        <v>732.1</v>
      </c>
      <c r="R373" s="14">
        <v>693.7</v>
      </c>
      <c r="S373" s="14">
        <v>661</v>
      </c>
      <c r="T373" s="14">
        <v>865.5</v>
      </c>
      <c r="U373" s="14">
        <v>1239.5999999999999</v>
      </c>
      <c r="V373" s="14">
        <v>1139.4000000000001</v>
      </c>
      <c r="W373" s="14">
        <v>980.3</v>
      </c>
      <c r="X373" s="14">
        <v>1140</v>
      </c>
      <c r="Y373" s="14">
        <v>983.1</v>
      </c>
      <c r="Z373" s="14">
        <v>1080.2</v>
      </c>
      <c r="AA373" s="14"/>
      <c r="AB373" s="14"/>
      <c r="AC373" s="15">
        <f>IFERROR(Z373/G373-1,"")</f>
        <v>0.13311654253645244</v>
      </c>
      <c r="AD373" s="15">
        <f>IFERROR((Z373/G373)^(1/19)-1,"")</f>
        <v>6.5991442217281371E-3</v>
      </c>
    </row>
    <row r="374" spans="1:30">
      <c r="A374" s="45" t="s">
        <v>341</v>
      </c>
      <c r="B374" s="45" t="s">
        <v>342</v>
      </c>
      <c r="C374" s="45" t="s">
        <v>498</v>
      </c>
      <c r="D374" s="45" t="s">
        <v>496</v>
      </c>
      <c r="E374" s="45" t="s">
        <v>499</v>
      </c>
      <c r="F374" s="45" t="s">
        <v>500</v>
      </c>
      <c r="G374" s="14">
        <v>3578</v>
      </c>
      <c r="H374" s="14">
        <v>2886.7</v>
      </c>
      <c r="I374" s="14">
        <v>3447.2</v>
      </c>
      <c r="J374" s="14">
        <v>3564.9</v>
      </c>
      <c r="K374" s="14">
        <v>3741.2</v>
      </c>
      <c r="L374" s="14">
        <v>3927.4</v>
      </c>
      <c r="M374" s="14">
        <v>3600.9</v>
      </c>
      <c r="N374" s="14">
        <v>3816.5</v>
      </c>
      <c r="O374" s="14">
        <v>3483</v>
      </c>
      <c r="P374" s="14">
        <v>4172</v>
      </c>
      <c r="Q374" s="14">
        <v>4574</v>
      </c>
      <c r="R374" s="14">
        <v>4888.7</v>
      </c>
      <c r="S374" s="14">
        <v>4514.6000000000004</v>
      </c>
      <c r="T374" s="14">
        <v>4971.3</v>
      </c>
      <c r="U374" s="14">
        <v>6043.8</v>
      </c>
      <c r="V374" s="14">
        <v>5104</v>
      </c>
      <c r="W374" s="14">
        <v>6644.3</v>
      </c>
      <c r="X374" s="14">
        <v>7639.7</v>
      </c>
      <c r="Y374" s="14">
        <v>7295.6</v>
      </c>
      <c r="Z374" s="14">
        <v>7347.1</v>
      </c>
      <c r="AA374" s="14"/>
      <c r="AB374" s="14"/>
      <c r="AC374" s="15">
        <f>IFERROR(Z374/G374-1,"")</f>
        <v>1.0534097261039688</v>
      </c>
      <c r="AD374" s="15">
        <f>IFERROR((Z374/G374)^(1/19)-1,"")</f>
        <v>3.8594659222215943E-2</v>
      </c>
    </row>
    <row r="375" spans="1:30">
      <c r="A375" s="45" t="s">
        <v>341</v>
      </c>
      <c r="B375" s="45" t="s">
        <v>342</v>
      </c>
      <c r="C375" s="45" t="s">
        <v>498</v>
      </c>
      <c r="D375" s="45" t="s">
        <v>497</v>
      </c>
      <c r="E375" s="45" t="s">
        <v>499</v>
      </c>
      <c r="F375" s="45" t="s">
        <v>500</v>
      </c>
      <c r="G375" s="14">
        <v>10986.6</v>
      </c>
      <c r="H375" s="14">
        <v>10826.9</v>
      </c>
      <c r="I375" s="14">
        <v>10858</v>
      </c>
      <c r="J375" s="14">
        <v>11961.4</v>
      </c>
      <c r="K375" s="14">
        <v>12508.5</v>
      </c>
      <c r="L375" s="14">
        <v>14918.4</v>
      </c>
      <c r="M375" s="14">
        <v>14873.8</v>
      </c>
      <c r="N375" s="14">
        <v>14891.9</v>
      </c>
      <c r="O375" s="14">
        <v>14343</v>
      </c>
      <c r="P375" s="14">
        <v>14670.6</v>
      </c>
      <c r="Q375" s="14">
        <v>15058.7</v>
      </c>
      <c r="R375" s="14">
        <v>17048.900000000001</v>
      </c>
      <c r="S375" s="14">
        <v>17074.3</v>
      </c>
      <c r="T375" s="14">
        <v>16735.400000000001</v>
      </c>
      <c r="U375" s="14">
        <v>16127.3</v>
      </c>
      <c r="V375" s="14">
        <v>17628.099999999999</v>
      </c>
      <c r="W375" s="14">
        <v>17549.400000000001</v>
      </c>
      <c r="X375" s="14">
        <v>19085.599999999999</v>
      </c>
      <c r="Y375" s="14">
        <v>18287.900000000001</v>
      </c>
      <c r="Z375" s="14">
        <v>17910.5</v>
      </c>
      <c r="AA375" s="14"/>
      <c r="AB375" s="14"/>
      <c r="AC375" s="15">
        <f>IFERROR(Z375/G375-1,"")</f>
        <v>0.63021316876922784</v>
      </c>
      <c r="AD375" s="15">
        <f>IFERROR((Z375/G375)^(1/19)-1,"")</f>
        <v>2.6055275696206692E-2</v>
      </c>
    </row>
    <row r="376" spans="1:30">
      <c r="A376" s="45" t="s">
        <v>341</v>
      </c>
      <c r="B376" s="45" t="s">
        <v>342</v>
      </c>
      <c r="C376" s="45" t="s">
        <v>498</v>
      </c>
      <c r="D376" s="45" t="s">
        <v>501</v>
      </c>
      <c r="E376" s="45" t="s">
        <v>499</v>
      </c>
      <c r="F376" s="45" t="s">
        <v>500</v>
      </c>
      <c r="G376" s="14">
        <v>1536.8</v>
      </c>
      <c r="H376" s="14">
        <v>1739.2</v>
      </c>
      <c r="I376" s="14">
        <v>2344.5</v>
      </c>
      <c r="J376" s="14">
        <v>1721.7</v>
      </c>
      <c r="K376" s="14">
        <v>1970.9</v>
      </c>
      <c r="L376" s="14">
        <v>1158</v>
      </c>
      <c r="M376" s="14">
        <v>1914.9</v>
      </c>
      <c r="N376" s="14">
        <v>1886.6</v>
      </c>
      <c r="O376" s="14">
        <v>1316</v>
      </c>
      <c r="P376" s="14">
        <v>2142.8000000000002</v>
      </c>
      <c r="Q376" s="14">
        <v>1195.7</v>
      </c>
      <c r="R376" s="14">
        <v>1243.5</v>
      </c>
      <c r="S376" s="14">
        <v>1787.4</v>
      </c>
      <c r="T376" s="14">
        <v>1397</v>
      </c>
      <c r="U376" s="14">
        <v>1320.2</v>
      </c>
      <c r="V376" s="14">
        <v>1371.9</v>
      </c>
      <c r="W376" s="14">
        <v>1281.3</v>
      </c>
      <c r="X376" s="14">
        <v>1194.5</v>
      </c>
      <c r="Y376" s="14">
        <v>1448</v>
      </c>
      <c r="Z376" s="14">
        <v>1518.5</v>
      </c>
      <c r="AA376" s="14"/>
      <c r="AB376" s="14"/>
      <c r="AC376" s="15">
        <f>IFERROR(Z376/G376-1,"")</f>
        <v>-1.1907860489328459E-2</v>
      </c>
      <c r="AD376" s="15">
        <f>IFERROR((Z376/G376)^(1/19)-1,"")</f>
        <v>-6.3029217546350935E-4</v>
      </c>
    </row>
    <row r="377" spans="1:30">
      <c r="A377" s="45" t="s">
        <v>311</v>
      </c>
      <c r="B377" s="45" t="s">
        <v>312</v>
      </c>
      <c r="C377" s="45" t="s">
        <v>490</v>
      </c>
      <c r="D377" s="45" t="s">
        <v>491</v>
      </c>
      <c r="E377" s="45" t="s">
        <v>492</v>
      </c>
      <c r="F377" s="45" t="s">
        <v>493</v>
      </c>
      <c r="G377" s="14">
        <v>11259</v>
      </c>
      <c r="H377" s="14">
        <v>12201</v>
      </c>
      <c r="I377" s="14">
        <v>13618</v>
      </c>
      <c r="J377" s="14">
        <v>16108</v>
      </c>
      <c r="K377" s="14">
        <v>18508</v>
      </c>
      <c r="L377" s="14">
        <v>21898</v>
      </c>
      <c r="M377" s="14">
        <v>26824</v>
      </c>
      <c r="N377" s="14">
        <v>29902</v>
      </c>
      <c r="O377" s="14">
        <v>34242</v>
      </c>
      <c r="P377" s="14">
        <v>45213</v>
      </c>
      <c r="Q377" s="14">
        <v>45809</v>
      </c>
      <c r="R377" s="14">
        <v>46063</v>
      </c>
      <c r="S377" s="14">
        <v>45692</v>
      </c>
      <c r="T377" s="14">
        <v>62697</v>
      </c>
      <c r="U377" s="14">
        <v>64110</v>
      </c>
      <c r="V377" s="14">
        <v>64753</v>
      </c>
      <c r="W377" s="14">
        <v>68443</v>
      </c>
      <c r="X377" s="14">
        <v>70092</v>
      </c>
      <c r="Y377" s="14">
        <v>70872</v>
      </c>
      <c r="Z377" s="14">
        <v>81976</v>
      </c>
      <c r="AA377" s="14">
        <v>85666</v>
      </c>
      <c r="AB377" s="14">
        <v>90161</v>
      </c>
    </row>
    <row r="378" spans="1:30">
      <c r="A378" s="45" t="s">
        <v>311</v>
      </c>
      <c r="B378" s="45" t="s">
        <v>312</v>
      </c>
      <c r="C378" s="45" t="s">
        <v>490</v>
      </c>
      <c r="D378" s="45" t="s">
        <v>494</v>
      </c>
      <c r="E378" s="45" t="s">
        <v>492</v>
      </c>
      <c r="F378" s="45" t="s">
        <v>493</v>
      </c>
      <c r="G378" s="14">
        <v>10787</v>
      </c>
      <c r="H378" s="14">
        <v>11640</v>
      </c>
      <c r="I378" s="14">
        <v>13053</v>
      </c>
      <c r="J378" s="14">
        <v>15397</v>
      </c>
      <c r="K378" s="14">
        <v>17523</v>
      </c>
      <c r="L378" s="14">
        <v>20534</v>
      </c>
      <c r="M378" s="14">
        <v>25017</v>
      </c>
      <c r="N378" s="14">
        <v>27972</v>
      </c>
      <c r="O378" s="14">
        <v>31648</v>
      </c>
      <c r="P378" s="14">
        <v>42108</v>
      </c>
      <c r="Q378" s="14">
        <v>42291</v>
      </c>
      <c r="R378" s="14">
        <v>42594</v>
      </c>
      <c r="S378" s="14">
        <v>41905</v>
      </c>
      <c r="T378" s="14">
        <v>58382</v>
      </c>
      <c r="U378" s="14">
        <v>60596</v>
      </c>
      <c r="V378" s="14">
        <v>61040</v>
      </c>
      <c r="W378" s="14">
        <v>63267</v>
      </c>
      <c r="X378" s="14">
        <v>65300</v>
      </c>
      <c r="Y378" s="14">
        <v>66173</v>
      </c>
      <c r="Z378" s="14">
        <v>76068</v>
      </c>
      <c r="AA378" s="14"/>
      <c r="AB378" s="14"/>
    </row>
    <row r="379" spans="1:30">
      <c r="A379" s="45" t="s">
        <v>311</v>
      </c>
      <c r="B379" s="45" t="s">
        <v>312</v>
      </c>
      <c r="C379" s="45" t="s">
        <v>490</v>
      </c>
      <c r="D379" s="45" t="s">
        <v>495</v>
      </c>
      <c r="E379" s="45" t="s">
        <v>492</v>
      </c>
      <c r="F379" s="45" t="s">
        <v>493</v>
      </c>
      <c r="G379" s="14">
        <v>692</v>
      </c>
      <c r="H379" s="14">
        <v>636</v>
      </c>
      <c r="I379" s="14">
        <v>901</v>
      </c>
      <c r="J379" s="14">
        <v>1217</v>
      </c>
      <c r="K379" s="14">
        <v>1624</v>
      </c>
      <c r="L379" s="14">
        <v>1768</v>
      </c>
      <c r="M379" s="14">
        <v>3142</v>
      </c>
      <c r="N379" s="14">
        <v>3117</v>
      </c>
      <c r="O379" s="14">
        <v>4588</v>
      </c>
      <c r="P379" s="14">
        <v>9437</v>
      </c>
      <c r="Q379" s="14">
        <v>7745</v>
      </c>
      <c r="R379" s="14">
        <v>5618</v>
      </c>
      <c r="S379" s="14">
        <v>3896</v>
      </c>
      <c r="T379" s="14">
        <v>14011</v>
      </c>
      <c r="U379" s="14">
        <v>13302</v>
      </c>
      <c r="V379" s="14">
        <v>11500</v>
      </c>
      <c r="W379" s="14">
        <v>9850</v>
      </c>
      <c r="X379" s="14">
        <v>10048</v>
      </c>
      <c r="Y379" s="14">
        <v>9018</v>
      </c>
      <c r="Z379" s="14">
        <v>11891</v>
      </c>
      <c r="AA379" s="14"/>
      <c r="AB379" s="14"/>
    </row>
    <row r="380" spans="1:30">
      <c r="A380" s="45" t="s">
        <v>311</v>
      </c>
      <c r="B380" s="45" t="s">
        <v>312</v>
      </c>
      <c r="C380" s="45" t="s">
        <v>490</v>
      </c>
      <c r="D380" s="45" t="s">
        <v>496</v>
      </c>
      <c r="E380" s="45" t="s">
        <v>492</v>
      </c>
      <c r="F380" s="45" t="s">
        <v>493</v>
      </c>
      <c r="G380" s="14">
        <v>2225</v>
      </c>
      <c r="H380" s="14">
        <v>2524</v>
      </c>
      <c r="I380" s="14">
        <v>2870</v>
      </c>
      <c r="J380" s="14">
        <v>3337</v>
      </c>
      <c r="K380" s="14">
        <v>3793</v>
      </c>
      <c r="L380" s="14">
        <v>4380</v>
      </c>
      <c r="M380" s="14">
        <v>4746</v>
      </c>
      <c r="N380" s="14">
        <v>5935</v>
      </c>
      <c r="O380" s="14">
        <v>7040</v>
      </c>
      <c r="P380" s="14">
        <v>10382</v>
      </c>
      <c r="Q380" s="14">
        <v>10837</v>
      </c>
      <c r="R380" s="14">
        <v>10806</v>
      </c>
      <c r="S380" s="14">
        <v>10662</v>
      </c>
      <c r="T380" s="14">
        <v>14415</v>
      </c>
      <c r="U380" s="14">
        <v>15836</v>
      </c>
      <c r="V380" s="14">
        <v>15340</v>
      </c>
      <c r="W380" s="14">
        <v>18226</v>
      </c>
      <c r="X380" s="14">
        <v>19387</v>
      </c>
      <c r="Y380" s="14">
        <v>19228</v>
      </c>
      <c r="Z380" s="14">
        <v>21595</v>
      </c>
      <c r="AA380" s="14"/>
      <c r="AB380" s="14"/>
    </row>
    <row r="381" spans="1:30">
      <c r="A381" s="45" t="s">
        <v>311</v>
      </c>
      <c r="B381" s="45" t="s">
        <v>312</v>
      </c>
      <c r="C381" s="45" t="s">
        <v>490</v>
      </c>
      <c r="D381" s="45" t="s">
        <v>497</v>
      </c>
      <c r="E381" s="45" t="s">
        <v>492</v>
      </c>
      <c r="F381" s="45" t="s">
        <v>493</v>
      </c>
      <c r="G381" s="14">
        <v>7043</v>
      </c>
      <c r="H381" s="14">
        <v>7599</v>
      </c>
      <c r="I381" s="14">
        <v>8323</v>
      </c>
      <c r="J381" s="14">
        <v>9706</v>
      </c>
      <c r="K381" s="14">
        <v>10839</v>
      </c>
      <c r="L381" s="14">
        <v>13126</v>
      </c>
      <c r="M381" s="14">
        <v>15028</v>
      </c>
      <c r="N381" s="14">
        <v>16722</v>
      </c>
      <c r="O381" s="14">
        <v>17331</v>
      </c>
      <c r="P381" s="14">
        <v>19452</v>
      </c>
      <c r="Q381" s="14">
        <v>21175</v>
      </c>
      <c r="R381" s="14">
        <v>23170</v>
      </c>
      <c r="S381" s="14">
        <v>24109</v>
      </c>
      <c r="T381" s="14">
        <v>26577</v>
      </c>
      <c r="U381" s="14">
        <v>28234</v>
      </c>
      <c r="V381" s="14">
        <v>31059</v>
      </c>
      <c r="W381" s="14">
        <v>31420</v>
      </c>
      <c r="X381" s="14">
        <v>34217</v>
      </c>
      <c r="Y381" s="14">
        <v>35541</v>
      </c>
      <c r="Z381" s="14">
        <v>40623</v>
      </c>
      <c r="AA381" s="14"/>
      <c r="AB381" s="14"/>
    </row>
    <row r="382" spans="1:30">
      <c r="A382" s="45" t="s">
        <v>311</v>
      </c>
      <c r="B382" s="45" t="s">
        <v>312</v>
      </c>
      <c r="C382" s="45" t="s">
        <v>498</v>
      </c>
      <c r="D382" s="45" t="s">
        <v>491</v>
      </c>
      <c r="E382" s="45" t="s">
        <v>499</v>
      </c>
      <c r="F382" s="45" t="s">
        <v>500</v>
      </c>
      <c r="G382" s="14">
        <v>21389.3</v>
      </c>
      <c r="H382" s="14">
        <v>20316.099999999999</v>
      </c>
      <c r="I382" s="14">
        <v>21044.799999999999</v>
      </c>
      <c r="J382" s="14">
        <v>23170.1</v>
      </c>
      <c r="K382" s="14">
        <v>24933.599999999999</v>
      </c>
      <c r="L382" s="14">
        <v>27716.1</v>
      </c>
      <c r="M382" s="14">
        <v>31210.2</v>
      </c>
      <c r="N382" s="14">
        <v>32420.7</v>
      </c>
      <c r="O382" s="14">
        <v>34242</v>
      </c>
      <c r="P382" s="14">
        <v>41740.800000000003</v>
      </c>
      <c r="Q382" s="14">
        <v>39179</v>
      </c>
      <c r="R382" s="14">
        <v>36646.1</v>
      </c>
      <c r="S382" s="14">
        <v>33706.1</v>
      </c>
      <c r="T382" s="14">
        <v>42997.1</v>
      </c>
      <c r="U382" s="14">
        <v>40670.400000000001</v>
      </c>
      <c r="V382" s="14">
        <v>39623.5</v>
      </c>
      <c r="W382" s="14">
        <v>40080.5</v>
      </c>
      <c r="X382" s="14">
        <v>39382.5</v>
      </c>
      <c r="Y382" s="14">
        <v>37400.1</v>
      </c>
      <c r="Z382" s="14">
        <v>38267</v>
      </c>
      <c r="AA382" s="14"/>
      <c r="AB382" s="14"/>
      <c r="AC382" s="15">
        <f>IFERROR(Z382/G382-1,"")</f>
        <v>0.78907210614653134</v>
      </c>
      <c r="AD382" s="15">
        <f>IFERROR((Z382/G382)^(1/19)-1,"")</f>
        <v>3.1089115532562106E-2</v>
      </c>
    </row>
    <row r="383" spans="1:30">
      <c r="A383" s="45" t="s">
        <v>311</v>
      </c>
      <c r="B383" s="45" t="s">
        <v>312</v>
      </c>
      <c r="C383" s="45" t="s">
        <v>498</v>
      </c>
      <c r="D383" s="45" t="s">
        <v>495</v>
      </c>
      <c r="E383" s="45" t="s">
        <v>499</v>
      </c>
      <c r="F383" s="45" t="s">
        <v>500</v>
      </c>
      <c r="G383" s="14">
        <v>1314.6</v>
      </c>
      <c r="H383" s="14">
        <v>1058.7</v>
      </c>
      <c r="I383" s="14">
        <v>1392.7</v>
      </c>
      <c r="J383" s="14">
        <v>1750.5</v>
      </c>
      <c r="K383" s="14">
        <v>2188.3000000000002</v>
      </c>
      <c r="L383" s="14">
        <v>2238.1999999999998</v>
      </c>
      <c r="M383" s="14">
        <v>3655.8</v>
      </c>
      <c r="N383" s="14">
        <v>3379.6</v>
      </c>
      <c r="O383" s="14">
        <v>4588</v>
      </c>
      <c r="P383" s="14">
        <v>8712.2999999999993</v>
      </c>
      <c r="Q383" s="14">
        <v>6624</v>
      </c>
      <c r="R383" s="14">
        <v>4469.5</v>
      </c>
      <c r="S383" s="14">
        <v>2874</v>
      </c>
      <c r="T383" s="14">
        <v>9608.6</v>
      </c>
      <c r="U383" s="14">
        <v>8438.6</v>
      </c>
      <c r="V383" s="14">
        <v>7037.1</v>
      </c>
      <c r="W383" s="14">
        <v>5768.2</v>
      </c>
      <c r="X383" s="14">
        <v>5645.7</v>
      </c>
      <c r="Y383" s="14">
        <v>4758.8999999999996</v>
      </c>
      <c r="Z383" s="14">
        <v>5550.8</v>
      </c>
      <c r="AA383" s="14"/>
      <c r="AB383" s="14"/>
      <c r="AC383" s="15">
        <f>IFERROR(Z383/G383-1,"")</f>
        <v>3.2224250722653283</v>
      </c>
      <c r="AD383" s="15">
        <f>IFERROR((Z383/G383)^(1/19)-1,"")</f>
        <v>7.8758704966963133E-2</v>
      </c>
    </row>
    <row r="384" spans="1:30">
      <c r="A384" s="45" t="s">
        <v>311</v>
      </c>
      <c r="B384" s="45" t="s">
        <v>312</v>
      </c>
      <c r="C384" s="45" t="s">
        <v>498</v>
      </c>
      <c r="D384" s="45" t="s">
        <v>496</v>
      </c>
      <c r="E384" s="45" t="s">
        <v>499</v>
      </c>
      <c r="F384" s="45" t="s">
        <v>500</v>
      </c>
      <c r="G384" s="14">
        <v>4226.3</v>
      </c>
      <c r="H384" s="14">
        <v>4202.3</v>
      </c>
      <c r="I384" s="14">
        <v>4435.5</v>
      </c>
      <c r="J384" s="14">
        <v>4799.7</v>
      </c>
      <c r="K384" s="14">
        <v>5110.3999999999996</v>
      </c>
      <c r="L384" s="14">
        <v>5543</v>
      </c>
      <c r="M384" s="14">
        <v>5522.2</v>
      </c>
      <c r="N384" s="14">
        <v>6434.9</v>
      </c>
      <c r="O384" s="14">
        <v>7040</v>
      </c>
      <c r="P384" s="14">
        <v>9584.7000000000007</v>
      </c>
      <c r="Q384" s="14">
        <v>9268.5</v>
      </c>
      <c r="R384" s="14">
        <v>8596.9</v>
      </c>
      <c r="S384" s="14">
        <v>7865.1</v>
      </c>
      <c r="T384" s="14">
        <v>9885.7000000000007</v>
      </c>
      <c r="U384" s="14">
        <v>10046.1</v>
      </c>
      <c r="V384" s="14">
        <v>9386.7999999999993</v>
      </c>
      <c r="W384" s="14">
        <v>10673.2</v>
      </c>
      <c r="X384" s="14">
        <v>10893</v>
      </c>
      <c r="Y384" s="14">
        <v>10146.9</v>
      </c>
      <c r="Z384" s="14">
        <v>10080.700000000001</v>
      </c>
      <c r="AA384" s="14"/>
      <c r="AB384" s="14"/>
      <c r="AC384" s="15">
        <f>IFERROR(Z384/G384-1,"")</f>
        <v>1.3852305799399001</v>
      </c>
      <c r="AD384" s="15">
        <f>IFERROR((Z384/G384)^(1/19)-1,"")</f>
        <v>4.6815198383781675E-2</v>
      </c>
    </row>
    <row r="385" spans="1:30">
      <c r="A385" s="45" t="s">
        <v>311</v>
      </c>
      <c r="B385" s="45" t="s">
        <v>312</v>
      </c>
      <c r="C385" s="45" t="s">
        <v>498</v>
      </c>
      <c r="D385" s="45" t="s">
        <v>497</v>
      </c>
      <c r="E385" s="45" t="s">
        <v>499</v>
      </c>
      <c r="F385" s="45" t="s">
        <v>500</v>
      </c>
      <c r="G385" s="14">
        <v>13379.6</v>
      </c>
      <c r="H385" s="14">
        <v>12652.4</v>
      </c>
      <c r="I385" s="14">
        <v>12861.4</v>
      </c>
      <c r="J385" s="14">
        <v>13962</v>
      </c>
      <c r="K385" s="14">
        <v>14602.1</v>
      </c>
      <c r="L385" s="14">
        <v>16613.599999999999</v>
      </c>
      <c r="M385" s="14">
        <v>17485.599999999999</v>
      </c>
      <c r="N385" s="14">
        <v>18130.599999999999</v>
      </c>
      <c r="O385" s="14">
        <v>17331</v>
      </c>
      <c r="P385" s="14">
        <v>17958.099999999999</v>
      </c>
      <c r="Q385" s="14">
        <v>18110.3</v>
      </c>
      <c r="R385" s="14">
        <v>18433.2</v>
      </c>
      <c r="S385" s="14">
        <v>17784.7</v>
      </c>
      <c r="T385" s="14">
        <v>18226.3</v>
      </c>
      <c r="U385" s="14">
        <v>17911.2</v>
      </c>
      <c r="V385" s="14">
        <v>19005.599999999999</v>
      </c>
      <c r="W385" s="14">
        <v>18399.7</v>
      </c>
      <c r="X385" s="14">
        <v>19225.5</v>
      </c>
      <c r="Y385" s="14">
        <v>18755.400000000001</v>
      </c>
      <c r="Z385" s="14">
        <v>18963.599999999999</v>
      </c>
      <c r="AA385" s="14"/>
      <c r="AB385" s="14"/>
      <c r="AC385" s="15">
        <f>IFERROR(Z385/G385-1,"")</f>
        <v>0.41735178929115957</v>
      </c>
      <c r="AD385" s="15">
        <f>IFERROR((Z385/G385)^(1/19)-1,"")</f>
        <v>1.8526911072687113E-2</v>
      </c>
    </row>
    <row r="386" spans="1:30">
      <c r="A386" s="45" t="s">
        <v>311</v>
      </c>
      <c r="B386" s="45" t="s">
        <v>312</v>
      </c>
      <c r="C386" s="45" t="s">
        <v>498</v>
      </c>
      <c r="D386" s="45" t="s">
        <v>501</v>
      </c>
      <c r="E386" s="45" t="s">
        <v>499</v>
      </c>
      <c r="F386" s="45" t="s">
        <v>500</v>
      </c>
      <c r="G386" s="14">
        <v>1572.8</v>
      </c>
      <c r="H386" s="14">
        <v>1468.5</v>
      </c>
      <c r="I386" s="14">
        <v>1481.2</v>
      </c>
      <c r="J386" s="14">
        <v>1635.5</v>
      </c>
      <c r="K386" s="14">
        <v>1705.5</v>
      </c>
      <c r="L386" s="14">
        <v>1594.2</v>
      </c>
      <c r="M386" s="14">
        <v>2444.6</v>
      </c>
      <c r="N386" s="14">
        <v>2384.1999999999998</v>
      </c>
      <c r="O386" s="14">
        <v>2688</v>
      </c>
      <c r="P386" s="14">
        <v>2618.1999999999998</v>
      </c>
      <c r="Q386" s="14">
        <v>2167.1999999999998</v>
      </c>
      <c r="R386" s="14">
        <v>2387.5</v>
      </c>
      <c r="S386" s="14">
        <v>2388.6</v>
      </c>
      <c r="T386" s="14">
        <v>2317.3000000000002</v>
      </c>
      <c r="U386" s="14">
        <v>2045.3</v>
      </c>
      <c r="V386" s="14">
        <v>1922</v>
      </c>
      <c r="W386" s="14">
        <v>2208.3000000000002</v>
      </c>
      <c r="X386" s="14">
        <v>926</v>
      </c>
      <c r="Y386" s="14">
        <v>1259.0999999999999</v>
      </c>
      <c r="Z386" s="14">
        <v>914.5</v>
      </c>
      <c r="AA386" s="14"/>
      <c r="AB386" s="14"/>
      <c r="AC386" s="15">
        <f>IFERROR(Z386/G386-1,"")</f>
        <v>-0.41855289928789419</v>
      </c>
      <c r="AD386" s="15">
        <f>IFERROR((Z386/G386)^(1/19)-1,"")</f>
        <v>-2.8135316801733201E-2</v>
      </c>
    </row>
    <row r="387" spans="1:30">
      <c r="A387" s="45" t="s">
        <v>289</v>
      </c>
      <c r="B387" s="45" t="s">
        <v>290</v>
      </c>
      <c r="C387" s="45" t="s">
        <v>490</v>
      </c>
      <c r="D387" s="45" t="s">
        <v>491</v>
      </c>
      <c r="E387" s="45" t="s">
        <v>492</v>
      </c>
      <c r="F387" s="45" t="s">
        <v>493</v>
      </c>
      <c r="G387" s="14">
        <v>17072</v>
      </c>
      <c r="H387" s="14">
        <v>19681</v>
      </c>
      <c r="I387" s="14">
        <v>22181</v>
      </c>
      <c r="J387" s="14">
        <v>27027</v>
      </c>
      <c r="K387" s="14">
        <v>29136</v>
      </c>
      <c r="L387" s="14">
        <v>31053</v>
      </c>
      <c r="M387" s="14">
        <v>33488</v>
      </c>
      <c r="N387" s="14">
        <v>37023</v>
      </c>
      <c r="O387" s="14">
        <v>39793</v>
      </c>
      <c r="P387" s="14">
        <v>44107</v>
      </c>
      <c r="Q387" s="14">
        <v>46274</v>
      </c>
      <c r="R387" s="14">
        <v>52162</v>
      </c>
      <c r="S387" s="14">
        <v>55387</v>
      </c>
      <c r="T387" s="14">
        <v>62468</v>
      </c>
      <c r="U387" s="14">
        <v>66520</v>
      </c>
      <c r="V387" s="14">
        <v>72127</v>
      </c>
      <c r="W387" s="14">
        <v>81429</v>
      </c>
      <c r="X387" s="14">
        <v>87619</v>
      </c>
      <c r="Y387" s="14">
        <v>90209</v>
      </c>
      <c r="Z387" s="14">
        <v>97584</v>
      </c>
      <c r="AA387" s="14">
        <v>113844</v>
      </c>
      <c r="AB387" s="14">
        <v>126682</v>
      </c>
    </row>
    <row r="388" spans="1:30">
      <c r="A388" s="45" t="s">
        <v>289</v>
      </c>
      <c r="B388" s="45" t="s">
        <v>290</v>
      </c>
      <c r="C388" s="45" t="s">
        <v>490</v>
      </c>
      <c r="D388" s="45" t="s">
        <v>494</v>
      </c>
      <c r="E388" s="45" t="s">
        <v>492</v>
      </c>
      <c r="F388" s="45" t="s">
        <v>493</v>
      </c>
      <c r="G388" s="14">
        <v>16396</v>
      </c>
      <c r="H388" s="14">
        <v>18932</v>
      </c>
      <c r="I388" s="14">
        <v>21353</v>
      </c>
      <c r="J388" s="14">
        <v>26064</v>
      </c>
      <c r="K388" s="14">
        <v>27667</v>
      </c>
      <c r="L388" s="14">
        <v>29304</v>
      </c>
      <c r="M388" s="14">
        <v>31720</v>
      </c>
      <c r="N388" s="14">
        <v>35173</v>
      </c>
      <c r="O388" s="14">
        <v>38013</v>
      </c>
      <c r="P388" s="14">
        <v>42236</v>
      </c>
      <c r="Q388" s="14">
        <v>44288</v>
      </c>
      <c r="R388" s="14">
        <v>50240</v>
      </c>
      <c r="S388" s="14">
        <v>53292</v>
      </c>
      <c r="T388" s="14">
        <v>59542</v>
      </c>
      <c r="U388" s="14">
        <v>64158</v>
      </c>
      <c r="V388" s="14">
        <v>70004</v>
      </c>
      <c r="W388" s="14">
        <v>77628</v>
      </c>
      <c r="X388" s="14">
        <v>83964</v>
      </c>
      <c r="Y388" s="14">
        <v>86602</v>
      </c>
      <c r="Z388" s="14">
        <v>91985</v>
      </c>
      <c r="AA388" s="14"/>
      <c r="AB388" s="14"/>
    </row>
    <row r="389" spans="1:30">
      <c r="A389" s="45" t="s">
        <v>289</v>
      </c>
      <c r="B389" s="45" t="s">
        <v>290</v>
      </c>
      <c r="C389" s="45" t="s">
        <v>490</v>
      </c>
      <c r="D389" s="45" t="s">
        <v>495</v>
      </c>
      <c r="E389" s="45" t="s">
        <v>492</v>
      </c>
      <c r="F389" s="45" t="s">
        <v>493</v>
      </c>
      <c r="G389" s="14">
        <v>969</v>
      </c>
      <c r="H389" s="14">
        <v>913</v>
      </c>
      <c r="I389" s="14">
        <v>1070</v>
      </c>
      <c r="J389" s="14">
        <v>1189</v>
      </c>
      <c r="K389" s="14">
        <v>1102</v>
      </c>
      <c r="L389" s="14">
        <v>1240</v>
      </c>
      <c r="M389" s="14">
        <v>1240</v>
      </c>
      <c r="N389" s="14">
        <v>1351</v>
      </c>
      <c r="O389" s="14">
        <v>1157</v>
      </c>
      <c r="P389" s="14">
        <v>1347</v>
      </c>
      <c r="Q389" s="14">
        <v>1614</v>
      </c>
      <c r="R389" s="14">
        <v>1559</v>
      </c>
      <c r="S389" s="14">
        <v>1479</v>
      </c>
      <c r="T389" s="14">
        <v>1775</v>
      </c>
      <c r="U389" s="14">
        <v>2205</v>
      </c>
      <c r="V389" s="14">
        <v>2439</v>
      </c>
      <c r="W389" s="14">
        <v>2594</v>
      </c>
      <c r="X389" s="14">
        <v>2804</v>
      </c>
      <c r="Y389" s="14">
        <v>2679</v>
      </c>
      <c r="Z389" s="14">
        <v>3117</v>
      </c>
      <c r="AA389" s="14"/>
      <c r="AB389" s="14"/>
    </row>
    <row r="390" spans="1:30">
      <c r="A390" s="45" t="s">
        <v>289</v>
      </c>
      <c r="B390" s="45" t="s">
        <v>290</v>
      </c>
      <c r="C390" s="45" t="s">
        <v>490</v>
      </c>
      <c r="D390" s="45" t="s">
        <v>496</v>
      </c>
      <c r="E390" s="45" t="s">
        <v>492</v>
      </c>
      <c r="F390" s="45" t="s">
        <v>493</v>
      </c>
      <c r="G390" s="14">
        <v>3253</v>
      </c>
      <c r="H390" s="14">
        <v>4021</v>
      </c>
      <c r="I390" s="14">
        <v>4499</v>
      </c>
      <c r="J390" s="14">
        <v>5193</v>
      </c>
      <c r="K390" s="14">
        <v>5182</v>
      </c>
      <c r="L390" s="14">
        <v>5746</v>
      </c>
      <c r="M390" s="14">
        <v>6050</v>
      </c>
      <c r="N390" s="14">
        <v>6634</v>
      </c>
      <c r="O390" s="14">
        <v>8260</v>
      </c>
      <c r="P390" s="14">
        <v>9128</v>
      </c>
      <c r="Q390" s="14">
        <v>9038</v>
      </c>
      <c r="R390" s="14">
        <v>9790</v>
      </c>
      <c r="S390" s="14">
        <v>9944</v>
      </c>
      <c r="T390" s="14">
        <v>12129</v>
      </c>
      <c r="U390" s="14">
        <v>14162</v>
      </c>
      <c r="V390" s="14">
        <v>14590</v>
      </c>
      <c r="W390" s="14">
        <v>20400</v>
      </c>
      <c r="X390" s="14">
        <v>21552</v>
      </c>
      <c r="Y390" s="14">
        <v>21542</v>
      </c>
      <c r="Z390" s="14">
        <v>22482</v>
      </c>
      <c r="AA390" s="14"/>
      <c r="AB390" s="14"/>
    </row>
    <row r="391" spans="1:30">
      <c r="A391" s="45" t="s">
        <v>289</v>
      </c>
      <c r="B391" s="45" t="s">
        <v>290</v>
      </c>
      <c r="C391" s="45" t="s">
        <v>490</v>
      </c>
      <c r="D391" s="45" t="s">
        <v>497</v>
      </c>
      <c r="E391" s="45" t="s">
        <v>492</v>
      </c>
      <c r="F391" s="45" t="s">
        <v>493</v>
      </c>
      <c r="G391" s="14">
        <v>10686</v>
      </c>
      <c r="H391" s="14">
        <v>11916</v>
      </c>
      <c r="I391" s="14">
        <v>13755</v>
      </c>
      <c r="J391" s="14">
        <v>17081</v>
      </c>
      <c r="K391" s="14">
        <v>17828</v>
      </c>
      <c r="L391" s="14">
        <v>19637</v>
      </c>
      <c r="M391" s="14">
        <v>21392</v>
      </c>
      <c r="N391" s="14">
        <v>23147</v>
      </c>
      <c r="O391" s="14">
        <v>26956</v>
      </c>
      <c r="P391" s="14">
        <v>29847</v>
      </c>
      <c r="Q391" s="14">
        <v>31811</v>
      </c>
      <c r="R391" s="14">
        <v>36928</v>
      </c>
      <c r="S391" s="14">
        <v>39826</v>
      </c>
      <c r="T391" s="14">
        <v>42818</v>
      </c>
      <c r="U391" s="14">
        <v>44753</v>
      </c>
      <c r="V391" s="14">
        <v>49445</v>
      </c>
      <c r="W391" s="14">
        <v>50713</v>
      </c>
      <c r="X391" s="14">
        <v>55521</v>
      </c>
      <c r="Y391" s="14">
        <v>56278</v>
      </c>
      <c r="Z391" s="14">
        <v>61582</v>
      </c>
      <c r="AA391" s="14"/>
      <c r="AB391" s="14"/>
    </row>
    <row r="392" spans="1:30">
      <c r="A392" s="45" t="s">
        <v>289</v>
      </c>
      <c r="B392" s="45" t="s">
        <v>290</v>
      </c>
      <c r="C392" s="45" t="s">
        <v>498</v>
      </c>
      <c r="D392" s="45" t="s">
        <v>491</v>
      </c>
      <c r="E392" s="45" t="s">
        <v>499</v>
      </c>
      <c r="F392" s="45" t="s">
        <v>500</v>
      </c>
      <c r="G392" s="14">
        <v>32433.3</v>
      </c>
      <c r="H392" s="14">
        <v>32771.800000000003</v>
      </c>
      <c r="I392" s="14">
        <v>34277.5</v>
      </c>
      <c r="J392" s="14">
        <v>38876.6</v>
      </c>
      <c r="K392" s="14">
        <v>39251.199999999997</v>
      </c>
      <c r="L392" s="14">
        <v>39302.9</v>
      </c>
      <c r="M392" s="14">
        <v>38963.9</v>
      </c>
      <c r="N392" s="14">
        <v>40141.599999999999</v>
      </c>
      <c r="O392" s="14">
        <v>39793</v>
      </c>
      <c r="P392" s="14">
        <v>40719.699999999997</v>
      </c>
      <c r="Q392" s="14">
        <v>39576.699999999997</v>
      </c>
      <c r="R392" s="14">
        <v>41498.199999999997</v>
      </c>
      <c r="S392" s="14">
        <v>40857.9</v>
      </c>
      <c r="T392" s="14">
        <v>42840.1</v>
      </c>
      <c r="U392" s="14">
        <v>42199.199999999997</v>
      </c>
      <c r="V392" s="14">
        <v>44135.8</v>
      </c>
      <c r="W392" s="14">
        <v>47685.1</v>
      </c>
      <c r="X392" s="14">
        <v>49230.400000000001</v>
      </c>
      <c r="Y392" s="14">
        <v>47604.5</v>
      </c>
      <c r="Z392" s="14">
        <v>45552.9</v>
      </c>
      <c r="AA392" s="14"/>
      <c r="AB392" s="14"/>
      <c r="AC392" s="15">
        <f>IFERROR(Z392/G392-1,"")</f>
        <v>0.40451017935270239</v>
      </c>
      <c r="AD392" s="15">
        <f>IFERROR((Z392/G392)^(1/19)-1,"")</f>
        <v>1.8039122532870211E-2</v>
      </c>
    </row>
    <row r="393" spans="1:30">
      <c r="A393" s="45" t="s">
        <v>289</v>
      </c>
      <c r="B393" s="45" t="s">
        <v>290</v>
      </c>
      <c r="C393" s="45" t="s">
        <v>498</v>
      </c>
      <c r="D393" s="45" t="s">
        <v>495</v>
      </c>
      <c r="E393" s="45" t="s">
        <v>499</v>
      </c>
      <c r="F393" s="45" t="s">
        <v>500</v>
      </c>
      <c r="G393" s="14">
        <v>1839.9</v>
      </c>
      <c r="H393" s="14">
        <v>1521</v>
      </c>
      <c r="I393" s="14">
        <v>1653.4</v>
      </c>
      <c r="J393" s="14">
        <v>1709.8</v>
      </c>
      <c r="K393" s="14">
        <v>1485.1</v>
      </c>
      <c r="L393" s="14">
        <v>1569.6</v>
      </c>
      <c r="M393" s="14">
        <v>1442.8</v>
      </c>
      <c r="N393" s="14">
        <v>1464.8</v>
      </c>
      <c r="O393" s="14">
        <v>1157</v>
      </c>
      <c r="P393" s="14">
        <v>1243.5999999999999</v>
      </c>
      <c r="Q393" s="14">
        <v>1380.4</v>
      </c>
      <c r="R393" s="14">
        <v>1240.3</v>
      </c>
      <c r="S393" s="14">
        <v>1091</v>
      </c>
      <c r="T393" s="14">
        <v>1217.3</v>
      </c>
      <c r="U393" s="14">
        <v>1398.8</v>
      </c>
      <c r="V393" s="14">
        <v>1492.5</v>
      </c>
      <c r="W393" s="14">
        <v>1519.1</v>
      </c>
      <c r="X393" s="14">
        <v>1575.5</v>
      </c>
      <c r="Y393" s="14">
        <v>1413.7</v>
      </c>
      <c r="Z393" s="14">
        <v>1455</v>
      </c>
      <c r="AA393" s="14"/>
      <c r="AB393" s="14"/>
      <c r="AC393" s="15">
        <f>IFERROR(Z393/G393-1,"")</f>
        <v>-0.2091961519647807</v>
      </c>
      <c r="AD393" s="15">
        <f>IFERROR((Z393/G393)^(1/19)-1,"")</f>
        <v>-1.2276927651215797E-2</v>
      </c>
    </row>
    <row r="394" spans="1:30">
      <c r="A394" s="45" t="s">
        <v>289</v>
      </c>
      <c r="B394" s="45" t="s">
        <v>290</v>
      </c>
      <c r="C394" s="45" t="s">
        <v>498</v>
      </c>
      <c r="D394" s="45" t="s">
        <v>496</v>
      </c>
      <c r="E394" s="45" t="s">
        <v>499</v>
      </c>
      <c r="F394" s="45" t="s">
        <v>500</v>
      </c>
      <c r="G394" s="14">
        <v>6180.5</v>
      </c>
      <c r="H394" s="14">
        <v>6695.9</v>
      </c>
      <c r="I394" s="14">
        <v>6952.4</v>
      </c>
      <c r="J394" s="14">
        <v>7469.9</v>
      </c>
      <c r="K394" s="14">
        <v>6981.2</v>
      </c>
      <c r="L394" s="14">
        <v>7272.4</v>
      </c>
      <c r="M394" s="14">
        <v>7039.4</v>
      </c>
      <c r="N394" s="14">
        <v>7192.8</v>
      </c>
      <c r="O394" s="14">
        <v>8260</v>
      </c>
      <c r="P394" s="14">
        <v>8427</v>
      </c>
      <c r="Q394" s="14">
        <v>7729.9</v>
      </c>
      <c r="R394" s="14">
        <v>7788.6</v>
      </c>
      <c r="S394" s="14">
        <v>7335.5</v>
      </c>
      <c r="T394" s="14">
        <v>8318</v>
      </c>
      <c r="U394" s="14">
        <v>8984.1</v>
      </c>
      <c r="V394" s="14">
        <v>8927.9</v>
      </c>
      <c r="W394" s="14">
        <v>11946.3</v>
      </c>
      <c r="X394" s="14">
        <v>12109.4</v>
      </c>
      <c r="Y394" s="14">
        <v>11368</v>
      </c>
      <c r="Z394" s="14">
        <v>10494.8</v>
      </c>
      <c r="AA394" s="14"/>
      <c r="AB394" s="14"/>
      <c r="AC394" s="15">
        <f>IFERROR(Z394/G394-1,"")</f>
        <v>0.698050319553434</v>
      </c>
      <c r="AD394" s="15">
        <f>IFERROR((Z394/G394)^(1/19)-1,"")</f>
        <v>2.8259334799588753E-2</v>
      </c>
    </row>
    <row r="395" spans="1:30">
      <c r="A395" s="45" t="s">
        <v>289</v>
      </c>
      <c r="B395" s="45" t="s">
        <v>290</v>
      </c>
      <c r="C395" s="45" t="s">
        <v>498</v>
      </c>
      <c r="D395" s="45" t="s">
        <v>497</v>
      </c>
      <c r="E395" s="45" t="s">
        <v>499</v>
      </c>
      <c r="F395" s="45" t="s">
        <v>500</v>
      </c>
      <c r="G395" s="14">
        <v>20301.400000000001</v>
      </c>
      <c r="H395" s="14">
        <v>19840.7</v>
      </c>
      <c r="I395" s="14">
        <v>21256.2</v>
      </c>
      <c r="J395" s="14">
        <v>24569.4</v>
      </c>
      <c r="K395" s="14">
        <v>24017.200000000001</v>
      </c>
      <c r="L395" s="14">
        <v>24853.599999999999</v>
      </c>
      <c r="M395" s="14">
        <v>24890.1</v>
      </c>
      <c r="N395" s="14">
        <v>25096.799999999999</v>
      </c>
      <c r="O395" s="14">
        <v>26956</v>
      </c>
      <c r="P395" s="14">
        <v>27554.799999999999</v>
      </c>
      <c r="Q395" s="14">
        <v>27206.9</v>
      </c>
      <c r="R395" s="14">
        <v>29378.6</v>
      </c>
      <c r="S395" s="14">
        <v>29378.9</v>
      </c>
      <c r="T395" s="14">
        <v>29364.2</v>
      </c>
      <c r="U395" s="14">
        <v>28390.6</v>
      </c>
      <c r="V395" s="14">
        <v>30256.3</v>
      </c>
      <c r="W395" s="14">
        <v>29697.7</v>
      </c>
      <c r="X395" s="14">
        <v>31195.5</v>
      </c>
      <c r="Y395" s="14">
        <v>29698.6</v>
      </c>
      <c r="Z395" s="14">
        <v>28747.9</v>
      </c>
      <c r="AA395" s="14"/>
      <c r="AB395" s="14"/>
      <c r="AC395" s="15">
        <f>IFERROR(Z395/G395-1,"")</f>
        <v>0.41605505039061352</v>
      </c>
      <c r="AD395" s="15">
        <f>IFERROR((Z395/G395)^(1/19)-1,"")</f>
        <v>1.8477844912350605E-2</v>
      </c>
    </row>
    <row r="396" spans="1:30">
      <c r="A396" s="45" t="s">
        <v>289</v>
      </c>
      <c r="B396" s="45" t="s">
        <v>290</v>
      </c>
      <c r="C396" s="45" t="s">
        <v>498</v>
      </c>
      <c r="D396" s="45" t="s">
        <v>501</v>
      </c>
      <c r="E396" s="45" t="s">
        <v>499</v>
      </c>
      <c r="F396" s="45" t="s">
        <v>500</v>
      </c>
      <c r="G396" s="14">
        <v>2825.6</v>
      </c>
      <c r="H396" s="14">
        <v>3466.1</v>
      </c>
      <c r="I396" s="14">
        <v>3135.8</v>
      </c>
      <c r="J396" s="14">
        <v>3741.7</v>
      </c>
      <c r="K396" s="14">
        <v>4789.2</v>
      </c>
      <c r="L396" s="14">
        <v>3393.7</v>
      </c>
      <c r="M396" s="14">
        <v>3535.2</v>
      </c>
      <c r="N396" s="14">
        <v>4381.3999999999996</v>
      </c>
      <c r="O396" s="14">
        <v>1639</v>
      </c>
      <c r="P396" s="14">
        <v>1767.9</v>
      </c>
      <c r="Q396" s="14">
        <v>1560.9</v>
      </c>
      <c r="R396" s="14">
        <v>1561.7</v>
      </c>
      <c r="S396" s="14">
        <v>1507.1</v>
      </c>
      <c r="T396" s="14">
        <v>1933.9</v>
      </c>
      <c r="U396" s="14">
        <v>1927.3</v>
      </c>
      <c r="V396" s="14">
        <v>2159.5</v>
      </c>
      <c r="W396" s="14">
        <v>2295.6</v>
      </c>
      <c r="X396" s="14">
        <v>2295.8000000000002</v>
      </c>
      <c r="Y396" s="14">
        <v>3220.6</v>
      </c>
      <c r="Z396" s="14">
        <v>2242.1</v>
      </c>
      <c r="AA396" s="14"/>
      <c r="AB396" s="14"/>
      <c r="AC396" s="15">
        <f>IFERROR(Z396/G396-1,"")</f>
        <v>-0.20650481313703284</v>
      </c>
      <c r="AD396" s="15">
        <f>IFERROR((Z396/G396)^(1/19)-1,"")</f>
        <v>-1.2100290496462773E-2</v>
      </c>
    </row>
    <row r="397" spans="1:30">
      <c r="A397" s="45" t="s">
        <v>149</v>
      </c>
      <c r="B397" s="45" t="s">
        <v>150</v>
      </c>
      <c r="C397" s="45" t="s">
        <v>490</v>
      </c>
      <c r="D397" s="45" t="s">
        <v>491</v>
      </c>
      <c r="E397" s="45" t="s">
        <v>492</v>
      </c>
      <c r="F397" s="45" t="s">
        <v>493</v>
      </c>
      <c r="G397" s="14">
        <v>72374</v>
      </c>
      <c r="H397" s="14">
        <v>80460</v>
      </c>
      <c r="I397" s="14">
        <v>91327</v>
      </c>
      <c r="J397" s="14">
        <v>85947</v>
      </c>
      <c r="K397" s="14">
        <v>97859</v>
      </c>
      <c r="L397" s="14">
        <v>115568</v>
      </c>
      <c r="M397" s="14">
        <v>128000</v>
      </c>
      <c r="N397" s="14">
        <v>144416</v>
      </c>
      <c r="O397" s="14">
        <v>161295</v>
      </c>
      <c r="P397" s="14">
        <v>187857</v>
      </c>
      <c r="Q397" s="14">
        <v>212643</v>
      </c>
      <c r="R397" s="14">
        <v>247013</v>
      </c>
      <c r="S397" s="14">
        <v>263242</v>
      </c>
      <c r="T397" s="14">
        <v>306875</v>
      </c>
      <c r="U397" s="14">
        <v>355123</v>
      </c>
      <c r="V397" s="14">
        <v>387253</v>
      </c>
      <c r="W397" s="14">
        <v>416801</v>
      </c>
      <c r="X397" s="14">
        <v>501321</v>
      </c>
      <c r="Y397" s="14">
        <v>545180</v>
      </c>
      <c r="Z397" s="14">
        <v>570418</v>
      </c>
      <c r="AA397" s="14">
        <v>844765</v>
      </c>
      <c r="AB397" s="14">
        <v>986508</v>
      </c>
    </row>
    <row r="398" spans="1:30">
      <c r="A398" s="45" t="s">
        <v>149</v>
      </c>
      <c r="B398" s="45" t="s">
        <v>150</v>
      </c>
      <c r="C398" s="45" t="s">
        <v>490</v>
      </c>
      <c r="D398" s="45" t="s">
        <v>494</v>
      </c>
      <c r="E398" s="45" t="s">
        <v>492</v>
      </c>
      <c r="F398" s="45" t="s">
        <v>493</v>
      </c>
      <c r="G398" s="14">
        <v>66251</v>
      </c>
      <c r="H398" s="14">
        <v>74101</v>
      </c>
      <c r="I398" s="14">
        <v>82851</v>
      </c>
      <c r="J398" s="14">
        <v>79749</v>
      </c>
      <c r="K398" s="14">
        <v>88623</v>
      </c>
      <c r="L398" s="14">
        <v>102156</v>
      </c>
      <c r="M398" s="14">
        <v>114093</v>
      </c>
      <c r="N398" s="14">
        <v>130102</v>
      </c>
      <c r="O398" s="14">
        <v>142128</v>
      </c>
      <c r="P398" s="14">
        <v>169132</v>
      </c>
      <c r="Q398" s="14">
        <v>189816</v>
      </c>
      <c r="R398" s="14">
        <v>228143</v>
      </c>
      <c r="S398" s="14">
        <v>240933</v>
      </c>
      <c r="T398" s="14">
        <v>274837</v>
      </c>
      <c r="U398" s="14">
        <v>320132</v>
      </c>
      <c r="V398" s="14">
        <v>351837</v>
      </c>
      <c r="W398" s="14">
        <v>373988</v>
      </c>
      <c r="X398" s="14">
        <v>447940</v>
      </c>
      <c r="Y398" s="14">
        <v>487996</v>
      </c>
      <c r="Z398" s="14">
        <v>510371</v>
      </c>
      <c r="AA398" s="14"/>
      <c r="AB398" s="14"/>
    </row>
    <row r="399" spans="1:30">
      <c r="A399" s="45" t="s">
        <v>149</v>
      </c>
      <c r="B399" s="45" t="s">
        <v>150</v>
      </c>
      <c r="C399" s="45" t="s">
        <v>490</v>
      </c>
      <c r="D399" s="45" t="s">
        <v>495</v>
      </c>
      <c r="E399" s="45" t="s">
        <v>492</v>
      </c>
      <c r="F399" s="45" t="s">
        <v>493</v>
      </c>
      <c r="G399" s="14">
        <v>23229</v>
      </c>
      <c r="H399" s="14">
        <v>24524</v>
      </c>
      <c r="I399" s="14">
        <v>28759</v>
      </c>
      <c r="J399" s="14">
        <v>18265</v>
      </c>
      <c r="K399" s="14">
        <v>20689</v>
      </c>
      <c r="L399" s="14">
        <v>26222</v>
      </c>
      <c r="M399" s="14">
        <v>27738</v>
      </c>
      <c r="N399" s="14">
        <v>29082</v>
      </c>
      <c r="O399" s="14">
        <v>31119</v>
      </c>
      <c r="P399" s="14">
        <v>36353</v>
      </c>
      <c r="Q399" s="14">
        <v>39919</v>
      </c>
      <c r="R399" s="14">
        <v>46997</v>
      </c>
      <c r="S399" s="14">
        <v>39582</v>
      </c>
      <c r="T399" s="14">
        <v>41932</v>
      </c>
      <c r="U399" s="14">
        <v>55623</v>
      </c>
      <c r="V399" s="14">
        <v>66409</v>
      </c>
      <c r="W399" s="14">
        <v>56818</v>
      </c>
      <c r="X399" s="14">
        <v>59006</v>
      </c>
      <c r="Y399" s="14">
        <v>62916</v>
      </c>
      <c r="Z399" s="14">
        <v>83820</v>
      </c>
      <c r="AA399" s="14"/>
      <c r="AB399" s="14"/>
    </row>
    <row r="400" spans="1:30">
      <c r="A400" s="45" t="s">
        <v>149</v>
      </c>
      <c r="B400" s="45" t="s">
        <v>150</v>
      </c>
      <c r="C400" s="45" t="s">
        <v>490</v>
      </c>
      <c r="D400" s="45" t="s">
        <v>496</v>
      </c>
      <c r="E400" s="45" t="s">
        <v>492</v>
      </c>
      <c r="F400" s="45" t="s">
        <v>493</v>
      </c>
      <c r="G400" s="14">
        <v>14187</v>
      </c>
      <c r="H400" s="14">
        <v>15245</v>
      </c>
      <c r="I400" s="14">
        <v>16097</v>
      </c>
      <c r="J400" s="14">
        <v>17671</v>
      </c>
      <c r="K400" s="14">
        <v>20527</v>
      </c>
      <c r="L400" s="14">
        <v>23365</v>
      </c>
      <c r="M400" s="14">
        <v>24310</v>
      </c>
      <c r="N400" s="14">
        <v>28473</v>
      </c>
      <c r="O400" s="14">
        <v>33654</v>
      </c>
      <c r="P400" s="14">
        <v>44812</v>
      </c>
      <c r="Q400" s="14">
        <v>52041</v>
      </c>
      <c r="R400" s="14">
        <v>63250</v>
      </c>
      <c r="S400" s="14">
        <v>72727</v>
      </c>
      <c r="T400" s="14">
        <v>95713</v>
      </c>
      <c r="U400" s="14">
        <v>116899</v>
      </c>
      <c r="V400" s="14">
        <v>123745</v>
      </c>
      <c r="W400" s="14">
        <v>152308</v>
      </c>
      <c r="X400" s="14">
        <v>207091</v>
      </c>
      <c r="Y400" s="14">
        <v>229040</v>
      </c>
      <c r="Z400" s="14">
        <v>221907</v>
      </c>
      <c r="AA400" s="14"/>
      <c r="AB400" s="14"/>
    </row>
    <row r="401" spans="1:30">
      <c r="A401" s="45" t="s">
        <v>149</v>
      </c>
      <c r="B401" s="45" t="s">
        <v>150</v>
      </c>
      <c r="C401" s="45" t="s">
        <v>490</v>
      </c>
      <c r="D401" s="45" t="s">
        <v>497</v>
      </c>
      <c r="E401" s="45" t="s">
        <v>492</v>
      </c>
      <c r="F401" s="45" t="s">
        <v>493</v>
      </c>
      <c r="G401" s="14">
        <v>23426</v>
      </c>
      <c r="H401" s="14">
        <v>24931</v>
      </c>
      <c r="I401" s="14">
        <v>28477</v>
      </c>
      <c r="J401" s="14">
        <v>34309</v>
      </c>
      <c r="K401" s="14">
        <v>37400</v>
      </c>
      <c r="L401" s="14">
        <v>43782</v>
      </c>
      <c r="M401" s="14">
        <v>51253</v>
      </c>
      <c r="N401" s="14">
        <v>60303</v>
      </c>
      <c r="O401" s="14">
        <v>67830</v>
      </c>
      <c r="P401" s="14">
        <v>79138</v>
      </c>
      <c r="Q401" s="14">
        <v>88199</v>
      </c>
      <c r="R401" s="14">
        <v>107437</v>
      </c>
      <c r="S401" s="14">
        <v>118400</v>
      </c>
      <c r="T401" s="14">
        <v>125887</v>
      </c>
      <c r="U401" s="14">
        <v>136008</v>
      </c>
      <c r="V401" s="14">
        <v>148924</v>
      </c>
      <c r="W401" s="14">
        <v>152716</v>
      </c>
      <c r="X401" s="14">
        <v>167756</v>
      </c>
      <c r="Y401" s="14">
        <v>179872</v>
      </c>
      <c r="Z401" s="14">
        <v>190176</v>
      </c>
      <c r="AA401" s="14"/>
      <c r="AB401" s="14"/>
    </row>
    <row r="402" spans="1:30">
      <c r="A402" s="45" t="s">
        <v>149</v>
      </c>
      <c r="B402" s="45" t="s">
        <v>150</v>
      </c>
      <c r="C402" s="45" t="s">
        <v>498</v>
      </c>
      <c r="D402" s="45" t="s">
        <v>491</v>
      </c>
      <c r="E402" s="45" t="s">
        <v>499</v>
      </c>
      <c r="F402" s="45" t="s">
        <v>500</v>
      </c>
      <c r="G402" s="14">
        <v>137492.6</v>
      </c>
      <c r="H402" s="14">
        <v>133975.29999999999</v>
      </c>
      <c r="I402" s="14">
        <v>141129.29999999999</v>
      </c>
      <c r="J402" s="14">
        <v>123627.9</v>
      </c>
      <c r="K402" s="14">
        <v>131832.29999999999</v>
      </c>
      <c r="L402" s="14">
        <v>146271.4</v>
      </c>
      <c r="M402" s="14">
        <v>148931.70000000001</v>
      </c>
      <c r="N402" s="14">
        <v>156580.6</v>
      </c>
      <c r="O402" s="14">
        <v>161295</v>
      </c>
      <c r="P402" s="14">
        <v>173430.1</v>
      </c>
      <c r="Q402" s="14">
        <v>181866.7</v>
      </c>
      <c r="R402" s="14">
        <v>196514.6</v>
      </c>
      <c r="S402" s="14">
        <v>194188.4</v>
      </c>
      <c r="T402" s="14">
        <v>210452.4</v>
      </c>
      <c r="U402" s="14">
        <v>225284.4</v>
      </c>
      <c r="V402" s="14">
        <v>236967.2</v>
      </c>
      <c r="W402" s="14">
        <v>244080.3</v>
      </c>
      <c r="X402" s="14">
        <v>281676.79999999999</v>
      </c>
      <c r="Y402" s="14">
        <v>287698.5</v>
      </c>
      <c r="Z402" s="14">
        <v>266275.3</v>
      </c>
      <c r="AA402" s="14"/>
      <c r="AB402" s="14"/>
      <c r="AC402" s="15">
        <f>IFERROR(Z402/G402-1,"")</f>
        <v>0.93665186344574169</v>
      </c>
      <c r="AD402" s="15">
        <f>IFERROR((Z402/G402)^(1/19)-1,"")</f>
        <v>3.5399561550655045E-2</v>
      </c>
    </row>
    <row r="403" spans="1:30">
      <c r="A403" s="45" t="s">
        <v>149</v>
      </c>
      <c r="B403" s="45" t="s">
        <v>150</v>
      </c>
      <c r="C403" s="45" t="s">
        <v>498</v>
      </c>
      <c r="D403" s="45" t="s">
        <v>495</v>
      </c>
      <c r="E403" s="45" t="s">
        <v>499</v>
      </c>
      <c r="F403" s="45" t="s">
        <v>500</v>
      </c>
      <c r="G403" s="14">
        <v>44128.5</v>
      </c>
      <c r="H403" s="14">
        <v>40834.400000000001</v>
      </c>
      <c r="I403" s="14">
        <v>44441.3</v>
      </c>
      <c r="J403" s="14">
        <v>26273.3</v>
      </c>
      <c r="K403" s="14">
        <v>27871.7</v>
      </c>
      <c r="L403" s="14">
        <v>33188.1</v>
      </c>
      <c r="M403" s="14">
        <v>32274.5</v>
      </c>
      <c r="N403" s="14">
        <v>31531.7</v>
      </c>
      <c r="O403" s="14">
        <v>31119</v>
      </c>
      <c r="P403" s="14">
        <v>33561.199999999997</v>
      </c>
      <c r="Q403" s="14">
        <v>34141.4</v>
      </c>
      <c r="R403" s="14">
        <v>37389.1</v>
      </c>
      <c r="S403" s="14">
        <v>29198.9</v>
      </c>
      <c r="T403" s="14">
        <v>28756.6</v>
      </c>
      <c r="U403" s="14">
        <v>35286.300000000003</v>
      </c>
      <c r="V403" s="14">
        <v>40636.9</v>
      </c>
      <c r="W403" s="14">
        <v>33272.800000000003</v>
      </c>
      <c r="X403" s="14">
        <v>33153.599999999999</v>
      </c>
      <c r="Y403" s="14">
        <v>33201.599999999999</v>
      </c>
      <c r="Z403" s="14">
        <v>39127.800000000003</v>
      </c>
      <c r="AA403" s="14"/>
      <c r="AB403" s="14"/>
      <c r="AC403" s="15">
        <f>IFERROR(Z403/G403-1,"")</f>
        <v>-0.11332132295455311</v>
      </c>
      <c r="AD403" s="15">
        <f>IFERROR((Z403/G403)^(1/19)-1,"")</f>
        <v>-6.3101448027814699E-3</v>
      </c>
    </row>
    <row r="404" spans="1:30">
      <c r="A404" s="45" t="s">
        <v>149</v>
      </c>
      <c r="B404" s="45" t="s">
        <v>150</v>
      </c>
      <c r="C404" s="45" t="s">
        <v>498</v>
      </c>
      <c r="D404" s="45" t="s">
        <v>496</v>
      </c>
      <c r="E404" s="45" t="s">
        <v>499</v>
      </c>
      <c r="F404" s="45" t="s">
        <v>500</v>
      </c>
      <c r="G404" s="14">
        <v>26952.1</v>
      </c>
      <c r="H404" s="14">
        <v>25384.2</v>
      </c>
      <c r="I404" s="14">
        <v>24875.1</v>
      </c>
      <c r="J404" s="14">
        <v>25417.8</v>
      </c>
      <c r="K404" s="14">
        <v>27652.799999999999</v>
      </c>
      <c r="L404" s="14">
        <v>29572.3</v>
      </c>
      <c r="M404" s="14">
        <v>28285.8</v>
      </c>
      <c r="N404" s="14">
        <v>30871.4</v>
      </c>
      <c r="O404" s="14">
        <v>33654</v>
      </c>
      <c r="P404" s="14">
        <v>41370.6</v>
      </c>
      <c r="Q404" s="14">
        <v>44509</v>
      </c>
      <c r="R404" s="14">
        <v>50319.4</v>
      </c>
      <c r="S404" s="14">
        <v>53649.3</v>
      </c>
      <c r="T404" s="14">
        <v>65639.199999999997</v>
      </c>
      <c r="U404" s="14">
        <v>74158.899999999994</v>
      </c>
      <c r="V404" s="14">
        <v>75721.8</v>
      </c>
      <c r="W404" s="14">
        <v>89192.2</v>
      </c>
      <c r="X404" s="14">
        <v>116358</v>
      </c>
      <c r="Y404" s="14">
        <v>120867.4</v>
      </c>
      <c r="Z404" s="14">
        <v>103588.7</v>
      </c>
      <c r="AA404" s="14"/>
      <c r="AB404" s="14"/>
      <c r="AC404" s="15">
        <f>IFERROR(Z404/G404-1,"")</f>
        <v>2.8434370605629988</v>
      </c>
      <c r="AD404" s="15">
        <f>IFERROR((Z404/G404)^(1/19)-1,"")</f>
        <v>7.3432462347950755E-2</v>
      </c>
    </row>
    <row r="405" spans="1:30">
      <c r="A405" s="45" t="s">
        <v>149</v>
      </c>
      <c r="B405" s="45" t="s">
        <v>150</v>
      </c>
      <c r="C405" s="45" t="s">
        <v>498</v>
      </c>
      <c r="D405" s="45" t="s">
        <v>497</v>
      </c>
      <c r="E405" s="45" t="s">
        <v>499</v>
      </c>
      <c r="F405" s="45" t="s">
        <v>500</v>
      </c>
      <c r="G405" s="14">
        <v>44504.3</v>
      </c>
      <c r="H405" s="14">
        <v>41512.800000000003</v>
      </c>
      <c r="I405" s="14">
        <v>44006.7</v>
      </c>
      <c r="J405" s="14">
        <v>49350.8</v>
      </c>
      <c r="K405" s="14">
        <v>50384.5</v>
      </c>
      <c r="L405" s="14">
        <v>55413.2</v>
      </c>
      <c r="M405" s="14">
        <v>59633.8</v>
      </c>
      <c r="N405" s="14">
        <v>65382.5</v>
      </c>
      <c r="O405" s="14">
        <v>67830</v>
      </c>
      <c r="P405" s="14">
        <v>73060.399999999994</v>
      </c>
      <c r="Q405" s="14">
        <v>75433.7</v>
      </c>
      <c r="R405" s="14">
        <v>85473</v>
      </c>
      <c r="S405" s="14">
        <v>87341.3</v>
      </c>
      <c r="T405" s="14">
        <v>86332.3</v>
      </c>
      <c r="U405" s="14">
        <v>86281.3</v>
      </c>
      <c r="V405" s="14">
        <v>91129.3</v>
      </c>
      <c r="W405" s="14">
        <v>89431.1</v>
      </c>
      <c r="X405" s="14">
        <v>94256.9</v>
      </c>
      <c r="Y405" s="14">
        <v>94920.8</v>
      </c>
      <c r="Z405" s="14">
        <v>88777.9</v>
      </c>
      <c r="AA405" s="14"/>
      <c r="AB405" s="14"/>
      <c r="AC405" s="15">
        <f>IFERROR(Z405/G405-1,"")</f>
        <v>0.99481623124057639</v>
      </c>
      <c r="AD405" s="15">
        <f>IFERROR((Z405/G405)^(1/19)-1,"")</f>
        <v>3.701338697768719E-2</v>
      </c>
    </row>
    <row r="406" spans="1:30">
      <c r="A406" s="45" t="s">
        <v>149</v>
      </c>
      <c r="B406" s="45" t="s">
        <v>150</v>
      </c>
      <c r="C406" s="45" t="s">
        <v>498</v>
      </c>
      <c r="D406" s="45" t="s">
        <v>501</v>
      </c>
      <c r="E406" s="45" t="s">
        <v>499</v>
      </c>
      <c r="F406" s="45" t="s">
        <v>500</v>
      </c>
      <c r="G406" s="14">
        <v>10275.9</v>
      </c>
      <c r="H406" s="14">
        <v>15655</v>
      </c>
      <c r="I406" s="14">
        <v>14707.9</v>
      </c>
      <c r="J406" s="14">
        <v>13670.6</v>
      </c>
      <c r="K406" s="14">
        <v>13480.9</v>
      </c>
      <c r="L406" s="14">
        <v>11122.6</v>
      </c>
      <c r="M406" s="14">
        <v>12556.1</v>
      </c>
      <c r="N406" s="14">
        <v>13274.3</v>
      </c>
      <c r="O406" s="14">
        <v>9525</v>
      </c>
      <c r="P406" s="14">
        <v>8151</v>
      </c>
      <c r="Q406" s="14">
        <v>8259.2999999999993</v>
      </c>
      <c r="R406" s="14">
        <v>8320</v>
      </c>
      <c r="S406" s="14">
        <v>7542</v>
      </c>
      <c r="T406" s="14">
        <v>7752.9</v>
      </c>
      <c r="U406" s="14">
        <v>7360.8</v>
      </c>
      <c r="V406" s="14">
        <v>7806.9</v>
      </c>
      <c r="W406" s="14">
        <v>7113.3</v>
      </c>
      <c r="X406" s="14">
        <v>7915.1</v>
      </c>
      <c r="Y406" s="14">
        <v>8532.1</v>
      </c>
      <c r="Z406" s="14">
        <v>6754.2</v>
      </c>
      <c r="AA406" s="14"/>
      <c r="AB406" s="14"/>
      <c r="AC406" s="15">
        <f>IFERROR(Z406/G406-1,"")</f>
        <v>-0.3427145067585321</v>
      </c>
      <c r="AD406" s="15">
        <f>IFERROR((Z406/G406)^(1/19)-1,"")</f>
        <v>-2.1844034870931117E-2</v>
      </c>
    </row>
    <row r="407" spans="1:30">
      <c r="A407" s="45" t="s">
        <v>207</v>
      </c>
      <c r="B407" s="45" t="s">
        <v>208</v>
      </c>
      <c r="C407" s="45" t="s">
        <v>490</v>
      </c>
      <c r="D407" s="45" t="s">
        <v>491</v>
      </c>
      <c r="E407" s="45" t="s">
        <v>492</v>
      </c>
      <c r="F407" s="45" t="s">
        <v>493</v>
      </c>
      <c r="G407" s="14">
        <v>41861</v>
      </c>
      <c r="H407" s="14">
        <v>40593</v>
      </c>
      <c r="I407" s="14">
        <v>44394</v>
      </c>
      <c r="J407" s="14">
        <v>68761</v>
      </c>
      <c r="K407" s="14">
        <v>92155</v>
      </c>
      <c r="L407" s="14">
        <v>107914</v>
      </c>
      <c r="M407" s="14">
        <v>84667</v>
      </c>
      <c r="N407" s="14">
        <v>63709</v>
      </c>
      <c r="O407" s="14">
        <v>73139</v>
      </c>
      <c r="P407" s="14">
        <v>88075</v>
      </c>
      <c r="Q407" s="14">
        <v>114941</v>
      </c>
      <c r="R407" s="14">
        <v>120935</v>
      </c>
      <c r="S407" s="14">
        <v>111136</v>
      </c>
      <c r="T407" s="14">
        <v>83963</v>
      </c>
      <c r="U407" s="14">
        <v>67376</v>
      </c>
      <c r="V407" s="14">
        <v>76307</v>
      </c>
      <c r="W407" s="14">
        <v>97009</v>
      </c>
      <c r="X407" s="14">
        <v>101376</v>
      </c>
      <c r="Y407" s="14">
        <v>99821</v>
      </c>
      <c r="Z407" s="14">
        <v>173825</v>
      </c>
      <c r="AA407" s="14">
        <v>396782</v>
      </c>
      <c r="AB407" s="14">
        <v>302413</v>
      </c>
    </row>
    <row r="408" spans="1:30">
      <c r="A408" s="45" t="s">
        <v>207</v>
      </c>
      <c r="B408" s="45" t="s">
        <v>208</v>
      </c>
      <c r="C408" s="45" t="s">
        <v>490</v>
      </c>
      <c r="D408" s="45" t="s">
        <v>494</v>
      </c>
      <c r="E408" s="45" t="s">
        <v>492</v>
      </c>
      <c r="F408" s="45" t="s">
        <v>493</v>
      </c>
      <c r="G408" s="14">
        <v>41163</v>
      </c>
      <c r="H408" s="14">
        <v>39804</v>
      </c>
      <c r="I408" s="14">
        <v>43573</v>
      </c>
      <c r="J408" s="14">
        <v>67352</v>
      </c>
      <c r="K408" s="14">
        <v>90594</v>
      </c>
      <c r="L408" s="14">
        <v>105955</v>
      </c>
      <c r="M408" s="14">
        <v>82868</v>
      </c>
      <c r="N408" s="14">
        <v>61933</v>
      </c>
      <c r="O408" s="14">
        <v>71826</v>
      </c>
      <c r="P408" s="14">
        <v>86151</v>
      </c>
      <c r="Q408" s="14">
        <v>112670</v>
      </c>
      <c r="R408" s="14">
        <v>117721</v>
      </c>
      <c r="S408" s="14">
        <v>108015</v>
      </c>
      <c r="T408" s="14">
        <v>79857</v>
      </c>
      <c r="U408" s="14">
        <v>64579</v>
      </c>
      <c r="V408" s="14">
        <v>73049</v>
      </c>
      <c r="W408" s="14">
        <v>93823</v>
      </c>
      <c r="X408" s="14">
        <v>98203</v>
      </c>
      <c r="Y408" s="14">
        <v>96877</v>
      </c>
      <c r="Z408" s="14">
        <v>169805</v>
      </c>
      <c r="AA408" s="14"/>
      <c r="AB408" s="14"/>
    </row>
    <row r="409" spans="1:30">
      <c r="A409" s="45" t="s">
        <v>207</v>
      </c>
      <c r="B409" s="45" t="s">
        <v>208</v>
      </c>
      <c r="C409" s="45" t="s">
        <v>490</v>
      </c>
      <c r="D409" s="45" t="s">
        <v>495</v>
      </c>
      <c r="E409" s="45" t="s">
        <v>492</v>
      </c>
      <c r="F409" s="45" t="s">
        <v>493</v>
      </c>
      <c r="G409" s="14">
        <v>26650</v>
      </c>
      <c r="H409" s="14">
        <v>24106</v>
      </c>
      <c r="I409" s="14">
        <v>23974</v>
      </c>
      <c r="J409" s="14">
        <v>44013</v>
      </c>
      <c r="K409" s="14">
        <v>61198</v>
      </c>
      <c r="L409" s="14">
        <v>72703</v>
      </c>
      <c r="M409" s="14">
        <v>53665</v>
      </c>
      <c r="N409" s="14">
        <v>31125</v>
      </c>
      <c r="O409" s="14">
        <v>36968</v>
      </c>
      <c r="P409" s="14">
        <v>44894</v>
      </c>
      <c r="Q409" s="14">
        <v>64144</v>
      </c>
      <c r="R409" s="14">
        <v>63527</v>
      </c>
      <c r="S409" s="14">
        <v>58047</v>
      </c>
      <c r="T409" s="14">
        <v>23343</v>
      </c>
      <c r="U409" s="14">
        <v>10453</v>
      </c>
      <c r="V409" s="14">
        <v>12326</v>
      </c>
      <c r="W409" s="14">
        <v>23281</v>
      </c>
      <c r="X409" s="14">
        <v>27199</v>
      </c>
      <c r="Y409" s="14">
        <v>23529</v>
      </c>
      <c r="Z409" s="14">
        <v>81301</v>
      </c>
      <c r="AA409" s="14"/>
      <c r="AB409" s="14"/>
    </row>
    <row r="410" spans="1:30">
      <c r="A410" s="45" t="s">
        <v>207</v>
      </c>
      <c r="B410" s="45" t="s">
        <v>208</v>
      </c>
      <c r="C410" s="45" t="s">
        <v>490</v>
      </c>
      <c r="D410" s="45" t="s">
        <v>496</v>
      </c>
      <c r="E410" s="45" t="s">
        <v>492</v>
      </c>
      <c r="F410" s="45" t="s">
        <v>493</v>
      </c>
      <c r="G410" s="14">
        <v>6787</v>
      </c>
      <c r="H410" s="14">
        <v>6700</v>
      </c>
      <c r="I410" s="14">
        <v>9077</v>
      </c>
      <c r="J410" s="14">
        <v>11311</v>
      </c>
      <c r="K410" s="14">
        <v>15564</v>
      </c>
      <c r="L410" s="14">
        <v>17523</v>
      </c>
      <c r="M410" s="14">
        <v>11947</v>
      </c>
      <c r="N410" s="14">
        <v>10984</v>
      </c>
      <c r="O410" s="14">
        <v>13334</v>
      </c>
      <c r="P410" s="14">
        <v>16277</v>
      </c>
      <c r="Q410" s="14">
        <v>22604</v>
      </c>
      <c r="R410" s="14">
        <v>25704</v>
      </c>
      <c r="S410" s="14">
        <v>23541</v>
      </c>
      <c r="T410" s="14">
        <v>21232</v>
      </c>
      <c r="U410" s="14">
        <v>17664</v>
      </c>
      <c r="V410" s="14">
        <v>21388</v>
      </c>
      <c r="W410" s="14">
        <v>23776</v>
      </c>
      <c r="X410" s="14">
        <v>27377</v>
      </c>
      <c r="Y410" s="14">
        <v>27397</v>
      </c>
      <c r="Z410" s="14">
        <v>40754</v>
      </c>
      <c r="AA410" s="14"/>
      <c r="AB410" s="14"/>
    </row>
    <row r="411" spans="1:30">
      <c r="A411" s="45" t="s">
        <v>207</v>
      </c>
      <c r="B411" s="45" t="s">
        <v>208</v>
      </c>
      <c r="C411" s="45" t="s">
        <v>490</v>
      </c>
      <c r="D411" s="45" t="s">
        <v>497</v>
      </c>
      <c r="E411" s="45" t="s">
        <v>492</v>
      </c>
      <c r="F411" s="45" t="s">
        <v>493</v>
      </c>
      <c r="G411" s="14">
        <v>6581</v>
      </c>
      <c r="H411" s="14">
        <v>7138</v>
      </c>
      <c r="I411" s="14">
        <v>8744</v>
      </c>
      <c r="J411" s="14">
        <v>10126</v>
      </c>
      <c r="K411" s="14">
        <v>11617</v>
      </c>
      <c r="L411" s="14">
        <v>14056</v>
      </c>
      <c r="M411" s="14">
        <v>15608</v>
      </c>
      <c r="N411" s="14">
        <v>17835</v>
      </c>
      <c r="O411" s="14">
        <v>19405</v>
      </c>
      <c r="P411" s="14">
        <v>21890</v>
      </c>
      <c r="Q411" s="14">
        <v>23671</v>
      </c>
      <c r="R411" s="14">
        <v>26060</v>
      </c>
      <c r="S411" s="14">
        <v>23606</v>
      </c>
      <c r="T411" s="14">
        <v>31722</v>
      </c>
      <c r="U411" s="14">
        <v>33743</v>
      </c>
      <c r="V411" s="14">
        <v>36140</v>
      </c>
      <c r="W411" s="14">
        <v>35874</v>
      </c>
      <c r="X411" s="14">
        <v>38966</v>
      </c>
      <c r="Y411" s="14">
        <v>40453</v>
      </c>
      <c r="Z411" s="14">
        <v>42662</v>
      </c>
      <c r="AA411" s="14"/>
      <c r="AB411" s="14"/>
    </row>
    <row r="412" spans="1:30">
      <c r="A412" s="45" t="s">
        <v>207</v>
      </c>
      <c r="B412" s="45" t="s">
        <v>208</v>
      </c>
      <c r="C412" s="45" t="s">
        <v>498</v>
      </c>
      <c r="D412" s="45" t="s">
        <v>491</v>
      </c>
      <c r="E412" s="45" t="s">
        <v>499</v>
      </c>
      <c r="F412" s="45" t="s">
        <v>500</v>
      </c>
      <c r="G412" s="14">
        <v>79524.5</v>
      </c>
      <c r="H412" s="14">
        <v>67592.2</v>
      </c>
      <c r="I412" s="14">
        <v>68603</v>
      </c>
      <c r="J412" s="14">
        <v>98907.9</v>
      </c>
      <c r="K412" s="14">
        <v>124148.3</v>
      </c>
      <c r="L412" s="14">
        <v>136582.9</v>
      </c>
      <c r="M412" s="14">
        <v>98511.9</v>
      </c>
      <c r="N412" s="14">
        <v>69075.399999999994</v>
      </c>
      <c r="O412" s="14">
        <v>73139</v>
      </c>
      <c r="P412" s="14">
        <v>81311.100000000006</v>
      </c>
      <c r="Q412" s="14">
        <v>98305.3</v>
      </c>
      <c r="R412" s="14">
        <v>96211.5</v>
      </c>
      <c r="S412" s="14">
        <v>81982.8</v>
      </c>
      <c r="T412" s="14">
        <v>57581.2</v>
      </c>
      <c r="U412" s="14">
        <v>42742.3</v>
      </c>
      <c r="V412" s="14">
        <v>46693.599999999999</v>
      </c>
      <c r="W412" s="14">
        <v>56808.9</v>
      </c>
      <c r="X412" s="14">
        <v>56960</v>
      </c>
      <c r="Y412" s="14">
        <v>52676.800000000003</v>
      </c>
      <c r="Z412" s="14">
        <v>81142.8</v>
      </c>
      <c r="AA412" s="14"/>
      <c r="AB412" s="14"/>
      <c r="AC412" s="15">
        <f>IFERROR(Z412/G412-1,"")</f>
        <v>2.0349703550478271E-2</v>
      </c>
      <c r="AD412" s="15">
        <f>IFERROR((Z412/G412)^(1/19)-1,"")</f>
        <v>1.0608473090660819E-3</v>
      </c>
    </row>
    <row r="413" spans="1:30">
      <c r="A413" s="45" t="s">
        <v>207</v>
      </c>
      <c r="B413" s="45" t="s">
        <v>208</v>
      </c>
      <c r="C413" s="45" t="s">
        <v>498</v>
      </c>
      <c r="D413" s="45" t="s">
        <v>495</v>
      </c>
      <c r="E413" s="45" t="s">
        <v>499</v>
      </c>
      <c r="F413" s="45" t="s">
        <v>500</v>
      </c>
      <c r="G413" s="14">
        <v>50628.9</v>
      </c>
      <c r="H413" s="14">
        <v>40138.6</v>
      </c>
      <c r="I413" s="14">
        <v>37046.800000000003</v>
      </c>
      <c r="J413" s="14">
        <v>63308.800000000003</v>
      </c>
      <c r="K413" s="14">
        <v>82444.600000000006</v>
      </c>
      <c r="L413" s="14">
        <v>92017.8</v>
      </c>
      <c r="M413" s="14">
        <v>62441.1</v>
      </c>
      <c r="N413" s="14">
        <v>33746.800000000003</v>
      </c>
      <c r="O413" s="14">
        <v>36968</v>
      </c>
      <c r="P413" s="14">
        <v>41446.300000000003</v>
      </c>
      <c r="Q413" s="14">
        <v>54860.3</v>
      </c>
      <c r="R413" s="14">
        <v>50539.8</v>
      </c>
      <c r="S413" s="14">
        <v>42820.1</v>
      </c>
      <c r="T413" s="14">
        <v>16008.4</v>
      </c>
      <c r="U413" s="14">
        <v>6631.2</v>
      </c>
      <c r="V413" s="14">
        <v>7542.5</v>
      </c>
      <c r="W413" s="14">
        <v>13633.4</v>
      </c>
      <c r="X413" s="14">
        <v>15282.3</v>
      </c>
      <c r="Y413" s="14">
        <v>12416.6</v>
      </c>
      <c r="Z413" s="14">
        <v>37951.9</v>
      </c>
      <c r="AA413" s="14"/>
      <c r="AB413" s="14"/>
      <c r="AC413" s="15">
        <f>IFERROR(Z413/G413-1,"")</f>
        <v>-0.25039058719427043</v>
      </c>
      <c r="AD413" s="15">
        <f>IFERROR((Z413/G413)^(1/19)-1,"")</f>
        <v>-1.505411506876797E-2</v>
      </c>
    </row>
    <row r="414" spans="1:30">
      <c r="A414" s="45" t="s">
        <v>207</v>
      </c>
      <c r="B414" s="45" t="s">
        <v>208</v>
      </c>
      <c r="C414" s="45" t="s">
        <v>498</v>
      </c>
      <c r="D414" s="45" t="s">
        <v>496</v>
      </c>
      <c r="E414" s="45" t="s">
        <v>499</v>
      </c>
      <c r="F414" s="45" t="s">
        <v>500</v>
      </c>
      <c r="G414" s="14">
        <v>12892.8</v>
      </c>
      <c r="H414" s="14">
        <v>11156.7</v>
      </c>
      <c r="I414" s="14">
        <v>14026.6</v>
      </c>
      <c r="J414" s="14">
        <v>16270.2</v>
      </c>
      <c r="K414" s="14">
        <v>20967.900000000001</v>
      </c>
      <c r="L414" s="14">
        <v>22178</v>
      </c>
      <c r="M414" s="14">
        <v>13900.7</v>
      </c>
      <c r="N414" s="14">
        <v>11909.2</v>
      </c>
      <c r="O414" s="14">
        <v>13334</v>
      </c>
      <c r="P414" s="14">
        <v>15027</v>
      </c>
      <c r="Q414" s="14">
        <v>19332.5</v>
      </c>
      <c r="R414" s="14">
        <v>20449.2</v>
      </c>
      <c r="S414" s="14">
        <v>17365.7</v>
      </c>
      <c r="T414" s="14">
        <v>14560.7</v>
      </c>
      <c r="U414" s="14">
        <v>11205.8</v>
      </c>
      <c r="V414" s="14">
        <v>13087.7</v>
      </c>
      <c r="W414" s="14">
        <v>13923.3</v>
      </c>
      <c r="X414" s="14">
        <v>15382.3</v>
      </c>
      <c r="Y414" s="14">
        <v>14457.8</v>
      </c>
      <c r="Z414" s="14">
        <v>19024.7</v>
      </c>
      <c r="AA414" s="14"/>
      <c r="AB414" s="14"/>
      <c r="AC414" s="15">
        <f>IFERROR(Z414/G414-1,"")</f>
        <v>0.4756065400843883</v>
      </c>
      <c r="AD414" s="15">
        <f>IFERROR((Z414/G414)^(1/19)-1,"")</f>
        <v>2.0688420856162848E-2</v>
      </c>
    </row>
    <row r="415" spans="1:30">
      <c r="A415" s="45" t="s">
        <v>207</v>
      </c>
      <c r="B415" s="45" t="s">
        <v>208</v>
      </c>
      <c r="C415" s="45" t="s">
        <v>498</v>
      </c>
      <c r="D415" s="45" t="s">
        <v>497</v>
      </c>
      <c r="E415" s="45" t="s">
        <v>499</v>
      </c>
      <c r="F415" s="45" t="s">
        <v>500</v>
      </c>
      <c r="G415" s="14">
        <v>12502.2</v>
      </c>
      <c r="H415" s="14">
        <v>11885.9</v>
      </c>
      <c r="I415" s="14">
        <v>13512</v>
      </c>
      <c r="J415" s="14">
        <v>14565.6</v>
      </c>
      <c r="K415" s="14">
        <v>15649.6</v>
      </c>
      <c r="L415" s="14">
        <v>17790.599999999999</v>
      </c>
      <c r="M415" s="14">
        <v>18160.3</v>
      </c>
      <c r="N415" s="14">
        <v>19337.3</v>
      </c>
      <c r="O415" s="14">
        <v>19405</v>
      </c>
      <c r="P415" s="14">
        <v>20208.900000000001</v>
      </c>
      <c r="Q415" s="14">
        <v>20245</v>
      </c>
      <c r="R415" s="14">
        <v>20732.400000000001</v>
      </c>
      <c r="S415" s="14">
        <v>17413.7</v>
      </c>
      <c r="T415" s="14">
        <v>21754.7</v>
      </c>
      <c r="U415" s="14">
        <v>21406</v>
      </c>
      <c r="V415" s="14">
        <v>22114.7</v>
      </c>
      <c r="W415" s="14">
        <v>21008</v>
      </c>
      <c r="X415" s="14">
        <v>21893.8</v>
      </c>
      <c r="Y415" s="14">
        <v>21347.599999999999</v>
      </c>
      <c r="Z415" s="14">
        <v>19915.400000000001</v>
      </c>
      <c r="AA415" s="14"/>
      <c r="AB415" s="14"/>
      <c r="AC415" s="15">
        <f>IFERROR(Z415/G415-1,"")</f>
        <v>0.59295164051127003</v>
      </c>
      <c r="AD415" s="15">
        <f>IFERROR((Z415/G415)^(1/19)-1,"")</f>
        <v>2.4807373870574967E-2</v>
      </c>
    </row>
    <row r="416" spans="1:30">
      <c r="A416" s="45" t="s">
        <v>207</v>
      </c>
      <c r="B416" s="45" t="s">
        <v>208</v>
      </c>
      <c r="C416" s="45" t="s">
        <v>498</v>
      </c>
      <c r="D416" s="45" t="s">
        <v>501</v>
      </c>
      <c r="E416" s="45" t="s">
        <v>499</v>
      </c>
      <c r="F416" s="45" t="s">
        <v>500</v>
      </c>
      <c r="G416" s="14">
        <v>2174.6</v>
      </c>
      <c r="H416" s="14">
        <v>3096.3</v>
      </c>
      <c r="I416" s="14">
        <v>2748.9</v>
      </c>
      <c r="J416" s="14">
        <v>2736.5</v>
      </c>
      <c r="K416" s="14">
        <v>2983.5</v>
      </c>
      <c r="L416" s="14">
        <v>2117.1</v>
      </c>
      <c r="M416" s="14">
        <v>1917.4</v>
      </c>
      <c r="N416" s="14">
        <v>2156.5</v>
      </c>
      <c r="O416" s="14">
        <v>2120</v>
      </c>
      <c r="P416" s="14">
        <v>2852.7</v>
      </c>
      <c r="Q416" s="14">
        <v>1925.2</v>
      </c>
      <c r="R416" s="14">
        <v>1933.2</v>
      </c>
      <c r="S416" s="14">
        <v>2081</v>
      </c>
      <c r="T416" s="14">
        <v>2440</v>
      </c>
      <c r="U416" s="14">
        <v>1725.5</v>
      </c>
      <c r="V416" s="14">
        <v>1955.7</v>
      </c>
      <c r="W416" s="14">
        <v>6378.4</v>
      </c>
      <c r="X416" s="14">
        <v>2619.4</v>
      </c>
      <c r="Y416" s="14">
        <v>2900.8</v>
      </c>
      <c r="Z416" s="14">
        <v>2374.6</v>
      </c>
      <c r="AA416" s="14"/>
      <c r="AB416" s="14"/>
      <c r="AC416" s="15">
        <f>IFERROR(Z416/G416-1,"")</f>
        <v>9.1970937183849966E-2</v>
      </c>
      <c r="AD416" s="15">
        <f>IFERROR((Z416/G416)^(1/19)-1,"")</f>
        <v>4.6414891619739329E-3</v>
      </c>
    </row>
    <row r="417" spans="1:30">
      <c r="A417" s="45" t="s">
        <v>411</v>
      </c>
      <c r="B417" s="45" t="s">
        <v>412</v>
      </c>
      <c r="C417" s="45" t="s">
        <v>490</v>
      </c>
      <c r="D417" s="45" t="s">
        <v>491</v>
      </c>
      <c r="E417" s="45" t="s">
        <v>492</v>
      </c>
      <c r="F417" s="45" t="s">
        <v>493</v>
      </c>
      <c r="G417" s="14">
        <v>5706</v>
      </c>
      <c r="H417" s="14">
        <v>5788</v>
      </c>
      <c r="I417" s="14">
        <v>6896</v>
      </c>
      <c r="J417" s="14">
        <v>8144</v>
      </c>
      <c r="K417" s="14">
        <v>9411</v>
      </c>
      <c r="L417" s="14">
        <v>10813</v>
      </c>
      <c r="M417" s="14">
        <v>11994</v>
      </c>
      <c r="N417" s="14">
        <v>13704</v>
      </c>
      <c r="O417" s="14">
        <v>13675</v>
      </c>
      <c r="P417" s="14">
        <v>15785</v>
      </c>
      <c r="Q417" s="14">
        <v>18421</v>
      </c>
      <c r="R417" s="14">
        <v>22658</v>
      </c>
      <c r="S417" s="14">
        <v>23042</v>
      </c>
      <c r="T417" s="14">
        <v>24413</v>
      </c>
      <c r="U417" s="14">
        <v>26017</v>
      </c>
      <c r="V417" s="14">
        <v>31964</v>
      </c>
      <c r="W417" s="14">
        <v>31578</v>
      </c>
      <c r="X417" s="14">
        <v>34642</v>
      </c>
      <c r="Y417" s="14">
        <v>36890</v>
      </c>
      <c r="Z417" s="14">
        <v>39069</v>
      </c>
      <c r="AA417" s="14">
        <v>43862</v>
      </c>
      <c r="AB417" s="14">
        <v>61994</v>
      </c>
    </row>
    <row r="418" spans="1:30">
      <c r="A418" s="45" t="s">
        <v>411</v>
      </c>
      <c r="B418" s="45" t="s">
        <v>412</v>
      </c>
      <c r="C418" s="45" t="s">
        <v>490</v>
      </c>
      <c r="D418" s="45" t="s">
        <v>494</v>
      </c>
      <c r="E418" s="45" t="s">
        <v>492</v>
      </c>
      <c r="F418" s="45" t="s">
        <v>493</v>
      </c>
      <c r="G418" s="14">
        <v>5557</v>
      </c>
      <c r="H418" s="14">
        <v>5639</v>
      </c>
      <c r="I418" s="14">
        <v>6708</v>
      </c>
      <c r="J418" s="14">
        <v>7912</v>
      </c>
      <c r="K418" s="14">
        <v>9097</v>
      </c>
      <c r="L418" s="14">
        <v>10434</v>
      </c>
      <c r="M418" s="14">
        <v>11596</v>
      </c>
      <c r="N418" s="14">
        <v>13191</v>
      </c>
      <c r="O418" s="14">
        <v>13212</v>
      </c>
      <c r="P418" s="14">
        <v>15235</v>
      </c>
      <c r="Q418" s="14">
        <v>17657</v>
      </c>
      <c r="R418" s="14">
        <v>21848</v>
      </c>
      <c r="S418" s="14">
        <v>22307</v>
      </c>
      <c r="T418" s="14">
        <v>23442</v>
      </c>
      <c r="U418" s="14">
        <v>25331</v>
      </c>
      <c r="V418" s="14">
        <v>31249</v>
      </c>
      <c r="W418" s="14">
        <v>30477</v>
      </c>
      <c r="X418" s="14">
        <v>33553</v>
      </c>
      <c r="Y418" s="14">
        <v>35766</v>
      </c>
      <c r="Z418" s="14">
        <v>37398</v>
      </c>
      <c r="AA418" s="14"/>
      <c r="AB418" s="14"/>
    </row>
    <row r="419" spans="1:30">
      <c r="A419" s="45" t="s">
        <v>411</v>
      </c>
      <c r="B419" s="45" t="s">
        <v>412</v>
      </c>
      <c r="C419" s="45" t="s">
        <v>490</v>
      </c>
      <c r="D419" s="45" t="s">
        <v>495</v>
      </c>
      <c r="E419" s="45" t="s">
        <v>492</v>
      </c>
      <c r="F419" s="45" t="s">
        <v>493</v>
      </c>
      <c r="G419" s="14">
        <v>504</v>
      </c>
      <c r="H419" s="14">
        <v>319</v>
      </c>
      <c r="I419" s="14">
        <v>430</v>
      </c>
      <c r="J419" s="14">
        <v>452</v>
      </c>
      <c r="K419" s="14">
        <v>352</v>
      </c>
      <c r="L419" s="14">
        <v>522</v>
      </c>
      <c r="M419" s="14">
        <v>745</v>
      </c>
      <c r="N419" s="14">
        <v>1006</v>
      </c>
      <c r="O419" s="14">
        <v>485</v>
      </c>
      <c r="P419" s="14">
        <v>481</v>
      </c>
      <c r="Q419" s="14">
        <v>703</v>
      </c>
      <c r="R419" s="14">
        <v>1675</v>
      </c>
      <c r="S419" s="14">
        <v>2486</v>
      </c>
      <c r="T419" s="14">
        <v>1642</v>
      </c>
      <c r="U419" s="14">
        <v>1963</v>
      </c>
      <c r="V419" s="14">
        <v>2377</v>
      </c>
      <c r="W419" s="14">
        <v>1509</v>
      </c>
      <c r="X419" s="14">
        <v>1472</v>
      </c>
      <c r="Y419" s="14">
        <v>1787</v>
      </c>
      <c r="Z419" s="14">
        <v>1768</v>
      </c>
      <c r="AA419" s="14"/>
      <c r="AB419" s="14"/>
    </row>
    <row r="420" spans="1:30">
      <c r="A420" s="45" t="s">
        <v>411</v>
      </c>
      <c r="B420" s="45" t="s">
        <v>412</v>
      </c>
      <c r="C420" s="45" t="s">
        <v>490</v>
      </c>
      <c r="D420" s="45" t="s">
        <v>496</v>
      </c>
      <c r="E420" s="45" t="s">
        <v>492</v>
      </c>
      <c r="F420" s="45" t="s">
        <v>493</v>
      </c>
      <c r="G420" s="14">
        <v>1191</v>
      </c>
      <c r="H420" s="14">
        <v>1227</v>
      </c>
      <c r="I420" s="14">
        <v>1549</v>
      </c>
      <c r="J420" s="14">
        <v>1732</v>
      </c>
      <c r="K420" s="14">
        <v>1981</v>
      </c>
      <c r="L420" s="14">
        <v>2071</v>
      </c>
      <c r="M420" s="14">
        <v>2100</v>
      </c>
      <c r="N420" s="14">
        <v>2461</v>
      </c>
      <c r="O420" s="14">
        <v>2781</v>
      </c>
      <c r="P420" s="14">
        <v>3218</v>
      </c>
      <c r="Q420" s="14">
        <v>4621</v>
      </c>
      <c r="R420" s="14">
        <v>5524</v>
      </c>
      <c r="S420" s="14">
        <v>4737</v>
      </c>
      <c r="T420" s="14">
        <v>5341</v>
      </c>
      <c r="U420" s="14">
        <v>5766</v>
      </c>
      <c r="V420" s="14">
        <v>7142</v>
      </c>
      <c r="W420" s="14">
        <v>8074</v>
      </c>
      <c r="X420" s="14">
        <v>8846</v>
      </c>
      <c r="Y420" s="14">
        <v>9609</v>
      </c>
      <c r="Z420" s="14">
        <v>10633</v>
      </c>
      <c r="AA420" s="14"/>
      <c r="AB420" s="14"/>
    </row>
    <row r="421" spans="1:30">
      <c r="A421" s="45" t="s">
        <v>411</v>
      </c>
      <c r="B421" s="45" t="s">
        <v>412</v>
      </c>
      <c r="C421" s="45" t="s">
        <v>490</v>
      </c>
      <c r="D421" s="45" t="s">
        <v>497</v>
      </c>
      <c r="E421" s="45" t="s">
        <v>492</v>
      </c>
      <c r="F421" s="45" t="s">
        <v>493</v>
      </c>
      <c r="G421" s="14">
        <v>3673</v>
      </c>
      <c r="H421" s="14">
        <v>3730</v>
      </c>
      <c r="I421" s="14">
        <v>4454</v>
      </c>
      <c r="J421" s="14">
        <v>5414</v>
      </c>
      <c r="K421" s="14">
        <v>6376</v>
      </c>
      <c r="L421" s="14">
        <v>7547</v>
      </c>
      <c r="M421" s="14">
        <v>8375</v>
      </c>
      <c r="N421" s="14">
        <v>9291</v>
      </c>
      <c r="O421" s="14">
        <v>9600</v>
      </c>
      <c r="P421" s="14">
        <v>11012</v>
      </c>
      <c r="Q421" s="14">
        <v>11865</v>
      </c>
      <c r="R421" s="14">
        <v>14152</v>
      </c>
      <c r="S421" s="14">
        <v>14528</v>
      </c>
      <c r="T421" s="14">
        <v>15875</v>
      </c>
      <c r="U421" s="14">
        <v>17006</v>
      </c>
      <c r="V421" s="14">
        <v>21025</v>
      </c>
      <c r="W421" s="14">
        <v>20029</v>
      </c>
      <c r="X421" s="14">
        <v>22414</v>
      </c>
      <c r="Y421" s="14">
        <v>23311</v>
      </c>
      <c r="Z421" s="14">
        <v>23689</v>
      </c>
      <c r="AA421" s="14"/>
      <c r="AB421" s="14"/>
    </row>
    <row r="422" spans="1:30">
      <c r="A422" s="45" t="s">
        <v>411</v>
      </c>
      <c r="B422" s="45" t="s">
        <v>412</v>
      </c>
      <c r="C422" s="45" t="s">
        <v>498</v>
      </c>
      <c r="D422" s="45" t="s">
        <v>491</v>
      </c>
      <c r="E422" s="45" t="s">
        <v>499</v>
      </c>
      <c r="F422" s="45" t="s">
        <v>500</v>
      </c>
      <c r="G422" s="14">
        <v>10840</v>
      </c>
      <c r="H422" s="14">
        <v>9637</v>
      </c>
      <c r="I422" s="14">
        <v>10656.3</v>
      </c>
      <c r="J422" s="14">
        <v>11714.4</v>
      </c>
      <c r="K422" s="14">
        <v>12678.6</v>
      </c>
      <c r="L422" s="14">
        <v>13685.6</v>
      </c>
      <c r="M422" s="14">
        <v>13955.1</v>
      </c>
      <c r="N422" s="14">
        <v>14858.3</v>
      </c>
      <c r="O422" s="14">
        <v>13675</v>
      </c>
      <c r="P422" s="14">
        <v>14572.8</v>
      </c>
      <c r="Q422" s="14">
        <v>15754.9</v>
      </c>
      <c r="R422" s="14">
        <v>18025.900000000001</v>
      </c>
      <c r="S422" s="14">
        <v>16997.599999999999</v>
      </c>
      <c r="T422" s="14">
        <v>16742.2</v>
      </c>
      <c r="U422" s="14">
        <v>16504.8</v>
      </c>
      <c r="V422" s="14">
        <v>19559.400000000001</v>
      </c>
      <c r="W422" s="14">
        <v>18492.2</v>
      </c>
      <c r="X422" s="14">
        <v>19464.3</v>
      </c>
      <c r="Y422" s="14">
        <v>19467.3</v>
      </c>
      <c r="Z422" s="14">
        <v>18237.7</v>
      </c>
      <c r="AA422" s="14"/>
      <c r="AB422" s="14"/>
      <c r="AC422" s="15">
        <f>IFERROR(Z422/G422-1,"")</f>
        <v>0.68244464944649463</v>
      </c>
      <c r="AD422" s="15">
        <f>IFERROR((Z422/G422)^(1/19)-1,"")</f>
        <v>2.7759785041827634E-2</v>
      </c>
    </row>
    <row r="423" spans="1:30">
      <c r="A423" s="45" t="s">
        <v>411</v>
      </c>
      <c r="B423" s="45" t="s">
        <v>412</v>
      </c>
      <c r="C423" s="45" t="s">
        <v>498</v>
      </c>
      <c r="D423" s="45" t="s">
        <v>495</v>
      </c>
      <c r="E423" s="45" t="s">
        <v>499</v>
      </c>
      <c r="F423" s="45" t="s">
        <v>500</v>
      </c>
      <c r="G423" s="14">
        <v>957.4</v>
      </c>
      <c r="H423" s="14">
        <v>531.5</v>
      </c>
      <c r="I423" s="14">
        <v>664.3</v>
      </c>
      <c r="J423" s="14">
        <v>650.1</v>
      </c>
      <c r="K423" s="14">
        <v>474</v>
      </c>
      <c r="L423" s="14">
        <v>660.6</v>
      </c>
      <c r="M423" s="14">
        <v>866.6</v>
      </c>
      <c r="N423" s="14">
        <v>1090.7</v>
      </c>
      <c r="O423" s="14">
        <v>485</v>
      </c>
      <c r="P423" s="14">
        <v>444.1</v>
      </c>
      <c r="Q423" s="14">
        <v>601.29999999999995</v>
      </c>
      <c r="R423" s="14">
        <v>1332.6</v>
      </c>
      <c r="S423" s="14">
        <v>1833.9</v>
      </c>
      <c r="T423" s="14">
        <v>1126.0999999999999</v>
      </c>
      <c r="U423" s="14">
        <v>1245.3</v>
      </c>
      <c r="V423" s="14">
        <v>1454.5</v>
      </c>
      <c r="W423" s="14">
        <v>883.7</v>
      </c>
      <c r="X423" s="14">
        <v>827.1</v>
      </c>
      <c r="Y423" s="14">
        <v>943</v>
      </c>
      <c r="Z423" s="14">
        <v>825.3</v>
      </c>
      <c r="AA423" s="14"/>
      <c r="AB423" s="14"/>
      <c r="AC423" s="15">
        <f>IFERROR(Z423/G423-1,"")</f>
        <v>-0.13797785669521623</v>
      </c>
      <c r="AD423" s="15">
        <f>IFERROR((Z423/G423)^(1/19)-1,"")</f>
        <v>-7.7839845706015875E-3</v>
      </c>
    </row>
    <row r="424" spans="1:30">
      <c r="A424" s="45" t="s">
        <v>411</v>
      </c>
      <c r="B424" s="45" t="s">
        <v>412</v>
      </c>
      <c r="C424" s="45" t="s">
        <v>498</v>
      </c>
      <c r="D424" s="45" t="s">
        <v>496</v>
      </c>
      <c r="E424" s="45" t="s">
        <v>499</v>
      </c>
      <c r="F424" s="45" t="s">
        <v>500</v>
      </c>
      <c r="G424" s="14">
        <v>2263.1999999999998</v>
      </c>
      <c r="H424" s="14">
        <v>2043.9</v>
      </c>
      <c r="I424" s="14">
        <v>2393.8000000000002</v>
      </c>
      <c r="J424" s="14">
        <v>2491.9</v>
      </c>
      <c r="K424" s="14">
        <v>2669</v>
      </c>
      <c r="L424" s="14">
        <v>2621.8</v>
      </c>
      <c r="M424" s="14">
        <v>2443.8000000000002</v>
      </c>
      <c r="N424" s="14">
        <v>2668.3</v>
      </c>
      <c r="O424" s="14">
        <v>2781</v>
      </c>
      <c r="P424" s="14">
        <v>2970.9</v>
      </c>
      <c r="Q424" s="14">
        <v>3952.2</v>
      </c>
      <c r="R424" s="14">
        <v>4394.7</v>
      </c>
      <c r="S424" s="14">
        <v>3494.4</v>
      </c>
      <c r="T424" s="14">
        <v>3662.8</v>
      </c>
      <c r="U424" s="14">
        <v>3657.9</v>
      </c>
      <c r="V424" s="14">
        <v>4370.3</v>
      </c>
      <c r="W424" s="14">
        <v>4728.2</v>
      </c>
      <c r="X424" s="14">
        <v>4970.3</v>
      </c>
      <c r="Y424" s="14">
        <v>5070.8</v>
      </c>
      <c r="Z424" s="14">
        <v>4963.6000000000004</v>
      </c>
      <c r="AA424" s="14"/>
      <c r="AB424" s="14"/>
      <c r="AC424" s="15">
        <f>IFERROR(Z424/G424-1,"")</f>
        <v>1.1931778013432313</v>
      </c>
      <c r="AD424" s="15">
        <f>IFERROR((Z424/G424)^(1/19)-1,"")</f>
        <v>4.2200446311085216E-2</v>
      </c>
    </row>
    <row r="425" spans="1:30">
      <c r="A425" s="45" t="s">
        <v>411</v>
      </c>
      <c r="B425" s="45" t="s">
        <v>412</v>
      </c>
      <c r="C425" s="45" t="s">
        <v>498</v>
      </c>
      <c r="D425" s="45" t="s">
        <v>497</v>
      </c>
      <c r="E425" s="45" t="s">
        <v>499</v>
      </c>
      <c r="F425" s="45" t="s">
        <v>500</v>
      </c>
      <c r="G425" s="14">
        <v>6978.7</v>
      </c>
      <c r="H425" s="14">
        <v>6210.6</v>
      </c>
      <c r="I425" s="14">
        <v>6882.7</v>
      </c>
      <c r="J425" s="14">
        <v>7788.3</v>
      </c>
      <c r="K425" s="14">
        <v>8590.1</v>
      </c>
      <c r="L425" s="14">
        <v>9552.6</v>
      </c>
      <c r="M425" s="14">
        <v>9744.2000000000007</v>
      </c>
      <c r="N425" s="14">
        <v>10073.6</v>
      </c>
      <c r="O425" s="14">
        <v>9600</v>
      </c>
      <c r="P425" s="14">
        <v>10166.299999999999</v>
      </c>
      <c r="Q425" s="14">
        <v>10147.700000000001</v>
      </c>
      <c r="R425" s="14">
        <v>11258.8</v>
      </c>
      <c r="S425" s="14">
        <v>10717</v>
      </c>
      <c r="T425" s="14">
        <v>10886.9</v>
      </c>
      <c r="U425" s="14">
        <v>10788.3</v>
      </c>
      <c r="V425" s="14">
        <v>12865.6</v>
      </c>
      <c r="W425" s="14">
        <v>11729.1</v>
      </c>
      <c r="X425" s="14">
        <v>12593.7</v>
      </c>
      <c r="Y425" s="14">
        <v>12301.5</v>
      </c>
      <c r="Z425" s="14">
        <v>11058.7</v>
      </c>
      <c r="AA425" s="14"/>
      <c r="AB425" s="14"/>
      <c r="AC425" s="15">
        <f>IFERROR(Z425/G425-1,"")</f>
        <v>0.58463610701133462</v>
      </c>
      <c r="AD425" s="15">
        <f>IFERROR((Z425/G425)^(1/19)-1,"")</f>
        <v>2.4525111894612595E-2</v>
      </c>
    </row>
    <row r="426" spans="1:30">
      <c r="A426" s="45" t="s">
        <v>411</v>
      </c>
      <c r="B426" s="45" t="s">
        <v>412</v>
      </c>
      <c r="C426" s="45" t="s">
        <v>498</v>
      </c>
      <c r="D426" s="45" t="s">
        <v>501</v>
      </c>
      <c r="E426" s="45" t="s">
        <v>499</v>
      </c>
      <c r="F426" s="45" t="s">
        <v>500</v>
      </c>
      <c r="G426" s="14">
        <v>356.9</v>
      </c>
      <c r="H426" s="14">
        <v>603.1</v>
      </c>
      <c r="I426" s="14">
        <v>424.8</v>
      </c>
      <c r="J426" s="14">
        <v>451</v>
      </c>
      <c r="K426" s="14">
        <v>521.5</v>
      </c>
      <c r="L426" s="14">
        <v>370.7</v>
      </c>
      <c r="M426" s="14">
        <v>438.3</v>
      </c>
      <c r="N426" s="14">
        <v>469.5</v>
      </c>
      <c r="O426" s="14">
        <v>346</v>
      </c>
      <c r="P426" s="14">
        <v>483.8</v>
      </c>
      <c r="Q426" s="14">
        <v>400.3</v>
      </c>
      <c r="R426" s="14">
        <v>394.6</v>
      </c>
      <c r="S426" s="14">
        <v>410.2</v>
      </c>
      <c r="T426" s="14">
        <v>400.5</v>
      </c>
      <c r="U426" s="14">
        <v>378.7</v>
      </c>
      <c r="V426" s="14">
        <v>430.8</v>
      </c>
      <c r="W426" s="14">
        <v>506.5</v>
      </c>
      <c r="X426" s="14">
        <v>461.3</v>
      </c>
      <c r="Y426" s="14">
        <v>558.79999999999995</v>
      </c>
      <c r="Z426" s="14">
        <v>610.6</v>
      </c>
      <c r="AA426" s="14"/>
      <c r="AB426" s="14"/>
      <c r="AC426" s="15">
        <f>IFERROR(Z426/G426-1,"")</f>
        <v>0.71084337349397608</v>
      </c>
      <c r="AD426" s="15">
        <f>IFERROR((Z426/G426)^(1/19)-1,"")</f>
        <v>2.8665616865243493E-2</v>
      </c>
    </row>
    <row r="427" spans="1:30">
      <c r="A427" s="45" t="s">
        <v>257</v>
      </c>
      <c r="B427" s="45" t="s">
        <v>258</v>
      </c>
      <c r="C427" s="45" t="s">
        <v>490</v>
      </c>
      <c r="D427" s="45" t="s">
        <v>491</v>
      </c>
      <c r="E427" s="45" t="s">
        <v>492</v>
      </c>
      <c r="F427" s="45" t="s">
        <v>493</v>
      </c>
      <c r="G427" s="14">
        <v>20396</v>
      </c>
      <c r="H427" s="14">
        <v>19039</v>
      </c>
      <c r="I427" s="14">
        <v>23683</v>
      </c>
      <c r="J427" s="14">
        <v>23905</v>
      </c>
      <c r="K427" s="14">
        <v>27892</v>
      </c>
      <c r="L427" s="14">
        <v>29651</v>
      </c>
      <c r="M427" s="14">
        <v>31671</v>
      </c>
      <c r="N427" s="14">
        <v>38295</v>
      </c>
      <c r="O427" s="14">
        <v>40485</v>
      </c>
      <c r="P427" s="14">
        <v>51101</v>
      </c>
      <c r="Q427" s="14">
        <v>58524</v>
      </c>
      <c r="R427" s="14">
        <v>63314</v>
      </c>
      <c r="S427" s="14">
        <v>73850</v>
      </c>
      <c r="T427" s="14">
        <v>82181</v>
      </c>
      <c r="U427" s="14">
        <v>82183</v>
      </c>
      <c r="V427" s="14">
        <v>81113</v>
      </c>
      <c r="W427" s="14">
        <v>94051</v>
      </c>
      <c r="X427" s="14">
        <v>99265</v>
      </c>
      <c r="Y427" s="14">
        <v>109556</v>
      </c>
      <c r="Z427" s="14">
        <v>120492</v>
      </c>
      <c r="AA427" s="14">
        <v>137719</v>
      </c>
      <c r="AB427" s="14">
        <v>152502</v>
      </c>
    </row>
    <row r="428" spans="1:30">
      <c r="A428" s="45" t="s">
        <v>257</v>
      </c>
      <c r="B428" s="45" t="s">
        <v>258</v>
      </c>
      <c r="C428" s="45" t="s">
        <v>490</v>
      </c>
      <c r="D428" s="45" t="s">
        <v>494</v>
      </c>
      <c r="E428" s="45" t="s">
        <v>492</v>
      </c>
      <c r="F428" s="45" t="s">
        <v>493</v>
      </c>
      <c r="G428" s="14">
        <v>19721</v>
      </c>
      <c r="H428" s="14">
        <v>18445</v>
      </c>
      <c r="I428" s="14">
        <v>22910</v>
      </c>
      <c r="J428" s="14">
        <v>23030</v>
      </c>
      <c r="K428" s="14">
        <v>26333</v>
      </c>
      <c r="L428" s="14">
        <v>27886</v>
      </c>
      <c r="M428" s="14">
        <v>29775</v>
      </c>
      <c r="N428" s="14">
        <v>36294</v>
      </c>
      <c r="O428" s="14">
        <v>37649</v>
      </c>
      <c r="P428" s="14">
        <v>47211</v>
      </c>
      <c r="Q428" s="14">
        <v>53566</v>
      </c>
      <c r="R428" s="14">
        <v>58264</v>
      </c>
      <c r="S428" s="14">
        <v>67902</v>
      </c>
      <c r="T428" s="14">
        <v>75110</v>
      </c>
      <c r="U428" s="14">
        <v>78282</v>
      </c>
      <c r="V428" s="14">
        <v>77581</v>
      </c>
      <c r="W428" s="14">
        <v>88635</v>
      </c>
      <c r="X428" s="14">
        <v>93487</v>
      </c>
      <c r="Y428" s="14">
        <v>103181</v>
      </c>
      <c r="Z428" s="14">
        <v>112104</v>
      </c>
      <c r="AA428" s="14"/>
      <c r="AB428" s="14"/>
    </row>
    <row r="429" spans="1:30">
      <c r="A429" s="45" t="s">
        <v>257</v>
      </c>
      <c r="B429" s="45" t="s">
        <v>258</v>
      </c>
      <c r="C429" s="45" t="s">
        <v>490</v>
      </c>
      <c r="D429" s="45" t="s">
        <v>495</v>
      </c>
      <c r="E429" s="45" t="s">
        <v>492</v>
      </c>
      <c r="F429" s="45" t="s">
        <v>493</v>
      </c>
      <c r="G429" s="14">
        <v>2746</v>
      </c>
      <c r="H429" s="14">
        <v>882</v>
      </c>
      <c r="I429" s="14">
        <v>3487</v>
      </c>
      <c r="J429" s="14">
        <v>1368</v>
      </c>
      <c r="K429" s="14">
        <v>1243</v>
      </c>
      <c r="L429" s="14">
        <v>1495</v>
      </c>
      <c r="M429" s="14">
        <v>1551</v>
      </c>
      <c r="N429" s="14">
        <v>1886</v>
      </c>
      <c r="O429" s="14">
        <v>1538</v>
      </c>
      <c r="P429" s="14">
        <v>2485</v>
      </c>
      <c r="Q429" s="14">
        <v>2527</v>
      </c>
      <c r="R429" s="14">
        <v>2765</v>
      </c>
      <c r="S429" s="14">
        <v>2614</v>
      </c>
      <c r="T429" s="14">
        <v>3302</v>
      </c>
      <c r="U429" s="14">
        <v>4250</v>
      </c>
      <c r="V429" s="14">
        <v>3499</v>
      </c>
      <c r="W429" s="14">
        <v>7915</v>
      </c>
      <c r="X429" s="14">
        <v>5660</v>
      </c>
      <c r="Y429" s="14">
        <v>6322</v>
      </c>
      <c r="Z429" s="14">
        <v>10285</v>
      </c>
      <c r="AA429" s="14"/>
      <c r="AB429" s="14"/>
    </row>
    <row r="430" spans="1:30">
      <c r="A430" s="45" t="s">
        <v>257</v>
      </c>
      <c r="B430" s="45" t="s">
        <v>258</v>
      </c>
      <c r="C430" s="45" t="s">
        <v>490</v>
      </c>
      <c r="D430" s="45" t="s">
        <v>496</v>
      </c>
      <c r="E430" s="45" t="s">
        <v>492</v>
      </c>
      <c r="F430" s="45" t="s">
        <v>493</v>
      </c>
      <c r="G430" s="14">
        <v>4457</v>
      </c>
      <c r="H430" s="14">
        <v>4555</v>
      </c>
      <c r="I430" s="14">
        <v>5363</v>
      </c>
      <c r="J430" s="14">
        <v>5708</v>
      </c>
      <c r="K430" s="14">
        <v>6397</v>
      </c>
      <c r="L430" s="14">
        <v>7205</v>
      </c>
      <c r="M430" s="14">
        <v>6878</v>
      </c>
      <c r="N430" s="14">
        <v>9598</v>
      </c>
      <c r="O430" s="14">
        <v>8187</v>
      </c>
      <c r="P430" s="14">
        <v>11577</v>
      </c>
      <c r="Q430" s="14">
        <v>14779</v>
      </c>
      <c r="R430" s="14">
        <v>16377</v>
      </c>
      <c r="S430" s="14">
        <v>17859</v>
      </c>
      <c r="T430" s="14">
        <v>21217</v>
      </c>
      <c r="U430" s="14">
        <v>21934</v>
      </c>
      <c r="V430" s="14">
        <v>21402</v>
      </c>
      <c r="W430" s="14">
        <v>26458</v>
      </c>
      <c r="X430" s="14">
        <v>28519</v>
      </c>
      <c r="Y430" s="14">
        <v>30233</v>
      </c>
      <c r="Z430" s="14">
        <v>32503</v>
      </c>
      <c r="AA430" s="14"/>
      <c r="AB430" s="14"/>
    </row>
    <row r="431" spans="1:30">
      <c r="A431" s="45" t="s">
        <v>257</v>
      </c>
      <c r="B431" s="45" t="s">
        <v>258</v>
      </c>
      <c r="C431" s="45" t="s">
        <v>490</v>
      </c>
      <c r="D431" s="45" t="s">
        <v>497</v>
      </c>
      <c r="E431" s="45" t="s">
        <v>492</v>
      </c>
      <c r="F431" s="45" t="s">
        <v>493</v>
      </c>
      <c r="G431" s="14">
        <v>9839</v>
      </c>
      <c r="H431" s="14">
        <v>10604</v>
      </c>
      <c r="I431" s="14">
        <v>11322</v>
      </c>
      <c r="J431" s="14">
        <v>13225</v>
      </c>
      <c r="K431" s="14">
        <v>14500</v>
      </c>
      <c r="L431" s="14">
        <v>16771</v>
      </c>
      <c r="M431" s="14">
        <v>17728</v>
      </c>
      <c r="N431" s="14">
        <v>20825</v>
      </c>
      <c r="O431" s="14">
        <v>23841</v>
      </c>
      <c r="P431" s="14">
        <v>26425</v>
      </c>
      <c r="Q431" s="14">
        <v>30414</v>
      </c>
      <c r="R431" s="14">
        <v>32788</v>
      </c>
      <c r="S431" s="14">
        <v>39386</v>
      </c>
      <c r="T431" s="14">
        <v>41953</v>
      </c>
      <c r="U431" s="14">
        <v>43616</v>
      </c>
      <c r="V431" s="14">
        <v>44264</v>
      </c>
      <c r="W431" s="14">
        <v>43964</v>
      </c>
      <c r="X431" s="14">
        <v>48744</v>
      </c>
      <c r="Y431" s="14">
        <v>53588</v>
      </c>
      <c r="Z431" s="14">
        <v>56103</v>
      </c>
      <c r="AA431" s="14"/>
      <c r="AB431" s="14"/>
    </row>
    <row r="432" spans="1:30">
      <c r="A432" s="45" t="s">
        <v>257</v>
      </c>
      <c r="B432" s="45" t="s">
        <v>258</v>
      </c>
      <c r="C432" s="45" t="s">
        <v>498</v>
      </c>
      <c r="D432" s="45" t="s">
        <v>491</v>
      </c>
      <c r="E432" s="45" t="s">
        <v>499</v>
      </c>
      <c r="F432" s="45" t="s">
        <v>500</v>
      </c>
      <c r="G432" s="14">
        <v>38747.599999999999</v>
      </c>
      <c r="H432" s="14">
        <v>31702.3</v>
      </c>
      <c r="I432" s="14">
        <v>36598.1</v>
      </c>
      <c r="J432" s="14">
        <v>34385.199999999997</v>
      </c>
      <c r="K432" s="14">
        <v>37575.699999999997</v>
      </c>
      <c r="L432" s="14">
        <v>37528.400000000001</v>
      </c>
      <c r="M432" s="14">
        <v>36850.300000000003</v>
      </c>
      <c r="N432" s="14">
        <v>41520.699999999997</v>
      </c>
      <c r="O432" s="14">
        <v>40485</v>
      </c>
      <c r="P432" s="14">
        <v>47176.6</v>
      </c>
      <c r="Q432" s="14">
        <v>50053.7</v>
      </c>
      <c r="R432" s="14">
        <v>50370.3</v>
      </c>
      <c r="S432" s="14">
        <v>54477.7</v>
      </c>
      <c r="T432" s="14">
        <v>56359.1</v>
      </c>
      <c r="U432" s="14">
        <v>52135.6</v>
      </c>
      <c r="V432" s="14">
        <v>49634.5</v>
      </c>
      <c r="W432" s="14">
        <v>55076.6</v>
      </c>
      <c r="X432" s="14">
        <v>55773.9</v>
      </c>
      <c r="Y432" s="14">
        <v>57814.1</v>
      </c>
      <c r="Z432" s="14">
        <v>56246.5</v>
      </c>
      <c r="AA432" s="14"/>
      <c r="AB432" s="14"/>
      <c r="AC432" s="15">
        <f>IFERROR(Z432/G432-1,"")</f>
        <v>0.45161248696693468</v>
      </c>
      <c r="AD432" s="15">
        <f>IFERROR((Z432/G432)^(1/19)-1,"")</f>
        <v>1.9808101290614388E-2</v>
      </c>
    </row>
    <row r="433" spans="1:30">
      <c r="A433" s="45" t="s">
        <v>257</v>
      </c>
      <c r="B433" s="45" t="s">
        <v>258</v>
      </c>
      <c r="C433" s="45" t="s">
        <v>498</v>
      </c>
      <c r="D433" s="45" t="s">
        <v>495</v>
      </c>
      <c r="E433" s="45" t="s">
        <v>499</v>
      </c>
      <c r="F433" s="45" t="s">
        <v>500</v>
      </c>
      <c r="G433" s="14">
        <v>5217.6000000000004</v>
      </c>
      <c r="H433" s="14">
        <v>1468.4</v>
      </c>
      <c r="I433" s="14">
        <v>5389.3</v>
      </c>
      <c r="J433" s="14">
        <v>1967.6</v>
      </c>
      <c r="K433" s="14">
        <v>1674.7</v>
      </c>
      <c r="L433" s="14">
        <v>1892.6</v>
      </c>
      <c r="M433" s="14">
        <v>1804.1</v>
      </c>
      <c r="N433" s="14">
        <v>2044.9</v>
      </c>
      <c r="O433" s="14">
        <v>1538</v>
      </c>
      <c r="P433" s="14">
        <v>2294.1999999999998</v>
      </c>
      <c r="Q433" s="14">
        <v>2161.3000000000002</v>
      </c>
      <c r="R433" s="14">
        <v>2199.6999999999998</v>
      </c>
      <c r="S433" s="14">
        <v>1928.3</v>
      </c>
      <c r="T433" s="14">
        <v>2264.5</v>
      </c>
      <c r="U433" s="14">
        <v>2696.1</v>
      </c>
      <c r="V433" s="14">
        <v>2141.1</v>
      </c>
      <c r="W433" s="14">
        <v>4635.1000000000004</v>
      </c>
      <c r="X433" s="14">
        <v>3180.2</v>
      </c>
      <c r="Y433" s="14">
        <v>3336.2</v>
      </c>
      <c r="Z433" s="14">
        <v>4801.1000000000004</v>
      </c>
      <c r="AA433" s="14"/>
      <c r="AB433" s="14"/>
      <c r="AC433" s="15">
        <f>IFERROR(Z433/G433-1,"")</f>
        <v>-7.9825973627721591E-2</v>
      </c>
      <c r="AD433" s="15">
        <f>IFERROR((Z433/G433)^(1/19)-1,"")</f>
        <v>-4.3689790542830176E-3</v>
      </c>
    </row>
    <row r="434" spans="1:30">
      <c r="A434" s="45" t="s">
        <v>257</v>
      </c>
      <c r="B434" s="45" t="s">
        <v>258</v>
      </c>
      <c r="C434" s="45" t="s">
        <v>498</v>
      </c>
      <c r="D434" s="45" t="s">
        <v>496</v>
      </c>
      <c r="E434" s="45" t="s">
        <v>499</v>
      </c>
      <c r="F434" s="45" t="s">
        <v>500</v>
      </c>
      <c r="G434" s="14">
        <v>8467.7000000000007</v>
      </c>
      <c r="H434" s="14">
        <v>7585.3</v>
      </c>
      <c r="I434" s="14">
        <v>8287.1</v>
      </c>
      <c r="J434" s="14">
        <v>8210.9</v>
      </c>
      <c r="K434" s="14">
        <v>8617.9</v>
      </c>
      <c r="L434" s="14">
        <v>9118.7000000000007</v>
      </c>
      <c r="M434" s="14">
        <v>8003.3</v>
      </c>
      <c r="N434" s="14">
        <v>10406.5</v>
      </c>
      <c r="O434" s="14">
        <v>8187</v>
      </c>
      <c r="P434" s="14">
        <v>10687.9</v>
      </c>
      <c r="Q434" s="14">
        <v>12640</v>
      </c>
      <c r="R434" s="14">
        <v>13029</v>
      </c>
      <c r="S434" s="14">
        <v>13174.2</v>
      </c>
      <c r="T434" s="14">
        <v>14550.5</v>
      </c>
      <c r="U434" s="14">
        <v>13914.6</v>
      </c>
      <c r="V434" s="14">
        <v>13096.3</v>
      </c>
      <c r="W434" s="14">
        <v>15493.9</v>
      </c>
      <c r="X434" s="14">
        <v>16023.9</v>
      </c>
      <c r="Y434" s="14">
        <v>15954.3</v>
      </c>
      <c r="Z434" s="14">
        <v>15172.6</v>
      </c>
      <c r="AA434" s="14"/>
      <c r="AB434" s="14"/>
      <c r="AC434" s="15">
        <f>IFERROR(Z434/G434-1,"")</f>
        <v>0.79182068330243149</v>
      </c>
      <c r="AD434" s="15">
        <f>IFERROR((Z434/G434)^(1/19)-1,"")</f>
        <v>3.1172427394623226E-2</v>
      </c>
    </row>
    <row r="435" spans="1:30">
      <c r="A435" s="45" t="s">
        <v>257</v>
      </c>
      <c r="B435" s="45" t="s">
        <v>258</v>
      </c>
      <c r="C435" s="45" t="s">
        <v>498</v>
      </c>
      <c r="D435" s="45" t="s">
        <v>497</v>
      </c>
      <c r="E435" s="45" t="s">
        <v>499</v>
      </c>
      <c r="F435" s="45" t="s">
        <v>500</v>
      </c>
      <c r="G435" s="14">
        <v>18690.8</v>
      </c>
      <c r="H435" s="14">
        <v>17656.400000000001</v>
      </c>
      <c r="I435" s="14">
        <v>17495.7</v>
      </c>
      <c r="J435" s="14">
        <v>19023</v>
      </c>
      <c r="K435" s="14">
        <v>19533.900000000001</v>
      </c>
      <c r="L435" s="14">
        <v>21226.5</v>
      </c>
      <c r="M435" s="14">
        <v>20627.2</v>
      </c>
      <c r="N435" s="14">
        <v>22579.200000000001</v>
      </c>
      <c r="O435" s="14">
        <v>23841</v>
      </c>
      <c r="P435" s="14">
        <v>24395.599999999999</v>
      </c>
      <c r="Q435" s="14">
        <v>26012.1</v>
      </c>
      <c r="R435" s="14">
        <v>26085</v>
      </c>
      <c r="S435" s="14">
        <v>29054.3</v>
      </c>
      <c r="T435" s="14">
        <v>28771</v>
      </c>
      <c r="U435" s="14">
        <v>27669.3</v>
      </c>
      <c r="V435" s="14">
        <v>27085.9</v>
      </c>
      <c r="W435" s="14">
        <v>25745.5</v>
      </c>
      <c r="X435" s="14">
        <v>27387.7</v>
      </c>
      <c r="Y435" s="14">
        <v>28279.1</v>
      </c>
      <c r="Z435" s="14">
        <v>26189.8</v>
      </c>
      <c r="AA435" s="14"/>
      <c r="AB435" s="14"/>
      <c r="AC435" s="15">
        <f>IFERROR(Z435/G435-1,"")</f>
        <v>0.40121343120679698</v>
      </c>
      <c r="AD435" s="15">
        <f>IFERROR((Z435/G435)^(1/19)-1,"")</f>
        <v>1.7913214021654023E-2</v>
      </c>
    </row>
    <row r="436" spans="1:30">
      <c r="A436" s="45" t="s">
        <v>257</v>
      </c>
      <c r="B436" s="45" t="s">
        <v>258</v>
      </c>
      <c r="C436" s="45" t="s">
        <v>498</v>
      </c>
      <c r="D436" s="45" t="s">
        <v>501</v>
      </c>
      <c r="E436" s="45" t="s">
        <v>499</v>
      </c>
      <c r="F436" s="45" t="s">
        <v>500</v>
      </c>
      <c r="G436" s="14">
        <v>5088.3</v>
      </c>
      <c r="H436" s="14">
        <v>4002.5</v>
      </c>
      <c r="I436" s="14">
        <v>4231.7</v>
      </c>
      <c r="J436" s="14">
        <v>3925.4</v>
      </c>
      <c r="K436" s="14">
        <v>5648.1</v>
      </c>
      <c r="L436" s="14">
        <v>3056.8</v>
      </c>
      <c r="M436" s="14">
        <v>4209</v>
      </c>
      <c r="N436" s="14">
        <v>4320.7</v>
      </c>
      <c r="O436" s="14">
        <v>4083</v>
      </c>
      <c r="P436" s="14">
        <v>6206.7</v>
      </c>
      <c r="Q436" s="14">
        <v>4999.8999999999996</v>
      </c>
      <c r="R436" s="14">
        <v>5039.1000000000004</v>
      </c>
      <c r="S436" s="14">
        <v>5932.4</v>
      </c>
      <c r="T436" s="14">
        <v>5923.2</v>
      </c>
      <c r="U436" s="14">
        <v>5381.5</v>
      </c>
      <c r="V436" s="14">
        <v>5149.8999999999996</v>
      </c>
      <c r="W436" s="14">
        <v>6030</v>
      </c>
      <c r="X436" s="14">
        <v>5935.6</v>
      </c>
      <c r="Y436" s="14">
        <v>6880.3</v>
      </c>
      <c r="Z436" s="14">
        <v>6168.4</v>
      </c>
      <c r="AA436" s="14"/>
      <c r="AB436" s="14"/>
      <c r="AC436" s="15">
        <f>IFERROR(Z436/G436-1,"")</f>
        <v>0.21227128903563064</v>
      </c>
      <c r="AD436" s="15">
        <f>IFERROR((Z436/G436)^(1/19)-1,"")</f>
        <v>1.0182848462411132E-2</v>
      </c>
    </row>
    <row r="437" spans="1:30">
      <c r="A437" s="45" t="s">
        <v>425</v>
      </c>
      <c r="B437" s="45" t="s">
        <v>426</v>
      </c>
      <c r="C437" s="45" t="s">
        <v>490</v>
      </c>
      <c r="D437" s="45" t="s">
        <v>491</v>
      </c>
      <c r="E437" s="45" t="s">
        <v>492</v>
      </c>
      <c r="F437" s="45" t="s">
        <v>493</v>
      </c>
      <c r="G437" s="14">
        <v>6874</v>
      </c>
      <c r="H437" s="14">
        <v>7522</v>
      </c>
      <c r="I437" s="14">
        <v>7890</v>
      </c>
      <c r="J437" s="14">
        <v>9484</v>
      </c>
      <c r="K437" s="14">
        <v>10392</v>
      </c>
      <c r="L437" s="14">
        <v>11951</v>
      </c>
      <c r="M437" s="14">
        <v>13821</v>
      </c>
      <c r="N437" s="14">
        <v>13899</v>
      </c>
      <c r="O437" s="14">
        <v>14407</v>
      </c>
      <c r="P437" s="14">
        <v>17547</v>
      </c>
      <c r="Q437" s="14">
        <v>18439</v>
      </c>
      <c r="R437" s="14">
        <v>25161</v>
      </c>
      <c r="S437" s="14">
        <v>25909</v>
      </c>
      <c r="T437" s="14">
        <v>23178</v>
      </c>
      <c r="U437" s="14">
        <v>23302</v>
      </c>
      <c r="V437" s="14">
        <v>24793</v>
      </c>
      <c r="W437" s="14">
        <v>25336</v>
      </c>
      <c r="X437" s="14">
        <v>28957</v>
      </c>
      <c r="Y437" s="14">
        <v>30370</v>
      </c>
      <c r="Z437" s="14">
        <v>32758</v>
      </c>
      <c r="AA437" s="14">
        <v>36904</v>
      </c>
      <c r="AB437" s="14">
        <v>42580</v>
      </c>
    </row>
    <row r="438" spans="1:30">
      <c r="A438" s="45" t="s">
        <v>425</v>
      </c>
      <c r="B438" s="45" t="s">
        <v>426</v>
      </c>
      <c r="C438" s="45" t="s">
        <v>490</v>
      </c>
      <c r="D438" s="45" t="s">
        <v>494</v>
      </c>
      <c r="E438" s="45" t="s">
        <v>492</v>
      </c>
      <c r="F438" s="45" t="s">
        <v>493</v>
      </c>
      <c r="G438" s="14">
        <v>6658</v>
      </c>
      <c r="H438" s="14">
        <v>7319</v>
      </c>
      <c r="I438" s="14">
        <v>7660</v>
      </c>
      <c r="J438" s="14">
        <v>9172</v>
      </c>
      <c r="K438" s="14">
        <v>9833</v>
      </c>
      <c r="L438" s="14">
        <v>11200</v>
      </c>
      <c r="M438" s="14">
        <v>12935</v>
      </c>
      <c r="N438" s="14">
        <v>13148</v>
      </c>
      <c r="O438" s="14">
        <v>13403</v>
      </c>
      <c r="P438" s="14">
        <v>16463</v>
      </c>
      <c r="Q438" s="14">
        <v>17223</v>
      </c>
      <c r="R438" s="14">
        <v>23991</v>
      </c>
      <c r="S438" s="14">
        <v>24790</v>
      </c>
      <c r="T438" s="14">
        <v>22029</v>
      </c>
      <c r="U438" s="14">
        <v>22741</v>
      </c>
      <c r="V438" s="14">
        <v>24295</v>
      </c>
      <c r="W438" s="14">
        <v>24799</v>
      </c>
      <c r="X438" s="14">
        <v>28312</v>
      </c>
      <c r="Y438" s="14">
        <v>29653</v>
      </c>
      <c r="Z438" s="14">
        <v>31762</v>
      </c>
      <c r="AA438" s="14"/>
      <c r="AB438" s="14"/>
    </row>
    <row r="439" spans="1:30">
      <c r="A439" s="45" t="s">
        <v>425</v>
      </c>
      <c r="B439" s="45" t="s">
        <v>426</v>
      </c>
      <c r="C439" s="45" t="s">
        <v>490</v>
      </c>
      <c r="D439" s="45" t="s">
        <v>495</v>
      </c>
      <c r="E439" s="45" t="s">
        <v>492</v>
      </c>
      <c r="F439" s="45" t="s">
        <v>493</v>
      </c>
      <c r="G439" s="14">
        <v>443</v>
      </c>
      <c r="H439" s="14">
        <v>262</v>
      </c>
      <c r="I439" s="14">
        <v>422</v>
      </c>
      <c r="J439" s="14">
        <v>507</v>
      </c>
      <c r="K439" s="14">
        <v>480</v>
      </c>
      <c r="L439" s="14">
        <v>497</v>
      </c>
      <c r="M439" s="14">
        <v>490</v>
      </c>
      <c r="N439" s="14">
        <v>595</v>
      </c>
      <c r="O439" s="14">
        <v>476</v>
      </c>
      <c r="P439" s="14">
        <v>1882</v>
      </c>
      <c r="Q439" s="14">
        <v>1421</v>
      </c>
      <c r="R439" s="14">
        <v>5976</v>
      </c>
      <c r="S439" s="14">
        <v>5601</v>
      </c>
      <c r="T439" s="14">
        <v>1241</v>
      </c>
      <c r="U439" s="14">
        <v>1355</v>
      </c>
      <c r="V439" s="14">
        <v>603</v>
      </c>
      <c r="W439" s="14">
        <v>824</v>
      </c>
      <c r="X439" s="14">
        <v>1107</v>
      </c>
      <c r="Y439" s="14">
        <v>1078</v>
      </c>
      <c r="Z439" s="14">
        <v>1082</v>
      </c>
      <c r="AA439" s="14"/>
      <c r="AB439" s="14"/>
    </row>
    <row r="440" spans="1:30">
      <c r="A440" s="45" t="s">
        <v>425</v>
      </c>
      <c r="B440" s="45" t="s">
        <v>426</v>
      </c>
      <c r="C440" s="45" t="s">
        <v>490</v>
      </c>
      <c r="D440" s="45" t="s">
        <v>496</v>
      </c>
      <c r="E440" s="45" t="s">
        <v>492</v>
      </c>
      <c r="F440" s="45" t="s">
        <v>493</v>
      </c>
      <c r="G440" s="14">
        <v>1224</v>
      </c>
      <c r="H440" s="14">
        <v>1369</v>
      </c>
      <c r="I440" s="14">
        <v>1423</v>
      </c>
      <c r="J440" s="14">
        <v>1743</v>
      </c>
      <c r="K440" s="14">
        <v>1846</v>
      </c>
      <c r="L440" s="14">
        <v>2139</v>
      </c>
      <c r="M440" s="14">
        <v>2133</v>
      </c>
      <c r="N440" s="14">
        <v>2170</v>
      </c>
      <c r="O440" s="14">
        <v>2402</v>
      </c>
      <c r="P440" s="14">
        <v>2762</v>
      </c>
      <c r="Q440" s="14">
        <v>3277</v>
      </c>
      <c r="R440" s="14">
        <v>3966</v>
      </c>
      <c r="S440" s="14">
        <v>3884</v>
      </c>
      <c r="T440" s="14">
        <v>4464</v>
      </c>
      <c r="U440" s="14">
        <v>4779</v>
      </c>
      <c r="V440" s="14">
        <v>5114</v>
      </c>
      <c r="W440" s="14">
        <v>5205</v>
      </c>
      <c r="X440" s="14">
        <v>6108</v>
      </c>
      <c r="Y440" s="14">
        <v>6495</v>
      </c>
      <c r="Z440" s="14">
        <v>6640</v>
      </c>
      <c r="AA440" s="14"/>
      <c r="AB440" s="14"/>
    </row>
    <row r="441" spans="1:30">
      <c r="A441" s="45" t="s">
        <v>425</v>
      </c>
      <c r="B441" s="45" t="s">
        <v>426</v>
      </c>
      <c r="C441" s="45" t="s">
        <v>490</v>
      </c>
      <c r="D441" s="45" t="s">
        <v>497</v>
      </c>
      <c r="E441" s="45" t="s">
        <v>492</v>
      </c>
      <c r="F441" s="45" t="s">
        <v>493</v>
      </c>
      <c r="G441" s="14">
        <v>3986</v>
      </c>
      <c r="H441" s="14">
        <v>4334</v>
      </c>
      <c r="I441" s="14">
        <v>4218</v>
      </c>
      <c r="J441" s="14">
        <v>5556</v>
      </c>
      <c r="K441" s="14">
        <v>5919</v>
      </c>
      <c r="L441" s="14">
        <v>7241</v>
      </c>
      <c r="M441" s="14">
        <v>8185</v>
      </c>
      <c r="N441" s="14">
        <v>8418</v>
      </c>
      <c r="O441" s="14">
        <v>8975</v>
      </c>
      <c r="P441" s="14">
        <v>10002</v>
      </c>
      <c r="Q441" s="14">
        <v>11100</v>
      </c>
      <c r="R441" s="14">
        <v>12528</v>
      </c>
      <c r="S441" s="14">
        <v>13646</v>
      </c>
      <c r="T441" s="14">
        <v>14886</v>
      </c>
      <c r="U441" s="14">
        <v>15145</v>
      </c>
      <c r="V441" s="14">
        <v>17138</v>
      </c>
      <c r="W441" s="14">
        <v>17152</v>
      </c>
      <c r="X441" s="14">
        <v>18919</v>
      </c>
      <c r="Y441" s="14">
        <v>19391</v>
      </c>
      <c r="Z441" s="14">
        <v>20834</v>
      </c>
      <c r="AA441" s="14"/>
      <c r="AB441" s="14"/>
    </row>
    <row r="442" spans="1:30">
      <c r="A442" s="45" t="s">
        <v>425</v>
      </c>
      <c r="B442" s="45" t="s">
        <v>426</v>
      </c>
      <c r="C442" s="45" t="s">
        <v>498</v>
      </c>
      <c r="D442" s="45" t="s">
        <v>491</v>
      </c>
      <c r="E442" s="45" t="s">
        <v>499</v>
      </c>
      <c r="F442" s="45" t="s">
        <v>500</v>
      </c>
      <c r="G442" s="14">
        <v>13059.6</v>
      </c>
      <c r="H442" s="14">
        <v>12525.5</v>
      </c>
      <c r="I442" s="14">
        <v>12193.1</v>
      </c>
      <c r="J442" s="14">
        <v>13642.2</v>
      </c>
      <c r="K442" s="14">
        <v>13999.3</v>
      </c>
      <c r="L442" s="14">
        <v>15126.2</v>
      </c>
      <c r="M442" s="14">
        <v>16081</v>
      </c>
      <c r="N442" s="14">
        <v>15069.8</v>
      </c>
      <c r="O442" s="14">
        <v>14407</v>
      </c>
      <c r="P442" s="14">
        <v>16199.4</v>
      </c>
      <c r="Q442" s="14">
        <v>15770.3</v>
      </c>
      <c r="R442" s="14">
        <v>20017.2</v>
      </c>
      <c r="S442" s="14">
        <v>19112.599999999999</v>
      </c>
      <c r="T442" s="14">
        <v>15895.3</v>
      </c>
      <c r="U442" s="14">
        <v>14782.4</v>
      </c>
      <c r="V442" s="14">
        <v>15171.3</v>
      </c>
      <c r="W442" s="14">
        <v>14836.9</v>
      </c>
      <c r="X442" s="14">
        <v>16270</v>
      </c>
      <c r="Y442" s="14">
        <v>16026.6</v>
      </c>
      <c r="Z442" s="14">
        <v>15291.7</v>
      </c>
      <c r="AA442" s="14"/>
      <c r="AB442" s="14"/>
      <c r="AC442" s="15">
        <f>IFERROR(Z442/G442-1,"")</f>
        <v>0.17091641397898871</v>
      </c>
      <c r="AD442" s="15">
        <f>IFERROR((Z442/G442)^(1/19)-1,"")</f>
        <v>8.3391418040079657E-3</v>
      </c>
    </row>
    <row r="443" spans="1:30">
      <c r="A443" s="45" t="s">
        <v>425</v>
      </c>
      <c r="B443" s="45" t="s">
        <v>426</v>
      </c>
      <c r="C443" s="45" t="s">
        <v>498</v>
      </c>
      <c r="D443" s="45" t="s">
        <v>495</v>
      </c>
      <c r="E443" s="45" t="s">
        <v>499</v>
      </c>
      <c r="F443" s="45" t="s">
        <v>500</v>
      </c>
      <c r="G443" s="14">
        <v>841.4</v>
      </c>
      <c r="H443" s="14">
        <v>436.2</v>
      </c>
      <c r="I443" s="14">
        <v>652.20000000000005</v>
      </c>
      <c r="J443" s="14">
        <v>729</v>
      </c>
      <c r="K443" s="14">
        <v>646.5</v>
      </c>
      <c r="L443" s="14">
        <v>629</v>
      </c>
      <c r="M443" s="14">
        <v>570</v>
      </c>
      <c r="N443" s="14">
        <v>645.1</v>
      </c>
      <c r="O443" s="14">
        <v>476</v>
      </c>
      <c r="P443" s="14">
        <v>1737.5</v>
      </c>
      <c r="Q443" s="14">
        <v>1215.3</v>
      </c>
      <c r="R443" s="14">
        <v>4754.3</v>
      </c>
      <c r="S443" s="14">
        <v>4131.7</v>
      </c>
      <c r="T443" s="14">
        <v>851.1</v>
      </c>
      <c r="U443" s="14">
        <v>859.6</v>
      </c>
      <c r="V443" s="14">
        <v>369</v>
      </c>
      <c r="W443" s="14">
        <v>482.5</v>
      </c>
      <c r="X443" s="14">
        <v>622</v>
      </c>
      <c r="Y443" s="14">
        <v>568.9</v>
      </c>
      <c r="Z443" s="14">
        <v>505.1</v>
      </c>
      <c r="AA443" s="14"/>
      <c r="AB443" s="14"/>
      <c r="AC443" s="15">
        <f>IFERROR(Z443/G443-1,"")</f>
        <v>-0.39969099120513429</v>
      </c>
      <c r="AD443" s="15">
        <f>IFERROR((Z443/G443)^(1/19)-1,"")</f>
        <v>-2.6500979261328217E-2</v>
      </c>
    </row>
    <row r="444" spans="1:30">
      <c r="A444" s="45" t="s">
        <v>425</v>
      </c>
      <c r="B444" s="45" t="s">
        <v>426</v>
      </c>
      <c r="C444" s="45" t="s">
        <v>498</v>
      </c>
      <c r="D444" s="45" t="s">
        <v>496</v>
      </c>
      <c r="E444" s="45" t="s">
        <v>499</v>
      </c>
      <c r="F444" s="45" t="s">
        <v>500</v>
      </c>
      <c r="G444" s="14">
        <v>2326</v>
      </c>
      <c r="H444" s="14">
        <v>2280</v>
      </c>
      <c r="I444" s="14">
        <v>2198.8000000000002</v>
      </c>
      <c r="J444" s="14">
        <v>2506.9</v>
      </c>
      <c r="K444" s="14">
        <v>2487.1999999999998</v>
      </c>
      <c r="L444" s="14">
        <v>2706.8</v>
      </c>
      <c r="M444" s="14">
        <v>2481.8000000000002</v>
      </c>
      <c r="N444" s="14">
        <v>2352.8000000000002</v>
      </c>
      <c r="O444" s="14">
        <v>2402</v>
      </c>
      <c r="P444" s="14">
        <v>2549.9</v>
      </c>
      <c r="Q444" s="14">
        <v>2802.7</v>
      </c>
      <c r="R444" s="14">
        <v>3155.2</v>
      </c>
      <c r="S444" s="14">
        <v>2865.2</v>
      </c>
      <c r="T444" s="14">
        <v>3061.4</v>
      </c>
      <c r="U444" s="14">
        <v>3031.7</v>
      </c>
      <c r="V444" s="14">
        <v>3129.3</v>
      </c>
      <c r="W444" s="14">
        <v>3048.1</v>
      </c>
      <c r="X444" s="14">
        <v>3431.9</v>
      </c>
      <c r="Y444" s="14">
        <v>3427.5</v>
      </c>
      <c r="Z444" s="14">
        <v>3099.6</v>
      </c>
      <c r="AA444" s="14"/>
      <c r="AB444" s="14"/>
      <c r="AC444" s="15">
        <f>IFERROR(Z444/G444-1,"")</f>
        <v>0.33258813413585542</v>
      </c>
      <c r="AD444" s="15">
        <f>IFERROR((Z444/G444)^(1/19)-1,"")</f>
        <v>1.5226497379351667E-2</v>
      </c>
    </row>
    <row r="445" spans="1:30">
      <c r="A445" s="45" t="s">
        <v>425</v>
      </c>
      <c r="B445" s="45" t="s">
        <v>426</v>
      </c>
      <c r="C445" s="45" t="s">
        <v>498</v>
      </c>
      <c r="D445" s="45" t="s">
        <v>497</v>
      </c>
      <c r="E445" s="45" t="s">
        <v>499</v>
      </c>
      <c r="F445" s="45" t="s">
        <v>500</v>
      </c>
      <c r="G445" s="14">
        <v>7571.7</v>
      </c>
      <c r="H445" s="14">
        <v>7217</v>
      </c>
      <c r="I445" s="14">
        <v>6517.8</v>
      </c>
      <c r="J445" s="14">
        <v>7991.7</v>
      </c>
      <c r="K445" s="14">
        <v>7973.8</v>
      </c>
      <c r="L445" s="14">
        <v>9164.6</v>
      </c>
      <c r="M445" s="14">
        <v>9523.4</v>
      </c>
      <c r="N445" s="14">
        <v>9127.1</v>
      </c>
      <c r="O445" s="14">
        <v>8975</v>
      </c>
      <c r="P445" s="14">
        <v>9233.9</v>
      </c>
      <c r="Q445" s="14">
        <v>9493.5</v>
      </c>
      <c r="R445" s="14">
        <v>9966.7999999999993</v>
      </c>
      <c r="S445" s="14">
        <v>10066.4</v>
      </c>
      <c r="T445" s="14">
        <v>10208.700000000001</v>
      </c>
      <c r="U445" s="14">
        <v>9607.7000000000007</v>
      </c>
      <c r="V445" s="14">
        <v>10487.1</v>
      </c>
      <c r="W445" s="14">
        <v>10044.299999999999</v>
      </c>
      <c r="X445" s="14">
        <v>10630</v>
      </c>
      <c r="Y445" s="14">
        <v>10232.9</v>
      </c>
      <c r="Z445" s="14">
        <v>9725.9</v>
      </c>
      <c r="AA445" s="14"/>
      <c r="AB445" s="14"/>
      <c r="AC445" s="15">
        <f>IFERROR(Z445/G445-1,"")</f>
        <v>0.28450678183234945</v>
      </c>
      <c r="AD445" s="15">
        <f>IFERROR((Z445/G445)^(1/19)-1,"")</f>
        <v>1.3264829464868289E-2</v>
      </c>
    </row>
    <row r="446" spans="1:30">
      <c r="A446" s="45" t="s">
        <v>425</v>
      </c>
      <c r="B446" s="45" t="s">
        <v>426</v>
      </c>
      <c r="C446" s="45" t="s">
        <v>498</v>
      </c>
      <c r="D446" s="45" t="s">
        <v>501</v>
      </c>
      <c r="E446" s="45" t="s">
        <v>499</v>
      </c>
      <c r="F446" s="45" t="s">
        <v>500</v>
      </c>
      <c r="G446" s="14">
        <v>1909.1</v>
      </c>
      <c r="H446" s="14">
        <v>2254.6</v>
      </c>
      <c r="I446" s="14">
        <v>2467.9</v>
      </c>
      <c r="J446" s="14">
        <v>1965.9</v>
      </c>
      <c r="K446" s="14">
        <v>2139.1</v>
      </c>
      <c r="L446" s="14">
        <v>1675.5</v>
      </c>
      <c r="M446" s="14">
        <v>2474.6</v>
      </c>
      <c r="N446" s="14">
        <v>2130.5</v>
      </c>
      <c r="O446" s="14">
        <v>1550</v>
      </c>
      <c r="P446" s="14">
        <v>1676.5</v>
      </c>
      <c r="Q446" s="14">
        <v>1219.5999999999999</v>
      </c>
      <c r="R446" s="14">
        <v>1209.3</v>
      </c>
      <c r="S446" s="14">
        <v>1223.0999999999999</v>
      </c>
      <c r="T446" s="14">
        <v>986.2</v>
      </c>
      <c r="U446" s="14">
        <v>926.8</v>
      </c>
      <c r="V446" s="14">
        <v>881.2</v>
      </c>
      <c r="W446" s="14">
        <v>947.5</v>
      </c>
      <c r="X446" s="14">
        <v>1223.8</v>
      </c>
      <c r="Y446" s="14">
        <v>1419</v>
      </c>
      <c r="Z446" s="14">
        <v>1497.1</v>
      </c>
      <c r="AA446" s="14"/>
      <c r="AB446" s="14"/>
      <c r="AC446" s="15">
        <f>IFERROR(Z446/G446-1,"")</f>
        <v>-0.21580849615001829</v>
      </c>
      <c r="AD446" s="15">
        <f>IFERROR((Z446/G446)^(1/19)-1,"")</f>
        <v>-1.2713337315209072E-2</v>
      </c>
    </row>
    <row r="447" spans="1:30">
      <c r="A447" s="45" t="s">
        <v>393</v>
      </c>
      <c r="B447" s="45" t="s">
        <v>394</v>
      </c>
      <c r="C447" s="45" t="s">
        <v>490</v>
      </c>
      <c r="D447" s="45" t="s">
        <v>491</v>
      </c>
      <c r="E447" s="45" t="s">
        <v>492</v>
      </c>
      <c r="F447" s="45" t="s">
        <v>493</v>
      </c>
      <c r="G447" s="14">
        <v>8673</v>
      </c>
      <c r="H447" s="14">
        <v>10118</v>
      </c>
      <c r="I447" s="14">
        <v>11048</v>
      </c>
      <c r="J447" s="14">
        <v>12398</v>
      </c>
      <c r="K447" s="14">
        <v>14913</v>
      </c>
      <c r="L447" s="14">
        <v>16681</v>
      </c>
      <c r="M447" s="14">
        <v>19039</v>
      </c>
      <c r="N447" s="14">
        <v>20246</v>
      </c>
      <c r="O447" s="14">
        <v>20972</v>
      </c>
      <c r="P447" s="14">
        <v>24952</v>
      </c>
      <c r="Q447" s="14">
        <v>26419</v>
      </c>
      <c r="R447" s="14">
        <v>28935</v>
      </c>
      <c r="S447" s="14">
        <v>29949</v>
      </c>
      <c r="T447" s="14">
        <v>34608</v>
      </c>
      <c r="U447" s="14">
        <v>30293</v>
      </c>
      <c r="V447" s="14">
        <v>35349</v>
      </c>
      <c r="W447" s="14">
        <v>37676</v>
      </c>
      <c r="X447" s="14">
        <v>40626</v>
      </c>
      <c r="Y447" s="14">
        <v>41794</v>
      </c>
      <c r="Z447" s="14">
        <v>44911</v>
      </c>
      <c r="AA447" s="14">
        <v>52614</v>
      </c>
      <c r="AB447" s="14">
        <v>58994</v>
      </c>
    </row>
    <row r="448" spans="1:30">
      <c r="A448" s="45" t="s">
        <v>393</v>
      </c>
      <c r="B448" s="45" t="s">
        <v>394</v>
      </c>
      <c r="C448" s="45" t="s">
        <v>490</v>
      </c>
      <c r="D448" s="45" t="s">
        <v>494</v>
      </c>
      <c r="E448" s="45" t="s">
        <v>492</v>
      </c>
      <c r="F448" s="45" t="s">
        <v>493</v>
      </c>
      <c r="G448" s="14">
        <v>8405</v>
      </c>
      <c r="H448" s="14">
        <v>9867</v>
      </c>
      <c r="I448" s="14">
        <v>10734</v>
      </c>
      <c r="J448" s="14">
        <v>12021</v>
      </c>
      <c r="K448" s="14">
        <v>14291</v>
      </c>
      <c r="L448" s="14">
        <v>15872</v>
      </c>
      <c r="M448" s="14">
        <v>17831</v>
      </c>
      <c r="N448" s="14">
        <v>19258</v>
      </c>
      <c r="O448" s="14">
        <v>19749</v>
      </c>
      <c r="P448" s="14">
        <v>23379</v>
      </c>
      <c r="Q448" s="14">
        <v>24763</v>
      </c>
      <c r="R448" s="14">
        <v>27275</v>
      </c>
      <c r="S448" s="14">
        <v>28273</v>
      </c>
      <c r="T448" s="14">
        <v>32347</v>
      </c>
      <c r="U448" s="14">
        <v>29155</v>
      </c>
      <c r="V448" s="14">
        <v>33706</v>
      </c>
      <c r="W448" s="14">
        <v>35630</v>
      </c>
      <c r="X448" s="14">
        <v>38559</v>
      </c>
      <c r="Y448" s="14">
        <v>39561</v>
      </c>
      <c r="Z448" s="14">
        <v>42208</v>
      </c>
      <c r="AA448" s="14"/>
      <c r="AB448" s="14"/>
    </row>
    <row r="449" spans="1:30">
      <c r="A449" s="45" t="s">
        <v>393</v>
      </c>
      <c r="B449" s="45" t="s">
        <v>394</v>
      </c>
      <c r="C449" s="45" t="s">
        <v>490</v>
      </c>
      <c r="D449" s="45" t="s">
        <v>495</v>
      </c>
      <c r="E449" s="45" t="s">
        <v>492</v>
      </c>
      <c r="F449" s="45" t="s">
        <v>493</v>
      </c>
      <c r="G449" s="14">
        <v>652</v>
      </c>
      <c r="H449" s="14">
        <v>593</v>
      </c>
      <c r="I449" s="14">
        <v>471</v>
      </c>
      <c r="J449" s="14">
        <v>485</v>
      </c>
      <c r="K449" s="14">
        <v>605</v>
      </c>
      <c r="L449" s="14">
        <v>604</v>
      </c>
      <c r="M449" s="14">
        <v>747</v>
      </c>
      <c r="N449" s="14">
        <v>668</v>
      </c>
      <c r="O449" s="14">
        <v>909</v>
      </c>
      <c r="P449" s="14">
        <v>792</v>
      </c>
      <c r="Q449" s="14">
        <v>1000</v>
      </c>
      <c r="R449" s="14">
        <v>1053</v>
      </c>
      <c r="S449" s="14">
        <v>1256</v>
      </c>
      <c r="T449" s="14">
        <v>1674</v>
      </c>
      <c r="U449" s="14">
        <v>666</v>
      </c>
      <c r="V449" s="14">
        <v>1783</v>
      </c>
      <c r="W449" s="14">
        <v>1812</v>
      </c>
      <c r="X449" s="14">
        <v>2121</v>
      </c>
      <c r="Y449" s="14">
        <v>2349</v>
      </c>
      <c r="Z449" s="14">
        <v>2284</v>
      </c>
      <c r="AA449" s="14"/>
      <c r="AB449" s="14"/>
    </row>
    <row r="450" spans="1:30">
      <c r="A450" s="45" t="s">
        <v>393</v>
      </c>
      <c r="B450" s="45" t="s">
        <v>394</v>
      </c>
      <c r="C450" s="45" t="s">
        <v>490</v>
      </c>
      <c r="D450" s="45" t="s">
        <v>496</v>
      </c>
      <c r="E450" s="45" t="s">
        <v>492</v>
      </c>
      <c r="F450" s="45" t="s">
        <v>493</v>
      </c>
      <c r="G450" s="14">
        <v>1720</v>
      </c>
      <c r="H450" s="14">
        <v>2083</v>
      </c>
      <c r="I450" s="14">
        <v>2284</v>
      </c>
      <c r="J450" s="14">
        <v>2567</v>
      </c>
      <c r="K450" s="14">
        <v>2987</v>
      </c>
      <c r="L450" s="14">
        <v>3368</v>
      </c>
      <c r="M450" s="14">
        <v>3374</v>
      </c>
      <c r="N450" s="14">
        <v>3679</v>
      </c>
      <c r="O450" s="14">
        <v>4031</v>
      </c>
      <c r="P450" s="14">
        <v>6469</v>
      </c>
      <c r="Q450" s="14">
        <v>7138</v>
      </c>
      <c r="R450" s="14">
        <v>7184</v>
      </c>
      <c r="S450" s="14">
        <v>7174</v>
      </c>
      <c r="T450" s="14">
        <v>9618</v>
      </c>
      <c r="U450" s="14">
        <v>7932</v>
      </c>
      <c r="V450" s="14">
        <v>10000</v>
      </c>
      <c r="W450" s="14">
        <v>11445</v>
      </c>
      <c r="X450" s="14">
        <v>12122</v>
      </c>
      <c r="Y450" s="14">
        <v>12394</v>
      </c>
      <c r="Z450" s="14">
        <v>13145</v>
      </c>
      <c r="AA450" s="14"/>
      <c r="AB450" s="14"/>
    </row>
    <row r="451" spans="1:30">
      <c r="A451" s="45" t="s">
        <v>393</v>
      </c>
      <c r="B451" s="45" t="s">
        <v>394</v>
      </c>
      <c r="C451" s="45" t="s">
        <v>490</v>
      </c>
      <c r="D451" s="45" t="s">
        <v>497</v>
      </c>
      <c r="E451" s="45" t="s">
        <v>492</v>
      </c>
      <c r="F451" s="45" t="s">
        <v>493</v>
      </c>
      <c r="G451" s="14">
        <v>5333</v>
      </c>
      <c r="H451" s="14">
        <v>6114</v>
      </c>
      <c r="I451" s="14">
        <v>6411</v>
      </c>
      <c r="J451" s="14">
        <v>7821</v>
      </c>
      <c r="K451" s="14">
        <v>9170</v>
      </c>
      <c r="L451" s="14">
        <v>10730</v>
      </c>
      <c r="M451" s="14">
        <v>11693</v>
      </c>
      <c r="N451" s="14">
        <v>12626</v>
      </c>
      <c r="O451" s="14">
        <v>12883</v>
      </c>
      <c r="P451" s="14">
        <v>14252</v>
      </c>
      <c r="Q451" s="14">
        <v>15254</v>
      </c>
      <c r="R451" s="14">
        <v>17489</v>
      </c>
      <c r="S451" s="14">
        <v>18176</v>
      </c>
      <c r="T451" s="14">
        <v>19410</v>
      </c>
      <c r="U451" s="14">
        <v>19164</v>
      </c>
      <c r="V451" s="14">
        <v>20407</v>
      </c>
      <c r="W451" s="14">
        <v>20695</v>
      </c>
      <c r="X451" s="14">
        <v>22722</v>
      </c>
      <c r="Y451" s="14">
        <v>22793</v>
      </c>
      <c r="Z451" s="14">
        <v>24771</v>
      </c>
      <c r="AA451" s="14"/>
      <c r="AB451" s="14"/>
    </row>
    <row r="452" spans="1:30">
      <c r="A452" s="45" t="s">
        <v>393</v>
      </c>
      <c r="B452" s="45" t="s">
        <v>394</v>
      </c>
      <c r="C452" s="45" t="s">
        <v>498</v>
      </c>
      <c r="D452" s="45" t="s">
        <v>491</v>
      </c>
      <c r="E452" s="45" t="s">
        <v>499</v>
      </c>
      <c r="F452" s="45" t="s">
        <v>500</v>
      </c>
      <c r="G452" s="14">
        <v>16476.7</v>
      </c>
      <c r="H452" s="14">
        <v>16847</v>
      </c>
      <c r="I452" s="14">
        <v>17072.599999999999</v>
      </c>
      <c r="J452" s="14">
        <v>17833.2</v>
      </c>
      <c r="K452" s="14">
        <v>20089.900000000001</v>
      </c>
      <c r="L452" s="14">
        <v>21112.3</v>
      </c>
      <c r="M452" s="14">
        <v>22152.1</v>
      </c>
      <c r="N452" s="14">
        <v>21951.4</v>
      </c>
      <c r="O452" s="14">
        <v>20972</v>
      </c>
      <c r="P452" s="14">
        <v>23035.7</v>
      </c>
      <c r="Q452" s="14">
        <v>22595.3</v>
      </c>
      <c r="R452" s="14">
        <v>23019.599999999999</v>
      </c>
      <c r="S452" s="14">
        <v>22092.799999999999</v>
      </c>
      <c r="T452" s="14">
        <v>23733.9</v>
      </c>
      <c r="U452" s="14">
        <v>19217.400000000001</v>
      </c>
      <c r="V452" s="14">
        <v>21630.7</v>
      </c>
      <c r="W452" s="14">
        <v>22063.200000000001</v>
      </c>
      <c r="X452" s="14">
        <v>22826.5</v>
      </c>
      <c r="Y452" s="14">
        <v>22055.200000000001</v>
      </c>
      <c r="Z452" s="14">
        <v>20964.8</v>
      </c>
      <c r="AA452" s="14"/>
      <c r="AB452" s="14"/>
      <c r="AC452" s="15">
        <f>IFERROR(Z452/G452-1,"")</f>
        <v>0.27239070930465425</v>
      </c>
      <c r="AD452" s="15">
        <f>IFERROR((Z452/G452)^(1/19)-1,"")</f>
        <v>1.275953696474974E-2</v>
      </c>
    </row>
    <row r="453" spans="1:30">
      <c r="A453" s="45" t="s">
        <v>393</v>
      </c>
      <c r="B453" s="45" t="s">
        <v>394</v>
      </c>
      <c r="C453" s="45" t="s">
        <v>498</v>
      </c>
      <c r="D453" s="45" t="s">
        <v>495</v>
      </c>
      <c r="E453" s="45" t="s">
        <v>499</v>
      </c>
      <c r="F453" s="45" t="s">
        <v>500</v>
      </c>
      <c r="G453" s="14">
        <v>1238</v>
      </c>
      <c r="H453" s="14">
        <v>988.2</v>
      </c>
      <c r="I453" s="14">
        <v>728.4</v>
      </c>
      <c r="J453" s="14">
        <v>697.8</v>
      </c>
      <c r="K453" s="14">
        <v>814.9</v>
      </c>
      <c r="L453" s="14">
        <v>764</v>
      </c>
      <c r="M453" s="14">
        <v>869.4</v>
      </c>
      <c r="N453" s="14">
        <v>724.3</v>
      </c>
      <c r="O453" s="14">
        <v>909</v>
      </c>
      <c r="P453" s="14">
        <v>731.2</v>
      </c>
      <c r="Q453" s="14">
        <v>855.3</v>
      </c>
      <c r="R453" s="14">
        <v>837.7</v>
      </c>
      <c r="S453" s="14">
        <v>926.5</v>
      </c>
      <c r="T453" s="14">
        <v>1148</v>
      </c>
      <c r="U453" s="14">
        <v>422.5</v>
      </c>
      <c r="V453" s="14">
        <v>1091.0999999999999</v>
      </c>
      <c r="W453" s="14">
        <v>1061.0999999999999</v>
      </c>
      <c r="X453" s="14">
        <v>1191.7</v>
      </c>
      <c r="Y453" s="14">
        <v>1239.5999999999999</v>
      </c>
      <c r="Z453" s="14">
        <v>1066.2</v>
      </c>
      <c r="AA453" s="14"/>
      <c r="AB453" s="14"/>
      <c r="AC453" s="15">
        <f>IFERROR(Z453/G453-1,"")</f>
        <v>-0.13877221324717282</v>
      </c>
      <c r="AD453" s="15">
        <f>IFERROR((Z453/G453)^(1/19)-1,"")</f>
        <v>-7.8321282561923944E-3</v>
      </c>
    </row>
    <row r="454" spans="1:30">
      <c r="A454" s="45" t="s">
        <v>393</v>
      </c>
      <c r="B454" s="45" t="s">
        <v>394</v>
      </c>
      <c r="C454" s="45" t="s">
        <v>498</v>
      </c>
      <c r="D454" s="45" t="s">
        <v>496</v>
      </c>
      <c r="E454" s="45" t="s">
        <v>499</v>
      </c>
      <c r="F454" s="45" t="s">
        <v>500</v>
      </c>
      <c r="G454" s="14">
        <v>3268.1</v>
      </c>
      <c r="H454" s="14">
        <v>3469</v>
      </c>
      <c r="I454" s="14">
        <v>3529.7</v>
      </c>
      <c r="J454" s="14">
        <v>3692.8</v>
      </c>
      <c r="K454" s="14">
        <v>4024</v>
      </c>
      <c r="L454" s="14">
        <v>4262.8999999999996</v>
      </c>
      <c r="M454" s="14">
        <v>3926.2</v>
      </c>
      <c r="N454" s="14">
        <v>3988.9</v>
      </c>
      <c r="O454" s="14">
        <v>4031</v>
      </c>
      <c r="P454" s="14">
        <v>5972.2</v>
      </c>
      <c r="Q454" s="14">
        <v>6104.9</v>
      </c>
      <c r="R454" s="14">
        <v>5715.3</v>
      </c>
      <c r="S454" s="14">
        <v>5292.1</v>
      </c>
      <c r="T454" s="14">
        <v>6595.9</v>
      </c>
      <c r="U454" s="14">
        <v>5031.8999999999996</v>
      </c>
      <c r="V454" s="14">
        <v>6119.2</v>
      </c>
      <c r="W454" s="14">
        <v>6702.2</v>
      </c>
      <c r="X454" s="14">
        <v>6811</v>
      </c>
      <c r="Y454" s="14">
        <v>6540.5</v>
      </c>
      <c r="Z454" s="14">
        <v>6136.2</v>
      </c>
      <c r="AA454" s="14"/>
      <c r="AB454" s="14"/>
      <c r="AC454" s="15">
        <f>IFERROR(Z454/G454-1,"")</f>
        <v>0.87760472445763593</v>
      </c>
      <c r="AD454" s="15">
        <f>IFERROR((Z454/G454)^(1/19)-1,"")</f>
        <v>3.3713574665786616E-2</v>
      </c>
    </row>
    <row r="455" spans="1:30">
      <c r="A455" s="45" t="s">
        <v>393</v>
      </c>
      <c r="B455" s="45" t="s">
        <v>394</v>
      </c>
      <c r="C455" s="45" t="s">
        <v>498</v>
      </c>
      <c r="D455" s="45" t="s">
        <v>497</v>
      </c>
      <c r="E455" s="45" t="s">
        <v>499</v>
      </c>
      <c r="F455" s="45" t="s">
        <v>500</v>
      </c>
      <c r="G455" s="14">
        <v>10130.4</v>
      </c>
      <c r="H455" s="14">
        <v>10180.200000000001</v>
      </c>
      <c r="I455" s="14">
        <v>9906.9</v>
      </c>
      <c r="J455" s="14">
        <v>11249.9</v>
      </c>
      <c r="K455" s="14">
        <v>12353.4</v>
      </c>
      <c r="L455" s="14">
        <v>13580.7</v>
      </c>
      <c r="M455" s="14">
        <v>13605.6</v>
      </c>
      <c r="N455" s="14">
        <v>13689.5</v>
      </c>
      <c r="O455" s="14">
        <v>12883</v>
      </c>
      <c r="P455" s="14">
        <v>13157.5</v>
      </c>
      <c r="Q455" s="14">
        <v>13046.3</v>
      </c>
      <c r="R455" s="14">
        <v>13913.6</v>
      </c>
      <c r="S455" s="14">
        <v>13408.1</v>
      </c>
      <c r="T455" s="14">
        <v>13311.2</v>
      </c>
      <c r="U455" s="14">
        <v>12157.3</v>
      </c>
      <c r="V455" s="14">
        <v>12487.4</v>
      </c>
      <c r="W455" s="14">
        <v>12119.1</v>
      </c>
      <c r="X455" s="14">
        <v>12766.8</v>
      </c>
      <c r="Y455" s="14">
        <v>12028.2</v>
      </c>
      <c r="Z455" s="14">
        <v>11563.8</v>
      </c>
      <c r="AA455" s="14"/>
      <c r="AB455" s="14"/>
      <c r="AC455" s="15">
        <f>IFERROR(Z455/G455-1,"")</f>
        <v>0.14149490642027951</v>
      </c>
      <c r="AD455" s="15">
        <f>IFERROR((Z455/G455)^(1/19)-1,"")</f>
        <v>6.9895094362866228E-3</v>
      </c>
    </row>
    <row r="456" spans="1:30">
      <c r="A456" s="45" t="s">
        <v>393</v>
      </c>
      <c r="B456" s="45" t="s">
        <v>394</v>
      </c>
      <c r="C456" s="45" t="s">
        <v>498</v>
      </c>
      <c r="D456" s="45" t="s">
        <v>501</v>
      </c>
      <c r="E456" s="45" t="s">
        <v>499</v>
      </c>
      <c r="F456" s="45" t="s">
        <v>500</v>
      </c>
      <c r="G456" s="14">
        <v>1331.8</v>
      </c>
      <c r="H456" s="14">
        <v>1792.5</v>
      </c>
      <c r="I456" s="14">
        <v>2423.1</v>
      </c>
      <c r="J456" s="14">
        <v>1650.6</v>
      </c>
      <c r="K456" s="14">
        <v>2059.9</v>
      </c>
      <c r="L456" s="14">
        <v>1480.4</v>
      </c>
      <c r="M456" s="14">
        <v>2345.5</v>
      </c>
      <c r="N456" s="14">
        <v>2477.5</v>
      </c>
      <c r="O456" s="14">
        <v>1927</v>
      </c>
      <c r="P456" s="14">
        <v>1722.7</v>
      </c>
      <c r="Q456" s="14">
        <v>1172.5999999999999</v>
      </c>
      <c r="R456" s="14">
        <v>1232.3</v>
      </c>
      <c r="S456" s="14">
        <v>1229</v>
      </c>
      <c r="T456" s="14">
        <v>1128.0999999999999</v>
      </c>
      <c r="U456" s="14">
        <v>883.7</v>
      </c>
      <c r="V456" s="14">
        <v>927.7</v>
      </c>
      <c r="W456" s="14">
        <v>982.1</v>
      </c>
      <c r="X456" s="14">
        <v>895.1</v>
      </c>
      <c r="Y456" s="14">
        <v>1068.5999999999999</v>
      </c>
      <c r="Z456" s="14">
        <v>937.8</v>
      </c>
      <c r="AA456" s="14"/>
      <c r="AB456" s="14"/>
      <c r="AC456" s="15">
        <f>IFERROR(Z456/G456-1,"")</f>
        <v>-0.29584021624868595</v>
      </c>
      <c r="AD456" s="15">
        <f>IFERROR((Z456/G456)^(1/19)-1,"")</f>
        <v>-1.8291173631585611E-2</v>
      </c>
    </row>
    <row r="457" spans="1:30">
      <c r="A457" s="45" t="s">
        <v>215</v>
      </c>
      <c r="B457" s="45" t="s">
        <v>216</v>
      </c>
      <c r="C457" s="45" t="s">
        <v>490</v>
      </c>
      <c r="D457" s="45" t="s">
        <v>491</v>
      </c>
      <c r="E457" s="45" t="s">
        <v>492</v>
      </c>
      <c r="F457" s="45" t="s">
        <v>493</v>
      </c>
      <c r="G457" s="14">
        <v>34784</v>
      </c>
      <c r="H457" s="14">
        <v>43449</v>
      </c>
      <c r="I457" s="14">
        <v>54197</v>
      </c>
      <c r="J457" s="14">
        <v>53038</v>
      </c>
      <c r="K457" s="14">
        <v>37801</v>
      </c>
      <c r="L457" s="14">
        <v>31842</v>
      </c>
      <c r="M457" s="14">
        <v>49273</v>
      </c>
      <c r="N457" s="14">
        <v>64512</v>
      </c>
      <c r="O457" s="14">
        <v>66859</v>
      </c>
      <c r="P457" s="14">
        <v>53774</v>
      </c>
      <c r="Q457" s="14">
        <v>53580</v>
      </c>
      <c r="R457" s="14">
        <v>55630</v>
      </c>
      <c r="S457" s="14">
        <v>51501</v>
      </c>
      <c r="T457" s="14">
        <v>65383</v>
      </c>
      <c r="U457" s="14">
        <v>66016</v>
      </c>
      <c r="V457" s="14">
        <v>68345</v>
      </c>
      <c r="W457" s="14">
        <v>75144</v>
      </c>
      <c r="X457" s="14">
        <v>105461</v>
      </c>
      <c r="Y457" s="14">
        <v>89543</v>
      </c>
      <c r="Z457" s="14">
        <v>162616</v>
      </c>
      <c r="AA457" s="14">
        <v>124332</v>
      </c>
      <c r="AB457" s="14">
        <v>165672</v>
      </c>
    </row>
    <row r="458" spans="1:30">
      <c r="A458" s="45" t="s">
        <v>215</v>
      </c>
      <c r="B458" s="45" t="s">
        <v>216</v>
      </c>
      <c r="C458" s="45" t="s">
        <v>490</v>
      </c>
      <c r="D458" s="45" t="s">
        <v>494</v>
      </c>
      <c r="E458" s="45" t="s">
        <v>492</v>
      </c>
      <c r="F458" s="45" t="s">
        <v>493</v>
      </c>
      <c r="G458" s="14">
        <v>32388</v>
      </c>
      <c r="H458" s="14">
        <v>39930</v>
      </c>
      <c r="I458" s="14">
        <v>50179</v>
      </c>
      <c r="J458" s="14">
        <v>48562</v>
      </c>
      <c r="K458" s="14">
        <v>36581</v>
      </c>
      <c r="L458" s="14">
        <v>30237</v>
      </c>
      <c r="M458" s="14">
        <v>47747</v>
      </c>
      <c r="N458" s="14">
        <v>62739</v>
      </c>
      <c r="O458" s="14">
        <v>63751</v>
      </c>
      <c r="P458" s="14">
        <v>50637</v>
      </c>
      <c r="Q458" s="14">
        <v>48892</v>
      </c>
      <c r="R458" s="14">
        <v>46898</v>
      </c>
      <c r="S458" s="14">
        <v>45193</v>
      </c>
      <c r="T458" s="14">
        <v>55579</v>
      </c>
      <c r="U458" s="14">
        <v>58155</v>
      </c>
      <c r="V458" s="14">
        <v>61972</v>
      </c>
      <c r="W458" s="14">
        <v>66567</v>
      </c>
      <c r="X458" s="14">
        <v>96587</v>
      </c>
      <c r="Y458" s="14">
        <v>82893</v>
      </c>
      <c r="Z458" s="14">
        <v>153592</v>
      </c>
      <c r="AA458" s="14"/>
      <c r="AB458" s="14"/>
    </row>
    <row r="459" spans="1:30">
      <c r="A459" s="45" t="s">
        <v>215</v>
      </c>
      <c r="B459" s="45" t="s">
        <v>216</v>
      </c>
      <c r="C459" s="45" t="s">
        <v>490</v>
      </c>
      <c r="D459" s="45" t="s">
        <v>495</v>
      </c>
      <c r="E459" s="45" t="s">
        <v>492</v>
      </c>
      <c r="F459" s="45" t="s">
        <v>493</v>
      </c>
      <c r="G459" s="14">
        <v>17382</v>
      </c>
      <c r="H459" s="14">
        <v>18399</v>
      </c>
      <c r="I459" s="14">
        <v>23710</v>
      </c>
      <c r="J459" s="14">
        <v>19701</v>
      </c>
      <c r="K459" s="14">
        <v>21375</v>
      </c>
      <c r="L459" s="14">
        <v>15239</v>
      </c>
      <c r="M459" s="14">
        <v>30258</v>
      </c>
      <c r="N459" s="14">
        <v>39339</v>
      </c>
      <c r="O459" s="14">
        <v>37503</v>
      </c>
      <c r="P459" s="14">
        <v>24868</v>
      </c>
      <c r="Q459" s="14">
        <v>21433</v>
      </c>
      <c r="R459" s="14">
        <v>15157</v>
      </c>
      <c r="S459" s="14">
        <v>8606</v>
      </c>
      <c r="T459" s="14">
        <v>17578</v>
      </c>
      <c r="U459" s="14">
        <v>18970</v>
      </c>
      <c r="V459" s="14">
        <v>14794</v>
      </c>
      <c r="W459" s="14">
        <v>15692</v>
      </c>
      <c r="X459" s="14">
        <v>20361</v>
      </c>
      <c r="Y459" s="14">
        <v>16635</v>
      </c>
      <c r="Z459" s="14">
        <v>78754</v>
      </c>
      <c r="AA459" s="14"/>
      <c r="AB459" s="14"/>
    </row>
    <row r="460" spans="1:30">
      <c r="A460" s="45" t="s">
        <v>215</v>
      </c>
      <c r="B460" s="45" t="s">
        <v>216</v>
      </c>
      <c r="C460" s="45" t="s">
        <v>490</v>
      </c>
      <c r="D460" s="45" t="s">
        <v>496</v>
      </c>
      <c r="E460" s="45" t="s">
        <v>492</v>
      </c>
      <c r="F460" s="45" t="s">
        <v>493</v>
      </c>
      <c r="G460" s="14">
        <v>9389</v>
      </c>
      <c r="H460" s="14">
        <v>14170</v>
      </c>
      <c r="I460" s="14">
        <v>18862</v>
      </c>
      <c r="J460" s="14">
        <v>20901</v>
      </c>
      <c r="K460" s="14">
        <v>6331</v>
      </c>
      <c r="L460" s="14">
        <v>5231</v>
      </c>
      <c r="M460" s="14">
        <v>6830</v>
      </c>
      <c r="N460" s="14">
        <v>10529</v>
      </c>
      <c r="O460" s="14">
        <v>11196</v>
      </c>
      <c r="P460" s="14">
        <v>9117</v>
      </c>
      <c r="Q460" s="14">
        <v>9020</v>
      </c>
      <c r="R460" s="14">
        <v>9090</v>
      </c>
      <c r="S460" s="14">
        <v>8493</v>
      </c>
      <c r="T460" s="14">
        <v>10954</v>
      </c>
      <c r="U460" s="14">
        <v>12026</v>
      </c>
      <c r="V460" s="14">
        <v>12223</v>
      </c>
      <c r="W460" s="14">
        <v>15644</v>
      </c>
      <c r="X460" s="14">
        <v>19616</v>
      </c>
      <c r="Y460" s="14">
        <v>15849</v>
      </c>
      <c r="Z460" s="14">
        <v>19906</v>
      </c>
      <c r="AA460" s="14"/>
      <c r="AB460" s="14"/>
    </row>
    <row r="461" spans="1:30">
      <c r="A461" s="45" t="s">
        <v>215</v>
      </c>
      <c r="B461" s="45" t="s">
        <v>216</v>
      </c>
      <c r="C461" s="45" t="s">
        <v>490</v>
      </c>
      <c r="D461" s="45" t="s">
        <v>497</v>
      </c>
      <c r="E461" s="45" t="s">
        <v>492</v>
      </c>
      <c r="F461" s="45" t="s">
        <v>493</v>
      </c>
      <c r="G461" s="14">
        <v>3983</v>
      </c>
      <c r="H461" s="14">
        <v>4364</v>
      </c>
      <c r="I461" s="14">
        <v>4756</v>
      </c>
      <c r="J461" s="14">
        <v>5160</v>
      </c>
      <c r="K461" s="14">
        <v>5840</v>
      </c>
      <c r="L461" s="14">
        <v>6731</v>
      </c>
      <c r="M461" s="14">
        <v>7378</v>
      </c>
      <c r="N461" s="14">
        <v>8464</v>
      </c>
      <c r="O461" s="14">
        <v>9154</v>
      </c>
      <c r="P461" s="14">
        <v>10415</v>
      </c>
      <c r="Q461" s="14">
        <v>11866</v>
      </c>
      <c r="R461" s="14">
        <v>14523</v>
      </c>
      <c r="S461" s="14">
        <v>19276</v>
      </c>
      <c r="T461" s="14">
        <v>16776</v>
      </c>
      <c r="U461" s="14">
        <v>15538</v>
      </c>
      <c r="V461" s="14">
        <v>20014</v>
      </c>
      <c r="W461" s="14">
        <v>20986</v>
      </c>
      <c r="X461" s="14">
        <v>25937</v>
      </c>
      <c r="Y461" s="14">
        <v>24294</v>
      </c>
      <c r="Z461" s="14">
        <v>26292</v>
      </c>
      <c r="AA461" s="14"/>
      <c r="AB461" s="14"/>
    </row>
    <row r="462" spans="1:30">
      <c r="A462" s="45" t="s">
        <v>215</v>
      </c>
      <c r="B462" s="45" t="s">
        <v>216</v>
      </c>
      <c r="C462" s="45" t="s">
        <v>498</v>
      </c>
      <c r="D462" s="45" t="s">
        <v>491</v>
      </c>
      <c r="E462" s="45" t="s">
        <v>499</v>
      </c>
      <c r="F462" s="45" t="s">
        <v>500</v>
      </c>
      <c r="G462" s="14">
        <v>66081.2</v>
      </c>
      <c r="H462" s="14">
        <v>72347.600000000006</v>
      </c>
      <c r="I462" s="14">
        <v>83751.899999999994</v>
      </c>
      <c r="J462" s="14">
        <v>76291.399999999994</v>
      </c>
      <c r="K462" s="14">
        <v>50924.4</v>
      </c>
      <c r="L462" s="14">
        <v>40301.800000000003</v>
      </c>
      <c r="M462" s="14">
        <v>57330.5</v>
      </c>
      <c r="N462" s="14">
        <v>69946.100000000006</v>
      </c>
      <c r="O462" s="14">
        <v>66859</v>
      </c>
      <c r="P462" s="14">
        <v>49644.3</v>
      </c>
      <c r="Q462" s="14">
        <v>45825.2</v>
      </c>
      <c r="R462" s="14">
        <v>44257.2</v>
      </c>
      <c r="S462" s="14">
        <v>37991.300000000003</v>
      </c>
      <c r="T462" s="14">
        <v>44839.1</v>
      </c>
      <c r="U462" s="14">
        <v>41879.5</v>
      </c>
      <c r="V462" s="14">
        <v>41821.599999999999</v>
      </c>
      <c r="W462" s="14">
        <v>44004.6</v>
      </c>
      <c r="X462" s="14">
        <v>59255.3</v>
      </c>
      <c r="Y462" s="14">
        <v>47253</v>
      </c>
      <c r="Z462" s="14">
        <v>75910.3</v>
      </c>
      <c r="AA462" s="14"/>
      <c r="AB462" s="14"/>
      <c r="AC462" s="15">
        <f>IFERROR(Z462/G462-1,"")</f>
        <v>0.14874275890873667</v>
      </c>
      <c r="AD462" s="15">
        <f>IFERROR((Z462/G462)^(1/19)-1,"")</f>
        <v>7.325018241812753E-3</v>
      </c>
    </row>
    <row r="463" spans="1:30">
      <c r="A463" s="45" t="s">
        <v>215</v>
      </c>
      <c r="B463" s="45" t="s">
        <v>216</v>
      </c>
      <c r="C463" s="45" t="s">
        <v>498</v>
      </c>
      <c r="D463" s="45" t="s">
        <v>495</v>
      </c>
      <c r="E463" s="45" t="s">
        <v>499</v>
      </c>
      <c r="F463" s="45" t="s">
        <v>500</v>
      </c>
      <c r="G463" s="14">
        <v>33022</v>
      </c>
      <c r="H463" s="14">
        <v>30637.200000000001</v>
      </c>
      <c r="I463" s="14">
        <v>36640.199999999997</v>
      </c>
      <c r="J463" s="14">
        <v>28337.9</v>
      </c>
      <c r="K463" s="14">
        <v>28795.1</v>
      </c>
      <c r="L463" s="14">
        <v>19287</v>
      </c>
      <c r="M463" s="14">
        <v>35205.5</v>
      </c>
      <c r="N463" s="14">
        <v>42652.7</v>
      </c>
      <c r="O463" s="14">
        <v>37503</v>
      </c>
      <c r="P463" s="14">
        <v>22958.2</v>
      </c>
      <c r="Q463" s="14">
        <v>18330.900000000001</v>
      </c>
      <c r="R463" s="14">
        <v>12058.4</v>
      </c>
      <c r="S463" s="14">
        <v>6348.5</v>
      </c>
      <c r="T463" s="14">
        <v>12054.9</v>
      </c>
      <c r="U463" s="14">
        <v>12034.3</v>
      </c>
      <c r="V463" s="14">
        <v>9052.7000000000007</v>
      </c>
      <c r="W463" s="14">
        <v>9189.2999999999993</v>
      </c>
      <c r="X463" s="14">
        <v>11440.2</v>
      </c>
      <c r="Y463" s="14">
        <v>8778.5</v>
      </c>
      <c r="Z463" s="14">
        <v>36762.9</v>
      </c>
      <c r="AA463" s="14"/>
      <c r="AB463" s="14"/>
      <c r="AC463" s="15">
        <f>IFERROR(Z463/G463-1,"")</f>
        <v>0.11328508267215809</v>
      </c>
      <c r="AD463" s="15">
        <f>IFERROR((Z463/G463)^(1/19)-1,"")</f>
        <v>5.664148258003765E-3</v>
      </c>
    </row>
    <row r="464" spans="1:30">
      <c r="A464" s="45" t="s">
        <v>215</v>
      </c>
      <c r="B464" s="45" t="s">
        <v>216</v>
      </c>
      <c r="C464" s="45" t="s">
        <v>498</v>
      </c>
      <c r="D464" s="45" t="s">
        <v>496</v>
      </c>
      <c r="E464" s="45" t="s">
        <v>499</v>
      </c>
      <c r="F464" s="45" t="s">
        <v>500</v>
      </c>
      <c r="G464" s="14">
        <v>17836.400000000001</v>
      </c>
      <c r="H464" s="14">
        <v>23594.1</v>
      </c>
      <c r="I464" s="14">
        <v>29148</v>
      </c>
      <c r="J464" s="14">
        <v>30064.3</v>
      </c>
      <c r="K464" s="14">
        <v>8528.4</v>
      </c>
      <c r="L464" s="14">
        <v>6621</v>
      </c>
      <c r="M464" s="14">
        <v>7946.8</v>
      </c>
      <c r="N464" s="14">
        <v>11415.9</v>
      </c>
      <c r="O464" s="14">
        <v>11196</v>
      </c>
      <c r="P464" s="14">
        <v>8416.7999999999993</v>
      </c>
      <c r="Q464" s="14">
        <v>7714.5</v>
      </c>
      <c r="R464" s="14">
        <v>7231.7</v>
      </c>
      <c r="S464" s="14">
        <v>6265.1</v>
      </c>
      <c r="T464" s="14">
        <v>7512.2</v>
      </c>
      <c r="U464" s="14">
        <v>7629.1</v>
      </c>
      <c r="V464" s="14">
        <v>7479.5</v>
      </c>
      <c r="W464" s="14">
        <v>9161.2000000000007</v>
      </c>
      <c r="X464" s="14">
        <v>11021.6</v>
      </c>
      <c r="Y464" s="14">
        <v>8363.7000000000007</v>
      </c>
      <c r="Z464" s="14">
        <v>9292.2999999999993</v>
      </c>
      <c r="AA464" s="14"/>
      <c r="AB464" s="14"/>
      <c r="AC464" s="15">
        <f>IFERROR(Z464/G464-1,"")</f>
        <v>-0.47902603664416599</v>
      </c>
      <c r="AD464" s="15">
        <f>IFERROR((Z464/G464)^(1/19)-1,"")</f>
        <v>-3.3736488186573599E-2</v>
      </c>
    </row>
    <row r="465" spans="1:30">
      <c r="A465" s="45" t="s">
        <v>215</v>
      </c>
      <c r="B465" s="45" t="s">
        <v>216</v>
      </c>
      <c r="C465" s="45" t="s">
        <v>498</v>
      </c>
      <c r="D465" s="45" t="s">
        <v>497</v>
      </c>
      <c r="E465" s="45" t="s">
        <v>499</v>
      </c>
      <c r="F465" s="45" t="s">
        <v>500</v>
      </c>
      <c r="G465" s="14">
        <v>7567.2</v>
      </c>
      <c r="H465" s="14">
        <v>7265.8</v>
      </c>
      <c r="I465" s="14">
        <v>7349.2</v>
      </c>
      <c r="J465" s="14">
        <v>7422.5</v>
      </c>
      <c r="K465" s="14">
        <v>7867.4</v>
      </c>
      <c r="L465" s="14">
        <v>8519.4</v>
      </c>
      <c r="M465" s="14">
        <v>8584.2000000000007</v>
      </c>
      <c r="N465" s="14">
        <v>9177</v>
      </c>
      <c r="O465" s="14">
        <v>9154</v>
      </c>
      <c r="P465" s="14">
        <v>9615.2000000000007</v>
      </c>
      <c r="Q465" s="14">
        <v>10148.6</v>
      </c>
      <c r="R465" s="14">
        <v>11554</v>
      </c>
      <c r="S465" s="14">
        <v>14219.5</v>
      </c>
      <c r="T465" s="14">
        <v>11504.8</v>
      </c>
      <c r="U465" s="14">
        <v>9857.1</v>
      </c>
      <c r="V465" s="14">
        <v>12246.9</v>
      </c>
      <c r="W465" s="14">
        <v>12289.5</v>
      </c>
      <c r="X465" s="14">
        <v>14573.2</v>
      </c>
      <c r="Y465" s="14">
        <v>12820.3</v>
      </c>
      <c r="Z465" s="14">
        <v>12273.8</v>
      </c>
      <c r="AA465" s="14"/>
      <c r="AB465" s="14"/>
      <c r="AC465" s="15">
        <f>IFERROR(Z465/G465-1,"")</f>
        <v>0.62197378158367678</v>
      </c>
      <c r="AD465" s="15">
        <f>IFERROR((Z465/G465)^(1/19)-1,"")</f>
        <v>2.5781679797969081E-2</v>
      </c>
    </row>
    <row r="466" spans="1:30">
      <c r="A466" s="45" t="s">
        <v>215</v>
      </c>
      <c r="B466" s="45" t="s">
        <v>216</v>
      </c>
      <c r="C466" s="45" t="s">
        <v>498</v>
      </c>
      <c r="D466" s="45" t="s">
        <v>501</v>
      </c>
      <c r="E466" s="45" t="s">
        <v>499</v>
      </c>
      <c r="F466" s="45" t="s">
        <v>500</v>
      </c>
      <c r="G466" s="14">
        <v>3104.2</v>
      </c>
      <c r="H466" s="14">
        <v>4991.1000000000004</v>
      </c>
      <c r="I466" s="14">
        <v>4405.1000000000004</v>
      </c>
      <c r="J466" s="14">
        <v>4028</v>
      </c>
      <c r="K466" s="14">
        <v>4089.3</v>
      </c>
      <c r="L466" s="14">
        <v>3842.4</v>
      </c>
      <c r="M466" s="14">
        <v>3819</v>
      </c>
      <c r="N466" s="14">
        <v>4778.2</v>
      </c>
      <c r="O466" s="14">
        <v>5898</v>
      </c>
      <c r="P466" s="14">
        <v>5758</v>
      </c>
      <c r="Q466" s="14">
        <v>5621.7</v>
      </c>
      <c r="R466" s="14">
        <v>6466.3</v>
      </c>
      <c r="S466" s="14">
        <v>6504.1</v>
      </c>
      <c r="T466" s="14">
        <v>7043.8</v>
      </c>
      <c r="U466" s="14">
        <v>7371.5</v>
      </c>
      <c r="V466" s="14">
        <v>9142.7000000000007</v>
      </c>
      <c r="W466" s="14">
        <v>8341.9</v>
      </c>
      <c r="X466" s="14">
        <v>17234.2</v>
      </c>
      <c r="Y466" s="14">
        <v>13780.7</v>
      </c>
      <c r="Z466" s="14">
        <v>13369.4</v>
      </c>
      <c r="AA466" s="14"/>
      <c r="AB466" s="14"/>
      <c r="AC466" s="15">
        <f>IFERROR(Z466/G466-1,"")</f>
        <v>3.3068745570517368</v>
      </c>
      <c r="AD466" s="15">
        <f>IFERROR((Z466/G466)^(1/19)-1,"")</f>
        <v>7.9883633353301287E-2</v>
      </c>
    </row>
    <row r="467" spans="1:30">
      <c r="A467" s="45" t="s">
        <v>155</v>
      </c>
      <c r="B467" s="45" t="s">
        <v>156</v>
      </c>
      <c r="C467" s="45" t="s">
        <v>490</v>
      </c>
      <c r="D467" s="45" t="s">
        <v>491</v>
      </c>
      <c r="E467" s="45" t="s">
        <v>492</v>
      </c>
      <c r="F467" s="45" t="s">
        <v>493</v>
      </c>
      <c r="G467" s="14">
        <v>61730</v>
      </c>
      <c r="H467" s="14">
        <v>56984</v>
      </c>
      <c r="I467" s="14">
        <v>61896</v>
      </c>
      <c r="J467" s="14">
        <v>70112</v>
      </c>
      <c r="K467" s="14">
        <v>87250</v>
      </c>
      <c r="L467" s="14">
        <v>115556</v>
      </c>
      <c r="M467" s="14">
        <v>120965</v>
      </c>
      <c r="N467" s="14">
        <v>145474</v>
      </c>
      <c r="O467" s="14">
        <v>151614</v>
      </c>
      <c r="P467" s="14">
        <v>182752</v>
      </c>
      <c r="Q467" s="14">
        <v>203078</v>
      </c>
      <c r="R467" s="14">
        <v>233762</v>
      </c>
      <c r="S467" s="14">
        <v>262185</v>
      </c>
      <c r="T467" s="14">
        <v>295877</v>
      </c>
      <c r="U467" s="14">
        <v>311906</v>
      </c>
      <c r="V467" s="14">
        <v>358844</v>
      </c>
      <c r="W467" s="14">
        <v>438891</v>
      </c>
      <c r="X467" s="14">
        <v>467568</v>
      </c>
      <c r="Y467" s="14">
        <v>516576</v>
      </c>
      <c r="Z467" s="14">
        <v>546570</v>
      </c>
      <c r="AA467" s="14">
        <v>658983</v>
      </c>
      <c r="AB467" s="14">
        <v>646383</v>
      </c>
    </row>
    <row r="468" spans="1:30">
      <c r="A468" s="45" t="s">
        <v>155</v>
      </c>
      <c r="B468" s="45" t="s">
        <v>156</v>
      </c>
      <c r="C468" s="45" t="s">
        <v>490</v>
      </c>
      <c r="D468" s="45" t="s">
        <v>494</v>
      </c>
      <c r="E468" s="45" t="s">
        <v>492</v>
      </c>
      <c r="F468" s="45" t="s">
        <v>493</v>
      </c>
      <c r="G468" s="14">
        <v>56103</v>
      </c>
      <c r="H468" s="14">
        <v>54063</v>
      </c>
      <c r="I468" s="14">
        <v>58585</v>
      </c>
      <c r="J468" s="14">
        <v>66105</v>
      </c>
      <c r="K468" s="14">
        <v>80977</v>
      </c>
      <c r="L468" s="14">
        <v>107990</v>
      </c>
      <c r="M468" s="14">
        <v>112993</v>
      </c>
      <c r="N468" s="14">
        <v>136814</v>
      </c>
      <c r="O468" s="14">
        <v>139819</v>
      </c>
      <c r="P468" s="14">
        <v>169336</v>
      </c>
      <c r="Q468" s="14">
        <v>185492</v>
      </c>
      <c r="R468" s="14">
        <v>213161</v>
      </c>
      <c r="S468" s="14">
        <v>241147</v>
      </c>
      <c r="T468" s="14">
        <v>265518</v>
      </c>
      <c r="U468" s="14">
        <v>292254</v>
      </c>
      <c r="V468" s="14">
        <v>335010</v>
      </c>
      <c r="W468" s="14">
        <v>399184</v>
      </c>
      <c r="X468" s="14">
        <v>428642</v>
      </c>
      <c r="Y468" s="14">
        <v>469103</v>
      </c>
      <c r="Z468" s="14">
        <v>494275</v>
      </c>
      <c r="AA468" s="14"/>
      <c r="AB468" s="14"/>
    </row>
    <row r="469" spans="1:30">
      <c r="A469" s="45" t="s">
        <v>155</v>
      </c>
      <c r="B469" s="45" t="s">
        <v>156</v>
      </c>
      <c r="C469" s="45" t="s">
        <v>490</v>
      </c>
      <c r="D469" s="45" t="s">
        <v>495</v>
      </c>
      <c r="E469" s="45" t="s">
        <v>492</v>
      </c>
      <c r="F469" s="45" t="s">
        <v>493</v>
      </c>
      <c r="G469" s="14">
        <v>11569</v>
      </c>
      <c r="H469" s="14">
        <v>4098</v>
      </c>
      <c r="I469" s="14">
        <v>5228</v>
      </c>
      <c r="J469" s="14">
        <v>5335</v>
      </c>
      <c r="K469" s="14">
        <v>6755</v>
      </c>
      <c r="L469" s="14">
        <v>18753</v>
      </c>
      <c r="M469" s="14">
        <v>15003</v>
      </c>
      <c r="N469" s="14">
        <v>22226</v>
      </c>
      <c r="O469" s="14">
        <v>16175</v>
      </c>
      <c r="P469" s="14">
        <v>15770</v>
      </c>
      <c r="Q469" s="14">
        <v>10802</v>
      </c>
      <c r="R469" s="14">
        <v>11941</v>
      </c>
      <c r="S469" s="14">
        <v>16692</v>
      </c>
      <c r="T469" s="14">
        <v>18344</v>
      </c>
      <c r="U469" s="14">
        <v>20570</v>
      </c>
      <c r="V469" s="14">
        <v>30609</v>
      </c>
      <c r="W469" s="14">
        <v>46408</v>
      </c>
      <c r="X469" s="14">
        <v>49546</v>
      </c>
      <c r="Y469" s="14">
        <v>64942</v>
      </c>
      <c r="Z469" s="14">
        <v>75316</v>
      </c>
      <c r="AA469" s="14"/>
      <c r="AB469" s="14"/>
    </row>
    <row r="470" spans="1:30">
      <c r="A470" s="45" t="s">
        <v>155</v>
      </c>
      <c r="B470" s="45" t="s">
        <v>156</v>
      </c>
      <c r="C470" s="45" t="s">
        <v>490</v>
      </c>
      <c r="D470" s="45" t="s">
        <v>496</v>
      </c>
      <c r="E470" s="45" t="s">
        <v>492</v>
      </c>
      <c r="F470" s="45" t="s">
        <v>493</v>
      </c>
      <c r="G470" s="14">
        <v>17556</v>
      </c>
      <c r="H470" s="14">
        <v>18602</v>
      </c>
      <c r="I470" s="14">
        <v>20639</v>
      </c>
      <c r="J470" s="14">
        <v>22387</v>
      </c>
      <c r="K470" s="14">
        <v>27342</v>
      </c>
      <c r="L470" s="14">
        <v>33211</v>
      </c>
      <c r="M470" s="14">
        <v>34657</v>
      </c>
      <c r="N470" s="14">
        <v>41585</v>
      </c>
      <c r="O470" s="14">
        <v>45318</v>
      </c>
      <c r="P470" s="14">
        <v>58459</v>
      </c>
      <c r="Q470" s="14">
        <v>70759</v>
      </c>
      <c r="R470" s="14">
        <v>79761</v>
      </c>
      <c r="S470" s="14">
        <v>89918</v>
      </c>
      <c r="T470" s="14">
        <v>101021</v>
      </c>
      <c r="U470" s="14">
        <v>111699</v>
      </c>
      <c r="V470" s="14">
        <v>130658</v>
      </c>
      <c r="W470" s="14">
        <v>168785</v>
      </c>
      <c r="X470" s="14">
        <v>184357</v>
      </c>
      <c r="Y470" s="14">
        <v>194762</v>
      </c>
      <c r="Z470" s="14">
        <v>199599</v>
      </c>
      <c r="AA470" s="14"/>
      <c r="AB470" s="14"/>
    </row>
    <row r="471" spans="1:30">
      <c r="A471" s="45" t="s">
        <v>155</v>
      </c>
      <c r="B471" s="45" t="s">
        <v>156</v>
      </c>
      <c r="C471" s="45" t="s">
        <v>490</v>
      </c>
      <c r="D471" s="45" t="s">
        <v>497</v>
      </c>
      <c r="E471" s="45" t="s">
        <v>492</v>
      </c>
      <c r="F471" s="45" t="s">
        <v>493</v>
      </c>
      <c r="G471" s="14">
        <v>21795</v>
      </c>
      <c r="H471" s="14">
        <v>24066</v>
      </c>
      <c r="I471" s="14">
        <v>25822</v>
      </c>
      <c r="J471" s="14">
        <v>29496</v>
      </c>
      <c r="K471" s="14">
        <v>34916</v>
      </c>
      <c r="L471" s="14">
        <v>48191</v>
      </c>
      <c r="M471" s="14">
        <v>54370</v>
      </c>
      <c r="N471" s="14">
        <v>60950</v>
      </c>
      <c r="O471" s="14">
        <v>66074</v>
      </c>
      <c r="P471" s="14">
        <v>79788</v>
      </c>
      <c r="Q471" s="14">
        <v>88401</v>
      </c>
      <c r="R471" s="14">
        <v>102333</v>
      </c>
      <c r="S471" s="14">
        <v>114989</v>
      </c>
      <c r="T471" s="14">
        <v>123450</v>
      </c>
      <c r="U471" s="14">
        <v>130667</v>
      </c>
      <c r="V471" s="14">
        <v>140361</v>
      </c>
      <c r="W471" s="14">
        <v>145063</v>
      </c>
      <c r="X471" s="14">
        <v>158965</v>
      </c>
      <c r="Y471" s="14">
        <v>164751</v>
      </c>
      <c r="Z471" s="14">
        <v>176852</v>
      </c>
      <c r="AA471" s="14"/>
      <c r="AB471" s="14"/>
    </row>
    <row r="472" spans="1:30">
      <c r="A472" s="45" t="s">
        <v>155</v>
      </c>
      <c r="B472" s="45" t="s">
        <v>156</v>
      </c>
      <c r="C472" s="45" t="s">
        <v>498</v>
      </c>
      <c r="D472" s="45" t="s">
        <v>491</v>
      </c>
      <c r="E472" s="45" t="s">
        <v>499</v>
      </c>
      <c r="F472" s="45" t="s">
        <v>500</v>
      </c>
      <c r="G472" s="14">
        <v>117271.6</v>
      </c>
      <c r="H472" s="14">
        <v>94885.7</v>
      </c>
      <c r="I472" s="14">
        <v>95648.7</v>
      </c>
      <c r="J472" s="14">
        <v>100851.3</v>
      </c>
      <c r="K472" s="14">
        <v>117540.5</v>
      </c>
      <c r="L472" s="14">
        <v>146255.20000000001</v>
      </c>
      <c r="M472" s="14">
        <v>140746.79999999999</v>
      </c>
      <c r="N472" s="14">
        <v>157727.79999999999</v>
      </c>
      <c r="O472" s="14">
        <v>151614</v>
      </c>
      <c r="P472" s="14">
        <v>168717.1</v>
      </c>
      <c r="Q472" s="14">
        <v>173686</v>
      </c>
      <c r="R472" s="14">
        <v>185972.6</v>
      </c>
      <c r="S472" s="14">
        <v>193408.7</v>
      </c>
      <c r="T472" s="14">
        <v>202910.1</v>
      </c>
      <c r="U472" s="14">
        <v>197868.2</v>
      </c>
      <c r="V472" s="14">
        <v>219583.2</v>
      </c>
      <c r="W472" s="14">
        <v>257016.3</v>
      </c>
      <c r="X472" s="14">
        <v>262712</v>
      </c>
      <c r="Y472" s="14">
        <v>272603.8</v>
      </c>
      <c r="Z472" s="14">
        <v>255142.9</v>
      </c>
      <c r="AA472" s="14"/>
      <c r="AB472" s="14"/>
      <c r="AC472" s="15">
        <f>IFERROR(Z472/G472-1,"")</f>
        <v>1.1756580450850844</v>
      </c>
      <c r="AD472" s="15">
        <f>IFERROR((Z472/G472)^(1/19)-1,"")</f>
        <v>4.1760600307481521E-2</v>
      </c>
    </row>
    <row r="473" spans="1:30">
      <c r="A473" s="45" t="s">
        <v>155</v>
      </c>
      <c r="B473" s="45" t="s">
        <v>156</v>
      </c>
      <c r="C473" s="45" t="s">
        <v>498</v>
      </c>
      <c r="D473" s="45" t="s">
        <v>495</v>
      </c>
      <c r="E473" s="45" t="s">
        <v>499</v>
      </c>
      <c r="F473" s="45" t="s">
        <v>500</v>
      </c>
      <c r="G473" s="14">
        <v>21978.6</v>
      </c>
      <c r="H473" s="14">
        <v>6823.7</v>
      </c>
      <c r="I473" s="14">
        <v>8079.1</v>
      </c>
      <c r="J473" s="14">
        <v>7674.6</v>
      </c>
      <c r="K473" s="14">
        <v>9100.7000000000007</v>
      </c>
      <c r="L473" s="14">
        <v>23734.799999999999</v>
      </c>
      <c r="M473" s="14">
        <v>17456.7</v>
      </c>
      <c r="N473" s="14">
        <v>24098.2</v>
      </c>
      <c r="O473" s="14">
        <v>16175</v>
      </c>
      <c r="P473" s="14">
        <v>14558.9</v>
      </c>
      <c r="Q473" s="14">
        <v>9238.6</v>
      </c>
      <c r="R473" s="14">
        <v>9499.7999999999993</v>
      </c>
      <c r="S473" s="14">
        <v>12313.4</v>
      </c>
      <c r="T473" s="14">
        <v>12580.2</v>
      </c>
      <c r="U473" s="14">
        <v>13049.3</v>
      </c>
      <c r="V473" s="14">
        <v>18730.2</v>
      </c>
      <c r="W473" s="14">
        <v>27176.7</v>
      </c>
      <c r="X473" s="14">
        <v>27838.400000000001</v>
      </c>
      <c r="Y473" s="14">
        <v>34270.699999999997</v>
      </c>
      <c r="Z473" s="14">
        <v>35158.1</v>
      </c>
      <c r="AA473" s="14"/>
      <c r="AB473" s="14"/>
      <c r="AC473" s="15">
        <f>IFERROR(Z473/G473-1,"")</f>
        <v>0.59965147916609807</v>
      </c>
      <c r="AD473" s="15">
        <f>IFERROR((Z473/G473)^(1/19)-1,"")</f>
        <v>2.503377920393568E-2</v>
      </c>
    </row>
    <row r="474" spans="1:30">
      <c r="A474" s="45" t="s">
        <v>155</v>
      </c>
      <c r="B474" s="45" t="s">
        <v>156</v>
      </c>
      <c r="C474" s="45" t="s">
        <v>498</v>
      </c>
      <c r="D474" s="45" t="s">
        <v>496</v>
      </c>
      <c r="E474" s="45" t="s">
        <v>499</v>
      </c>
      <c r="F474" s="45" t="s">
        <v>500</v>
      </c>
      <c r="G474" s="14">
        <v>33352.699999999997</v>
      </c>
      <c r="H474" s="14">
        <v>30973.8</v>
      </c>
      <c r="I474" s="14">
        <v>31894.6</v>
      </c>
      <c r="J474" s="14">
        <v>32201.9</v>
      </c>
      <c r="K474" s="14">
        <v>36833.699999999997</v>
      </c>
      <c r="L474" s="14">
        <v>42033.599999999999</v>
      </c>
      <c r="M474" s="14">
        <v>40324.5</v>
      </c>
      <c r="N474" s="14">
        <v>45087.8</v>
      </c>
      <c r="O474" s="14">
        <v>45318</v>
      </c>
      <c r="P474" s="14">
        <v>53969.5</v>
      </c>
      <c r="Q474" s="14">
        <v>60517.9</v>
      </c>
      <c r="R474" s="14">
        <v>63455</v>
      </c>
      <c r="S474" s="14">
        <v>66330.7</v>
      </c>
      <c r="T474" s="14">
        <v>69279.399999999994</v>
      </c>
      <c r="U474" s="14">
        <v>70860.100000000006</v>
      </c>
      <c r="V474" s="14">
        <v>79952</v>
      </c>
      <c r="W474" s="14">
        <v>98841.2</v>
      </c>
      <c r="X474" s="14">
        <v>103584.5</v>
      </c>
      <c r="Y474" s="14">
        <v>102778.4</v>
      </c>
      <c r="Z474" s="14">
        <v>93174.7</v>
      </c>
      <c r="AA474" s="14"/>
      <c r="AB474" s="14"/>
      <c r="AC474" s="15">
        <f>IFERROR(Z474/G474-1,"")</f>
        <v>1.7936179079954546</v>
      </c>
      <c r="AD474" s="15">
        <f>IFERROR((Z474/G474)^(1/19)-1,"")</f>
        <v>5.5558905164886152E-2</v>
      </c>
    </row>
    <row r="475" spans="1:30">
      <c r="A475" s="45" t="s">
        <v>155</v>
      </c>
      <c r="B475" s="45" t="s">
        <v>156</v>
      </c>
      <c r="C475" s="45" t="s">
        <v>498</v>
      </c>
      <c r="D475" s="45" t="s">
        <v>497</v>
      </c>
      <c r="E475" s="45" t="s">
        <v>499</v>
      </c>
      <c r="F475" s="45" t="s">
        <v>500</v>
      </c>
      <c r="G475" s="14">
        <v>41404.699999999997</v>
      </c>
      <c r="H475" s="14">
        <v>40073.1</v>
      </c>
      <c r="I475" s="14">
        <v>39903.800000000003</v>
      </c>
      <c r="J475" s="14">
        <v>42427.4</v>
      </c>
      <c r="K475" s="14">
        <v>47038.3</v>
      </c>
      <c r="L475" s="14">
        <v>60993.7</v>
      </c>
      <c r="M475" s="14">
        <v>63261.599999999999</v>
      </c>
      <c r="N475" s="14">
        <v>66084</v>
      </c>
      <c r="O475" s="14">
        <v>66074</v>
      </c>
      <c r="P475" s="14">
        <v>73660.5</v>
      </c>
      <c r="Q475" s="14">
        <v>75606.5</v>
      </c>
      <c r="R475" s="14">
        <v>81412.399999999994</v>
      </c>
      <c r="S475" s="14">
        <v>84825.1</v>
      </c>
      <c r="T475" s="14">
        <v>84661</v>
      </c>
      <c r="U475" s="14">
        <v>82893.100000000006</v>
      </c>
      <c r="V475" s="14">
        <v>85889.5</v>
      </c>
      <c r="W475" s="14">
        <v>84949.5</v>
      </c>
      <c r="X475" s="14">
        <v>89317.5</v>
      </c>
      <c r="Y475" s="14">
        <v>86941.2</v>
      </c>
      <c r="Z475" s="14">
        <v>82558.100000000006</v>
      </c>
      <c r="AA475" s="14"/>
      <c r="AB475" s="14"/>
      <c r="AC475" s="15">
        <f>IFERROR(Z475/G475-1,"")</f>
        <v>0.99393064072436244</v>
      </c>
      <c r="AD475" s="15">
        <f>IFERROR((Z475/G475)^(1/19)-1,"")</f>
        <v>3.6989151467299308E-2</v>
      </c>
    </row>
    <row r="476" spans="1:30">
      <c r="A476" s="45" t="s">
        <v>155</v>
      </c>
      <c r="B476" s="45" t="s">
        <v>156</v>
      </c>
      <c r="C476" s="45" t="s">
        <v>498</v>
      </c>
      <c r="D476" s="45" t="s">
        <v>501</v>
      </c>
      <c r="E476" s="45" t="s">
        <v>499</v>
      </c>
      <c r="F476" s="45" t="s">
        <v>500</v>
      </c>
      <c r="G476" s="14">
        <v>9845.2000000000007</v>
      </c>
      <c r="H476" s="14">
        <v>12150.2</v>
      </c>
      <c r="I476" s="14">
        <v>10655.3</v>
      </c>
      <c r="J476" s="14">
        <v>12782.9</v>
      </c>
      <c r="K476" s="14">
        <v>16116.9</v>
      </c>
      <c r="L476" s="14">
        <v>9917.4</v>
      </c>
      <c r="M476" s="14">
        <v>10427.700000000001</v>
      </c>
      <c r="N476" s="14">
        <v>13068.3</v>
      </c>
      <c r="O476" s="14">
        <v>12253</v>
      </c>
      <c r="P476" s="14">
        <v>14142.5</v>
      </c>
      <c r="Q476" s="14">
        <v>13282.3</v>
      </c>
      <c r="R476" s="14">
        <v>15216</v>
      </c>
      <c r="S476" s="14">
        <v>14420.2</v>
      </c>
      <c r="T476" s="14">
        <v>15569.5</v>
      </c>
      <c r="U476" s="14">
        <v>18598.900000000001</v>
      </c>
      <c r="V476" s="14">
        <v>20427.099999999999</v>
      </c>
      <c r="W476" s="14">
        <v>22795.8</v>
      </c>
      <c r="X476" s="14">
        <v>20100.3</v>
      </c>
      <c r="Y476" s="14">
        <v>23560.799999999999</v>
      </c>
      <c r="Z476" s="14">
        <v>19843</v>
      </c>
      <c r="AA476" s="14"/>
      <c r="AB476" s="14"/>
      <c r="AC476" s="15">
        <f>IFERROR(Z476/G476-1,"")</f>
        <v>1.0154999390565957</v>
      </c>
      <c r="AD476" s="15">
        <f>IFERROR((Z476/G476)^(1/19)-1,"")</f>
        <v>3.7576547608278332E-2</v>
      </c>
    </row>
    <row r="477" spans="1:30">
      <c r="A477" s="45" t="s">
        <v>165</v>
      </c>
      <c r="B477" s="45" t="s">
        <v>166</v>
      </c>
      <c r="C477" s="45" t="s">
        <v>490</v>
      </c>
      <c r="D477" s="45" t="s">
        <v>491</v>
      </c>
      <c r="E477" s="45" t="s">
        <v>492</v>
      </c>
      <c r="F477" s="45" t="s">
        <v>493</v>
      </c>
      <c r="G477" s="14">
        <v>96304</v>
      </c>
      <c r="H477" s="14">
        <v>103321</v>
      </c>
      <c r="I477" s="14">
        <v>115421</v>
      </c>
      <c r="J477" s="14">
        <v>152644</v>
      </c>
      <c r="K477" s="14">
        <v>165068</v>
      </c>
      <c r="L477" s="14">
        <v>151497</v>
      </c>
      <c r="M477" s="14">
        <v>162643</v>
      </c>
      <c r="N477" s="14">
        <v>123102</v>
      </c>
      <c r="O477" s="14">
        <v>181160</v>
      </c>
      <c r="P477" s="14">
        <v>266127</v>
      </c>
      <c r="Q477" s="14">
        <v>285856</v>
      </c>
      <c r="R477" s="14">
        <v>266776</v>
      </c>
      <c r="S477" s="14">
        <v>271389</v>
      </c>
      <c r="T477" s="14">
        <v>202166</v>
      </c>
      <c r="U477" s="14">
        <v>147879</v>
      </c>
      <c r="V477" s="14">
        <v>205510</v>
      </c>
      <c r="W477" s="14">
        <v>217477</v>
      </c>
      <c r="X477" s="14">
        <v>250899</v>
      </c>
      <c r="Y477" s="14">
        <v>238192</v>
      </c>
      <c r="Z477" s="14">
        <v>386259</v>
      </c>
      <c r="AA477" s="14">
        <v>600066</v>
      </c>
      <c r="AB477" s="14">
        <v>595842</v>
      </c>
    </row>
    <row r="478" spans="1:30">
      <c r="A478" s="45" t="s">
        <v>165</v>
      </c>
      <c r="B478" s="45" t="s">
        <v>166</v>
      </c>
      <c r="C478" s="45" t="s">
        <v>490</v>
      </c>
      <c r="D478" s="45" t="s">
        <v>494</v>
      </c>
      <c r="E478" s="45" t="s">
        <v>492</v>
      </c>
      <c r="F478" s="45" t="s">
        <v>493</v>
      </c>
      <c r="G478" s="14">
        <v>93698</v>
      </c>
      <c r="H478" s="14">
        <v>100099</v>
      </c>
      <c r="I478" s="14">
        <v>111844</v>
      </c>
      <c r="J478" s="14">
        <v>147731</v>
      </c>
      <c r="K478" s="14">
        <v>158410</v>
      </c>
      <c r="L478" s="14">
        <v>145804</v>
      </c>
      <c r="M478" s="14">
        <v>156639</v>
      </c>
      <c r="N478" s="14">
        <v>116851</v>
      </c>
      <c r="O478" s="14">
        <v>174600</v>
      </c>
      <c r="P478" s="14">
        <v>255771</v>
      </c>
      <c r="Q478" s="14">
        <v>275343</v>
      </c>
      <c r="R478" s="14">
        <v>255156</v>
      </c>
      <c r="S478" s="14">
        <v>261249</v>
      </c>
      <c r="T478" s="14">
        <v>191501</v>
      </c>
      <c r="U478" s="14">
        <v>138081</v>
      </c>
      <c r="V478" s="14">
        <v>187120</v>
      </c>
      <c r="W478" s="14">
        <v>206016</v>
      </c>
      <c r="X478" s="14">
        <v>237163</v>
      </c>
      <c r="Y478" s="14">
        <v>224921</v>
      </c>
      <c r="Z478" s="14">
        <v>367833</v>
      </c>
      <c r="AA478" s="14"/>
      <c r="AB478" s="14"/>
    </row>
    <row r="479" spans="1:30">
      <c r="A479" s="45" t="s">
        <v>165</v>
      </c>
      <c r="B479" s="45" t="s">
        <v>166</v>
      </c>
      <c r="C479" s="45" t="s">
        <v>490</v>
      </c>
      <c r="D479" s="45" t="s">
        <v>495</v>
      </c>
      <c r="E479" s="45" t="s">
        <v>492</v>
      </c>
      <c r="F479" s="45" t="s">
        <v>493</v>
      </c>
      <c r="G479" s="14">
        <v>61933</v>
      </c>
      <c r="H479" s="14">
        <v>63425</v>
      </c>
      <c r="I479" s="14">
        <v>65392</v>
      </c>
      <c r="J479" s="14">
        <v>95252</v>
      </c>
      <c r="K479" s="14">
        <v>99773</v>
      </c>
      <c r="L479" s="14">
        <v>91388</v>
      </c>
      <c r="M479" s="14">
        <v>100766</v>
      </c>
      <c r="N479" s="14">
        <v>57134</v>
      </c>
      <c r="O479" s="14">
        <v>103544</v>
      </c>
      <c r="P479" s="14">
        <v>160017</v>
      </c>
      <c r="Q479" s="14">
        <v>174612</v>
      </c>
      <c r="R479" s="14">
        <v>143571</v>
      </c>
      <c r="S479" s="14">
        <v>149398</v>
      </c>
      <c r="T479" s="14">
        <v>83965</v>
      </c>
      <c r="U479" s="14">
        <v>31916</v>
      </c>
      <c r="V479" s="14">
        <v>64873</v>
      </c>
      <c r="W479" s="14">
        <v>74960</v>
      </c>
      <c r="X479" s="14">
        <v>73395</v>
      </c>
      <c r="Y479" s="14">
        <v>58900</v>
      </c>
      <c r="Z479" s="14">
        <v>171946</v>
      </c>
      <c r="AA479" s="14"/>
      <c r="AB479" s="14"/>
    </row>
    <row r="480" spans="1:30">
      <c r="A480" s="45" t="s">
        <v>165</v>
      </c>
      <c r="B480" s="45" t="s">
        <v>166</v>
      </c>
      <c r="C480" s="45" t="s">
        <v>490</v>
      </c>
      <c r="D480" s="45" t="s">
        <v>496</v>
      </c>
      <c r="E480" s="45" t="s">
        <v>492</v>
      </c>
      <c r="F480" s="45" t="s">
        <v>493</v>
      </c>
      <c r="G480" s="14">
        <v>14928</v>
      </c>
      <c r="H480" s="14">
        <v>16028</v>
      </c>
      <c r="I480" s="14">
        <v>22626</v>
      </c>
      <c r="J480" s="14">
        <v>24048</v>
      </c>
      <c r="K480" s="14">
        <v>27299</v>
      </c>
      <c r="L480" s="14">
        <v>25282</v>
      </c>
      <c r="M480" s="14">
        <v>23232</v>
      </c>
      <c r="N480" s="14">
        <v>20990</v>
      </c>
      <c r="O480" s="14">
        <v>32065</v>
      </c>
      <c r="P480" s="14">
        <v>48828</v>
      </c>
      <c r="Q480" s="14">
        <v>52728</v>
      </c>
      <c r="R480" s="14">
        <v>54619</v>
      </c>
      <c r="S480" s="14">
        <v>51782</v>
      </c>
      <c r="T480" s="14">
        <v>42525</v>
      </c>
      <c r="U480" s="14">
        <v>34497</v>
      </c>
      <c r="V480" s="14">
        <v>45634</v>
      </c>
      <c r="W480" s="14">
        <v>50080</v>
      </c>
      <c r="X480" s="14">
        <v>55462</v>
      </c>
      <c r="Y480" s="14">
        <v>53879</v>
      </c>
      <c r="Z480" s="14">
        <v>80074</v>
      </c>
      <c r="AA480" s="14"/>
      <c r="AB480" s="14"/>
    </row>
    <row r="481" spans="1:30">
      <c r="A481" s="45" t="s">
        <v>165</v>
      </c>
      <c r="B481" s="45" t="s">
        <v>166</v>
      </c>
      <c r="C481" s="45" t="s">
        <v>490</v>
      </c>
      <c r="D481" s="45" t="s">
        <v>497</v>
      </c>
      <c r="E481" s="45" t="s">
        <v>492</v>
      </c>
      <c r="F481" s="45" t="s">
        <v>493</v>
      </c>
      <c r="G481" s="14">
        <v>13867</v>
      </c>
      <c r="H481" s="14">
        <v>15539</v>
      </c>
      <c r="I481" s="14">
        <v>17467</v>
      </c>
      <c r="J481" s="14">
        <v>20755</v>
      </c>
      <c r="K481" s="14">
        <v>24373</v>
      </c>
      <c r="L481" s="14">
        <v>27255</v>
      </c>
      <c r="M481" s="14">
        <v>29374</v>
      </c>
      <c r="N481" s="14">
        <v>34062</v>
      </c>
      <c r="O481" s="14">
        <v>36526</v>
      </c>
      <c r="P481" s="14">
        <v>41617</v>
      </c>
      <c r="Q481" s="14">
        <v>45018</v>
      </c>
      <c r="R481" s="14">
        <v>52595</v>
      </c>
      <c r="S481" s="14">
        <v>56319</v>
      </c>
      <c r="T481" s="14">
        <v>59203</v>
      </c>
      <c r="U481" s="14">
        <v>62882</v>
      </c>
      <c r="V481" s="14">
        <v>66140</v>
      </c>
      <c r="W481" s="14">
        <v>67635</v>
      </c>
      <c r="X481" s="14">
        <v>75964</v>
      </c>
      <c r="Y481" s="14">
        <v>78855</v>
      </c>
      <c r="Z481" s="14">
        <v>82795</v>
      </c>
      <c r="AA481" s="14"/>
      <c r="AB481" s="14"/>
    </row>
    <row r="482" spans="1:30">
      <c r="A482" s="45" t="s">
        <v>165</v>
      </c>
      <c r="B482" s="45" t="s">
        <v>166</v>
      </c>
      <c r="C482" s="45" t="s">
        <v>498</v>
      </c>
      <c r="D482" s="45" t="s">
        <v>491</v>
      </c>
      <c r="E482" s="45" t="s">
        <v>499</v>
      </c>
      <c r="F482" s="45" t="s">
        <v>500</v>
      </c>
      <c r="G482" s="14">
        <v>182953.1</v>
      </c>
      <c r="H482" s="14">
        <v>172041.2</v>
      </c>
      <c r="I482" s="14">
        <v>178361.7</v>
      </c>
      <c r="J482" s="14">
        <v>219566.6</v>
      </c>
      <c r="K482" s="14">
        <v>222373.7</v>
      </c>
      <c r="L482" s="14">
        <v>191744.8</v>
      </c>
      <c r="M482" s="14">
        <v>189239.6</v>
      </c>
      <c r="N482" s="14">
        <v>133471.29999999999</v>
      </c>
      <c r="O482" s="14">
        <v>181160</v>
      </c>
      <c r="P482" s="14">
        <v>245689.1</v>
      </c>
      <c r="Q482" s="14">
        <v>244483.4</v>
      </c>
      <c r="R482" s="14">
        <v>212237.4</v>
      </c>
      <c r="S482" s="14">
        <v>200198.3</v>
      </c>
      <c r="T482" s="14">
        <v>138643.79999999999</v>
      </c>
      <c r="U482" s="14">
        <v>93812.1</v>
      </c>
      <c r="V482" s="14">
        <v>125755.3</v>
      </c>
      <c r="W482" s="14">
        <v>127355.4</v>
      </c>
      <c r="X482" s="14">
        <v>140972.4</v>
      </c>
      <c r="Y482" s="14">
        <v>125697</v>
      </c>
      <c r="Z482" s="14">
        <v>180308.5</v>
      </c>
      <c r="AA482" s="14"/>
      <c r="AB482" s="14"/>
      <c r="AC482" s="15">
        <f>IFERROR(Z482/G482-1,"")</f>
        <v>-1.4455070725776231E-2</v>
      </c>
      <c r="AD482" s="15">
        <f>IFERROR((Z482/G482)^(1/19)-1,"")</f>
        <v>-7.6605185836664536E-4</v>
      </c>
    </row>
    <row r="483" spans="1:30">
      <c r="A483" s="45" t="s">
        <v>165</v>
      </c>
      <c r="B483" s="45" t="s">
        <v>166</v>
      </c>
      <c r="C483" s="45" t="s">
        <v>498</v>
      </c>
      <c r="D483" s="45" t="s">
        <v>495</v>
      </c>
      <c r="E483" s="45" t="s">
        <v>499</v>
      </c>
      <c r="F483" s="45" t="s">
        <v>500</v>
      </c>
      <c r="G483" s="14">
        <v>117657</v>
      </c>
      <c r="H483" s="14">
        <v>105610.6</v>
      </c>
      <c r="I483" s="14">
        <v>101051.8</v>
      </c>
      <c r="J483" s="14">
        <v>137012.4</v>
      </c>
      <c r="K483" s="14">
        <v>134410.9</v>
      </c>
      <c r="L483" s="14">
        <v>115667.1</v>
      </c>
      <c r="M483" s="14">
        <v>117243.8</v>
      </c>
      <c r="N483" s="14">
        <v>61946.6</v>
      </c>
      <c r="O483" s="14">
        <v>103544</v>
      </c>
      <c r="P483" s="14">
        <v>147728.1</v>
      </c>
      <c r="Q483" s="14">
        <v>149340</v>
      </c>
      <c r="R483" s="14">
        <v>114219.9</v>
      </c>
      <c r="S483" s="14">
        <v>110208</v>
      </c>
      <c r="T483" s="14">
        <v>57582.5</v>
      </c>
      <c r="U483" s="14">
        <v>20247</v>
      </c>
      <c r="V483" s="14">
        <v>39697</v>
      </c>
      <c r="W483" s="14">
        <v>43896.9</v>
      </c>
      <c r="X483" s="14">
        <v>41238.400000000001</v>
      </c>
      <c r="Y483" s="14">
        <v>31082.3</v>
      </c>
      <c r="Z483" s="14">
        <v>80265.600000000006</v>
      </c>
      <c r="AA483" s="14"/>
      <c r="AB483" s="14"/>
      <c r="AC483" s="15">
        <f>IFERROR(Z483/G483-1,"")</f>
        <v>-0.31780004589612176</v>
      </c>
      <c r="AD483" s="15">
        <f>IFERROR((Z483/G483)^(1/19)-1,"")</f>
        <v>-1.9926808661541506E-2</v>
      </c>
    </row>
    <row r="484" spans="1:30">
      <c r="A484" s="45" t="s">
        <v>165</v>
      </c>
      <c r="B484" s="45" t="s">
        <v>166</v>
      </c>
      <c r="C484" s="45" t="s">
        <v>498</v>
      </c>
      <c r="D484" s="45" t="s">
        <v>496</v>
      </c>
      <c r="E484" s="45" t="s">
        <v>499</v>
      </c>
      <c r="F484" s="45" t="s">
        <v>500</v>
      </c>
      <c r="G484" s="14">
        <v>28359.9</v>
      </c>
      <c r="H484" s="14">
        <v>26687.599999999999</v>
      </c>
      <c r="I484" s="14">
        <v>34964.5</v>
      </c>
      <c r="J484" s="14">
        <v>34591.4</v>
      </c>
      <c r="K484" s="14">
        <v>36776.1</v>
      </c>
      <c r="L484" s="14">
        <v>31998.5</v>
      </c>
      <c r="M484" s="14">
        <v>27030.7</v>
      </c>
      <c r="N484" s="14">
        <v>22758.1</v>
      </c>
      <c r="O484" s="14">
        <v>32065</v>
      </c>
      <c r="P484" s="14">
        <v>45078.1</v>
      </c>
      <c r="Q484" s="14">
        <v>45096.5</v>
      </c>
      <c r="R484" s="14">
        <v>43452.9</v>
      </c>
      <c r="S484" s="14">
        <v>38198.6</v>
      </c>
      <c r="T484" s="14">
        <v>29163.3</v>
      </c>
      <c r="U484" s="14">
        <v>21884.3</v>
      </c>
      <c r="V484" s="14">
        <v>27924.3</v>
      </c>
      <c r="W484" s="14">
        <v>29327</v>
      </c>
      <c r="X484" s="14">
        <v>31162.400000000001</v>
      </c>
      <c r="Y484" s="14">
        <v>28432.6</v>
      </c>
      <c r="Z484" s="14">
        <v>37379.599999999999</v>
      </c>
      <c r="AA484" s="14"/>
      <c r="AB484" s="14"/>
      <c r="AC484" s="15">
        <f>IFERROR(Z484/G484-1,"")</f>
        <v>0.31804413978892709</v>
      </c>
      <c r="AD484" s="15">
        <f>IFERROR((Z484/G484)^(1/19)-1,"")</f>
        <v>1.4640288357111508E-2</v>
      </c>
    </row>
    <row r="485" spans="1:30">
      <c r="A485" s="45" t="s">
        <v>165</v>
      </c>
      <c r="B485" s="45" t="s">
        <v>166</v>
      </c>
      <c r="C485" s="45" t="s">
        <v>498</v>
      </c>
      <c r="D485" s="45" t="s">
        <v>497</v>
      </c>
      <c r="E485" s="45" t="s">
        <v>499</v>
      </c>
      <c r="F485" s="45" t="s">
        <v>500</v>
      </c>
      <c r="G485" s="14">
        <v>26344.400000000001</v>
      </c>
      <c r="H485" s="14">
        <v>25874.7</v>
      </c>
      <c r="I485" s="14">
        <v>26992.799999999999</v>
      </c>
      <c r="J485" s="14">
        <v>29854.1</v>
      </c>
      <c r="K485" s="14">
        <v>32835</v>
      </c>
      <c r="L485" s="14">
        <v>34495.800000000003</v>
      </c>
      <c r="M485" s="14">
        <v>34178</v>
      </c>
      <c r="N485" s="14">
        <v>36931.199999999997</v>
      </c>
      <c r="O485" s="14">
        <v>36526</v>
      </c>
      <c r="P485" s="14">
        <v>38420.9</v>
      </c>
      <c r="Q485" s="14">
        <v>38502.400000000001</v>
      </c>
      <c r="R485" s="14">
        <v>41842.699999999997</v>
      </c>
      <c r="S485" s="14">
        <v>41545.4</v>
      </c>
      <c r="T485" s="14">
        <v>40600.9</v>
      </c>
      <c r="U485" s="14">
        <v>39891.300000000003</v>
      </c>
      <c r="V485" s="14">
        <v>40472.300000000003</v>
      </c>
      <c r="W485" s="14">
        <v>39607.300000000003</v>
      </c>
      <c r="X485" s="14">
        <v>42681.8</v>
      </c>
      <c r="Y485" s="14">
        <v>41612.800000000003</v>
      </c>
      <c r="Z485" s="14">
        <v>38650.699999999997</v>
      </c>
      <c r="AA485" s="14"/>
      <c r="AB485" s="14"/>
      <c r="AC485" s="15">
        <f>IFERROR(Z485/G485-1,"")</f>
        <v>0.46713153459558754</v>
      </c>
      <c r="AD485" s="15">
        <f>IFERROR((Z485/G485)^(1/19)-1,"")</f>
        <v>2.0379040072403765E-2</v>
      </c>
    </row>
    <row r="486" spans="1:30">
      <c r="A486" s="45" t="s">
        <v>165</v>
      </c>
      <c r="B486" s="45" t="s">
        <v>166</v>
      </c>
      <c r="C486" s="45" t="s">
        <v>498</v>
      </c>
      <c r="D486" s="45" t="s">
        <v>501</v>
      </c>
      <c r="E486" s="45" t="s">
        <v>499</v>
      </c>
      <c r="F486" s="45" t="s">
        <v>500</v>
      </c>
      <c r="G486" s="14">
        <v>5640.6</v>
      </c>
      <c r="H486" s="14">
        <v>8503</v>
      </c>
      <c r="I486" s="14">
        <v>9825.9</v>
      </c>
      <c r="J486" s="14">
        <v>11042.5</v>
      </c>
      <c r="K486" s="14">
        <v>9383.2000000000007</v>
      </c>
      <c r="L486" s="14">
        <v>2378.3000000000002</v>
      </c>
      <c r="M486" s="14">
        <v>3801.7</v>
      </c>
      <c r="N486" s="14">
        <v>5056.8999999999996</v>
      </c>
      <c r="O486" s="14">
        <v>2465</v>
      </c>
      <c r="P486" s="14">
        <v>4901.3</v>
      </c>
      <c r="Q486" s="14">
        <v>2553</v>
      </c>
      <c r="R486" s="14">
        <v>3477.4</v>
      </c>
      <c r="S486" s="14">
        <v>2766.3</v>
      </c>
      <c r="T486" s="14">
        <v>3982.4</v>
      </c>
      <c r="U486" s="14">
        <v>5574.3</v>
      </c>
      <c r="V486" s="14">
        <v>6409.2</v>
      </c>
      <c r="W486" s="14">
        <v>7812.5</v>
      </c>
      <c r="X486" s="14">
        <v>18172</v>
      </c>
      <c r="Y486" s="14">
        <v>17566</v>
      </c>
      <c r="Z486" s="14">
        <v>15412.6</v>
      </c>
      <c r="AA486" s="14"/>
      <c r="AB486" s="14"/>
      <c r="AC486" s="15">
        <f>IFERROR(Z486/G486-1,"")</f>
        <v>1.732439811367585</v>
      </c>
      <c r="AD486" s="15">
        <f>IFERROR((Z486/G486)^(1/19)-1,"")</f>
        <v>5.4329474282093226E-2</v>
      </c>
    </row>
    <row r="487" spans="1:30">
      <c r="A487" s="45" t="s">
        <v>219</v>
      </c>
      <c r="B487" s="45" t="s">
        <v>220</v>
      </c>
      <c r="C487" s="45" t="s">
        <v>490</v>
      </c>
      <c r="D487" s="45" t="s">
        <v>491</v>
      </c>
      <c r="E487" s="45" t="s">
        <v>492</v>
      </c>
      <c r="F487" s="45" t="s">
        <v>493</v>
      </c>
      <c r="G487" s="14">
        <v>74211</v>
      </c>
      <c r="H487" s="14">
        <v>80373</v>
      </c>
      <c r="I487" s="14">
        <v>108909</v>
      </c>
      <c r="J487" s="14">
        <v>118023</v>
      </c>
      <c r="K487" s="14">
        <v>137455</v>
      </c>
      <c r="L487" s="14">
        <v>135807</v>
      </c>
      <c r="M487" s="14">
        <v>156013</v>
      </c>
      <c r="N487" s="14">
        <v>125541</v>
      </c>
      <c r="O487" s="14">
        <v>163104</v>
      </c>
      <c r="P487" s="14">
        <v>231911</v>
      </c>
      <c r="Q487" s="14">
        <v>155485</v>
      </c>
      <c r="R487" s="14">
        <v>155172</v>
      </c>
      <c r="S487" s="14">
        <v>138403</v>
      </c>
      <c r="T487" s="14">
        <v>130515</v>
      </c>
      <c r="U487" s="14">
        <v>111178</v>
      </c>
      <c r="V487" s="14">
        <v>131996</v>
      </c>
      <c r="W487" s="14">
        <v>158661</v>
      </c>
      <c r="X487" s="14">
        <v>171513</v>
      </c>
      <c r="Y487" s="14">
        <v>145273</v>
      </c>
      <c r="Z487" s="14">
        <v>158308</v>
      </c>
      <c r="AA487" s="14">
        <v>164488</v>
      </c>
      <c r="AB487" s="14">
        <v>185921</v>
      </c>
    </row>
    <row r="488" spans="1:30">
      <c r="A488" s="45" t="s">
        <v>219</v>
      </c>
      <c r="B488" s="45" t="s">
        <v>220</v>
      </c>
      <c r="C488" s="45" t="s">
        <v>490</v>
      </c>
      <c r="D488" s="45" t="s">
        <v>494</v>
      </c>
      <c r="E488" s="45" t="s">
        <v>492</v>
      </c>
      <c r="F488" s="45" t="s">
        <v>493</v>
      </c>
      <c r="G488" s="14">
        <v>70768</v>
      </c>
      <c r="H488" s="14">
        <v>76756</v>
      </c>
      <c r="I488" s="14">
        <v>103877</v>
      </c>
      <c r="J488" s="14">
        <v>112622</v>
      </c>
      <c r="K488" s="14">
        <v>132172</v>
      </c>
      <c r="L488" s="14">
        <v>130214</v>
      </c>
      <c r="M488" s="14">
        <v>149966</v>
      </c>
      <c r="N488" s="14">
        <v>119649</v>
      </c>
      <c r="O488" s="14">
        <v>153981</v>
      </c>
      <c r="P488" s="14">
        <v>222710</v>
      </c>
      <c r="Q488" s="14">
        <v>146543</v>
      </c>
      <c r="R488" s="14">
        <v>146554</v>
      </c>
      <c r="S488" s="14">
        <v>130036</v>
      </c>
      <c r="T488" s="14">
        <v>121540</v>
      </c>
      <c r="U488" s="14">
        <v>104370</v>
      </c>
      <c r="V488" s="14">
        <v>122262</v>
      </c>
      <c r="W488" s="14">
        <v>147603</v>
      </c>
      <c r="X488" s="14">
        <v>160949</v>
      </c>
      <c r="Y488" s="14">
        <v>134340</v>
      </c>
      <c r="Z488" s="14">
        <v>145673</v>
      </c>
      <c r="AA488" s="14"/>
      <c r="AB488" s="14"/>
    </row>
    <row r="489" spans="1:30">
      <c r="A489" s="45" t="s">
        <v>219</v>
      </c>
      <c r="B489" s="45" t="s">
        <v>220</v>
      </c>
      <c r="C489" s="45" t="s">
        <v>490</v>
      </c>
      <c r="D489" s="45" t="s">
        <v>495</v>
      </c>
      <c r="E489" s="45" t="s">
        <v>492</v>
      </c>
      <c r="F489" s="45" t="s">
        <v>493</v>
      </c>
      <c r="G489" s="14">
        <v>45572</v>
      </c>
      <c r="H489" s="14">
        <v>49101</v>
      </c>
      <c r="I489" s="14">
        <v>65229</v>
      </c>
      <c r="J489" s="14">
        <v>72600</v>
      </c>
      <c r="K489" s="14">
        <v>84831</v>
      </c>
      <c r="L489" s="14">
        <v>79648</v>
      </c>
      <c r="M489" s="14">
        <v>96858</v>
      </c>
      <c r="N489" s="14">
        <v>63248</v>
      </c>
      <c r="O489" s="14">
        <v>88762</v>
      </c>
      <c r="P489" s="14">
        <v>143645</v>
      </c>
      <c r="Q489" s="14">
        <v>78232</v>
      </c>
      <c r="R489" s="14">
        <v>67468</v>
      </c>
      <c r="S489" s="14">
        <v>51833</v>
      </c>
      <c r="T489" s="14">
        <v>39219</v>
      </c>
      <c r="U489" s="14">
        <v>22430</v>
      </c>
      <c r="V489" s="14">
        <v>29820</v>
      </c>
      <c r="W489" s="14">
        <v>44574</v>
      </c>
      <c r="X489" s="14">
        <v>49507</v>
      </c>
      <c r="Y489" s="14">
        <v>24770</v>
      </c>
      <c r="Z489" s="14">
        <v>28640</v>
      </c>
      <c r="AA489" s="14"/>
      <c r="AB489" s="14"/>
    </row>
    <row r="490" spans="1:30">
      <c r="A490" s="45" t="s">
        <v>219</v>
      </c>
      <c r="B490" s="45" t="s">
        <v>220</v>
      </c>
      <c r="C490" s="45" t="s">
        <v>490</v>
      </c>
      <c r="D490" s="45" t="s">
        <v>496</v>
      </c>
      <c r="E490" s="45" t="s">
        <v>492</v>
      </c>
      <c r="F490" s="45" t="s">
        <v>493</v>
      </c>
      <c r="G490" s="14">
        <v>14064</v>
      </c>
      <c r="H490" s="14">
        <v>15269</v>
      </c>
      <c r="I490" s="14">
        <v>25084</v>
      </c>
      <c r="J490" s="14">
        <v>23620</v>
      </c>
      <c r="K490" s="14">
        <v>27410</v>
      </c>
      <c r="L490" s="14">
        <v>27780</v>
      </c>
      <c r="M490" s="14">
        <v>28257</v>
      </c>
      <c r="N490" s="14">
        <v>28836</v>
      </c>
      <c r="O490" s="14">
        <v>37741</v>
      </c>
      <c r="P490" s="14">
        <v>46861</v>
      </c>
      <c r="Q490" s="14">
        <v>34673</v>
      </c>
      <c r="R490" s="14">
        <v>38743</v>
      </c>
      <c r="S490" s="14">
        <v>34449</v>
      </c>
      <c r="T490" s="14">
        <v>33671</v>
      </c>
      <c r="U490" s="14">
        <v>30057</v>
      </c>
      <c r="V490" s="14">
        <v>36386</v>
      </c>
      <c r="W490" s="14">
        <v>43617</v>
      </c>
      <c r="X490" s="14">
        <v>46886</v>
      </c>
      <c r="Y490" s="14">
        <v>43129</v>
      </c>
      <c r="Z490" s="14">
        <v>45728</v>
      </c>
      <c r="AA490" s="14"/>
      <c r="AB490" s="14"/>
    </row>
    <row r="491" spans="1:30">
      <c r="A491" s="45" t="s">
        <v>219</v>
      </c>
      <c r="B491" s="45" t="s">
        <v>220</v>
      </c>
      <c r="C491" s="45" t="s">
        <v>490</v>
      </c>
      <c r="D491" s="45" t="s">
        <v>497</v>
      </c>
      <c r="E491" s="45" t="s">
        <v>492</v>
      </c>
      <c r="F491" s="45" t="s">
        <v>493</v>
      </c>
      <c r="G491" s="14">
        <v>9775</v>
      </c>
      <c r="H491" s="14">
        <v>10227</v>
      </c>
      <c r="I491" s="14">
        <v>11873</v>
      </c>
      <c r="J491" s="14">
        <v>14525</v>
      </c>
      <c r="K491" s="14">
        <v>17683</v>
      </c>
      <c r="L491" s="14">
        <v>20748</v>
      </c>
      <c r="M491" s="14">
        <v>23408</v>
      </c>
      <c r="N491" s="14">
        <v>25777</v>
      </c>
      <c r="O491" s="14">
        <v>25755</v>
      </c>
      <c r="P491" s="14">
        <v>29652</v>
      </c>
      <c r="Q491" s="14">
        <v>31485</v>
      </c>
      <c r="R491" s="14">
        <v>37725</v>
      </c>
      <c r="S491" s="14">
        <v>41127</v>
      </c>
      <c r="T491" s="14">
        <v>45464</v>
      </c>
      <c r="U491" s="14">
        <v>49138</v>
      </c>
      <c r="V491" s="14">
        <v>52905</v>
      </c>
      <c r="W491" s="14">
        <v>55397</v>
      </c>
      <c r="X491" s="14">
        <v>60277</v>
      </c>
      <c r="Y491" s="14">
        <v>62175</v>
      </c>
      <c r="Z491" s="14">
        <v>67523</v>
      </c>
      <c r="AA491" s="14"/>
      <c r="AB491" s="14"/>
    </row>
    <row r="492" spans="1:30">
      <c r="A492" s="45" t="s">
        <v>219</v>
      </c>
      <c r="B492" s="45" t="s">
        <v>220</v>
      </c>
      <c r="C492" s="45" t="s">
        <v>498</v>
      </c>
      <c r="D492" s="45" t="s">
        <v>491</v>
      </c>
      <c r="E492" s="45" t="s">
        <v>499</v>
      </c>
      <c r="F492" s="45" t="s">
        <v>500</v>
      </c>
      <c r="G492" s="14">
        <v>140982.39999999999</v>
      </c>
      <c r="H492" s="14">
        <v>133830.29999999999</v>
      </c>
      <c r="I492" s="14">
        <v>168299.1</v>
      </c>
      <c r="J492" s="14">
        <v>169767.6</v>
      </c>
      <c r="K492" s="14">
        <v>185174.5</v>
      </c>
      <c r="L492" s="14">
        <v>171886.3</v>
      </c>
      <c r="M492" s="14">
        <v>181525.5</v>
      </c>
      <c r="N492" s="14">
        <v>136115.70000000001</v>
      </c>
      <c r="O492" s="14">
        <v>163104</v>
      </c>
      <c r="P492" s="14">
        <v>214100.8</v>
      </c>
      <c r="Q492" s="14">
        <v>132981.29999999999</v>
      </c>
      <c r="R492" s="14">
        <v>123449.2</v>
      </c>
      <c r="S492" s="14">
        <v>102097.2</v>
      </c>
      <c r="T492" s="14">
        <v>89506.2</v>
      </c>
      <c r="U492" s="14">
        <v>70529.600000000006</v>
      </c>
      <c r="V492" s="14">
        <v>80770.8</v>
      </c>
      <c r="W492" s="14">
        <v>92912.5</v>
      </c>
      <c r="X492" s="14">
        <v>96367.9</v>
      </c>
      <c r="Y492" s="14">
        <v>76662.399999999994</v>
      </c>
      <c r="Z492" s="14">
        <v>73899.3</v>
      </c>
      <c r="AA492" s="14"/>
      <c r="AB492" s="14"/>
      <c r="AC492" s="15">
        <f>IFERROR(Z492/G492-1,"")</f>
        <v>-0.47582606055791354</v>
      </c>
      <c r="AD492" s="15">
        <f>IFERROR((Z492/G492)^(1/19)-1,"")</f>
        <v>-3.3425021001883604E-2</v>
      </c>
    </row>
    <row r="493" spans="1:30">
      <c r="A493" s="45" t="s">
        <v>219</v>
      </c>
      <c r="B493" s="45" t="s">
        <v>220</v>
      </c>
      <c r="C493" s="45" t="s">
        <v>498</v>
      </c>
      <c r="D493" s="45" t="s">
        <v>495</v>
      </c>
      <c r="E493" s="45" t="s">
        <v>499</v>
      </c>
      <c r="F493" s="45" t="s">
        <v>500</v>
      </c>
      <c r="G493" s="14">
        <v>86574.7</v>
      </c>
      <c r="H493" s="14">
        <v>81758.3</v>
      </c>
      <c r="I493" s="14">
        <v>100799.9</v>
      </c>
      <c r="J493" s="14">
        <v>104429.9</v>
      </c>
      <c r="K493" s="14">
        <v>114281.60000000001</v>
      </c>
      <c r="L493" s="14">
        <v>100808.7</v>
      </c>
      <c r="M493" s="14">
        <v>112696.7</v>
      </c>
      <c r="N493" s="14">
        <v>68575.600000000006</v>
      </c>
      <c r="O493" s="14">
        <v>88762</v>
      </c>
      <c r="P493" s="14">
        <v>132613.4</v>
      </c>
      <c r="Q493" s="14">
        <v>66909.3</v>
      </c>
      <c r="R493" s="14">
        <v>53675.1</v>
      </c>
      <c r="S493" s="14">
        <v>38236.199999999997</v>
      </c>
      <c r="T493" s="14">
        <v>26896.1</v>
      </c>
      <c r="U493" s="14">
        <v>14229.2</v>
      </c>
      <c r="V493" s="14">
        <v>18247.400000000001</v>
      </c>
      <c r="W493" s="14">
        <v>26102.7</v>
      </c>
      <c r="X493" s="14">
        <v>27816.5</v>
      </c>
      <c r="Y493" s="14">
        <v>13071.4</v>
      </c>
      <c r="Z493" s="14">
        <v>13369.4</v>
      </c>
      <c r="AA493" s="14"/>
      <c r="AB493" s="14"/>
      <c r="AC493" s="15">
        <f>IFERROR(Z493/G493-1,"")</f>
        <v>-0.84557382237535905</v>
      </c>
      <c r="AD493" s="15">
        <f>IFERROR((Z493/G493)^(1/19)-1,"")</f>
        <v>-9.3639226972600742E-2</v>
      </c>
    </row>
    <row r="494" spans="1:30">
      <c r="A494" s="45" t="s">
        <v>219</v>
      </c>
      <c r="B494" s="45" t="s">
        <v>220</v>
      </c>
      <c r="C494" s="45" t="s">
        <v>498</v>
      </c>
      <c r="D494" s="45" t="s">
        <v>496</v>
      </c>
      <c r="E494" s="45" t="s">
        <v>499</v>
      </c>
      <c r="F494" s="45" t="s">
        <v>500</v>
      </c>
      <c r="G494" s="14">
        <v>26718</v>
      </c>
      <c r="H494" s="14">
        <v>25424.7</v>
      </c>
      <c r="I494" s="14">
        <v>38762.5</v>
      </c>
      <c r="J494" s="14">
        <v>33975</v>
      </c>
      <c r="K494" s="14">
        <v>36925.699999999997</v>
      </c>
      <c r="L494" s="14">
        <v>35160.199999999997</v>
      </c>
      <c r="M494" s="14">
        <v>32878</v>
      </c>
      <c r="N494" s="14">
        <v>31265</v>
      </c>
      <c r="O494" s="14">
        <v>37741</v>
      </c>
      <c r="P494" s="14">
        <v>43262.2</v>
      </c>
      <c r="Q494" s="14">
        <v>29654.7</v>
      </c>
      <c r="R494" s="14">
        <v>30822.5</v>
      </c>
      <c r="S494" s="14">
        <v>25412.3</v>
      </c>
      <c r="T494" s="14">
        <v>23091.3</v>
      </c>
      <c r="U494" s="14">
        <v>19067.7</v>
      </c>
      <c r="V494" s="14">
        <v>22265.3</v>
      </c>
      <c r="W494" s="14">
        <v>25542.3</v>
      </c>
      <c r="X494" s="14">
        <v>26343.8</v>
      </c>
      <c r="Y494" s="14">
        <v>22759.7</v>
      </c>
      <c r="Z494" s="14">
        <v>21346.6</v>
      </c>
      <c r="AA494" s="14"/>
      <c r="AB494" s="14"/>
      <c r="AC494" s="15">
        <f>IFERROR(Z494/G494-1,"")</f>
        <v>-0.20104049704319193</v>
      </c>
      <c r="AD494" s="15">
        <f>IFERROR((Z494/G494)^(1/19)-1,"")</f>
        <v>-1.1743397420330592E-2</v>
      </c>
    </row>
    <row r="495" spans="1:30">
      <c r="A495" s="45" t="s">
        <v>219</v>
      </c>
      <c r="B495" s="45" t="s">
        <v>220</v>
      </c>
      <c r="C495" s="45" t="s">
        <v>498</v>
      </c>
      <c r="D495" s="45" t="s">
        <v>497</v>
      </c>
      <c r="E495" s="45" t="s">
        <v>499</v>
      </c>
      <c r="F495" s="45" t="s">
        <v>500</v>
      </c>
      <c r="G495" s="14">
        <v>18570</v>
      </c>
      <c r="H495" s="14">
        <v>17029.400000000001</v>
      </c>
      <c r="I495" s="14">
        <v>18348.3</v>
      </c>
      <c r="J495" s="14">
        <v>20893.5</v>
      </c>
      <c r="K495" s="14">
        <v>23821.8</v>
      </c>
      <c r="L495" s="14">
        <v>26260.400000000001</v>
      </c>
      <c r="M495" s="14">
        <v>27236.2</v>
      </c>
      <c r="N495" s="14">
        <v>27948.3</v>
      </c>
      <c r="O495" s="14">
        <v>25755</v>
      </c>
      <c r="P495" s="14">
        <v>27374.799999999999</v>
      </c>
      <c r="Q495" s="14">
        <v>26928.1</v>
      </c>
      <c r="R495" s="14">
        <v>30012.6</v>
      </c>
      <c r="S495" s="14">
        <v>30338.6</v>
      </c>
      <c r="T495" s="14">
        <v>31178.9</v>
      </c>
      <c r="U495" s="14">
        <v>31172.400000000001</v>
      </c>
      <c r="V495" s="14">
        <v>32373.5</v>
      </c>
      <c r="W495" s="14">
        <v>32440.7</v>
      </c>
      <c r="X495" s="14">
        <v>33867.800000000003</v>
      </c>
      <c r="Y495" s="14">
        <v>32810.5</v>
      </c>
      <c r="Z495" s="14">
        <v>31520.7</v>
      </c>
      <c r="AA495" s="14"/>
      <c r="AB495" s="14"/>
      <c r="AC495" s="15">
        <f>IFERROR(Z495/G495-1,"")</f>
        <v>0.69739903069466891</v>
      </c>
      <c r="AD495" s="15">
        <f>IFERROR((Z495/G495)^(1/19)-1,"")</f>
        <v>2.8238573665710032E-2</v>
      </c>
    </row>
    <row r="496" spans="1:30">
      <c r="A496" s="45" t="s">
        <v>219</v>
      </c>
      <c r="B496" s="45" t="s">
        <v>220</v>
      </c>
      <c r="C496" s="45" t="s">
        <v>498</v>
      </c>
      <c r="D496" s="45" t="s">
        <v>501</v>
      </c>
      <c r="E496" s="45" t="s">
        <v>499</v>
      </c>
      <c r="F496" s="45" t="s">
        <v>500</v>
      </c>
      <c r="G496" s="14">
        <v>2578.1</v>
      </c>
      <c r="H496" s="14">
        <v>3595.1</v>
      </c>
      <c r="I496" s="14">
        <v>2612.8000000000002</v>
      </c>
      <c r="J496" s="14">
        <v>2700.5</v>
      </c>
      <c r="K496" s="14">
        <v>3028.4</v>
      </c>
      <c r="L496" s="14">
        <v>2578.9</v>
      </c>
      <c r="M496" s="14">
        <v>1678.9</v>
      </c>
      <c r="N496" s="14">
        <v>1937.5</v>
      </c>
      <c r="O496" s="14">
        <v>1722</v>
      </c>
      <c r="P496" s="14">
        <v>2356</v>
      </c>
      <c r="Q496" s="14">
        <v>1841.4</v>
      </c>
      <c r="R496" s="14">
        <v>2082.8000000000002</v>
      </c>
      <c r="S496" s="14">
        <v>1937.9</v>
      </c>
      <c r="T496" s="14">
        <v>2184.9</v>
      </c>
      <c r="U496" s="14">
        <v>1741.4</v>
      </c>
      <c r="V496" s="14">
        <v>1928.2</v>
      </c>
      <c r="W496" s="14">
        <v>2351.1999999999998</v>
      </c>
      <c r="X496" s="14">
        <v>2404.1999999999998</v>
      </c>
      <c r="Y496" s="14">
        <v>2250.6999999999998</v>
      </c>
      <c r="Z496" s="14">
        <v>1765.5</v>
      </c>
      <c r="AA496" s="14"/>
      <c r="AB496" s="14"/>
      <c r="AC496" s="15">
        <f>IFERROR(Z496/G496-1,"")</f>
        <v>-0.31519335945075833</v>
      </c>
      <c r="AD496" s="15">
        <f>IFERROR((Z496/G496)^(1/19)-1,"")</f>
        <v>-1.9730066607239527E-2</v>
      </c>
    </row>
    <row r="497" spans="1:30">
      <c r="A497" s="45" t="s">
        <v>107</v>
      </c>
      <c r="B497" s="45" t="s">
        <v>108</v>
      </c>
      <c r="C497" s="45" t="s">
        <v>490</v>
      </c>
      <c r="D497" s="45" t="s">
        <v>491</v>
      </c>
      <c r="E497" s="45" t="s">
        <v>492</v>
      </c>
      <c r="F497" s="45" t="s">
        <v>493</v>
      </c>
      <c r="G497" s="14">
        <v>140815</v>
      </c>
      <c r="H497" s="14">
        <v>155368</v>
      </c>
      <c r="I497" s="14">
        <v>251177</v>
      </c>
      <c r="J497" s="14">
        <v>258439</v>
      </c>
      <c r="K497" s="14">
        <v>360737</v>
      </c>
      <c r="L497" s="14">
        <v>446731</v>
      </c>
      <c r="M497" s="14">
        <v>620592</v>
      </c>
      <c r="N497" s="14">
        <v>546106</v>
      </c>
      <c r="O497" s="14">
        <v>701908</v>
      </c>
      <c r="P497" s="14">
        <v>266331</v>
      </c>
      <c r="Q497" s="14">
        <v>-19046</v>
      </c>
      <c r="R497" s="14">
        <v>4199</v>
      </c>
      <c r="S497" s="14">
        <v>260612</v>
      </c>
      <c r="T497" s="14">
        <v>1241923</v>
      </c>
      <c r="U497" s="14">
        <v>1875112</v>
      </c>
      <c r="V497" s="14">
        <v>1624965</v>
      </c>
      <c r="W497" s="14">
        <v>1388429</v>
      </c>
      <c r="X497" s="14">
        <v>1686496</v>
      </c>
      <c r="Y497" s="14">
        <v>1727729</v>
      </c>
      <c r="Z497" s="14">
        <v>2042133</v>
      </c>
      <c r="AA497" s="14">
        <v>2748777</v>
      </c>
      <c r="AB497" s="14">
        <v>2581922</v>
      </c>
    </row>
    <row r="498" spans="1:30">
      <c r="A498" s="45" t="s">
        <v>107</v>
      </c>
      <c r="B498" s="45" t="s">
        <v>108</v>
      </c>
      <c r="C498" s="45" t="s">
        <v>490</v>
      </c>
      <c r="D498" s="45" t="s">
        <v>494</v>
      </c>
      <c r="E498" s="45" t="s">
        <v>492</v>
      </c>
      <c r="F498" s="45" t="s">
        <v>493</v>
      </c>
      <c r="G498" s="14">
        <v>127103</v>
      </c>
      <c r="H498" s="14">
        <v>139644</v>
      </c>
      <c r="I498" s="14">
        <v>230555</v>
      </c>
      <c r="J498" s="14">
        <v>238488</v>
      </c>
      <c r="K498" s="14">
        <v>332434</v>
      </c>
      <c r="L498" s="14">
        <v>423344</v>
      </c>
      <c r="M498" s="14">
        <v>589196</v>
      </c>
      <c r="N498" s="14">
        <v>515749</v>
      </c>
      <c r="O498" s="14">
        <v>647610</v>
      </c>
      <c r="P498" s="14">
        <v>206420</v>
      </c>
      <c r="Q498" s="14">
        <v>-92078</v>
      </c>
      <c r="R498" s="14">
        <v>-67394</v>
      </c>
      <c r="S498" s="14">
        <v>196100</v>
      </c>
      <c r="T498" s="14">
        <v>1165215</v>
      </c>
      <c r="U498" s="14">
        <v>1791771</v>
      </c>
      <c r="V498" s="14">
        <v>1555643</v>
      </c>
      <c r="W498" s="14">
        <v>1317124</v>
      </c>
      <c r="X498" s="14">
        <v>1605895</v>
      </c>
      <c r="Y498" s="14">
        <v>1656892</v>
      </c>
      <c r="Z498" s="14">
        <v>1961362</v>
      </c>
      <c r="AA498" s="14"/>
      <c r="AB498" s="14"/>
    </row>
    <row r="499" spans="1:30">
      <c r="A499" s="45" t="s">
        <v>107</v>
      </c>
      <c r="B499" s="45" t="s">
        <v>108</v>
      </c>
      <c r="C499" s="45" t="s">
        <v>490</v>
      </c>
      <c r="D499" s="45" t="s">
        <v>495</v>
      </c>
      <c r="E499" s="45" t="s">
        <v>492</v>
      </c>
      <c r="F499" s="45" t="s">
        <v>493</v>
      </c>
      <c r="G499" s="14">
        <v>63987</v>
      </c>
      <c r="H499" s="14">
        <v>66445</v>
      </c>
      <c r="I499" s="14">
        <v>124869</v>
      </c>
      <c r="J499" s="14">
        <v>114263</v>
      </c>
      <c r="K499" s="14">
        <v>192175</v>
      </c>
      <c r="L499" s="14">
        <v>260148</v>
      </c>
      <c r="M499" s="14">
        <v>392112</v>
      </c>
      <c r="N499" s="14">
        <v>267781</v>
      </c>
      <c r="O499" s="14">
        <v>344973</v>
      </c>
      <c r="P499" s="14">
        <v>-108114</v>
      </c>
      <c r="Q499" s="14">
        <v>-417323</v>
      </c>
      <c r="R499" s="14">
        <v>-438114</v>
      </c>
      <c r="S499" s="14">
        <v>-236574</v>
      </c>
      <c r="T499" s="14">
        <v>673634</v>
      </c>
      <c r="U499" s="14">
        <v>1287124</v>
      </c>
      <c r="V499" s="14">
        <v>1112155</v>
      </c>
      <c r="W499" s="14">
        <v>867062</v>
      </c>
      <c r="X499" s="14">
        <v>1119264</v>
      </c>
      <c r="Y499" s="14">
        <v>1168421</v>
      </c>
      <c r="Z499" s="14">
        <v>1471020</v>
      </c>
      <c r="AA499" s="14"/>
      <c r="AB499" s="14"/>
    </row>
    <row r="500" spans="1:30">
      <c r="A500" s="45" t="s">
        <v>107</v>
      </c>
      <c r="B500" s="45" t="s">
        <v>108</v>
      </c>
      <c r="C500" s="45" t="s">
        <v>490</v>
      </c>
      <c r="D500" s="45" t="s">
        <v>496</v>
      </c>
      <c r="E500" s="45" t="s">
        <v>492</v>
      </c>
      <c r="F500" s="45" t="s">
        <v>493</v>
      </c>
      <c r="G500" s="14">
        <v>44326</v>
      </c>
      <c r="H500" s="14">
        <v>46425</v>
      </c>
      <c r="I500" s="14">
        <v>74487</v>
      </c>
      <c r="J500" s="14">
        <v>82623</v>
      </c>
      <c r="K500" s="14">
        <v>89673</v>
      </c>
      <c r="L500" s="14">
        <v>101827</v>
      </c>
      <c r="M500" s="14">
        <v>128467</v>
      </c>
      <c r="N500" s="14">
        <v>164604</v>
      </c>
      <c r="O500" s="14">
        <v>205650</v>
      </c>
      <c r="P500" s="14">
        <v>199517</v>
      </c>
      <c r="Q500" s="14">
        <v>196523</v>
      </c>
      <c r="R500" s="14">
        <v>220321</v>
      </c>
      <c r="S500" s="14">
        <v>256054</v>
      </c>
      <c r="T500" s="14">
        <v>295689</v>
      </c>
      <c r="U500" s="14">
        <v>300991</v>
      </c>
      <c r="V500" s="14">
        <v>258150</v>
      </c>
      <c r="W500" s="14">
        <v>241626</v>
      </c>
      <c r="X500" s="14">
        <v>280833</v>
      </c>
      <c r="Y500" s="14">
        <v>266857</v>
      </c>
      <c r="Z500" s="14">
        <v>258287</v>
      </c>
      <c r="AA500" s="14"/>
      <c r="AB500" s="14"/>
    </row>
    <row r="501" spans="1:30">
      <c r="A501" s="45" t="s">
        <v>107</v>
      </c>
      <c r="B501" s="45" t="s">
        <v>108</v>
      </c>
      <c r="C501" s="45" t="s">
        <v>490</v>
      </c>
      <c r="D501" s="45" t="s">
        <v>497</v>
      </c>
      <c r="E501" s="45" t="s">
        <v>492</v>
      </c>
      <c r="F501" s="45" t="s">
        <v>493</v>
      </c>
      <c r="G501" s="14">
        <v>13568</v>
      </c>
      <c r="H501" s="14">
        <v>16869</v>
      </c>
      <c r="I501" s="14">
        <v>21809</v>
      </c>
      <c r="J501" s="14">
        <v>32341</v>
      </c>
      <c r="K501" s="14">
        <v>40593</v>
      </c>
      <c r="L501" s="14">
        <v>51561</v>
      </c>
      <c r="M501" s="14">
        <v>57611</v>
      </c>
      <c r="N501" s="14">
        <v>68366</v>
      </c>
      <c r="O501" s="14">
        <v>82025</v>
      </c>
      <c r="P501" s="14">
        <v>99854</v>
      </c>
      <c r="Q501" s="14">
        <v>111531</v>
      </c>
      <c r="R501" s="14">
        <v>128653</v>
      </c>
      <c r="S501" s="14">
        <v>151133</v>
      </c>
      <c r="T501" s="14">
        <v>165904</v>
      </c>
      <c r="U501" s="14">
        <v>165555</v>
      </c>
      <c r="V501" s="14">
        <v>139836</v>
      </c>
      <c r="W501" s="14">
        <v>159465</v>
      </c>
      <c r="X501" s="14">
        <v>169552</v>
      </c>
      <c r="Y501" s="14">
        <v>185194</v>
      </c>
      <c r="Z501" s="14">
        <v>190763</v>
      </c>
      <c r="AA501" s="14"/>
      <c r="AB501" s="14"/>
    </row>
    <row r="502" spans="1:30">
      <c r="A502" s="45" t="s">
        <v>107</v>
      </c>
      <c r="B502" s="45" t="s">
        <v>108</v>
      </c>
      <c r="C502" s="45" t="s">
        <v>498</v>
      </c>
      <c r="D502" s="45" t="s">
        <v>491</v>
      </c>
      <c r="E502" s="45" t="s">
        <v>499</v>
      </c>
      <c r="F502" s="45" t="s">
        <v>500</v>
      </c>
      <c r="G502" s="14">
        <v>267513</v>
      </c>
      <c r="H502" s="14">
        <v>258705</v>
      </c>
      <c r="I502" s="14">
        <v>388148.7</v>
      </c>
      <c r="J502" s="14">
        <v>371745.6</v>
      </c>
      <c r="K502" s="14">
        <v>485973.3</v>
      </c>
      <c r="L502" s="14">
        <v>565413.69999999995</v>
      </c>
      <c r="M502" s="14">
        <v>722076</v>
      </c>
      <c r="N502" s="14">
        <v>592106.4</v>
      </c>
      <c r="O502" s="14">
        <v>701908</v>
      </c>
      <c r="P502" s="14">
        <v>245877.5</v>
      </c>
      <c r="Q502" s="14">
        <v>-16289.4</v>
      </c>
      <c r="R502" s="14">
        <v>3340.6</v>
      </c>
      <c r="S502" s="14">
        <v>192248.3</v>
      </c>
      <c r="T502" s="14">
        <v>851701</v>
      </c>
      <c r="U502" s="14">
        <v>1189541.3</v>
      </c>
      <c r="V502" s="14">
        <v>994345.7</v>
      </c>
      <c r="W502" s="14">
        <v>813069.5</v>
      </c>
      <c r="X502" s="14">
        <v>947590</v>
      </c>
      <c r="Y502" s="14">
        <v>911744.9</v>
      </c>
      <c r="Z502" s="14">
        <v>953282.6</v>
      </c>
      <c r="AA502" s="14"/>
      <c r="AB502" s="14"/>
      <c r="AC502" s="15">
        <f>IFERROR(Z502/G502-1,"")</f>
        <v>2.5635000915843342</v>
      </c>
      <c r="AD502" s="15">
        <f>IFERROR((Z502/G502)^(1/19)-1,"")</f>
        <v>6.9168477820164886E-2</v>
      </c>
    </row>
    <row r="503" spans="1:30">
      <c r="A503" s="45" t="s">
        <v>107</v>
      </c>
      <c r="B503" s="45" t="s">
        <v>108</v>
      </c>
      <c r="C503" s="45" t="s">
        <v>498</v>
      </c>
      <c r="D503" s="45" t="s">
        <v>495</v>
      </c>
      <c r="E503" s="45" t="s">
        <v>499</v>
      </c>
      <c r="F503" s="45" t="s">
        <v>500</v>
      </c>
      <c r="G503" s="14">
        <v>121559.3</v>
      </c>
      <c r="H503" s="14">
        <v>110637.9</v>
      </c>
      <c r="I503" s="14">
        <v>192962.4</v>
      </c>
      <c r="J503" s="14">
        <v>164359.1</v>
      </c>
      <c r="K503" s="14">
        <v>258892</v>
      </c>
      <c r="L503" s="14">
        <v>329261.40000000002</v>
      </c>
      <c r="M503" s="14">
        <v>456233.5</v>
      </c>
      <c r="N503" s="14">
        <v>290337.09999999998</v>
      </c>
      <c r="O503" s="14">
        <v>344973</v>
      </c>
      <c r="P503" s="14">
        <v>-99811.1</v>
      </c>
      <c r="Q503" s="14">
        <v>-356922.8</v>
      </c>
      <c r="R503" s="14">
        <v>-348547.7</v>
      </c>
      <c r="S503" s="14">
        <v>-174516</v>
      </c>
      <c r="T503" s="14">
        <v>461972.9</v>
      </c>
      <c r="U503" s="14">
        <v>816531</v>
      </c>
      <c r="V503" s="14">
        <v>680547.9</v>
      </c>
      <c r="W503" s="14">
        <v>507754.9</v>
      </c>
      <c r="X503" s="14">
        <v>628879.9</v>
      </c>
      <c r="Y503" s="14">
        <v>616590.80000000005</v>
      </c>
      <c r="Z503" s="14">
        <v>686682.9</v>
      </c>
      <c r="AA503" s="14"/>
      <c r="AB503" s="14"/>
      <c r="AC503" s="15">
        <f>IFERROR(Z503/G503-1,"")</f>
        <v>4.6489540495873207</v>
      </c>
      <c r="AD503" s="15">
        <f>IFERROR((Z503/G503)^(1/19)-1,"")</f>
        <v>9.541142277958925E-2</v>
      </c>
    </row>
    <row r="504" spans="1:30">
      <c r="A504" s="45" t="s">
        <v>107</v>
      </c>
      <c r="B504" s="45" t="s">
        <v>108</v>
      </c>
      <c r="C504" s="45" t="s">
        <v>498</v>
      </c>
      <c r="D504" s="45" t="s">
        <v>496</v>
      </c>
      <c r="E504" s="45" t="s">
        <v>499</v>
      </c>
      <c r="F504" s="45" t="s">
        <v>500</v>
      </c>
      <c r="G504" s="14">
        <v>84209</v>
      </c>
      <c r="H504" s="14">
        <v>77302.899999999994</v>
      </c>
      <c r="I504" s="14">
        <v>115106.3</v>
      </c>
      <c r="J504" s="14">
        <v>118847.6</v>
      </c>
      <c r="K504" s="14">
        <v>120804.5</v>
      </c>
      <c r="L504" s="14">
        <v>128879</v>
      </c>
      <c r="M504" s="14">
        <v>149475.29999999999</v>
      </c>
      <c r="N504" s="14">
        <v>178469.2</v>
      </c>
      <c r="O504" s="14">
        <v>205650</v>
      </c>
      <c r="P504" s="14">
        <v>184194.6</v>
      </c>
      <c r="Q504" s="14">
        <v>168079.7</v>
      </c>
      <c r="R504" s="14">
        <v>175279.4</v>
      </c>
      <c r="S504" s="14">
        <v>188886</v>
      </c>
      <c r="T504" s="14">
        <v>202781.2</v>
      </c>
      <c r="U504" s="14">
        <v>190943.9</v>
      </c>
      <c r="V504" s="14">
        <v>157966.70000000001</v>
      </c>
      <c r="W504" s="14">
        <v>141497.1</v>
      </c>
      <c r="X504" s="14">
        <v>157791.4</v>
      </c>
      <c r="Y504" s="14">
        <v>140823.9</v>
      </c>
      <c r="Z504" s="14">
        <v>120571.2</v>
      </c>
      <c r="AA504" s="14"/>
      <c r="AB504" s="14"/>
      <c r="AC504" s="15">
        <f>IFERROR(Z504/G504-1,"")</f>
        <v>0.43180895153724652</v>
      </c>
      <c r="AD504" s="15">
        <f>IFERROR((Z504/G504)^(1/19)-1,"")</f>
        <v>1.9071081233119402E-2</v>
      </c>
    </row>
    <row r="505" spans="1:30">
      <c r="A505" s="45" t="s">
        <v>107</v>
      </c>
      <c r="B505" s="45" t="s">
        <v>108</v>
      </c>
      <c r="C505" s="45" t="s">
        <v>498</v>
      </c>
      <c r="D505" s="45" t="s">
        <v>497</v>
      </c>
      <c r="E505" s="45" t="s">
        <v>499</v>
      </c>
      <c r="F505" s="45" t="s">
        <v>500</v>
      </c>
      <c r="G505" s="14">
        <v>25775.9</v>
      </c>
      <c r="H505" s="14">
        <v>28088.7</v>
      </c>
      <c r="I505" s="14">
        <v>33701.9</v>
      </c>
      <c r="J505" s="14">
        <v>46520.800000000003</v>
      </c>
      <c r="K505" s="14">
        <v>54685.599999999999</v>
      </c>
      <c r="L505" s="14">
        <v>65259.4</v>
      </c>
      <c r="M505" s="14">
        <v>67031.7</v>
      </c>
      <c r="N505" s="14">
        <v>74124.7</v>
      </c>
      <c r="O505" s="14">
        <v>82025</v>
      </c>
      <c r="P505" s="14">
        <v>92185.5</v>
      </c>
      <c r="Q505" s="14">
        <v>95388.800000000003</v>
      </c>
      <c r="R505" s="14">
        <v>102351.7</v>
      </c>
      <c r="S505" s="14">
        <v>111487.8</v>
      </c>
      <c r="T505" s="14">
        <v>113775.7</v>
      </c>
      <c r="U505" s="14">
        <v>105025.5</v>
      </c>
      <c r="V505" s="14">
        <v>85568.2</v>
      </c>
      <c r="W505" s="14">
        <v>93383.3</v>
      </c>
      <c r="X505" s="14">
        <v>95266</v>
      </c>
      <c r="Y505" s="14">
        <v>97729.3</v>
      </c>
      <c r="Z505" s="14">
        <v>89053.8</v>
      </c>
      <c r="AA505" s="14"/>
      <c r="AB505" s="14"/>
      <c r="AC505" s="15">
        <f>IFERROR(Z505/G505-1,"")</f>
        <v>2.4549249492743219</v>
      </c>
      <c r="AD505" s="15">
        <f>IFERROR((Z505/G505)^(1/19)-1,"")</f>
        <v>6.7428697782823788E-2</v>
      </c>
    </row>
    <row r="506" spans="1:30">
      <c r="A506" s="45" t="s">
        <v>107</v>
      </c>
      <c r="B506" s="45" t="s">
        <v>108</v>
      </c>
      <c r="C506" s="45" t="s">
        <v>498</v>
      </c>
      <c r="D506" s="45" t="s">
        <v>501</v>
      </c>
      <c r="E506" s="45" t="s">
        <v>499</v>
      </c>
      <c r="F506" s="45" t="s">
        <v>500</v>
      </c>
      <c r="G506" s="14">
        <v>9919</v>
      </c>
      <c r="H506" s="14">
        <v>16493.900000000001</v>
      </c>
      <c r="I506" s="14">
        <v>14510.9</v>
      </c>
      <c r="J506" s="14">
        <v>13320.6</v>
      </c>
      <c r="K506" s="14">
        <v>13461.4</v>
      </c>
      <c r="L506" s="14">
        <v>12414.2</v>
      </c>
      <c r="M506" s="14">
        <v>12805.8</v>
      </c>
      <c r="N506" s="14">
        <v>16261.3</v>
      </c>
      <c r="O506" s="14">
        <v>14961</v>
      </c>
      <c r="P506" s="14">
        <v>13999.4</v>
      </c>
      <c r="Q506" s="14">
        <v>14702.9</v>
      </c>
      <c r="R506" s="14">
        <v>17300.3</v>
      </c>
      <c r="S506" s="14">
        <v>18800.5</v>
      </c>
      <c r="T506" s="14">
        <v>20565.5</v>
      </c>
      <c r="U506" s="14">
        <v>24170.7</v>
      </c>
      <c r="V506" s="14">
        <v>27843.5</v>
      </c>
      <c r="W506" s="14">
        <v>28677.599999999999</v>
      </c>
      <c r="X506" s="14">
        <v>20365.5</v>
      </c>
      <c r="Y506" s="14">
        <v>19219.3</v>
      </c>
      <c r="Z506" s="14">
        <v>19275.900000000001</v>
      </c>
      <c r="AA506" s="14"/>
      <c r="AB506" s="14"/>
      <c r="AC506" s="15">
        <f>IFERROR(Z506/G506-1,"")</f>
        <v>0.94333098094566004</v>
      </c>
      <c r="AD506" s="15">
        <f>IFERROR((Z506/G506)^(1/19)-1,"")</f>
        <v>3.5587196367300677E-2</v>
      </c>
    </row>
    <row r="507" spans="1:30">
      <c r="A507" s="45" t="s">
        <v>235</v>
      </c>
      <c r="B507" s="45" t="s">
        <v>236</v>
      </c>
      <c r="C507" s="45" t="s">
        <v>490</v>
      </c>
      <c r="D507" s="45" t="s">
        <v>491</v>
      </c>
      <c r="E507" s="45" t="s">
        <v>492</v>
      </c>
      <c r="F507" s="45" t="s">
        <v>493</v>
      </c>
      <c r="G507" s="14">
        <v>19681</v>
      </c>
      <c r="H507" s="14">
        <v>23672</v>
      </c>
      <c r="I507" s="14">
        <v>27790</v>
      </c>
      <c r="J507" s="14">
        <v>33103</v>
      </c>
      <c r="K507" s="14">
        <v>39898</v>
      </c>
      <c r="L507" s="14">
        <v>45272</v>
      </c>
      <c r="M507" s="14">
        <v>49320</v>
      </c>
      <c r="N507" s="14">
        <v>54381</v>
      </c>
      <c r="O507" s="14">
        <v>63786</v>
      </c>
      <c r="P507" s="14">
        <v>65183</v>
      </c>
      <c r="Q507" s="14">
        <v>74414</v>
      </c>
      <c r="R507" s="14">
        <v>83075</v>
      </c>
      <c r="S507" s="14">
        <v>92411</v>
      </c>
      <c r="T507" s="14">
        <v>93899</v>
      </c>
      <c r="U507" s="14">
        <v>96307</v>
      </c>
      <c r="V507" s="14">
        <v>103448</v>
      </c>
      <c r="W507" s="14">
        <v>108939</v>
      </c>
      <c r="X507" s="14">
        <v>119445</v>
      </c>
      <c r="Y507" s="14">
        <v>127475</v>
      </c>
      <c r="Z507" s="14">
        <v>140718</v>
      </c>
      <c r="AA507" s="14">
        <v>157088</v>
      </c>
      <c r="AB507" s="14">
        <v>168954</v>
      </c>
    </row>
    <row r="508" spans="1:30">
      <c r="A508" s="45" t="s">
        <v>235</v>
      </c>
      <c r="B508" s="45" t="s">
        <v>236</v>
      </c>
      <c r="C508" s="45" t="s">
        <v>490</v>
      </c>
      <c r="D508" s="45" t="s">
        <v>494</v>
      </c>
      <c r="E508" s="45" t="s">
        <v>492</v>
      </c>
      <c r="F508" s="45" t="s">
        <v>493</v>
      </c>
      <c r="G508" s="14">
        <v>18999</v>
      </c>
      <c r="H508" s="14">
        <v>22859</v>
      </c>
      <c r="I508" s="14">
        <v>26746</v>
      </c>
      <c r="J508" s="14">
        <v>31742</v>
      </c>
      <c r="K508" s="14">
        <v>37469</v>
      </c>
      <c r="L508" s="14">
        <v>41657</v>
      </c>
      <c r="M508" s="14">
        <v>45952</v>
      </c>
      <c r="N508" s="14">
        <v>51258</v>
      </c>
      <c r="O508" s="14">
        <v>59820</v>
      </c>
      <c r="P508" s="14">
        <v>60450</v>
      </c>
      <c r="Q508" s="14">
        <v>68891</v>
      </c>
      <c r="R508" s="14">
        <v>76026</v>
      </c>
      <c r="S508" s="14">
        <v>84744</v>
      </c>
      <c r="T508" s="14">
        <v>86207</v>
      </c>
      <c r="U508" s="14">
        <v>92669</v>
      </c>
      <c r="V508" s="14">
        <v>100684</v>
      </c>
      <c r="W508" s="14">
        <v>105184</v>
      </c>
      <c r="X508" s="14">
        <v>114857</v>
      </c>
      <c r="Y508" s="14">
        <v>122964</v>
      </c>
      <c r="Z508" s="14">
        <v>133975</v>
      </c>
      <c r="AA508" s="14"/>
      <c r="AB508" s="14"/>
    </row>
    <row r="509" spans="1:30">
      <c r="A509" s="45" t="s">
        <v>235</v>
      </c>
      <c r="B509" s="45" t="s">
        <v>236</v>
      </c>
      <c r="C509" s="45" t="s">
        <v>490</v>
      </c>
      <c r="D509" s="45" t="s">
        <v>495</v>
      </c>
      <c r="E509" s="45" t="s">
        <v>492</v>
      </c>
      <c r="F509" s="45" t="s">
        <v>493</v>
      </c>
      <c r="G509" s="14">
        <v>1283</v>
      </c>
      <c r="H509" s="14">
        <v>1425</v>
      </c>
      <c r="I509" s="14">
        <v>1607</v>
      </c>
      <c r="J509" s="14">
        <v>2308</v>
      </c>
      <c r="K509" s="14">
        <v>2388</v>
      </c>
      <c r="L509" s="14">
        <v>2588</v>
      </c>
      <c r="M509" s="14">
        <v>2775</v>
      </c>
      <c r="N509" s="14">
        <v>3308</v>
      </c>
      <c r="O509" s="14">
        <v>9056</v>
      </c>
      <c r="P509" s="14">
        <v>3564</v>
      </c>
      <c r="Q509" s="14">
        <v>7366</v>
      </c>
      <c r="R509" s="14">
        <v>4197</v>
      </c>
      <c r="S509" s="14">
        <v>4177</v>
      </c>
      <c r="T509" s="14">
        <v>3416</v>
      </c>
      <c r="U509" s="14">
        <v>4211</v>
      </c>
      <c r="V509" s="14">
        <v>4565</v>
      </c>
      <c r="W509" s="14">
        <v>4139</v>
      </c>
      <c r="X509" s="14">
        <v>4150</v>
      </c>
      <c r="Y509" s="14">
        <v>2579</v>
      </c>
      <c r="Z509" s="14">
        <v>2968</v>
      </c>
      <c r="AA509" s="14"/>
      <c r="AB509" s="14"/>
    </row>
    <row r="510" spans="1:30">
      <c r="A510" s="45" t="s">
        <v>235</v>
      </c>
      <c r="B510" s="45" t="s">
        <v>236</v>
      </c>
      <c r="C510" s="45" t="s">
        <v>490</v>
      </c>
      <c r="D510" s="45" t="s">
        <v>496</v>
      </c>
      <c r="E510" s="45" t="s">
        <v>492</v>
      </c>
      <c r="F510" s="45" t="s">
        <v>493</v>
      </c>
      <c r="G510" s="14">
        <v>2964</v>
      </c>
      <c r="H510" s="14">
        <v>3531</v>
      </c>
      <c r="I510" s="14">
        <v>4396</v>
      </c>
      <c r="J510" s="14">
        <v>5065</v>
      </c>
      <c r="K510" s="14">
        <v>6102</v>
      </c>
      <c r="L510" s="14">
        <v>6711</v>
      </c>
      <c r="M510" s="14">
        <v>6488</v>
      </c>
      <c r="N510" s="14">
        <v>7016</v>
      </c>
      <c r="O510" s="14">
        <v>8709</v>
      </c>
      <c r="P510" s="14">
        <v>8611</v>
      </c>
      <c r="Q510" s="14">
        <v>10041</v>
      </c>
      <c r="R510" s="14">
        <v>11092</v>
      </c>
      <c r="S510" s="14">
        <v>12423</v>
      </c>
      <c r="T510" s="14">
        <v>12773</v>
      </c>
      <c r="U510" s="14">
        <v>14235</v>
      </c>
      <c r="V510" s="14">
        <v>15393</v>
      </c>
      <c r="W510" s="14">
        <v>19198</v>
      </c>
      <c r="X510" s="14">
        <v>21681</v>
      </c>
      <c r="Y510" s="14">
        <v>23928</v>
      </c>
      <c r="Z510" s="14">
        <v>28023</v>
      </c>
      <c r="AA510" s="14"/>
      <c r="AB510" s="14"/>
    </row>
    <row r="511" spans="1:30">
      <c r="A511" s="45" t="s">
        <v>235</v>
      </c>
      <c r="B511" s="45" t="s">
        <v>236</v>
      </c>
      <c r="C511" s="45" t="s">
        <v>490</v>
      </c>
      <c r="D511" s="45" t="s">
        <v>497</v>
      </c>
      <c r="E511" s="45" t="s">
        <v>492</v>
      </c>
      <c r="F511" s="45" t="s">
        <v>493</v>
      </c>
      <c r="G511" s="14">
        <v>11995</v>
      </c>
      <c r="H511" s="14">
        <v>13043</v>
      </c>
      <c r="I511" s="14">
        <v>15313</v>
      </c>
      <c r="J511" s="14">
        <v>19325</v>
      </c>
      <c r="K511" s="14">
        <v>22934</v>
      </c>
      <c r="L511" s="14">
        <v>27026</v>
      </c>
      <c r="M511" s="14">
        <v>30256</v>
      </c>
      <c r="N511" s="14">
        <v>33406</v>
      </c>
      <c r="O511" s="14">
        <v>36042</v>
      </c>
      <c r="P511" s="14">
        <v>41226</v>
      </c>
      <c r="Q511" s="14">
        <v>45734</v>
      </c>
      <c r="R511" s="14">
        <v>53644</v>
      </c>
      <c r="S511" s="14">
        <v>59123</v>
      </c>
      <c r="T511" s="14">
        <v>60088</v>
      </c>
      <c r="U511" s="14">
        <v>63895</v>
      </c>
      <c r="V511" s="14">
        <v>70661</v>
      </c>
      <c r="W511" s="14">
        <v>72122</v>
      </c>
      <c r="X511" s="14">
        <v>76822</v>
      </c>
      <c r="Y511" s="14">
        <v>80886</v>
      </c>
      <c r="Z511" s="14">
        <v>86470</v>
      </c>
      <c r="AA511" s="14"/>
      <c r="AB511" s="14"/>
    </row>
    <row r="512" spans="1:30">
      <c r="A512" s="45" t="s">
        <v>235</v>
      </c>
      <c r="B512" s="45" t="s">
        <v>236</v>
      </c>
      <c r="C512" s="45" t="s">
        <v>498</v>
      </c>
      <c r="D512" s="45" t="s">
        <v>491</v>
      </c>
      <c r="E512" s="45" t="s">
        <v>499</v>
      </c>
      <c r="F512" s="45" t="s">
        <v>500</v>
      </c>
      <c r="G512" s="14">
        <v>37388.800000000003</v>
      </c>
      <c r="H512" s="14">
        <v>39416.5</v>
      </c>
      <c r="I512" s="14">
        <v>42945</v>
      </c>
      <c r="J512" s="14">
        <v>47616.7</v>
      </c>
      <c r="K512" s="14">
        <v>53749.5</v>
      </c>
      <c r="L512" s="14">
        <v>57299.199999999997</v>
      </c>
      <c r="M512" s="14">
        <v>57385.8</v>
      </c>
      <c r="N512" s="14">
        <v>58961.7</v>
      </c>
      <c r="O512" s="14">
        <v>63786</v>
      </c>
      <c r="P512" s="14">
        <v>60177.1</v>
      </c>
      <c r="Q512" s="14">
        <v>63643.9</v>
      </c>
      <c r="R512" s="14">
        <v>66091.5</v>
      </c>
      <c r="S512" s="14">
        <v>68169.8</v>
      </c>
      <c r="T512" s="14">
        <v>64395.199999999997</v>
      </c>
      <c r="U512" s="14">
        <v>61095.6</v>
      </c>
      <c r="V512" s="14">
        <v>63301.7</v>
      </c>
      <c r="W512" s="14">
        <v>63795.1</v>
      </c>
      <c r="X512" s="14">
        <v>67112.5</v>
      </c>
      <c r="Y512" s="14">
        <v>67270.2</v>
      </c>
      <c r="Z512" s="14">
        <v>65688.2</v>
      </c>
      <c r="AA512" s="14"/>
      <c r="AB512" s="14"/>
      <c r="AC512" s="15">
        <f>IFERROR(Z512/G512-1,"")</f>
        <v>0.75689511297500833</v>
      </c>
      <c r="AD512" s="15">
        <f>IFERROR((Z512/G512)^(1/19)-1,"")</f>
        <v>3.0104678699024667E-2</v>
      </c>
    </row>
    <row r="513" spans="1:30">
      <c r="A513" s="45" t="s">
        <v>235</v>
      </c>
      <c r="B513" s="45" t="s">
        <v>236</v>
      </c>
      <c r="C513" s="45" t="s">
        <v>498</v>
      </c>
      <c r="D513" s="45" t="s">
        <v>495</v>
      </c>
      <c r="E513" s="45" t="s">
        <v>499</v>
      </c>
      <c r="F513" s="45" t="s">
        <v>500</v>
      </c>
      <c r="G513" s="14">
        <v>2437.4</v>
      </c>
      <c r="H513" s="14">
        <v>2372.9</v>
      </c>
      <c r="I513" s="14">
        <v>2482.8000000000002</v>
      </c>
      <c r="J513" s="14">
        <v>3320</v>
      </c>
      <c r="K513" s="14">
        <v>3217.6</v>
      </c>
      <c r="L513" s="14">
        <v>3276.2</v>
      </c>
      <c r="M513" s="14">
        <v>3228.7</v>
      </c>
      <c r="N513" s="14">
        <v>3586.6</v>
      </c>
      <c r="O513" s="14">
        <v>9056</v>
      </c>
      <c r="P513" s="14">
        <v>3290.3</v>
      </c>
      <c r="Q513" s="14">
        <v>6299.9</v>
      </c>
      <c r="R513" s="14">
        <v>3339</v>
      </c>
      <c r="S513" s="14">
        <v>3081.3</v>
      </c>
      <c r="T513" s="14">
        <v>2342.6999999999998</v>
      </c>
      <c r="U513" s="14">
        <v>2671.4</v>
      </c>
      <c r="V513" s="14">
        <v>2793.4</v>
      </c>
      <c r="W513" s="14">
        <v>2423.8000000000002</v>
      </c>
      <c r="X513" s="14">
        <v>2331.8000000000002</v>
      </c>
      <c r="Y513" s="14">
        <v>1361</v>
      </c>
      <c r="Z513" s="14">
        <v>1385.5</v>
      </c>
      <c r="AA513" s="14"/>
      <c r="AB513" s="14"/>
      <c r="AC513" s="15">
        <f>IFERROR(Z513/G513-1,"")</f>
        <v>-0.43156642323787642</v>
      </c>
      <c r="AD513" s="15">
        <f>IFERROR((Z513/G513)^(1/19)-1,"")</f>
        <v>-2.9292452270898939E-2</v>
      </c>
    </row>
    <row r="514" spans="1:30">
      <c r="A514" s="45" t="s">
        <v>235</v>
      </c>
      <c r="B514" s="45" t="s">
        <v>236</v>
      </c>
      <c r="C514" s="45" t="s">
        <v>498</v>
      </c>
      <c r="D514" s="45" t="s">
        <v>496</v>
      </c>
      <c r="E514" s="45" t="s">
        <v>499</v>
      </c>
      <c r="F514" s="45" t="s">
        <v>500</v>
      </c>
      <c r="G514" s="14">
        <v>5631.5</v>
      </c>
      <c r="H514" s="14">
        <v>5879.8</v>
      </c>
      <c r="I514" s="14">
        <v>6793.7</v>
      </c>
      <c r="J514" s="14">
        <v>7286</v>
      </c>
      <c r="K514" s="14">
        <v>8220.4</v>
      </c>
      <c r="L514" s="14">
        <v>8494.2000000000007</v>
      </c>
      <c r="M514" s="14">
        <v>7549.5</v>
      </c>
      <c r="N514" s="14">
        <v>7607</v>
      </c>
      <c r="O514" s="14">
        <v>8709</v>
      </c>
      <c r="P514" s="14">
        <v>7949.7</v>
      </c>
      <c r="Q514" s="14">
        <v>8587.7000000000007</v>
      </c>
      <c r="R514" s="14">
        <v>8824.4</v>
      </c>
      <c r="S514" s="14">
        <v>9164.2000000000007</v>
      </c>
      <c r="T514" s="14">
        <v>8759.6</v>
      </c>
      <c r="U514" s="14">
        <v>9030.5</v>
      </c>
      <c r="V514" s="14">
        <v>9419.2999999999993</v>
      </c>
      <c r="W514" s="14">
        <v>11242.4</v>
      </c>
      <c r="X514" s="14">
        <v>12181.9</v>
      </c>
      <c r="Y514" s="14">
        <v>12627.1</v>
      </c>
      <c r="Z514" s="14">
        <v>13081.8</v>
      </c>
      <c r="AA514" s="14"/>
      <c r="AB514" s="14"/>
      <c r="AC514" s="15">
        <f>IFERROR(Z514/G514-1,"")</f>
        <v>1.3229690135843026</v>
      </c>
      <c r="AD514" s="15">
        <f>IFERROR((Z514/G514)^(1/19)-1,"")</f>
        <v>4.5358952685040421E-2</v>
      </c>
    </row>
    <row r="515" spans="1:30">
      <c r="A515" s="45" t="s">
        <v>235</v>
      </c>
      <c r="B515" s="45" t="s">
        <v>236</v>
      </c>
      <c r="C515" s="45" t="s">
        <v>498</v>
      </c>
      <c r="D515" s="45" t="s">
        <v>497</v>
      </c>
      <c r="E515" s="45" t="s">
        <v>499</v>
      </c>
      <c r="F515" s="45" t="s">
        <v>500</v>
      </c>
      <c r="G515" s="14">
        <v>22787.3</v>
      </c>
      <c r="H515" s="14">
        <v>21718.2</v>
      </c>
      <c r="I515" s="14">
        <v>23664</v>
      </c>
      <c r="J515" s="14">
        <v>27798.2</v>
      </c>
      <c r="K515" s="14">
        <v>30895.9</v>
      </c>
      <c r="L515" s="14">
        <v>34206.1</v>
      </c>
      <c r="M515" s="14">
        <v>35203.800000000003</v>
      </c>
      <c r="N515" s="14">
        <v>36219.9</v>
      </c>
      <c r="O515" s="14">
        <v>36042</v>
      </c>
      <c r="P515" s="14">
        <v>38059.9</v>
      </c>
      <c r="Q515" s="14">
        <v>39114.800000000003</v>
      </c>
      <c r="R515" s="14">
        <v>42677.2</v>
      </c>
      <c r="S515" s="14">
        <v>43613.9</v>
      </c>
      <c r="T515" s="14">
        <v>41207.9</v>
      </c>
      <c r="U515" s="14">
        <v>40534</v>
      </c>
      <c r="V515" s="14">
        <v>43238.8</v>
      </c>
      <c r="W515" s="14">
        <v>42234.9</v>
      </c>
      <c r="X515" s="14">
        <v>43163.9</v>
      </c>
      <c r="Y515" s="14">
        <v>42684.6</v>
      </c>
      <c r="Z515" s="14">
        <v>40365.800000000003</v>
      </c>
      <c r="AA515" s="14"/>
      <c r="AB515" s="14"/>
      <c r="AC515" s="15">
        <f>IFERROR(Z515/G515-1,"")</f>
        <v>0.77141653464868609</v>
      </c>
      <c r="AD515" s="15">
        <f>IFERROR((Z515/G515)^(1/19)-1,"")</f>
        <v>3.0551050225361198E-2</v>
      </c>
    </row>
    <row r="516" spans="1:30">
      <c r="A516" s="45" t="s">
        <v>235</v>
      </c>
      <c r="B516" s="45" t="s">
        <v>236</v>
      </c>
      <c r="C516" s="45" t="s">
        <v>498</v>
      </c>
      <c r="D516" s="45" t="s">
        <v>501</v>
      </c>
      <c r="E516" s="45" t="s">
        <v>499</v>
      </c>
      <c r="F516" s="45" t="s">
        <v>500</v>
      </c>
      <c r="G516" s="14">
        <v>5236.3</v>
      </c>
      <c r="H516" s="14">
        <v>8091.7</v>
      </c>
      <c r="I516" s="14">
        <v>8390.4</v>
      </c>
      <c r="J516" s="14">
        <v>7254.5</v>
      </c>
      <c r="K516" s="14">
        <v>8142.5</v>
      </c>
      <c r="L516" s="14">
        <v>6747.2</v>
      </c>
      <c r="M516" s="14">
        <v>7484.2</v>
      </c>
      <c r="N516" s="14">
        <v>8162.1</v>
      </c>
      <c r="O516" s="14">
        <v>6013</v>
      </c>
      <c r="P516" s="14">
        <v>6508.6</v>
      </c>
      <c r="Q516" s="14">
        <v>4916.8999999999996</v>
      </c>
      <c r="R516" s="14">
        <v>5642.9</v>
      </c>
      <c r="S516" s="14">
        <v>6653.9</v>
      </c>
      <c r="T516" s="14">
        <v>6809.9</v>
      </c>
      <c r="U516" s="14">
        <v>6551.9</v>
      </c>
      <c r="V516" s="14">
        <v>6158.3</v>
      </c>
      <c r="W516" s="14">
        <v>5695</v>
      </c>
      <c r="X516" s="14">
        <v>6857.1</v>
      </c>
      <c r="Y516" s="14">
        <v>8217</v>
      </c>
      <c r="Z516" s="14">
        <v>7708.4</v>
      </c>
      <c r="AA516" s="14"/>
      <c r="AB516" s="14"/>
      <c r="AC516" s="15">
        <f>IFERROR(Z516/G516-1,"")</f>
        <v>0.47210816798120803</v>
      </c>
      <c r="AD516" s="15">
        <f>IFERROR((Z516/G516)^(1/19)-1,"")</f>
        <v>2.0560917031567927E-2</v>
      </c>
    </row>
    <row r="517" spans="1:30">
      <c r="A517" s="45" t="s">
        <v>199</v>
      </c>
      <c r="B517" s="45" t="s">
        <v>200</v>
      </c>
      <c r="C517" s="45" t="s">
        <v>490</v>
      </c>
      <c r="D517" s="45" t="s">
        <v>491</v>
      </c>
      <c r="E517" s="45" t="s">
        <v>492</v>
      </c>
      <c r="F517" s="45" t="s">
        <v>493</v>
      </c>
      <c r="G517" s="14">
        <v>39052</v>
      </c>
      <c r="H517" s="14">
        <v>47810</v>
      </c>
      <c r="I517" s="14">
        <v>51906</v>
      </c>
      <c r="J517" s="14">
        <v>52364</v>
      </c>
      <c r="K517" s="14">
        <v>59021</v>
      </c>
      <c r="L517" s="14">
        <v>68983</v>
      </c>
      <c r="M517" s="14">
        <v>67367</v>
      </c>
      <c r="N517" s="14">
        <v>74948</v>
      </c>
      <c r="O517" s="14">
        <v>78800</v>
      </c>
      <c r="P517" s="14">
        <v>91703</v>
      </c>
      <c r="Q517" s="14">
        <v>97838</v>
      </c>
      <c r="R517" s="14">
        <v>112535</v>
      </c>
      <c r="S517" s="14">
        <v>120512</v>
      </c>
      <c r="T517" s="14">
        <v>121487</v>
      </c>
      <c r="U517" s="14">
        <v>136220</v>
      </c>
      <c r="V517" s="14">
        <v>133261</v>
      </c>
      <c r="W517" s="14">
        <v>141537</v>
      </c>
      <c r="X517" s="14">
        <v>156493</v>
      </c>
      <c r="Y517" s="14">
        <v>167528</v>
      </c>
      <c r="Z517" s="14">
        <v>196498</v>
      </c>
      <c r="AA517" s="14">
        <v>215667</v>
      </c>
      <c r="AB517" s="14">
        <v>263825</v>
      </c>
    </row>
    <row r="518" spans="1:30">
      <c r="A518" s="45" t="s">
        <v>199</v>
      </c>
      <c r="B518" s="45" t="s">
        <v>200</v>
      </c>
      <c r="C518" s="45" t="s">
        <v>490</v>
      </c>
      <c r="D518" s="45" t="s">
        <v>494</v>
      </c>
      <c r="E518" s="45" t="s">
        <v>492</v>
      </c>
      <c r="F518" s="45" t="s">
        <v>493</v>
      </c>
      <c r="G518" s="14">
        <v>36704</v>
      </c>
      <c r="H518" s="14">
        <v>45680</v>
      </c>
      <c r="I518" s="14">
        <v>48785</v>
      </c>
      <c r="J518" s="14">
        <v>49447</v>
      </c>
      <c r="K518" s="14">
        <v>53534</v>
      </c>
      <c r="L518" s="14">
        <v>59504</v>
      </c>
      <c r="M518" s="14">
        <v>60658</v>
      </c>
      <c r="N518" s="14">
        <v>68586</v>
      </c>
      <c r="O518" s="14">
        <v>70830</v>
      </c>
      <c r="P518" s="14">
        <v>82849</v>
      </c>
      <c r="Q518" s="14">
        <v>86790</v>
      </c>
      <c r="R518" s="14">
        <v>100214</v>
      </c>
      <c r="S518" s="14">
        <v>109682</v>
      </c>
      <c r="T518" s="14">
        <v>109694</v>
      </c>
      <c r="U518" s="14">
        <v>128881</v>
      </c>
      <c r="V518" s="14">
        <v>127528</v>
      </c>
      <c r="W518" s="14">
        <v>134212</v>
      </c>
      <c r="X518" s="14">
        <v>148592</v>
      </c>
      <c r="Y518" s="14">
        <v>158803</v>
      </c>
      <c r="Z518" s="14">
        <v>183123</v>
      </c>
      <c r="AA518" s="14"/>
      <c r="AB518" s="14"/>
    </row>
    <row r="519" spans="1:30">
      <c r="A519" s="45" t="s">
        <v>199</v>
      </c>
      <c r="B519" s="45" t="s">
        <v>200</v>
      </c>
      <c r="C519" s="45" t="s">
        <v>490</v>
      </c>
      <c r="D519" s="45" t="s">
        <v>495</v>
      </c>
      <c r="E519" s="45" t="s">
        <v>492</v>
      </c>
      <c r="F519" s="45" t="s">
        <v>493</v>
      </c>
      <c r="G519" s="14">
        <v>4429</v>
      </c>
      <c r="H519" s="14">
        <v>3822</v>
      </c>
      <c r="I519" s="14">
        <v>4445</v>
      </c>
      <c r="J519" s="14">
        <v>4778</v>
      </c>
      <c r="K519" s="14">
        <v>4722</v>
      </c>
      <c r="L519" s="14">
        <v>4823</v>
      </c>
      <c r="M519" s="14">
        <v>4100</v>
      </c>
      <c r="N519" s="14">
        <v>5460</v>
      </c>
      <c r="O519" s="14">
        <v>4514</v>
      </c>
      <c r="P519" s="14">
        <v>6495</v>
      </c>
      <c r="Q519" s="14">
        <v>6565</v>
      </c>
      <c r="R519" s="14">
        <v>6616</v>
      </c>
      <c r="S519" s="14">
        <v>12149</v>
      </c>
      <c r="T519" s="14">
        <v>5280</v>
      </c>
      <c r="U519" s="14">
        <v>7330</v>
      </c>
      <c r="V519" s="14">
        <v>5868</v>
      </c>
      <c r="W519" s="14">
        <v>5905</v>
      </c>
      <c r="X519" s="14">
        <v>6065</v>
      </c>
      <c r="Y519" s="14">
        <v>5400</v>
      </c>
      <c r="Z519" s="14">
        <v>7935</v>
      </c>
      <c r="AA519" s="14"/>
      <c r="AB519" s="14"/>
    </row>
    <row r="520" spans="1:30">
      <c r="A520" s="45" t="s">
        <v>199</v>
      </c>
      <c r="B520" s="45" t="s">
        <v>200</v>
      </c>
      <c r="C520" s="45" t="s">
        <v>490</v>
      </c>
      <c r="D520" s="45" t="s">
        <v>496</v>
      </c>
      <c r="E520" s="45" t="s">
        <v>492</v>
      </c>
      <c r="F520" s="45" t="s">
        <v>493</v>
      </c>
      <c r="G520" s="14">
        <v>6155</v>
      </c>
      <c r="H520" s="14">
        <v>7694</v>
      </c>
      <c r="I520" s="14">
        <v>7980</v>
      </c>
      <c r="J520" s="14">
        <v>8185</v>
      </c>
      <c r="K520" s="14">
        <v>9049</v>
      </c>
      <c r="L520" s="14">
        <v>9286</v>
      </c>
      <c r="M520" s="14">
        <v>9457</v>
      </c>
      <c r="N520" s="14">
        <v>10948</v>
      </c>
      <c r="O520" s="14">
        <v>14323</v>
      </c>
      <c r="P520" s="14">
        <v>19256</v>
      </c>
      <c r="Q520" s="14">
        <v>21142</v>
      </c>
      <c r="R520" s="14">
        <v>23443</v>
      </c>
      <c r="S520" s="14">
        <v>24311</v>
      </c>
      <c r="T520" s="14">
        <v>27301</v>
      </c>
      <c r="U520" s="14">
        <v>32122</v>
      </c>
      <c r="V520" s="14">
        <v>32311</v>
      </c>
      <c r="W520" s="14">
        <v>38487</v>
      </c>
      <c r="X520" s="14">
        <v>42228</v>
      </c>
      <c r="Y520" s="14">
        <v>38751</v>
      </c>
      <c r="Z520" s="14">
        <v>40826</v>
      </c>
      <c r="AA520" s="14"/>
      <c r="AB520" s="14"/>
    </row>
    <row r="521" spans="1:30">
      <c r="A521" s="45" t="s">
        <v>199</v>
      </c>
      <c r="B521" s="45" t="s">
        <v>200</v>
      </c>
      <c r="C521" s="45" t="s">
        <v>490</v>
      </c>
      <c r="D521" s="45" t="s">
        <v>497</v>
      </c>
      <c r="E521" s="45" t="s">
        <v>492</v>
      </c>
      <c r="F521" s="45" t="s">
        <v>493</v>
      </c>
      <c r="G521" s="14">
        <v>13732</v>
      </c>
      <c r="H521" s="14">
        <v>15134</v>
      </c>
      <c r="I521" s="14">
        <v>16380</v>
      </c>
      <c r="J521" s="14">
        <v>18968</v>
      </c>
      <c r="K521" s="14">
        <v>21496</v>
      </c>
      <c r="L521" s="14">
        <v>26441</v>
      </c>
      <c r="M521" s="14">
        <v>31105</v>
      </c>
      <c r="N521" s="14">
        <v>34988</v>
      </c>
      <c r="O521" s="14">
        <v>37396</v>
      </c>
      <c r="P521" s="14">
        <v>42435</v>
      </c>
      <c r="Q521" s="14">
        <v>45404</v>
      </c>
      <c r="R521" s="14">
        <v>53224</v>
      </c>
      <c r="S521" s="14">
        <v>57943</v>
      </c>
      <c r="T521" s="14">
        <v>61872</v>
      </c>
      <c r="U521" s="14">
        <v>67913</v>
      </c>
      <c r="V521" s="14">
        <v>73445</v>
      </c>
      <c r="W521" s="14">
        <v>75213</v>
      </c>
      <c r="X521" s="14">
        <v>83702</v>
      </c>
      <c r="Y521" s="14">
        <v>83464</v>
      </c>
      <c r="Z521" s="14">
        <v>86022</v>
      </c>
      <c r="AA521" s="14"/>
      <c r="AB521" s="14"/>
    </row>
    <row r="522" spans="1:30">
      <c r="A522" s="45" t="s">
        <v>199</v>
      </c>
      <c r="B522" s="45" t="s">
        <v>200</v>
      </c>
      <c r="C522" s="45" t="s">
        <v>498</v>
      </c>
      <c r="D522" s="45" t="s">
        <v>491</v>
      </c>
      <c r="E522" s="45" t="s">
        <v>499</v>
      </c>
      <c r="F522" s="45" t="s">
        <v>500</v>
      </c>
      <c r="G522" s="14">
        <v>74188.2</v>
      </c>
      <c r="H522" s="14">
        <v>79609.399999999994</v>
      </c>
      <c r="I522" s="14">
        <v>80211</v>
      </c>
      <c r="J522" s="14">
        <v>75322.399999999994</v>
      </c>
      <c r="K522" s="14">
        <v>79511.100000000006</v>
      </c>
      <c r="L522" s="14">
        <v>87309.6</v>
      </c>
      <c r="M522" s="14">
        <v>78383.399999999994</v>
      </c>
      <c r="N522" s="14">
        <v>81261.100000000006</v>
      </c>
      <c r="O522" s="14">
        <v>78800</v>
      </c>
      <c r="P522" s="14">
        <v>84660.4</v>
      </c>
      <c r="Q522" s="14">
        <v>83677.7</v>
      </c>
      <c r="R522" s="14">
        <v>89528.8</v>
      </c>
      <c r="S522" s="14">
        <v>88899.3</v>
      </c>
      <c r="T522" s="14">
        <v>83314.8</v>
      </c>
      <c r="U522" s="14">
        <v>86415.8</v>
      </c>
      <c r="V522" s="14">
        <v>81544.800000000003</v>
      </c>
      <c r="W522" s="14">
        <v>82884.600000000006</v>
      </c>
      <c r="X522" s="14">
        <v>87928.6</v>
      </c>
      <c r="Y522" s="14">
        <v>88406.7</v>
      </c>
      <c r="Z522" s="14">
        <v>91726.7</v>
      </c>
      <c r="AA522" s="14"/>
      <c r="AB522" s="14"/>
      <c r="AC522" s="15">
        <f>IFERROR(Z522/G522-1,"")</f>
        <v>0.23640552001531234</v>
      </c>
      <c r="AD522" s="15">
        <f>IFERROR((Z522/G522)^(1/19)-1,"")</f>
        <v>1.1231467546301888E-2</v>
      </c>
    </row>
    <row r="523" spans="1:30">
      <c r="A523" s="45" t="s">
        <v>199</v>
      </c>
      <c r="B523" s="45" t="s">
        <v>200</v>
      </c>
      <c r="C523" s="45" t="s">
        <v>498</v>
      </c>
      <c r="D523" s="45" t="s">
        <v>495</v>
      </c>
      <c r="E523" s="45" t="s">
        <v>499</v>
      </c>
      <c r="F523" s="45" t="s">
        <v>500</v>
      </c>
      <c r="G523" s="14">
        <v>8414.7999999999993</v>
      </c>
      <c r="H523" s="14">
        <v>6364.5</v>
      </c>
      <c r="I523" s="14">
        <v>6868.9</v>
      </c>
      <c r="J523" s="14">
        <v>6873.3</v>
      </c>
      <c r="K523" s="14">
        <v>6361.3</v>
      </c>
      <c r="L523" s="14">
        <v>6104.4</v>
      </c>
      <c r="M523" s="14">
        <v>4770.3999999999996</v>
      </c>
      <c r="N523" s="14">
        <v>5919.9</v>
      </c>
      <c r="O523" s="14">
        <v>4514</v>
      </c>
      <c r="P523" s="14">
        <v>5996.2</v>
      </c>
      <c r="Q523" s="14">
        <v>5614.8</v>
      </c>
      <c r="R523" s="14">
        <v>5263.5</v>
      </c>
      <c r="S523" s="14">
        <v>8962.1</v>
      </c>
      <c r="T523" s="14">
        <v>3621</v>
      </c>
      <c r="U523" s="14">
        <v>4650</v>
      </c>
      <c r="V523" s="14">
        <v>3590.7</v>
      </c>
      <c r="W523" s="14">
        <v>3458</v>
      </c>
      <c r="X523" s="14">
        <v>3407.7</v>
      </c>
      <c r="Y523" s="14">
        <v>2849.6</v>
      </c>
      <c r="Z523" s="14">
        <v>3704.1</v>
      </c>
      <c r="AA523" s="14"/>
      <c r="AB523" s="14"/>
      <c r="AC523" s="15">
        <f>IFERROR(Z523/G523-1,"")</f>
        <v>-0.55981128487902265</v>
      </c>
      <c r="AD523" s="15">
        <f>IFERROR((Z523/G523)^(1/19)-1,"")</f>
        <v>-4.2267659405932356E-2</v>
      </c>
    </row>
    <row r="524" spans="1:30">
      <c r="A524" s="45" t="s">
        <v>199</v>
      </c>
      <c r="B524" s="45" t="s">
        <v>200</v>
      </c>
      <c r="C524" s="45" t="s">
        <v>498</v>
      </c>
      <c r="D524" s="45" t="s">
        <v>496</v>
      </c>
      <c r="E524" s="45" t="s">
        <v>499</v>
      </c>
      <c r="F524" s="45" t="s">
        <v>500</v>
      </c>
      <c r="G524" s="14">
        <v>11692.4</v>
      </c>
      <c r="H524" s="14">
        <v>12811.3</v>
      </c>
      <c r="I524" s="14">
        <v>12331</v>
      </c>
      <c r="J524" s="14">
        <v>11772.9</v>
      </c>
      <c r="K524" s="14">
        <v>12190.4</v>
      </c>
      <c r="L524" s="14">
        <v>11753.5</v>
      </c>
      <c r="M524" s="14">
        <v>11003.6</v>
      </c>
      <c r="N524" s="14">
        <v>11870.2</v>
      </c>
      <c r="O524" s="14">
        <v>14323</v>
      </c>
      <c r="P524" s="14">
        <v>17777.2</v>
      </c>
      <c r="Q524" s="14">
        <v>18082.099999999999</v>
      </c>
      <c r="R524" s="14">
        <v>18650.400000000001</v>
      </c>
      <c r="S524" s="14">
        <v>17933.7</v>
      </c>
      <c r="T524" s="14">
        <v>18722.8</v>
      </c>
      <c r="U524" s="14">
        <v>20377.7</v>
      </c>
      <c r="V524" s="14">
        <v>19771.7</v>
      </c>
      <c r="W524" s="14">
        <v>22538.1</v>
      </c>
      <c r="X524" s="14">
        <v>23726.6</v>
      </c>
      <c r="Y524" s="14">
        <v>20449.400000000001</v>
      </c>
      <c r="Z524" s="14">
        <v>19057.900000000001</v>
      </c>
      <c r="AA524" s="14"/>
      <c r="AB524" s="14"/>
      <c r="AC524" s="15">
        <f>IFERROR(Z524/G524-1,"")</f>
        <v>0.62993910574390211</v>
      </c>
      <c r="AD524" s="15">
        <f>IFERROR((Z524/G524)^(1/19)-1,"")</f>
        <v>2.6046196282737188E-2</v>
      </c>
    </row>
    <row r="525" spans="1:30">
      <c r="A525" s="45" t="s">
        <v>199</v>
      </c>
      <c r="B525" s="45" t="s">
        <v>200</v>
      </c>
      <c r="C525" s="45" t="s">
        <v>498</v>
      </c>
      <c r="D525" s="45" t="s">
        <v>497</v>
      </c>
      <c r="E525" s="45" t="s">
        <v>499</v>
      </c>
      <c r="F525" s="45" t="s">
        <v>500</v>
      </c>
      <c r="G525" s="14">
        <v>26087.599999999999</v>
      </c>
      <c r="H525" s="14">
        <v>25200.2</v>
      </c>
      <c r="I525" s="14">
        <v>25312.799999999999</v>
      </c>
      <c r="J525" s="14">
        <v>27284.3</v>
      </c>
      <c r="K525" s="14">
        <v>28958.1</v>
      </c>
      <c r="L525" s="14">
        <v>33465.4</v>
      </c>
      <c r="M525" s="14">
        <v>36191</v>
      </c>
      <c r="N525" s="14">
        <v>37935.199999999997</v>
      </c>
      <c r="O525" s="14">
        <v>37396</v>
      </c>
      <c r="P525" s="14">
        <v>39176.1</v>
      </c>
      <c r="Q525" s="14">
        <v>38832.6</v>
      </c>
      <c r="R525" s="14">
        <v>42343.1</v>
      </c>
      <c r="S525" s="14">
        <v>42743.4</v>
      </c>
      <c r="T525" s="14">
        <v>42431.3</v>
      </c>
      <c r="U525" s="14">
        <v>43082.9</v>
      </c>
      <c r="V525" s="14">
        <v>44942.3</v>
      </c>
      <c r="W525" s="14">
        <v>44045</v>
      </c>
      <c r="X525" s="14">
        <v>47029.599999999999</v>
      </c>
      <c r="Y525" s="14">
        <v>44045</v>
      </c>
      <c r="Z525" s="14">
        <v>40156.6</v>
      </c>
      <c r="AA525" s="14"/>
      <c r="AB525" s="14"/>
      <c r="AC525" s="15">
        <f>IFERROR(Z525/G525-1,"")</f>
        <v>0.53929836397368858</v>
      </c>
      <c r="AD525" s="15">
        <f>IFERROR((Z525/G525)^(1/19)-1,"")</f>
        <v>2.2961043414387428E-2</v>
      </c>
    </row>
    <row r="526" spans="1:30">
      <c r="A526" s="45" t="s">
        <v>199</v>
      </c>
      <c r="B526" s="45" t="s">
        <v>200</v>
      </c>
      <c r="C526" s="45" t="s">
        <v>498</v>
      </c>
      <c r="D526" s="45" t="s">
        <v>501</v>
      </c>
      <c r="E526" s="45" t="s">
        <v>499</v>
      </c>
      <c r="F526" s="45" t="s">
        <v>500</v>
      </c>
      <c r="G526" s="14">
        <v>23533.5</v>
      </c>
      <c r="H526" s="14">
        <v>31686.1</v>
      </c>
      <c r="I526" s="14">
        <v>30876.3</v>
      </c>
      <c r="J526" s="14">
        <v>25195.7</v>
      </c>
      <c r="K526" s="14">
        <v>24608.9</v>
      </c>
      <c r="L526" s="14">
        <v>23989.5</v>
      </c>
      <c r="M526" s="14">
        <v>18612.8</v>
      </c>
      <c r="N526" s="14">
        <v>18638</v>
      </c>
      <c r="O526" s="14">
        <v>14597</v>
      </c>
      <c r="P526" s="14">
        <v>13536.9</v>
      </c>
      <c r="Q526" s="14">
        <v>11699.2</v>
      </c>
      <c r="R526" s="14">
        <v>13469.7</v>
      </c>
      <c r="S526" s="14">
        <v>11271</v>
      </c>
      <c r="T526" s="14">
        <v>10451.5</v>
      </c>
      <c r="U526" s="14">
        <v>13649.4</v>
      </c>
      <c r="V526" s="14">
        <v>9731.9</v>
      </c>
      <c r="W526" s="14">
        <v>8553.9</v>
      </c>
      <c r="X526" s="14">
        <v>9324.7999999999993</v>
      </c>
      <c r="Y526" s="14">
        <v>16458.3</v>
      </c>
      <c r="Z526" s="14">
        <v>22565.9</v>
      </c>
      <c r="AA526" s="14"/>
      <c r="AB526" s="14"/>
      <c r="AC526" s="15">
        <f>IFERROR(Z526/G526-1,"")</f>
        <v>-4.1115856119999128E-2</v>
      </c>
      <c r="AD526" s="15">
        <f>IFERROR((Z526/G526)^(1/19)-1,"")</f>
        <v>-2.2072982579591782E-3</v>
      </c>
    </row>
    <row r="527" spans="1:30">
      <c r="A527" s="45" t="s">
        <v>421</v>
      </c>
      <c r="B527" s="45" t="s">
        <v>422</v>
      </c>
      <c r="C527" s="45" t="s">
        <v>490</v>
      </c>
      <c r="D527" s="45" t="s">
        <v>491</v>
      </c>
      <c r="E527" s="45" t="s">
        <v>492</v>
      </c>
      <c r="F527" s="45" t="s">
        <v>493</v>
      </c>
      <c r="G527" s="14">
        <v>4996</v>
      </c>
      <c r="H527" s="14">
        <v>5335</v>
      </c>
      <c r="I527" s="14">
        <v>6193</v>
      </c>
      <c r="J527" s="14">
        <v>7625</v>
      </c>
      <c r="K527" s="14">
        <v>8942</v>
      </c>
      <c r="L527" s="14">
        <v>10223</v>
      </c>
      <c r="M527" s="14">
        <v>10779</v>
      </c>
      <c r="N527" s="14">
        <v>12828</v>
      </c>
      <c r="O527" s="14">
        <v>13377</v>
      </c>
      <c r="P527" s="14">
        <v>14828</v>
      </c>
      <c r="Q527" s="14">
        <v>15904</v>
      </c>
      <c r="R527" s="14">
        <v>17996</v>
      </c>
      <c r="S527" s="14">
        <v>20157</v>
      </c>
      <c r="T527" s="14">
        <v>21812</v>
      </c>
      <c r="U527" s="14">
        <v>22999</v>
      </c>
      <c r="V527" s="14">
        <v>25977</v>
      </c>
      <c r="W527" s="14">
        <v>26490</v>
      </c>
      <c r="X527" s="14">
        <v>28680</v>
      </c>
      <c r="Y527" s="14">
        <v>30017</v>
      </c>
      <c r="Z527" s="14">
        <v>34929</v>
      </c>
      <c r="AA527" s="14">
        <v>37971</v>
      </c>
      <c r="AB527" s="14">
        <v>42669</v>
      </c>
    </row>
    <row r="528" spans="1:30">
      <c r="A528" s="45" t="s">
        <v>421</v>
      </c>
      <c r="B528" s="45" t="s">
        <v>422</v>
      </c>
      <c r="C528" s="45" t="s">
        <v>490</v>
      </c>
      <c r="D528" s="45" t="s">
        <v>494</v>
      </c>
      <c r="E528" s="45" t="s">
        <v>492</v>
      </c>
      <c r="F528" s="45" t="s">
        <v>493</v>
      </c>
      <c r="G528" s="14">
        <v>4798</v>
      </c>
      <c r="H528" s="14">
        <v>5158</v>
      </c>
      <c r="I528" s="14">
        <v>5967</v>
      </c>
      <c r="J528" s="14">
        <v>7312</v>
      </c>
      <c r="K528" s="14">
        <v>8447</v>
      </c>
      <c r="L528" s="14">
        <v>9642</v>
      </c>
      <c r="M528" s="14">
        <v>10189</v>
      </c>
      <c r="N528" s="14">
        <v>12188</v>
      </c>
      <c r="O528" s="14">
        <v>12570</v>
      </c>
      <c r="P528" s="14">
        <v>13942</v>
      </c>
      <c r="Q528" s="14">
        <v>14901</v>
      </c>
      <c r="R528" s="14">
        <v>16898</v>
      </c>
      <c r="S528" s="14">
        <v>18949</v>
      </c>
      <c r="T528" s="14">
        <v>20346</v>
      </c>
      <c r="U528" s="14">
        <v>22265</v>
      </c>
      <c r="V528" s="14">
        <v>25319</v>
      </c>
      <c r="W528" s="14">
        <v>25644</v>
      </c>
      <c r="X528" s="14">
        <v>27747</v>
      </c>
      <c r="Y528" s="14">
        <v>29018</v>
      </c>
      <c r="Z528" s="14">
        <v>33229</v>
      </c>
      <c r="AA528" s="14"/>
      <c r="AB528" s="14"/>
    </row>
    <row r="529" spans="1:30">
      <c r="A529" s="45" t="s">
        <v>421</v>
      </c>
      <c r="B529" s="45" t="s">
        <v>422</v>
      </c>
      <c r="C529" s="45" t="s">
        <v>490</v>
      </c>
      <c r="D529" s="45" t="s">
        <v>495</v>
      </c>
      <c r="E529" s="45" t="s">
        <v>492</v>
      </c>
      <c r="F529" s="45" t="s">
        <v>493</v>
      </c>
      <c r="G529" s="14">
        <v>255</v>
      </c>
      <c r="H529" s="14">
        <v>164</v>
      </c>
      <c r="I529" s="14">
        <v>211</v>
      </c>
      <c r="J529" s="14">
        <v>259</v>
      </c>
      <c r="K529" s="14">
        <v>300</v>
      </c>
      <c r="L529" s="14">
        <v>365</v>
      </c>
      <c r="M529" s="14">
        <v>340</v>
      </c>
      <c r="N529" s="14">
        <v>449</v>
      </c>
      <c r="O529" s="14">
        <v>415</v>
      </c>
      <c r="P529" s="14">
        <v>824</v>
      </c>
      <c r="Q529" s="14">
        <v>546</v>
      </c>
      <c r="R529" s="14">
        <v>629</v>
      </c>
      <c r="S529" s="14">
        <v>530</v>
      </c>
      <c r="T529" s="14">
        <v>644</v>
      </c>
      <c r="U529" s="14">
        <v>813</v>
      </c>
      <c r="V529" s="14">
        <v>844</v>
      </c>
      <c r="W529" s="14">
        <v>824</v>
      </c>
      <c r="X529" s="14">
        <v>908</v>
      </c>
      <c r="Y529" s="14">
        <v>919</v>
      </c>
      <c r="Z529" s="14">
        <v>1491</v>
      </c>
      <c r="AA529" s="14"/>
      <c r="AB529" s="14"/>
    </row>
    <row r="530" spans="1:30">
      <c r="A530" s="45" t="s">
        <v>421</v>
      </c>
      <c r="B530" s="45" t="s">
        <v>422</v>
      </c>
      <c r="C530" s="45" t="s">
        <v>490</v>
      </c>
      <c r="D530" s="45" t="s">
        <v>496</v>
      </c>
      <c r="E530" s="45" t="s">
        <v>492</v>
      </c>
      <c r="F530" s="45" t="s">
        <v>493</v>
      </c>
      <c r="G530" s="14">
        <v>1081</v>
      </c>
      <c r="H530" s="14">
        <v>1160</v>
      </c>
      <c r="I530" s="14">
        <v>1437</v>
      </c>
      <c r="J530" s="14">
        <v>1678</v>
      </c>
      <c r="K530" s="14">
        <v>1917</v>
      </c>
      <c r="L530" s="14">
        <v>2163</v>
      </c>
      <c r="M530" s="14">
        <v>1970</v>
      </c>
      <c r="N530" s="14">
        <v>2414</v>
      </c>
      <c r="O530" s="14">
        <v>2653</v>
      </c>
      <c r="P530" s="14">
        <v>2876</v>
      </c>
      <c r="Q530" s="14">
        <v>3291</v>
      </c>
      <c r="R530" s="14">
        <v>3642</v>
      </c>
      <c r="S530" s="14">
        <v>3833</v>
      </c>
      <c r="T530" s="14">
        <v>4234</v>
      </c>
      <c r="U530" s="14">
        <v>4886</v>
      </c>
      <c r="V530" s="14">
        <v>5395</v>
      </c>
      <c r="W530" s="14">
        <v>5983</v>
      </c>
      <c r="X530" s="14">
        <v>6333</v>
      </c>
      <c r="Y530" s="14">
        <v>6824</v>
      </c>
      <c r="Z530" s="14">
        <v>7640</v>
      </c>
      <c r="AA530" s="14"/>
      <c r="AB530" s="14"/>
    </row>
    <row r="531" spans="1:30">
      <c r="A531" s="45" t="s">
        <v>421</v>
      </c>
      <c r="B531" s="45" t="s">
        <v>422</v>
      </c>
      <c r="C531" s="45" t="s">
        <v>490</v>
      </c>
      <c r="D531" s="45" t="s">
        <v>497</v>
      </c>
      <c r="E531" s="45" t="s">
        <v>492</v>
      </c>
      <c r="F531" s="45" t="s">
        <v>493</v>
      </c>
      <c r="G531" s="14">
        <v>2869</v>
      </c>
      <c r="H531" s="14">
        <v>3146</v>
      </c>
      <c r="I531" s="14">
        <v>3541</v>
      </c>
      <c r="J531" s="14">
        <v>4463</v>
      </c>
      <c r="K531" s="14">
        <v>5165</v>
      </c>
      <c r="L531" s="14">
        <v>6378</v>
      </c>
      <c r="M531" s="14">
        <v>6825</v>
      </c>
      <c r="N531" s="14">
        <v>7936</v>
      </c>
      <c r="O531" s="14">
        <v>8384</v>
      </c>
      <c r="P531" s="14">
        <v>8880</v>
      </c>
      <c r="Q531" s="14">
        <v>9979</v>
      </c>
      <c r="R531" s="14">
        <v>11373</v>
      </c>
      <c r="S531" s="14">
        <v>13004</v>
      </c>
      <c r="T531" s="14">
        <v>13566</v>
      </c>
      <c r="U531" s="14">
        <v>14708</v>
      </c>
      <c r="V531" s="14">
        <v>16799</v>
      </c>
      <c r="W531" s="14">
        <v>16089</v>
      </c>
      <c r="X531" s="14">
        <v>17045</v>
      </c>
      <c r="Y531" s="14">
        <v>17937</v>
      </c>
      <c r="Z531" s="14">
        <v>19281</v>
      </c>
      <c r="AA531" s="14"/>
      <c r="AB531" s="14"/>
    </row>
    <row r="532" spans="1:30">
      <c r="A532" s="45" t="s">
        <v>421</v>
      </c>
      <c r="B532" s="45" t="s">
        <v>422</v>
      </c>
      <c r="C532" s="45" t="s">
        <v>498</v>
      </c>
      <c r="D532" s="45" t="s">
        <v>491</v>
      </c>
      <c r="E532" s="45" t="s">
        <v>499</v>
      </c>
      <c r="F532" s="45" t="s">
        <v>500</v>
      </c>
      <c r="G532" s="14">
        <v>9490.2999999999993</v>
      </c>
      <c r="H532" s="14">
        <v>8883.2999999999993</v>
      </c>
      <c r="I532" s="14">
        <v>9569.7000000000007</v>
      </c>
      <c r="J532" s="14">
        <v>10968.1</v>
      </c>
      <c r="K532" s="14">
        <v>12046.1</v>
      </c>
      <c r="L532" s="14">
        <v>12938.5</v>
      </c>
      <c r="M532" s="14">
        <v>12541.9</v>
      </c>
      <c r="N532" s="14">
        <v>13908.5</v>
      </c>
      <c r="O532" s="14">
        <v>13377</v>
      </c>
      <c r="P532" s="14">
        <v>13689.2</v>
      </c>
      <c r="Q532" s="14">
        <v>13602.2</v>
      </c>
      <c r="R532" s="14">
        <v>14317</v>
      </c>
      <c r="S532" s="14">
        <v>14869.4</v>
      </c>
      <c r="T532" s="14">
        <v>14958.5</v>
      </c>
      <c r="U532" s="14">
        <v>14590.2</v>
      </c>
      <c r="V532" s="14">
        <v>15895.8</v>
      </c>
      <c r="W532" s="14">
        <v>15512.6</v>
      </c>
      <c r="X532" s="14">
        <v>16114.4</v>
      </c>
      <c r="Y532" s="14">
        <v>15840.4</v>
      </c>
      <c r="Z532" s="14">
        <v>16305.1</v>
      </c>
      <c r="AA532" s="14"/>
      <c r="AB532" s="14"/>
      <c r="AC532" s="15">
        <f>IFERROR(Z532/G532-1,"")</f>
        <v>0.71808056647313601</v>
      </c>
      <c r="AD532" s="15">
        <f>IFERROR((Z532/G532)^(1/19)-1,"")</f>
        <v>2.8894182960903736E-2</v>
      </c>
    </row>
    <row r="533" spans="1:30">
      <c r="A533" s="45" t="s">
        <v>421</v>
      </c>
      <c r="B533" s="45" t="s">
        <v>422</v>
      </c>
      <c r="C533" s="45" t="s">
        <v>498</v>
      </c>
      <c r="D533" s="45" t="s">
        <v>495</v>
      </c>
      <c r="E533" s="45" t="s">
        <v>499</v>
      </c>
      <c r="F533" s="45" t="s">
        <v>500</v>
      </c>
      <c r="G533" s="14">
        <v>485.1</v>
      </c>
      <c r="H533" s="14">
        <v>273.7</v>
      </c>
      <c r="I533" s="14">
        <v>325.8</v>
      </c>
      <c r="J533" s="14">
        <v>373</v>
      </c>
      <c r="K533" s="14">
        <v>403.9</v>
      </c>
      <c r="L533" s="14">
        <v>462.6</v>
      </c>
      <c r="M533" s="14">
        <v>395.7</v>
      </c>
      <c r="N533" s="14">
        <v>486.8</v>
      </c>
      <c r="O533" s="14">
        <v>415</v>
      </c>
      <c r="P533" s="14">
        <v>760.7</v>
      </c>
      <c r="Q533" s="14">
        <v>467</v>
      </c>
      <c r="R533" s="14">
        <v>500.4</v>
      </c>
      <c r="S533" s="14">
        <v>391</v>
      </c>
      <c r="T533" s="14">
        <v>441.7</v>
      </c>
      <c r="U533" s="14">
        <v>515.79999999999995</v>
      </c>
      <c r="V533" s="14">
        <v>516.5</v>
      </c>
      <c r="W533" s="14">
        <v>482.5</v>
      </c>
      <c r="X533" s="14">
        <v>510.2</v>
      </c>
      <c r="Y533" s="14">
        <v>485</v>
      </c>
      <c r="Z533" s="14">
        <v>696</v>
      </c>
      <c r="AA533" s="14"/>
      <c r="AB533" s="14"/>
      <c r="AC533" s="15">
        <f>IFERROR(Z533/G533-1,"")</f>
        <v>0.4347557204700061</v>
      </c>
      <c r="AD533" s="15">
        <f>IFERROR((Z533/G533)^(1/19)-1,"")</f>
        <v>1.9181359227967487E-2</v>
      </c>
    </row>
    <row r="534" spans="1:30">
      <c r="A534" s="45" t="s">
        <v>421</v>
      </c>
      <c r="B534" s="45" t="s">
        <v>422</v>
      </c>
      <c r="C534" s="45" t="s">
        <v>498</v>
      </c>
      <c r="D534" s="45" t="s">
        <v>496</v>
      </c>
      <c r="E534" s="45" t="s">
        <v>499</v>
      </c>
      <c r="F534" s="45" t="s">
        <v>500</v>
      </c>
      <c r="G534" s="14">
        <v>2053.8000000000002</v>
      </c>
      <c r="H534" s="14">
        <v>1931.4</v>
      </c>
      <c r="I534" s="14">
        <v>2221.4</v>
      </c>
      <c r="J534" s="14">
        <v>2413</v>
      </c>
      <c r="K534" s="14">
        <v>2582.1999999999998</v>
      </c>
      <c r="L534" s="14">
        <v>2737.2</v>
      </c>
      <c r="M534" s="14">
        <v>2292.1</v>
      </c>
      <c r="N534" s="14">
        <v>2617.3000000000002</v>
      </c>
      <c r="O534" s="14">
        <v>2653</v>
      </c>
      <c r="P534" s="14">
        <v>2655.1</v>
      </c>
      <c r="Q534" s="14">
        <v>2814.7</v>
      </c>
      <c r="R534" s="14">
        <v>2897.4</v>
      </c>
      <c r="S534" s="14">
        <v>2827.5</v>
      </c>
      <c r="T534" s="14">
        <v>2903.6</v>
      </c>
      <c r="U534" s="14">
        <v>3099.6</v>
      </c>
      <c r="V534" s="14">
        <v>3301.3</v>
      </c>
      <c r="W534" s="14">
        <v>3503.7</v>
      </c>
      <c r="X534" s="14">
        <v>3558.3</v>
      </c>
      <c r="Y534" s="14">
        <v>3601.1</v>
      </c>
      <c r="Z534" s="14">
        <v>3566.4</v>
      </c>
      <c r="AA534" s="14"/>
      <c r="AB534" s="14"/>
      <c r="AC534" s="15">
        <f>IFERROR(Z534/G534-1,"")</f>
        <v>0.73648846041484073</v>
      </c>
      <c r="AD534" s="15">
        <f>IFERROR((Z534/G534)^(1/19)-1,"")</f>
        <v>2.9471458626447733E-2</v>
      </c>
    </row>
    <row r="535" spans="1:30">
      <c r="A535" s="45" t="s">
        <v>421</v>
      </c>
      <c r="B535" s="45" t="s">
        <v>422</v>
      </c>
      <c r="C535" s="45" t="s">
        <v>498</v>
      </c>
      <c r="D535" s="45" t="s">
        <v>497</v>
      </c>
      <c r="E535" s="45" t="s">
        <v>499</v>
      </c>
      <c r="F535" s="45" t="s">
        <v>500</v>
      </c>
      <c r="G535" s="14">
        <v>5449.7</v>
      </c>
      <c r="H535" s="14">
        <v>5238.5</v>
      </c>
      <c r="I535" s="14">
        <v>5471.8</v>
      </c>
      <c r="J535" s="14">
        <v>6419.6</v>
      </c>
      <c r="K535" s="14">
        <v>6958.5</v>
      </c>
      <c r="L535" s="14">
        <v>8072.3</v>
      </c>
      <c r="M535" s="14">
        <v>7941.3</v>
      </c>
      <c r="N535" s="14">
        <v>8604.5</v>
      </c>
      <c r="O535" s="14">
        <v>8384</v>
      </c>
      <c r="P535" s="14">
        <v>8198</v>
      </c>
      <c r="Q535" s="14">
        <v>8534.7000000000007</v>
      </c>
      <c r="R535" s="14">
        <v>9047.9</v>
      </c>
      <c r="S535" s="14">
        <v>9592.7999999999993</v>
      </c>
      <c r="T535" s="14">
        <v>9303.5</v>
      </c>
      <c r="U535" s="14">
        <v>9330.5</v>
      </c>
      <c r="V535" s="14">
        <v>10279.6</v>
      </c>
      <c r="W535" s="14">
        <v>9421.7999999999993</v>
      </c>
      <c r="X535" s="14">
        <v>9577.1</v>
      </c>
      <c r="Y535" s="14">
        <v>9465.6</v>
      </c>
      <c r="Z535" s="14">
        <v>9001</v>
      </c>
      <c r="AA535" s="14"/>
      <c r="AB535" s="14"/>
      <c r="AC535" s="15">
        <f>IFERROR(Z535/G535-1,"")</f>
        <v>0.65165054957153612</v>
      </c>
      <c r="AD535" s="15">
        <f>IFERROR((Z535/G535)^(1/19)-1,"")</f>
        <v>2.6761030475048742E-2</v>
      </c>
    </row>
    <row r="536" spans="1:30">
      <c r="A536" s="45" t="s">
        <v>421</v>
      </c>
      <c r="B536" s="45" t="s">
        <v>422</v>
      </c>
      <c r="C536" s="45" t="s">
        <v>498</v>
      </c>
      <c r="D536" s="45" t="s">
        <v>501</v>
      </c>
      <c r="E536" s="45" t="s">
        <v>499</v>
      </c>
      <c r="F536" s="45" t="s">
        <v>500</v>
      </c>
      <c r="G536" s="14">
        <v>1127.3</v>
      </c>
      <c r="H536" s="14">
        <v>1145</v>
      </c>
      <c r="I536" s="14">
        <v>1202.2</v>
      </c>
      <c r="J536" s="14">
        <v>1312.6</v>
      </c>
      <c r="K536" s="14">
        <v>1434.5</v>
      </c>
      <c r="L536" s="14">
        <v>932</v>
      </c>
      <c r="M536" s="14">
        <v>1225.8</v>
      </c>
      <c r="N536" s="14">
        <v>1504.9</v>
      </c>
      <c r="O536" s="14">
        <v>1118</v>
      </c>
      <c r="P536" s="14">
        <v>1256.5</v>
      </c>
      <c r="Q536" s="14">
        <v>928</v>
      </c>
      <c r="R536" s="14">
        <v>997.6</v>
      </c>
      <c r="S536" s="14">
        <v>1167.7</v>
      </c>
      <c r="T536" s="14">
        <v>1304.4000000000001</v>
      </c>
      <c r="U536" s="14">
        <v>1178.7</v>
      </c>
      <c r="V536" s="14">
        <v>1396.4</v>
      </c>
      <c r="W536" s="14">
        <v>1609.2</v>
      </c>
      <c r="X536" s="14">
        <v>1944.6</v>
      </c>
      <c r="Y536" s="14">
        <v>1761</v>
      </c>
      <c r="Z536" s="14">
        <v>2248.6</v>
      </c>
      <c r="AA536" s="14"/>
      <c r="AB536" s="14"/>
      <c r="AC536" s="15">
        <f>IFERROR(Z536/G536-1,"")</f>
        <v>0.99467754812383569</v>
      </c>
      <c r="AD536" s="15">
        <f>IFERROR((Z536/G536)^(1/19)-1,"")</f>
        <v>3.7009592379767975E-2</v>
      </c>
    </row>
    <row r="537" spans="1:30">
      <c r="A537" s="45" t="s">
        <v>287</v>
      </c>
      <c r="B537" s="45" t="s">
        <v>288</v>
      </c>
      <c r="C537" s="45" t="s">
        <v>490</v>
      </c>
      <c r="D537" s="45" t="s">
        <v>491</v>
      </c>
      <c r="E537" s="45" t="s">
        <v>492</v>
      </c>
      <c r="F537" s="45" t="s">
        <v>493</v>
      </c>
      <c r="G537" s="14">
        <v>15930</v>
      </c>
      <c r="H537" s="14">
        <v>16650</v>
      </c>
      <c r="I537" s="14">
        <v>18336</v>
      </c>
      <c r="J537" s="14">
        <v>22972</v>
      </c>
      <c r="K537" s="14">
        <v>23973</v>
      </c>
      <c r="L537" s="14">
        <v>27360</v>
      </c>
      <c r="M537" s="14">
        <v>30042</v>
      </c>
      <c r="N537" s="14">
        <v>34220</v>
      </c>
      <c r="O537" s="14">
        <v>40412</v>
      </c>
      <c r="P537" s="14">
        <v>50613</v>
      </c>
      <c r="Q537" s="14">
        <v>54993</v>
      </c>
      <c r="R537" s="14">
        <v>57079</v>
      </c>
      <c r="S537" s="14">
        <v>64015</v>
      </c>
      <c r="T537" s="14">
        <v>65893</v>
      </c>
      <c r="U537" s="14">
        <v>66120</v>
      </c>
      <c r="V537" s="14">
        <v>84251</v>
      </c>
      <c r="W537" s="14">
        <v>73427</v>
      </c>
      <c r="X537" s="14">
        <v>80039</v>
      </c>
      <c r="Y537" s="14">
        <v>81375</v>
      </c>
      <c r="Z537" s="14">
        <v>99444</v>
      </c>
      <c r="AA537" s="14">
        <v>145395</v>
      </c>
      <c r="AB537" s="14">
        <v>179988</v>
      </c>
    </row>
    <row r="538" spans="1:30">
      <c r="A538" s="45" t="s">
        <v>287</v>
      </c>
      <c r="B538" s="45" t="s">
        <v>288</v>
      </c>
      <c r="C538" s="45" t="s">
        <v>490</v>
      </c>
      <c r="D538" s="45" t="s">
        <v>494</v>
      </c>
      <c r="E538" s="45" t="s">
        <v>492</v>
      </c>
      <c r="F538" s="45" t="s">
        <v>493</v>
      </c>
      <c r="G538" s="14">
        <v>15154</v>
      </c>
      <c r="H538" s="14">
        <v>15895</v>
      </c>
      <c r="I538" s="14">
        <v>17385</v>
      </c>
      <c r="J538" s="14">
        <v>21485</v>
      </c>
      <c r="K538" s="14">
        <v>22435</v>
      </c>
      <c r="L538" s="14">
        <v>25609</v>
      </c>
      <c r="M538" s="14">
        <v>28265</v>
      </c>
      <c r="N538" s="14">
        <v>32396</v>
      </c>
      <c r="O538" s="14">
        <v>37668</v>
      </c>
      <c r="P538" s="14">
        <v>46970</v>
      </c>
      <c r="Q538" s="14">
        <v>51167</v>
      </c>
      <c r="R538" s="14">
        <v>53395</v>
      </c>
      <c r="S538" s="14">
        <v>60341</v>
      </c>
      <c r="T538" s="14">
        <v>62232</v>
      </c>
      <c r="U538" s="14">
        <v>62947</v>
      </c>
      <c r="V538" s="14">
        <v>80177</v>
      </c>
      <c r="W538" s="14">
        <v>68085</v>
      </c>
      <c r="X538" s="14">
        <v>74303</v>
      </c>
      <c r="Y538" s="14">
        <v>75661</v>
      </c>
      <c r="Z538" s="14">
        <v>90584</v>
      </c>
      <c r="AA538" s="14"/>
      <c r="AB538" s="14"/>
    </row>
    <row r="539" spans="1:30">
      <c r="A539" s="45" t="s">
        <v>287</v>
      </c>
      <c r="B539" s="45" t="s">
        <v>288</v>
      </c>
      <c r="C539" s="45" t="s">
        <v>490</v>
      </c>
      <c r="D539" s="45" t="s">
        <v>495</v>
      </c>
      <c r="E539" s="45" t="s">
        <v>492</v>
      </c>
      <c r="F539" s="45" t="s">
        <v>493</v>
      </c>
      <c r="G539" s="14">
        <v>3484</v>
      </c>
      <c r="H539" s="14">
        <v>2834</v>
      </c>
      <c r="I539" s="14">
        <v>2883</v>
      </c>
      <c r="J539" s="14">
        <v>4748</v>
      </c>
      <c r="K539" s="14">
        <v>3767</v>
      </c>
      <c r="L539" s="14">
        <v>5032</v>
      </c>
      <c r="M539" s="14">
        <v>5839</v>
      </c>
      <c r="N539" s="14">
        <v>5414</v>
      </c>
      <c r="O539" s="14">
        <v>6858</v>
      </c>
      <c r="P539" s="14">
        <v>7038</v>
      </c>
      <c r="Q539" s="14">
        <v>10186</v>
      </c>
      <c r="R539" s="14">
        <v>9773</v>
      </c>
      <c r="S539" s="14">
        <v>14377</v>
      </c>
      <c r="T539" s="14">
        <v>11006</v>
      </c>
      <c r="U539" s="14">
        <v>8619</v>
      </c>
      <c r="V539" s="14">
        <v>8061</v>
      </c>
      <c r="W539" s="14">
        <v>6774</v>
      </c>
      <c r="X539" s="14">
        <v>6576</v>
      </c>
      <c r="Y539" s="14">
        <v>6140</v>
      </c>
      <c r="Z539" s="14">
        <v>10198</v>
      </c>
      <c r="AA539" s="14"/>
      <c r="AB539" s="14"/>
    </row>
    <row r="540" spans="1:30">
      <c r="A540" s="45" t="s">
        <v>287</v>
      </c>
      <c r="B540" s="45" t="s">
        <v>288</v>
      </c>
      <c r="C540" s="45" t="s">
        <v>490</v>
      </c>
      <c r="D540" s="45" t="s">
        <v>496</v>
      </c>
      <c r="E540" s="45" t="s">
        <v>492</v>
      </c>
      <c r="F540" s="45" t="s">
        <v>493</v>
      </c>
      <c r="G540" s="14">
        <v>2968</v>
      </c>
      <c r="H540" s="14">
        <v>3270</v>
      </c>
      <c r="I540" s="14">
        <v>3605</v>
      </c>
      <c r="J540" s="14">
        <v>4241</v>
      </c>
      <c r="K540" s="14">
        <v>4486</v>
      </c>
      <c r="L540" s="14">
        <v>5254</v>
      </c>
      <c r="M540" s="14">
        <v>5443</v>
      </c>
      <c r="N540" s="14">
        <v>6925</v>
      </c>
      <c r="O540" s="14">
        <v>8826</v>
      </c>
      <c r="P540" s="14">
        <v>14802</v>
      </c>
      <c r="Q540" s="14">
        <v>14711</v>
      </c>
      <c r="R540" s="14">
        <v>14812</v>
      </c>
      <c r="S540" s="14">
        <v>14391</v>
      </c>
      <c r="T540" s="14">
        <v>16860</v>
      </c>
      <c r="U540" s="14">
        <v>17916</v>
      </c>
      <c r="V540" s="14">
        <v>31357</v>
      </c>
      <c r="W540" s="14">
        <v>21278</v>
      </c>
      <c r="X540" s="14">
        <v>25182</v>
      </c>
      <c r="Y540" s="14">
        <v>25294</v>
      </c>
      <c r="Z540" s="14">
        <v>32214</v>
      </c>
      <c r="AA540" s="14"/>
      <c r="AB540" s="14"/>
    </row>
    <row r="541" spans="1:30">
      <c r="A541" s="45" t="s">
        <v>287</v>
      </c>
      <c r="B541" s="45" t="s">
        <v>288</v>
      </c>
      <c r="C541" s="45" t="s">
        <v>490</v>
      </c>
      <c r="D541" s="45" t="s">
        <v>497</v>
      </c>
      <c r="E541" s="45" t="s">
        <v>492</v>
      </c>
      <c r="F541" s="45" t="s">
        <v>493</v>
      </c>
      <c r="G541" s="14">
        <v>7955</v>
      </c>
      <c r="H541" s="14">
        <v>8664</v>
      </c>
      <c r="I541" s="14">
        <v>9851</v>
      </c>
      <c r="J541" s="14">
        <v>11471</v>
      </c>
      <c r="K541" s="14">
        <v>13202</v>
      </c>
      <c r="L541" s="14">
        <v>14334</v>
      </c>
      <c r="M541" s="14">
        <v>15971</v>
      </c>
      <c r="N541" s="14">
        <v>18878</v>
      </c>
      <c r="O541" s="14">
        <v>20811</v>
      </c>
      <c r="P541" s="14">
        <v>23751</v>
      </c>
      <c r="Q541" s="14">
        <v>25091</v>
      </c>
      <c r="R541" s="14">
        <v>27351</v>
      </c>
      <c r="S541" s="14">
        <v>30086</v>
      </c>
      <c r="T541" s="14">
        <v>32721</v>
      </c>
      <c r="U541" s="14">
        <v>34611</v>
      </c>
      <c r="V541" s="14">
        <v>38755</v>
      </c>
      <c r="W541" s="14">
        <v>37893</v>
      </c>
      <c r="X541" s="14">
        <v>39819</v>
      </c>
      <c r="Y541" s="14">
        <v>41428</v>
      </c>
      <c r="Z541" s="14">
        <v>44885</v>
      </c>
      <c r="AA541" s="14"/>
      <c r="AB541" s="14"/>
    </row>
    <row r="542" spans="1:30">
      <c r="A542" s="45" t="s">
        <v>287</v>
      </c>
      <c r="B542" s="45" t="s">
        <v>288</v>
      </c>
      <c r="C542" s="45" t="s">
        <v>498</v>
      </c>
      <c r="D542" s="45" t="s">
        <v>491</v>
      </c>
      <c r="E542" s="45" t="s">
        <v>499</v>
      </c>
      <c r="F542" s="45" t="s">
        <v>500</v>
      </c>
      <c r="G542" s="14">
        <v>30262.6</v>
      </c>
      <c r="H542" s="14">
        <v>27723.5</v>
      </c>
      <c r="I542" s="14">
        <v>28334.3</v>
      </c>
      <c r="J542" s="14">
        <v>33043.1</v>
      </c>
      <c r="K542" s="14">
        <v>32296.1</v>
      </c>
      <c r="L542" s="14">
        <v>34628.699999999997</v>
      </c>
      <c r="M542" s="14">
        <v>34954.400000000001</v>
      </c>
      <c r="N542" s="14">
        <v>37102.5</v>
      </c>
      <c r="O542" s="14">
        <v>40412</v>
      </c>
      <c r="P542" s="14">
        <v>46726.1</v>
      </c>
      <c r="Q542" s="14">
        <v>47033.7</v>
      </c>
      <c r="R542" s="14">
        <v>45410</v>
      </c>
      <c r="S542" s="14">
        <v>47222.6</v>
      </c>
      <c r="T542" s="14">
        <v>45188.9</v>
      </c>
      <c r="U542" s="14">
        <v>41945.5</v>
      </c>
      <c r="V542" s="14">
        <v>51554.7</v>
      </c>
      <c r="W542" s="14">
        <v>42999.1</v>
      </c>
      <c r="X542" s="14">
        <v>44971.4</v>
      </c>
      <c r="Y542" s="14">
        <v>42942.6</v>
      </c>
      <c r="Z542" s="14">
        <v>46421.2</v>
      </c>
      <c r="AA542" s="14"/>
      <c r="AB542" s="14"/>
      <c r="AC542" s="15">
        <f>IFERROR(Z542/G542-1,"")</f>
        <v>0.53394619100804297</v>
      </c>
      <c r="AD542" s="15">
        <f>IFERROR((Z542/G542)^(1/19)-1,"")</f>
        <v>2.2773531381883094E-2</v>
      </c>
    </row>
    <row r="543" spans="1:30">
      <c r="A543" s="45" t="s">
        <v>287</v>
      </c>
      <c r="B543" s="45" t="s">
        <v>288</v>
      </c>
      <c r="C543" s="45" t="s">
        <v>498</v>
      </c>
      <c r="D543" s="45" t="s">
        <v>495</v>
      </c>
      <c r="E543" s="45" t="s">
        <v>499</v>
      </c>
      <c r="F543" s="45" t="s">
        <v>500</v>
      </c>
      <c r="G543" s="14">
        <v>6618.8</v>
      </c>
      <c r="H543" s="14">
        <v>4718.8</v>
      </c>
      <c r="I543" s="14">
        <v>4454.5</v>
      </c>
      <c r="J543" s="14">
        <v>6829</v>
      </c>
      <c r="K543" s="14">
        <v>5074.5</v>
      </c>
      <c r="L543" s="14">
        <v>6369.5</v>
      </c>
      <c r="M543" s="14">
        <v>6793.5</v>
      </c>
      <c r="N543" s="14">
        <v>5870</v>
      </c>
      <c r="O543" s="14">
        <v>6858</v>
      </c>
      <c r="P543" s="14">
        <v>6497.5</v>
      </c>
      <c r="Q543" s="14">
        <v>8711.7999999999993</v>
      </c>
      <c r="R543" s="14">
        <v>7775</v>
      </c>
      <c r="S543" s="14">
        <v>10605.6</v>
      </c>
      <c r="T543" s="14">
        <v>7547.8</v>
      </c>
      <c r="U543" s="14">
        <v>5467.8</v>
      </c>
      <c r="V543" s="14">
        <v>4932.7</v>
      </c>
      <c r="W543" s="14">
        <v>3966.9</v>
      </c>
      <c r="X543" s="14">
        <v>3694.9</v>
      </c>
      <c r="Y543" s="14">
        <v>3240.2</v>
      </c>
      <c r="Z543" s="14">
        <v>4760.5</v>
      </c>
      <c r="AA543" s="14"/>
      <c r="AB543" s="14"/>
      <c r="AC543" s="15">
        <f>IFERROR(Z543/G543-1,"")</f>
        <v>-0.28076086299631353</v>
      </c>
      <c r="AD543" s="15">
        <f>IFERROR((Z543/G543)^(1/19)-1,"")</f>
        <v>-1.7195771443459518E-2</v>
      </c>
    </row>
    <row r="544" spans="1:30">
      <c r="A544" s="45" t="s">
        <v>287</v>
      </c>
      <c r="B544" s="45" t="s">
        <v>288</v>
      </c>
      <c r="C544" s="45" t="s">
        <v>498</v>
      </c>
      <c r="D544" s="45" t="s">
        <v>496</v>
      </c>
      <c r="E544" s="45" t="s">
        <v>499</v>
      </c>
      <c r="F544" s="45" t="s">
        <v>500</v>
      </c>
      <c r="G544" s="14">
        <v>5639.4</v>
      </c>
      <c r="H544" s="14">
        <v>5445.7</v>
      </c>
      <c r="I544" s="14">
        <v>5570.1</v>
      </c>
      <c r="J544" s="14">
        <v>6100.1</v>
      </c>
      <c r="K544" s="14">
        <v>6043.9</v>
      </c>
      <c r="L544" s="14">
        <v>6650</v>
      </c>
      <c r="M544" s="14">
        <v>6332.7</v>
      </c>
      <c r="N544" s="14">
        <v>7508.3</v>
      </c>
      <c r="O544" s="14">
        <v>8826</v>
      </c>
      <c r="P544" s="14">
        <v>13665.2</v>
      </c>
      <c r="Q544" s="14">
        <v>12581.8</v>
      </c>
      <c r="R544" s="14">
        <v>11783.9</v>
      </c>
      <c r="S544" s="14">
        <v>10616</v>
      </c>
      <c r="T544" s="14">
        <v>11562.5</v>
      </c>
      <c r="U544" s="14">
        <v>11365.6</v>
      </c>
      <c r="V544" s="14">
        <v>19187.900000000001</v>
      </c>
      <c r="W544" s="14">
        <v>12460.5</v>
      </c>
      <c r="X544" s="14">
        <v>14149</v>
      </c>
      <c r="Y544" s="14">
        <v>13348</v>
      </c>
      <c r="Z544" s="14">
        <v>15038.2</v>
      </c>
      <c r="AA544" s="14"/>
      <c r="AB544" s="14"/>
      <c r="AC544" s="15">
        <f>IFERROR(Z544/G544-1,"")</f>
        <v>1.6666312019009117</v>
      </c>
      <c r="AD544" s="15">
        <f>IFERROR((Z544/G544)^(1/19)-1,"")</f>
        <v>5.2977528319257727E-2</v>
      </c>
    </row>
    <row r="545" spans="1:30">
      <c r="A545" s="45" t="s">
        <v>287</v>
      </c>
      <c r="B545" s="45" t="s">
        <v>288</v>
      </c>
      <c r="C545" s="45" t="s">
        <v>498</v>
      </c>
      <c r="D545" s="45" t="s">
        <v>497</v>
      </c>
      <c r="E545" s="45" t="s">
        <v>499</v>
      </c>
      <c r="F545" s="45" t="s">
        <v>500</v>
      </c>
      <c r="G545" s="14">
        <v>15112.3</v>
      </c>
      <c r="H545" s="14">
        <v>14426.6</v>
      </c>
      <c r="I545" s="14">
        <v>15222.8</v>
      </c>
      <c r="J545" s="14">
        <v>16500.3</v>
      </c>
      <c r="K545" s="14">
        <v>17785</v>
      </c>
      <c r="L545" s="14">
        <v>18142.099999999999</v>
      </c>
      <c r="M545" s="14">
        <v>18582.400000000001</v>
      </c>
      <c r="N545" s="14">
        <v>20468.2</v>
      </c>
      <c r="O545" s="14">
        <v>20811</v>
      </c>
      <c r="P545" s="14">
        <v>21927</v>
      </c>
      <c r="Q545" s="14">
        <v>21459.5</v>
      </c>
      <c r="R545" s="14">
        <v>21759.5</v>
      </c>
      <c r="S545" s="14">
        <v>22193.8</v>
      </c>
      <c r="T545" s="14">
        <v>22439.8</v>
      </c>
      <c r="U545" s="14">
        <v>21956.7</v>
      </c>
      <c r="V545" s="14">
        <v>23714.9</v>
      </c>
      <c r="W545" s="14">
        <v>22190.3</v>
      </c>
      <c r="X545" s="14">
        <v>22373.1</v>
      </c>
      <c r="Y545" s="14">
        <v>21862.1</v>
      </c>
      <c r="Z545" s="14">
        <v>20953.099999999999</v>
      </c>
      <c r="AA545" s="14"/>
      <c r="AB545" s="14"/>
      <c r="AC545" s="15">
        <f>IFERROR(Z545/G545-1,"")</f>
        <v>0.38649312149705861</v>
      </c>
      <c r="AD545" s="15">
        <f>IFERROR((Z545/G545)^(1/19)-1,"")</f>
        <v>1.7347573672968464E-2</v>
      </c>
    </row>
    <row r="546" spans="1:30">
      <c r="A546" s="45" t="s">
        <v>287</v>
      </c>
      <c r="B546" s="45" t="s">
        <v>288</v>
      </c>
      <c r="C546" s="45" t="s">
        <v>498</v>
      </c>
      <c r="D546" s="45" t="s">
        <v>501</v>
      </c>
      <c r="E546" s="45" t="s">
        <v>499</v>
      </c>
      <c r="F546" s="45" t="s">
        <v>500</v>
      </c>
      <c r="G546" s="14">
        <v>1418.8</v>
      </c>
      <c r="H546" s="14">
        <v>1875.7</v>
      </c>
      <c r="I546" s="14">
        <v>1617.6</v>
      </c>
      <c r="J546" s="14">
        <v>1474.6</v>
      </c>
      <c r="K546" s="14">
        <v>1320.5</v>
      </c>
      <c r="L546" s="14">
        <v>1251.4000000000001</v>
      </c>
      <c r="M546" s="14">
        <v>1179</v>
      </c>
      <c r="N546" s="14">
        <v>1278.3</v>
      </c>
      <c r="O546" s="14">
        <v>1173</v>
      </c>
      <c r="P546" s="14">
        <v>1272.2</v>
      </c>
      <c r="Q546" s="14">
        <v>1008.4</v>
      </c>
      <c r="R546" s="14">
        <v>1160.7</v>
      </c>
      <c r="S546" s="14">
        <v>1096.9000000000001</v>
      </c>
      <c r="T546" s="14">
        <v>1128.0999999999999</v>
      </c>
      <c r="U546" s="14">
        <v>1142.5</v>
      </c>
      <c r="V546" s="14">
        <v>1226.9000000000001</v>
      </c>
      <c r="W546" s="14">
        <v>1253.2</v>
      </c>
      <c r="X546" s="14">
        <v>1532.2</v>
      </c>
      <c r="Y546" s="14">
        <v>1477.1</v>
      </c>
      <c r="Z546" s="14">
        <v>1534.4</v>
      </c>
      <c r="AA546" s="14"/>
      <c r="AB546" s="14"/>
      <c r="AC546" s="15">
        <f>IFERROR(Z546/G546-1,"")</f>
        <v>8.1477304764589809E-2</v>
      </c>
      <c r="AD546" s="15">
        <f>IFERROR((Z546/G546)^(1/19)-1,"")</f>
        <v>4.1310346246643537E-3</v>
      </c>
    </row>
    <row r="547" spans="1:30">
      <c r="A547" s="45" t="s">
        <v>325</v>
      </c>
      <c r="B547" s="45" t="s">
        <v>326</v>
      </c>
      <c r="C547" s="45" t="s">
        <v>490</v>
      </c>
      <c r="D547" s="45" t="s">
        <v>491</v>
      </c>
      <c r="E547" s="45" t="s">
        <v>492</v>
      </c>
      <c r="F547" s="45" t="s">
        <v>493</v>
      </c>
      <c r="G547" s="14">
        <v>12160</v>
      </c>
      <c r="H547" s="14">
        <v>13570</v>
      </c>
      <c r="I547" s="14">
        <v>14597</v>
      </c>
      <c r="J547" s="14">
        <v>15488</v>
      </c>
      <c r="K547" s="14">
        <v>19275</v>
      </c>
      <c r="L547" s="14">
        <v>21527</v>
      </c>
      <c r="M547" s="14">
        <v>23679</v>
      </c>
      <c r="N547" s="14">
        <v>29940</v>
      </c>
      <c r="O547" s="14">
        <v>27310</v>
      </c>
      <c r="P547" s="14">
        <v>32506</v>
      </c>
      <c r="Q547" s="14">
        <v>38874</v>
      </c>
      <c r="R547" s="14">
        <v>45782</v>
      </c>
      <c r="S547" s="14">
        <v>43690</v>
      </c>
      <c r="T547" s="14">
        <v>44304</v>
      </c>
      <c r="U547" s="14">
        <v>46220</v>
      </c>
      <c r="V547" s="14">
        <v>48106</v>
      </c>
      <c r="W547" s="14">
        <v>66145</v>
      </c>
      <c r="X547" s="14">
        <v>69941</v>
      </c>
      <c r="Y547" s="14">
        <v>72938</v>
      </c>
      <c r="Z547" s="14">
        <v>73781</v>
      </c>
      <c r="AA547" s="14">
        <v>84155</v>
      </c>
      <c r="AB547" s="14">
        <v>90976</v>
      </c>
    </row>
    <row r="548" spans="1:30">
      <c r="A548" s="45" t="s">
        <v>325</v>
      </c>
      <c r="B548" s="45" t="s">
        <v>326</v>
      </c>
      <c r="C548" s="45" t="s">
        <v>490</v>
      </c>
      <c r="D548" s="45" t="s">
        <v>494</v>
      </c>
      <c r="E548" s="45" t="s">
        <v>492</v>
      </c>
      <c r="F548" s="45" t="s">
        <v>493</v>
      </c>
      <c r="G548" s="14">
        <v>11740</v>
      </c>
      <c r="H548" s="14">
        <v>13158</v>
      </c>
      <c r="I548" s="14">
        <v>14152</v>
      </c>
      <c r="J548" s="14">
        <v>15009</v>
      </c>
      <c r="K548" s="14">
        <v>18275</v>
      </c>
      <c r="L548" s="14">
        <v>20156</v>
      </c>
      <c r="M548" s="14">
        <v>22328</v>
      </c>
      <c r="N548" s="14">
        <v>28672</v>
      </c>
      <c r="O548" s="14">
        <v>25894</v>
      </c>
      <c r="P548" s="14">
        <v>30522</v>
      </c>
      <c r="Q548" s="14">
        <v>36151</v>
      </c>
      <c r="R548" s="14">
        <v>41716</v>
      </c>
      <c r="S548" s="14">
        <v>40158</v>
      </c>
      <c r="T548" s="14">
        <v>41003</v>
      </c>
      <c r="U548" s="14">
        <v>44550</v>
      </c>
      <c r="V548" s="14">
        <v>46356</v>
      </c>
      <c r="W548" s="14">
        <v>61335</v>
      </c>
      <c r="X548" s="14">
        <v>65469</v>
      </c>
      <c r="Y548" s="14">
        <v>68565</v>
      </c>
      <c r="Z548" s="14">
        <v>68310</v>
      </c>
      <c r="AA548" s="14"/>
      <c r="AB548" s="14"/>
    </row>
    <row r="549" spans="1:30">
      <c r="A549" s="45" t="s">
        <v>325</v>
      </c>
      <c r="B549" s="45" t="s">
        <v>326</v>
      </c>
      <c r="C549" s="45" t="s">
        <v>490</v>
      </c>
      <c r="D549" s="45" t="s">
        <v>495</v>
      </c>
      <c r="E549" s="45" t="s">
        <v>492</v>
      </c>
      <c r="F549" s="45" t="s">
        <v>493</v>
      </c>
      <c r="G549" s="14">
        <v>693</v>
      </c>
      <c r="H549" s="14">
        <v>493</v>
      </c>
      <c r="I549" s="14">
        <v>514</v>
      </c>
      <c r="J549" s="14">
        <v>571</v>
      </c>
      <c r="K549" s="14">
        <v>695</v>
      </c>
      <c r="L549" s="14">
        <v>840</v>
      </c>
      <c r="M549" s="14">
        <v>779</v>
      </c>
      <c r="N549" s="14">
        <v>4196</v>
      </c>
      <c r="O549" s="14">
        <v>1652</v>
      </c>
      <c r="P549" s="14">
        <v>2650</v>
      </c>
      <c r="Q549" s="14">
        <v>5635</v>
      </c>
      <c r="R549" s="14">
        <v>6417</v>
      </c>
      <c r="S549" s="14">
        <v>4320</v>
      </c>
      <c r="T549" s="14">
        <v>2352</v>
      </c>
      <c r="U549" s="14">
        <v>2483</v>
      </c>
      <c r="V549" s="14">
        <v>2660</v>
      </c>
      <c r="W549" s="14">
        <v>2393</v>
      </c>
      <c r="X549" s="14">
        <v>2558</v>
      </c>
      <c r="Y549" s="14">
        <v>2613</v>
      </c>
      <c r="Z549" s="14">
        <v>2926</v>
      </c>
      <c r="AA549" s="14"/>
      <c r="AB549" s="14"/>
    </row>
    <row r="550" spans="1:30">
      <c r="A550" s="45" t="s">
        <v>325</v>
      </c>
      <c r="B550" s="45" t="s">
        <v>326</v>
      </c>
      <c r="C550" s="45" t="s">
        <v>490</v>
      </c>
      <c r="D550" s="45" t="s">
        <v>496</v>
      </c>
      <c r="E550" s="45" t="s">
        <v>492</v>
      </c>
      <c r="F550" s="45" t="s">
        <v>493</v>
      </c>
      <c r="G550" s="14">
        <v>2510</v>
      </c>
      <c r="H550" s="14">
        <v>2878</v>
      </c>
      <c r="I550" s="14">
        <v>3213</v>
      </c>
      <c r="J550" s="14">
        <v>3394</v>
      </c>
      <c r="K550" s="14">
        <v>3939</v>
      </c>
      <c r="L550" s="14">
        <v>4340</v>
      </c>
      <c r="M550" s="14">
        <v>4464</v>
      </c>
      <c r="N550" s="14">
        <v>5235</v>
      </c>
      <c r="O550" s="14">
        <v>5512</v>
      </c>
      <c r="P550" s="14">
        <v>6335</v>
      </c>
      <c r="Q550" s="14">
        <v>8260</v>
      </c>
      <c r="R550" s="14">
        <v>9474</v>
      </c>
      <c r="S550" s="14">
        <v>9435</v>
      </c>
      <c r="T550" s="14">
        <v>10559</v>
      </c>
      <c r="U550" s="14">
        <v>11533</v>
      </c>
      <c r="V550" s="14">
        <v>11770</v>
      </c>
      <c r="W550" s="14">
        <v>22948</v>
      </c>
      <c r="X550" s="14">
        <v>23967</v>
      </c>
      <c r="Y550" s="14">
        <v>22726</v>
      </c>
      <c r="Z550" s="14">
        <v>22671</v>
      </c>
      <c r="AA550" s="14"/>
      <c r="AB550" s="14"/>
    </row>
    <row r="551" spans="1:30">
      <c r="A551" s="45" t="s">
        <v>325</v>
      </c>
      <c r="B551" s="45" t="s">
        <v>326</v>
      </c>
      <c r="C551" s="45" t="s">
        <v>490</v>
      </c>
      <c r="D551" s="45" t="s">
        <v>497</v>
      </c>
      <c r="E551" s="45" t="s">
        <v>492</v>
      </c>
      <c r="F551" s="45" t="s">
        <v>493</v>
      </c>
      <c r="G551" s="14">
        <v>6695</v>
      </c>
      <c r="H551" s="14">
        <v>6998</v>
      </c>
      <c r="I551" s="14">
        <v>7905</v>
      </c>
      <c r="J551" s="14">
        <v>8817</v>
      </c>
      <c r="K551" s="14">
        <v>10469</v>
      </c>
      <c r="L551" s="14">
        <v>12618</v>
      </c>
      <c r="M551" s="14">
        <v>14347</v>
      </c>
      <c r="N551" s="14">
        <v>16280</v>
      </c>
      <c r="O551" s="14">
        <v>16923</v>
      </c>
      <c r="P551" s="14">
        <v>18631</v>
      </c>
      <c r="Q551" s="14">
        <v>20020</v>
      </c>
      <c r="R551" s="14">
        <v>22866</v>
      </c>
      <c r="S551" s="14">
        <v>23303</v>
      </c>
      <c r="T551" s="14">
        <v>24794</v>
      </c>
      <c r="U551" s="14">
        <v>27875</v>
      </c>
      <c r="V551" s="14">
        <v>28497</v>
      </c>
      <c r="W551" s="14">
        <v>31511</v>
      </c>
      <c r="X551" s="14">
        <v>34579</v>
      </c>
      <c r="Y551" s="14">
        <v>35220</v>
      </c>
      <c r="Z551" s="14">
        <v>36168</v>
      </c>
      <c r="AA551" s="14"/>
      <c r="AB551" s="14"/>
    </row>
    <row r="552" spans="1:30">
      <c r="A552" s="45" t="s">
        <v>325</v>
      </c>
      <c r="B552" s="45" t="s">
        <v>326</v>
      </c>
      <c r="C552" s="45" t="s">
        <v>498</v>
      </c>
      <c r="D552" s="45" t="s">
        <v>491</v>
      </c>
      <c r="E552" s="45" t="s">
        <v>499</v>
      </c>
      <c r="F552" s="45" t="s">
        <v>500</v>
      </c>
      <c r="G552" s="14">
        <v>23100.3</v>
      </c>
      <c r="H552" s="14">
        <v>22595.200000000001</v>
      </c>
      <c r="I552" s="14">
        <v>22557.5</v>
      </c>
      <c r="J552" s="14">
        <v>22278.9</v>
      </c>
      <c r="K552" s="14">
        <v>25966.799999999999</v>
      </c>
      <c r="L552" s="14">
        <v>27246.7</v>
      </c>
      <c r="M552" s="14">
        <v>27551.7</v>
      </c>
      <c r="N552" s="14">
        <v>32461.9</v>
      </c>
      <c r="O552" s="14">
        <v>27310</v>
      </c>
      <c r="P552" s="14">
        <v>30009.599999999999</v>
      </c>
      <c r="Q552" s="14">
        <v>33247.699999999997</v>
      </c>
      <c r="R552" s="14">
        <v>36422.5</v>
      </c>
      <c r="S552" s="14">
        <v>32229.3</v>
      </c>
      <c r="T552" s="14">
        <v>30383.3</v>
      </c>
      <c r="U552" s="14">
        <v>29321.200000000001</v>
      </c>
      <c r="V552" s="14">
        <v>29436.9</v>
      </c>
      <c r="W552" s="14">
        <v>38734.800000000003</v>
      </c>
      <c r="X552" s="14">
        <v>39297.699999999997</v>
      </c>
      <c r="Y552" s="14">
        <v>38490.300000000003</v>
      </c>
      <c r="Z552" s="14">
        <v>34441.5</v>
      </c>
      <c r="AA552" s="14"/>
      <c r="AB552" s="14"/>
      <c r="AC552" s="15">
        <f>IFERROR(Z552/G552-1,"")</f>
        <v>0.49095466292645562</v>
      </c>
      <c r="AD552" s="15">
        <f>IFERROR((Z552/G552)^(1/19)-1,"")</f>
        <v>2.1244445033889114E-2</v>
      </c>
    </row>
    <row r="553" spans="1:30">
      <c r="A553" s="45" t="s">
        <v>325</v>
      </c>
      <c r="B553" s="45" t="s">
        <v>326</v>
      </c>
      <c r="C553" s="45" t="s">
        <v>498</v>
      </c>
      <c r="D553" s="45" t="s">
        <v>495</v>
      </c>
      <c r="E553" s="45" t="s">
        <v>499</v>
      </c>
      <c r="F553" s="45" t="s">
        <v>500</v>
      </c>
      <c r="G553" s="14">
        <v>1315.6</v>
      </c>
      <c r="H553" s="14">
        <v>821.7</v>
      </c>
      <c r="I553" s="14">
        <v>793.6</v>
      </c>
      <c r="J553" s="14">
        <v>822</v>
      </c>
      <c r="K553" s="14">
        <v>936.3</v>
      </c>
      <c r="L553" s="14">
        <v>1062.5999999999999</v>
      </c>
      <c r="M553" s="14">
        <v>906</v>
      </c>
      <c r="N553" s="14">
        <v>4549.3999999999996</v>
      </c>
      <c r="O553" s="14">
        <v>1652</v>
      </c>
      <c r="P553" s="14">
        <v>2446.5</v>
      </c>
      <c r="Q553" s="14">
        <v>4819.3999999999996</v>
      </c>
      <c r="R553" s="14">
        <v>5105.1000000000004</v>
      </c>
      <c r="S553" s="14">
        <v>3186.8</v>
      </c>
      <c r="T553" s="14">
        <v>1613</v>
      </c>
      <c r="U553" s="14">
        <v>1575.2</v>
      </c>
      <c r="V553" s="14">
        <v>1627.7</v>
      </c>
      <c r="W553" s="14">
        <v>1401.4</v>
      </c>
      <c r="X553" s="14">
        <v>1437.3</v>
      </c>
      <c r="Y553" s="14">
        <v>1378.9</v>
      </c>
      <c r="Z553" s="14">
        <v>1365.9</v>
      </c>
      <c r="AA553" s="14"/>
      <c r="AB553" s="14"/>
      <c r="AC553" s="15">
        <f>IFERROR(Z553/G553-1,"")</f>
        <v>3.8233505624810205E-2</v>
      </c>
      <c r="AD553" s="15">
        <f>IFERROR((Z553/G553)^(1/19)-1,"")</f>
        <v>1.9767257142762062E-3</v>
      </c>
    </row>
    <row r="554" spans="1:30">
      <c r="A554" s="45" t="s">
        <v>325</v>
      </c>
      <c r="B554" s="45" t="s">
        <v>326</v>
      </c>
      <c r="C554" s="45" t="s">
        <v>498</v>
      </c>
      <c r="D554" s="45" t="s">
        <v>496</v>
      </c>
      <c r="E554" s="45" t="s">
        <v>499</v>
      </c>
      <c r="F554" s="45" t="s">
        <v>500</v>
      </c>
      <c r="G554" s="14">
        <v>4769.2</v>
      </c>
      <c r="H554" s="14">
        <v>4792.8999999999996</v>
      </c>
      <c r="I554" s="14">
        <v>4965.6000000000004</v>
      </c>
      <c r="J554" s="14">
        <v>4881.3</v>
      </c>
      <c r="K554" s="14">
        <v>5306</v>
      </c>
      <c r="L554" s="14">
        <v>5492.4</v>
      </c>
      <c r="M554" s="14">
        <v>5193.6000000000004</v>
      </c>
      <c r="N554" s="14">
        <v>5676</v>
      </c>
      <c r="O554" s="14">
        <v>5512</v>
      </c>
      <c r="P554" s="14">
        <v>5848.5</v>
      </c>
      <c r="Q554" s="14">
        <v>7064.5</v>
      </c>
      <c r="R554" s="14">
        <v>7537.2</v>
      </c>
      <c r="S554" s="14">
        <v>6960</v>
      </c>
      <c r="T554" s="14">
        <v>7241.3</v>
      </c>
      <c r="U554" s="14">
        <v>7316.4</v>
      </c>
      <c r="V554" s="14">
        <v>7202.3</v>
      </c>
      <c r="W554" s="14">
        <v>13438.4</v>
      </c>
      <c r="X554" s="14">
        <v>13466.3</v>
      </c>
      <c r="Y554" s="14">
        <v>11992.8</v>
      </c>
      <c r="Z554" s="14">
        <v>10583</v>
      </c>
      <c r="AA554" s="14"/>
      <c r="AB554" s="14"/>
      <c r="AC554" s="15">
        <f>IFERROR(Z554/G554-1,"")</f>
        <v>1.2190304453577121</v>
      </c>
      <c r="AD554" s="15">
        <f>IFERROR((Z554/G554)^(1/19)-1,"")</f>
        <v>4.2843453047336499E-2</v>
      </c>
    </row>
    <row r="555" spans="1:30">
      <c r="A555" s="45" t="s">
        <v>325</v>
      </c>
      <c r="B555" s="45" t="s">
        <v>326</v>
      </c>
      <c r="C555" s="45" t="s">
        <v>498</v>
      </c>
      <c r="D555" s="45" t="s">
        <v>497</v>
      </c>
      <c r="E555" s="45" t="s">
        <v>499</v>
      </c>
      <c r="F555" s="45" t="s">
        <v>500</v>
      </c>
      <c r="G555" s="14">
        <v>12718.9</v>
      </c>
      <c r="H555" s="14">
        <v>11652.6</v>
      </c>
      <c r="I555" s="14">
        <v>12215.7</v>
      </c>
      <c r="J555" s="14">
        <v>12682.8</v>
      </c>
      <c r="K555" s="14">
        <v>14103.8</v>
      </c>
      <c r="L555" s="14">
        <v>15970.3</v>
      </c>
      <c r="M555" s="14">
        <v>16693.5</v>
      </c>
      <c r="N555" s="14">
        <v>17651.3</v>
      </c>
      <c r="O555" s="14">
        <v>16923</v>
      </c>
      <c r="P555" s="14">
        <v>17200.2</v>
      </c>
      <c r="Q555" s="14">
        <v>17122.5</v>
      </c>
      <c r="R555" s="14">
        <v>18191.400000000001</v>
      </c>
      <c r="S555" s="14">
        <v>17190.2</v>
      </c>
      <c r="T555" s="14">
        <v>17003.5</v>
      </c>
      <c r="U555" s="14">
        <v>17683.5</v>
      </c>
      <c r="V555" s="14">
        <v>17437.8</v>
      </c>
      <c r="W555" s="14">
        <v>18453</v>
      </c>
      <c r="X555" s="14">
        <v>19428.900000000001</v>
      </c>
      <c r="Y555" s="14">
        <v>18586</v>
      </c>
      <c r="Z555" s="14">
        <v>16884</v>
      </c>
      <c r="AA555" s="14"/>
      <c r="AB555" s="14"/>
      <c r="AC555" s="15">
        <f>IFERROR(Z555/G555-1,"")</f>
        <v>0.32747328778432094</v>
      </c>
      <c r="AD555" s="15">
        <f>IFERROR((Z555/G555)^(1/19)-1,"")</f>
        <v>1.5021032853138605E-2</v>
      </c>
    </row>
    <row r="556" spans="1:30">
      <c r="A556" s="45" t="s">
        <v>325</v>
      </c>
      <c r="B556" s="45" t="s">
        <v>326</v>
      </c>
      <c r="C556" s="45" t="s">
        <v>498</v>
      </c>
      <c r="D556" s="45" t="s">
        <v>501</v>
      </c>
      <c r="E556" s="45" t="s">
        <v>499</v>
      </c>
      <c r="F556" s="45" t="s">
        <v>500</v>
      </c>
      <c r="G556" s="14">
        <v>3499.3</v>
      </c>
      <c r="H556" s="14">
        <v>4643.1000000000004</v>
      </c>
      <c r="I556" s="14">
        <v>3895.1</v>
      </c>
      <c r="J556" s="14">
        <v>3203.8</v>
      </c>
      <c r="K556" s="14">
        <v>4273.8</v>
      </c>
      <c r="L556" s="14">
        <v>2985.9</v>
      </c>
      <c r="M556" s="14">
        <v>3185.7</v>
      </c>
      <c r="N556" s="14">
        <v>3209.3</v>
      </c>
      <c r="O556" s="14">
        <v>1806</v>
      </c>
      <c r="P556" s="14">
        <v>2682.8</v>
      </c>
      <c r="Q556" s="14">
        <v>1912.4</v>
      </c>
      <c r="R556" s="14">
        <v>2353.3000000000002</v>
      </c>
      <c r="S556" s="14">
        <v>2286.8000000000002</v>
      </c>
      <c r="T556" s="14">
        <v>2261.6999999999998</v>
      </c>
      <c r="U556" s="14">
        <v>1686.8</v>
      </c>
      <c r="V556" s="14">
        <v>2098.3000000000002</v>
      </c>
      <c r="W556" s="14">
        <v>2625.8</v>
      </c>
      <c r="X556" s="14">
        <v>2452.6</v>
      </c>
      <c r="Y556" s="14">
        <v>4224.8999999999996</v>
      </c>
      <c r="Z556" s="14">
        <v>3055.7</v>
      </c>
      <c r="AA556" s="14"/>
      <c r="AB556" s="14"/>
      <c r="AC556" s="15">
        <f>IFERROR(Z556/G556-1,"")</f>
        <v>-0.12676821078501421</v>
      </c>
      <c r="AD556" s="15">
        <f>IFERROR((Z556/G556)^(1/19)-1,"")</f>
        <v>-7.109044527238928E-3</v>
      </c>
    </row>
    <row r="557" spans="1:30">
      <c r="A557" s="45" t="s">
        <v>299</v>
      </c>
      <c r="B557" s="45" t="s">
        <v>300</v>
      </c>
      <c r="C557" s="45" t="s">
        <v>490</v>
      </c>
      <c r="D557" s="45" t="s">
        <v>491</v>
      </c>
      <c r="E557" s="45" t="s">
        <v>492</v>
      </c>
      <c r="F557" s="45" t="s">
        <v>493</v>
      </c>
      <c r="G557" s="14">
        <v>15227</v>
      </c>
      <c r="H557" s="14">
        <v>19050</v>
      </c>
      <c r="I557" s="14">
        <v>20770</v>
      </c>
      <c r="J557" s="14">
        <v>21034</v>
      </c>
      <c r="K557" s="14">
        <v>24992</v>
      </c>
      <c r="L557" s="14">
        <v>28933</v>
      </c>
      <c r="M557" s="14">
        <v>32452</v>
      </c>
      <c r="N557" s="14">
        <v>33668</v>
      </c>
      <c r="O557" s="14">
        <v>36581</v>
      </c>
      <c r="P557" s="14">
        <v>43573</v>
      </c>
      <c r="Q557" s="14">
        <v>42574</v>
      </c>
      <c r="R557" s="14">
        <v>53300</v>
      </c>
      <c r="S557" s="14">
        <v>52797</v>
      </c>
      <c r="T557" s="14">
        <v>56753</v>
      </c>
      <c r="U557" s="14">
        <v>55997</v>
      </c>
      <c r="V557" s="14">
        <v>60725</v>
      </c>
      <c r="W557" s="14">
        <v>66799</v>
      </c>
      <c r="X557" s="14">
        <v>73641</v>
      </c>
      <c r="Y557" s="14">
        <v>77730</v>
      </c>
      <c r="Z557" s="14">
        <v>86389</v>
      </c>
      <c r="AA557" s="14">
        <v>91188</v>
      </c>
      <c r="AB557" s="14">
        <v>100644</v>
      </c>
    </row>
    <row r="558" spans="1:30">
      <c r="A558" s="45" t="s">
        <v>299</v>
      </c>
      <c r="B558" s="45" t="s">
        <v>300</v>
      </c>
      <c r="C558" s="45" t="s">
        <v>490</v>
      </c>
      <c r="D558" s="45" t="s">
        <v>494</v>
      </c>
      <c r="E558" s="45" t="s">
        <v>492</v>
      </c>
      <c r="F558" s="45" t="s">
        <v>493</v>
      </c>
      <c r="G558" s="14">
        <v>14380</v>
      </c>
      <c r="H558" s="14">
        <v>18079</v>
      </c>
      <c r="I558" s="14">
        <v>19635</v>
      </c>
      <c r="J558" s="14">
        <v>20020</v>
      </c>
      <c r="K558" s="14">
        <v>23281</v>
      </c>
      <c r="L558" s="14">
        <v>27017</v>
      </c>
      <c r="M558" s="14">
        <v>30057</v>
      </c>
      <c r="N558" s="14">
        <v>31534</v>
      </c>
      <c r="O558" s="14">
        <v>33938</v>
      </c>
      <c r="P558" s="14">
        <v>40569</v>
      </c>
      <c r="Q558" s="14">
        <v>40243</v>
      </c>
      <c r="R558" s="14">
        <v>49253</v>
      </c>
      <c r="S558" s="14">
        <v>50076</v>
      </c>
      <c r="T558" s="14">
        <v>53918</v>
      </c>
      <c r="U558" s="14">
        <v>54297</v>
      </c>
      <c r="V558" s="14">
        <v>59326</v>
      </c>
      <c r="W558" s="14">
        <v>64333</v>
      </c>
      <c r="X558" s="14">
        <v>71000</v>
      </c>
      <c r="Y558" s="14">
        <v>74895</v>
      </c>
      <c r="Z558" s="14">
        <v>82310</v>
      </c>
      <c r="AA558" s="14"/>
      <c r="AB558" s="14"/>
    </row>
    <row r="559" spans="1:30">
      <c r="A559" s="45" t="s">
        <v>299</v>
      </c>
      <c r="B559" s="45" t="s">
        <v>300</v>
      </c>
      <c r="C559" s="45" t="s">
        <v>490</v>
      </c>
      <c r="D559" s="45" t="s">
        <v>495</v>
      </c>
      <c r="E559" s="45" t="s">
        <v>492</v>
      </c>
      <c r="F559" s="45" t="s">
        <v>493</v>
      </c>
      <c r="G559" s="14">
        <v>1623</v>
      </c>
      <c r="H559" s="14">
        <v>1529</v>
      </c>
      <c r="I559" s="14">
        <v>1547</v>
      </c>
      <c r="J559" s="14">
        <v>1567</v>
      </c>
      <c r="K559" s="14">
        <v>2094</v>
      </c>
      <c r="L559" s="14">
        <v>3374</v>
      </c>
      <c r="M559" s="14">
        <v>4157</v>
      </c>
      <c r="N559" s="14">
        <v>3066</v>
      </c>
      <c r="O559" s="14">
        <v>4331</v>
      </c>
      <c r="P559" s="14">
        <v>5608</v>
      </c>
      <c r="Q559" s="14">
        <v>5040</v>
      </c>
      <c r="R559" s="14">
        <v>6404</v>
      </c>
      <c r="S559" s="14">
        <v>4638</v>
      </c>
      <c r="T559" s="14">
        <v>4171</v>
      </c>
      <c r="U559" s="14">
        <v>2298</v>
      </c>
      <c r="V559" s="14">
        <v>2404</v>
      </c>
      <c r="W559" s="14">
        <v>3190</v>
      </c>
      <c r="X559" s="14">
        <v>2881</v>
      </c>
      <c r="Y559" s="14">
        <v>2790</v>
      </c>
      <c r="Z559" s="14">
        <v>3671</v>
      </c>
      <c r="AA559" s="14"/>
      <c r="AB559" s="14"/>
    </row>
    <row r="560" spans="1:30">
      <c r="A560" s="45" t="s">
        <v>299</v>
      </c>
      <c r="B560" s="45" t="s">
        <v>300</v>
      </c>
      <c r="C560" s="45" t="s">
        <v>490</v>
      </c>
      <c r="D560" s="45" t="s">
        <v>496</v>
      </c>
      <c r="E560" s="45" t="s">
        <v>492</v>
      </c>
      <c r="F560" s="45" t="s">
        <v>493</v>
      </c>
      <c r="G560" s="14">
        <v>2437</v>
      </c>
      <c r="H560" s="14">
        <v>3171</v>
      </c>
      <c r="I560" s="14">
        <v>3751</v>
      </c>
      <c r="J560" s="14">
        <v>3627</v>
      </c>
      <c r="K560" s="14">
        <v>4210</v>
      </c>
      <c r="L560" s="14">
        <v>5068</v>
      </c>
      <c r="M560" s="14">
        <v>5128</v>
      </c>
      <c r="N560" s="14">
        <v>5741</v>
      </c>
      <c r="O560" s="14">
        <v>6355</v>
      </c>
      <c r="P560" s="14">
        <v>7083</v>
      </c>
      <c r="Q560" s="14">
        <v>7625</v>
      </c>
      <c r="R560" s="14">
        <v>10240</v>
      </c>
      <c r="S560" s="14">
        <v>9101</v>
      </c>
      <c r="T560" s="14">
        <v>10865</v>
      </c>
      <c r="U560" s="14">
        <v>10963</v>
      </c>
      <c r="V560" s="14">
        <v>11721</v>
      </c>
      <c r="W560" s="14">
        <v>15719</v>
      </c>
      <c r="X560" s="14">
        <v>17312</v>
      </c>
      <c r="Y560" s="14">
        <v>17538</v>
      </c>
      <c r="Z560" s="14">
        <v>19724</v>
      </c>
      <c r="AA560" s="14"/>
      <c r="AB560" s="14"/>
    </row>
    <row r="561" spans="1:30">
      <c r="A561" s="45" t="s">
        <v>299</v>
      </c>
      <c r="B561" s="45" t="s">
        <v>300</v>
      </c>
      <c r="C561" s="45" t="s">
        <v>490</v>
      </c>
      <c r="D561" s="45" t="s">
        <v>497</v>
      </c>
      <c r="E561" s="45" t="s">
        <v>492</v>
      </c>
      <c r="F561" s="45" t="s">
        <v>493</v>
      </c>
      <c r="G561" s="14">
        <v>9200</v>
      </c>
      <c r="H561" s="14">
        <v>10178</v>
      </c>
      <c r="I561" s="14">
        <v>11746</v>
      </c>
      <c r="J561" s="14">
        <v>13356</v>
      </c>
      <c r="K561" s="14">
        <v>15072</v>
      </c>
      <c r="L561" s="14">
        <v>17301</v>
      </c>
      <c r="M561" s="14">
        <v>19223</v>
      </c>
      <c r="N561" s="14">
        <v>21355</v>
      </c>
      <c r="O561" s="14">
        <v>21953</v>
      </c>
      <c r="P561" s="14">
        <v>25659</v>
      </c>
      <c r="Q561" s="14">
        <v>26566</v>
      </c>
      <c r="R561" s="14">
        <v>31538</v>
      </c>
      <c r="S561" s="14">
        <v>34806</v>
      </c>
      <c r="T561" s="14">
        <v>37129</v>
      </c>
      <c r="U561" s="14">
        <v>39324</v>
      </c>
      <c r="V561" s="14">
        <v>43293</v>
      </c>
      <c r="W561" s="14">
        <v>43694</v>
      </c>
      <c r="X561" s="14">
        <v>47841</v>
      </c>
      <c r="Y561" s="14">
        <v>49064</v>
      </c>
      <c r="Z561" s="14">
        <v>52812</v>
      </c>
      <c r="AA561" s="14"/>
      <c r="AB561" s="14"/>
    </row>
    <row r="562" spans="1:30">
      <c r="A562" s="45" t="s">
        <v>299</v>
      </c>
      <c r="B562" s="45" t="s">
        <v>300</v>
      </c>
      <c r="C562" s="45" t="s">
        <v>498</v>
      </c>
      <c r="D562" s="45" t="s">
        <v>491</v>
      </c>
      <c r="E562" s="45" t="s">
        <v>499</v>
      </c>
      <c r="F562" s="45" t="s">
        <v>500</v>
      </c>
      <c r="G562" s="14">
        <v>28926.5</v>
      </c>
      <c r="H562" s="14">
        <v>31721.200000000001</v>
      </c>
      <c r="I562" s="14">
        <v>32096.7</v>
      </c>
      <c r="J562" s="14">
        <v>30255.8</v>
      </c>
      <c r="K562" s="14">
        <v>33668.1</v>
      </c>
      <c r="L562" s="14">
        <v>36619.199999999997</v>
      </c>
      <c r="M562" s="14">
        <v>37759.1</v>
      </c>
      <c r="N562" s="14">
        <v>36504</v>
      </c>
      <c r="O562" s="14">
        <v>36581</v>
      </c>
      <c r="P562" s="14">
        <v>40226.699999999997</v>
      </c>
      <c r="Q562" s="14">
        <v>36412.199999999997</v>
      </c>
      <c r="R562" s="14">
        <v>42403.6</v>
      </c>
      <c r="S562" s="14">
        <v>38947.300000000003</v>
      </c>
      <c r="T562" s="14">
        <v>38920.800000000003</v>
      </c>
      <c r="U562" s="14">
        <v>35523.599999999999</v>
      </c>
      <c r="V562" s="14">
        <v>37158.699999999997</v>
      </c>
      <c r="W562" s="14">
        <v>39117.800000000003</v>
      </c>
      <c r="X562" s="14">
        <v>41376.6</v>
      </c>
      <c r="Y562" s="14">
        <v>41019.1</v>
      </c>
      <c r="Z562" s="14">
        <v>40327</v>
      </c>
      <c r="AA562" s="14"/>
      <c r="AB562" s="14"/>
      <c r="AC562" s="15">
        <f>IFERROR(Z562/G562-1,"")</f>
        <v>0.39411957893281246</v>
      </c>
      <c r="AD562" s="15">
        <f>IFERROR((Z562/G562)^(1/19)-1,"")</f>
        <v>1.7641333145591132E-2</v>
      </c>
    </row>
    <row r="563" spans="1:30">
      <c r="A563" s="45" t="s">
        <v>299</v>
      </c>
      <c r="B563" s="45" t="s">
        <v>300</v>
      </c>
      <c r="C563" s="45" t="s">
        <v>498</v>
      </c>
      <c r="D563" s="45" t="s">
        <v>495</v>
      </c>
      <c r="E563" s="45" t="s">
        <v>499</v>
      </c>
      <c r="F563" s="45" t="s">
        <v>500</v>
      </c>
      <c r="G563" s="14">
        <v>3083.4</v>
      </c>
      <c r="H563" s="14">
        <v>2546.1</v>
      </c>
      <c r="I563" s="14">
        <v>2390.6</v>
      </c>
      <c r="J563" s="14">
        <v>2254.6999999999998</v>
      </c>
      <c r="K563" s="14">
        <v>2820.7</v>
      </c>
      <c r="L563" s="14">
        <v>4270</v>
      </c>
      <c r="M563" s="14">
        <v>4837.2</v>
      </c>
      <c r="N563" s="14">
        <v>3324.3</v>
      </c>
      <c r="O563" s="14">
        <v>4331</v>
      </c>
      <c r="P563" s="14">
        <v>5177.3</v>
      </c>
      <c r="Q563" s="14">
        <v>4310.5</v>
      </c>
      <c r="R563" s="14">
        <v>5094.8</v>
      </c>
      <c r="S563" s="14">
        <v>3421.4</v>
      </c>
      <c r="T563" s="14">
        <v>2860.4</v>
      </c>
      <c r="U563" s="14">
        <v>1457.8</v>
      </c>
      <c r="V563" s="14">
        <v>1471.1</v>
      </c>
      <c r="W563" s="14">
        <v>1868.1</v>
      </c>
      <c r="X563" s="14">
        <v>1618.7</v>
      </c>
      <c r="Y563" s="14">
        <v>1472.3</v>
      </c>
      <c r="Z563" s="14">
        <v>1713.6</v>
      </c>
      <c r="AA563" s="14"/>
      <c r="AB563" s="14"/>
      <c r="AC563" s="15">
        <f>IFERROR(Z563/G563-1,"")</f>
        <v>-0.44424985405720963</v>
      </c>
      <c r="AD563" s="15">
        <f>IFERROR((Z563/G563)^(1/19)-1,"")</f>
        <v>-3.0444644145900646E-2</v>
      </c>
    </row>
    <row r="564" spans="1:30">
      <c r="A564" s="45" t="s">
        <v>299</v>
      </c>
      <c r="B564" s="45" t="s">
        <v>300</v>
      </c>
      <c r="C564" s="45" t="s">
        <v>498</v>
      </c>
      <c r="D564" s="45" t="s">
        <v>496</v>
      </c>
      <c r="E564" s="45" t="s">
        <v>499</v>
      </c>
      <c r="F564" s="45" t="s">
        <v>500</v>
      </c>
      <c r="G564" s="14">
        <v>4628.8999999999996</v>
      </c>
      <c r="H564" s="14">
        <v>5279.3</v>
      </c>
      <c r="I564" s="14">
        <v>5795.8</v>
      </c>
      <c r="J564" s="14">
        <v>5217.8999999999996</v>
      </c>
      <c r="K564" s="14">
        <v>5671.3</v>
      </c>
      <c r="L564" s="14">
        <v>6414.6</v>
      </c>
      <c r="M564" s="14">
        <v>5966.1</v>
      </c>
      <c r="N564" s="14">
        <v>6224.6</v>
      </c>
      <c r="O564" s="14">
        <v>6355</v>
      </c>
      <c r="P564" s="14">
        <v>6539</v>
      </c>
      <c r="Q564" s="14">
        <v>6521.4</v>
      </c>
      <c r="R564" s="14">
        <v>8146.6</v>
      </c>
      <c r="S564" s="14">
        <v>6713.6</v>
      </c>
      <c r="T564" s="14">
        <v>7451.1</v>
      </c>
      <c r="U564" s="14">
        <v>6954.8</v>
      </c>
      <c r="V564" s="14">
        <v>7172.3</v>
      </c>
      <c r="W564" s="14">
        <v>9205.1</v>
      </c>
      <c r="X564" s="14">
        <v>9727.1</v>
      </c>
      <c r="Y564" s="14">
        <v>9255</v>
      </c>
      <c r="Z564" s="14">
        <v>9207.7999999999993</v>
      </c>
      <c r="AA564" s="14"/>
      <c r="AB564" s="14"/>
      <c r="AC564" s="15">
        <f>IFERROR(Z564/G564-1,"")</f>
        <v>0.98919829765170997</v>
      </c>
      <c r="AD564" s="15">
        <f>IFERROR((Z564/G564)^(1/19)-1,"")</f>
        <v>3.6859470717926834E-2</v>
      </c>
    </row>
    <row r="565" spans="1:30">
      <c r="A565" s="45" t="s">
        <v>299</v>
      </c>
      <c r="B565" s="45" t="s">
        <v>300</v>
      </c>
      <c r="C565" s="45" t="s">
        <v>498</v>
      </c>
      <c r="D565" s="45" t="s">
        <v>497</v>
      </c>
      <c r="E565" s="45" t="s">
        <v>499</v>
      </c>
      <c r="F565" s="45" t="s">
        <v>500</v>
      </c>
      <c r="G565" s="14">
        <v>17477.5</v>
      </c>
      <c r="H565" s="14">
        <v>16947.099999999999</v>
      </c>
      <c r="I565" s="14">
        <v>18151.400000000001</v>
      </c>
      <c r="J565" s="14">
        <v>19211.099999999999</v>
      </c>
      <c r="K565" s="14">
        <v>20304.2</v>
      </c>
      <c r="L565" s="14">
        <v>21897.8</v>
      </c>
      <c r="M565" s="14">
        <v>22366.9</v>
      </c>
      <c r="N565" s="14">
        <v>23153.8</v>
      </c>
      <c r="O565" s="14">
        <v>21953</v>
      </c>
      <c r="P565" s="14">
        <v>23688.5</v>
      </c>
      <c r="Q565" s="14">
        <v>22721</v>
      </c>
      <c r="R565" s="14">
        <v>25090.5</v>
      </c>
      <c r="S565" s="14">
        <v>25675.7</v>
      </c>
      <c r="T565" s="14">
        <v>25462.799999999999</v>
      </c>
      <c r="U565" s="14">
        <v>24946.5</v>
      </c>
      <c r="V565" s="14">
        <v>26491.8</v>
      </c>
      <c r="W565" s="14">
        <v>25587.4</v>
      </c>
      <c r="X565" s="14">
        <v>26880.400000000001</v>
      </c>
      <c r="Y565" s="14">
        <v>25891.7</v>
      </c>
      <c r="Z565" s="14">
        <v>24653.5</v>
      </c>
      <c r="AA565" s="14"/>
      <c r="AB565" s="14"/>
      <c r="AC565" s="15">
        <f>IFERROR(Z565/G565-1,"")</f>
        <v>0.41058503790587908</v>
      </c>
      <c r="AD565" s="15">
        <f>IFERROR((Z565/G565)^(1/19)-1,"")</f>
        <v>1.8270400331497072E-2</v>
      </c>
    </row>
    <row r="566" spans="1:30">
      <c r="A566" s="45" t="s">
        <v>299</v>
      </c>
      <c r="B566" s="45" t="s">
        <v>300</v>
      </c>
      <c r="C566" s="45" t="s">
        <v>498</v>
      </c>
      <c r="D566" s="45" t="s">
        <v>501</v>
      </c>
      <c r="E566" s="45" t="s">
        <v>499</v>
      </c>
      <c r="F566" s="45" t="s">
        <v>500</v>
      </c>
      <c r="G566" s="14">
        <v>2127.6999999999998</v>
      </c>
      <c r="H566" s="14">
        <v>5331.3</v>
      </c>
      <c r="I566" s="14">
        <v>4004.3</v>
      </c>
      <c r="J566" s="14">
        <v>2113.8000000000002</v>
      </c>
      <c r="K566" s="14">
        <v>2567.6999999999998</v>
      </c>
      <c r="L566" s="14">
        <v>1611.7</v>
      </c>
      <c r="M566" s="14">
        <v>1801.5</v>
      </c>
      <c r="N566" s="14">
        <v>1486.5</v>
      </c>
      <c r="O566" s="14">
        <v>1299</v>
      </c>
      <c r="P566" s="14">
        <v>2049.5</v>
      </c>
      <c r="Q566" s="14">
        <v>865.5</v>
      </c>
      <c r="R566" s="14">
        <v>852.8</v>
      </c>
      <c r="S566" s="14">
        <v>1129.4000000000001</v>
      </c>
      <c r="T566" s="14">
        <v>1201.5</v>
      </c>
      <c r="U566" s="14">
        <v>1086.0999999999999</v>
      </c>
      <c r="V566" s="14">
        <v>1168.2</v>
      </c>
      <c r="W566" s="14">
        <v>1013.1</v>
      </c>
      <c r="X566" s="14">
        <v>1666.5</v>
      </c>
      <c r="Y566" s="14">
        <v>2903.5</v>
      </c>
      <c r="Z566" s="14">
        <v>2848.9</v>
      </c>
      <c r="AA566" s="14"/>
      <c r="AB566" s="14"/>
      <c r="AC566" s="15">
        <f>IFERROR(Z566/G566-1,"")</f>
        <v>0.33895755980636388</v>
      </c>
      <c r="AD566" s="15">
        <f>IFERROR((Z566/G566)^(1/19)-1,"")</f>
        <v>1.5481316684291313E-2</v>
      </c>
    </row>
    <row r="567" spans="1:30">
      <c r="A567" s="45" t="s">
        <v>285</v>
      </c>
      <c r="B567" s="45" t="s">
        <v>286</v>
      </c>
      <c r="C567" s="45" t="s">
        <v>490</v>
      </c>
      <c r="D567" s="45" t="s">
        <v>491</v>
      </c>
      <c r="E567" s="45" t="s">
        <v>492</v>
      </c>
      <c r="F567" s="45" t="s">
        <v>493</v>
      </c>
      <c r="G567" s="14">
        <v>13035</v>
      </c>
      <c r="H567" s="14">
        <v>14910</v>
      </c>
      <c r="I567" s="14">
        <v>16029</v>
      </c>
      <c r="J567" s="14">
        <v>18036</v>
      </c>
      <c r="K567" s="14">
        <v>19573</v>
      </c>
      <c r="L567" s="14">
        <v>22156</v>
      </c>
      <c r="M567" s="14">
        <v>23488</v>
      </c>
      <c r="N567" s="14">
        <v>26791</v>
      </c>
      <c r="O567" s="14">
        <v>29394</v>
      </c>
      <c r="P567" s="14">
        <v>34130</v>
      </c>
      <c r="Q567" s="14">
        <v>38122</v>
      </c>
      <c r="R567" s="14">
        <v>44740</v>
      </c>
      <c r="S567" s="14">
        <v>47821</v>
      </c>
      <c r="T567" s="14">
        <v>62240</v>
      </c>
      <c r="U567" s="14">
        <v>190240</v>
      </c>
      <c r="V567" s="14">
        <v>74772</v>
      </c>
      <c r="W567" s="14">
        <v>67441</v>
      </c>
      <c r="X567" s="14">
        <v>71180</v>
      </c>
      <c r="Y567" s="14">
        <v>74634</v>
      </c>
      <c r="Z567" s="14">
        <v>101429</v>
      </c>
      <c r="AA567" s="14">
        <v>234017</v>
      </c>
      <c r="AB567" s="14">
        <v>363648</v>
      </c>
    </row>
    <row r="568" spans="1:30">
      <c r="A568" s="45" t="s">
        <v>285</v>
      </c>
      <c r="B568" s="45" t="s">
        <v>286</v>
      </c>
      <c r="C568" s="45" t="s">
        <v>490</v>
      </c>
      <c r="D568" s="45" t="s">
        <v>494</v>
      </c>
      <c r="E568" s="45" t="s">
        <v>492</v>
      </c>
      <c r="F568" s="45" t="s">
        <v>493</v>
      </c>
      <c r="G568" s="14">
        <v>12552</v>
      </c>
      <c r="H568" s="14">
        <v>14434</v>
      </c>
      <c r="I568" s="14">
        <v>15482</v>
      </c>
      <c r="J568" s="14">
        <v>17325</v>
      </c>
      <c r="K568" s="14">
        <v>18652</v>
      </c>
      <c r="L568" s="14">
        <v>20938</v>
      </c>
      <c r="M568" s="14">
        <v>22397</v>
      </c>
      <c r="N568" s="14">
        <v>25584</v>
      </c>
      <c r="O568" s="14">
        <v>27876</v>
      </c>
      <c r="P568" s="14">
        <v>32286</v>
      </c>
      <c r="Q568" s="14">
        <v>35885</v>
      </c>
      <c r="R568" s="14">
        <v>42554</v>
      </c>
      <c r="S568" s="14">
        <v>44954</v>
      </c>
      <c r="T568" s="14">
        <v>54969</v>
      </c>
      <c r="U568" s="14">
        <v>161333</v>
      </c>
      <c r="V568" s="14">
        <v>66892</v>
      </c>
      <c r="W568" s="14">
        <v>62566</v>
      </c>
      <c r="X568" s="14">
        <v>67123</v>
      </c>
      <c r="Y568" s="14">
        <v>69697</v>
      </c>
      <c r="Z568" s="14">
        <v>82665</v>
      </c>
      <c r="AA568" s="14"/>
      <c r="AB568" s="14"/>
    </row>
    <row r="569" spans="1:30">
      <c r="A569" s="45" t="s">
        <v>285</v>
      </c>
      <c r="B569" s="45" t="s">
        <v>286</v>
      </c>
      <c r="C569" s="45" t="s">
        <v>490</v>
      </c>
      <c r="D569" s="45" t="s">
        <v>495</v>
      </c>
      <c r="E569" s="45" t="s">
        <v>492</v>
      </c>
      <c r="F569" s="45" t="s">
        <v>493</v>
      </c>
      <c r="G569" s="14">
        <v>803</v>
      </c>
      <c r="H569" s="14">
        <v>739</v>
      </c>
      <c r="I569" s="14">
        <v>824</v>
      </c>
      <c r="J569" s="14">
        <v>1337</v>
      </c>
      <c r="K569" s="14">
        <v>928</v>
      </c>
      <c r="L569" s="14">
        <v>1098</v>
      </c>
      <c r="M569" s="14">
        <v>917</v>
      </c>
      <c r="N569" s="14">
        <v>1016</v>
      </c>
      <c r="O569" s="14">
        <v>1154</v>
      </c>
      <c r="P569" s="14">
        <v>1854</v>
      </c>
      <c r="Q569" s="14">
        <v>2425</v>
      </c>
      <c r="R569" s="14">
        <v>3068</v>
      </c>
      <c r="S569" s="14">
        <v>3858</v>
      </c>
      <c r="T569" s="14">
        <v>8227</v>
      </c>
      <c r="U569" s="14">
        <v>82310</v>
      </c>
      <c r="V569" s="14">
        <v>10812</v>
      </c>
      <c r="W569" s="14">
        <v>5205</v>
      </c>
      <c r="X569" s="14">
        <v>3403</v>
      </c>
      <c r="Y569" s="14">
        <v>2766</v>
      </c>
      <c r="Z569" s="14">
        <v>3878</v>
      </c>
      <c r="AA569" s="14"/>
      <c r="AB569" s="14"/>
    </row>
    <row r="570" spans="1:30">
      <c r="A570" s="45" t="s">
        <v>285</v>
      </c>
      <c r="B570" s="45" t="s">
        <v>286</v>
      </c>
      <c r="C570" s="45" t="s">
        <v>490</v>
      </c>
      <c r="D570" s="45" t="s">
        <v>496</v>
      </c>
      <c r="E570" s="45" t="s">
        <v>492</v>
      </c>
      <c r="F570" s="45" t="s">
        <v>493</v>
      </c>
      <c r="G570" s="14">
        <v>2204</v>
      </c>
      <c r="H570" s="14">
        <v>2633</v>
      </c>
      <c r="I570" s="14">
        <v>2898</v>
      </c>
      <c r="J570" s="14">
        <v>3037</v>
      </c>
      <c r="K570" s="14">
        <v>3272</v>
      </c>
      <c r="L570" s="14">
        <v>3597</v>
      </c>
      <c r="M570" s="14">
        <v>3593</v>
      </c>
      <c r="N570" s="14">
        <v>4324</v>
      </c>
      <c r="O570" s="14">
        <v>4978</v>
      </c>
      <c r="P570" s="14">
        <v>6456</v>
      </c>
      <c r="Q570" s="14">
        <v>7986</v>
      </c>
      <c r="R570" s="14">
        <v>9526</v>
      </c>
      <c r="S570" s="14">
        <v>9442</v>
      </c>
      <c r="T570" s="14">
        <v>12463</v>
      </c>
      <c r="U570" s="14">
        <v>41980</v>
      </c>
      <c r="V570" s="14">
        <v>15564</v>
      </c>
      <c r="W570" s="14">
        <v>15373</v>
      </c>
      <c r="X570" s="14">
        <v>16879</v>
      </c>
      <c r="Y570" s="14">
        <v>18443</v>
      </c>
      <c r="Z570" s="14">
        <v>22218</v>
      </c>
      <c r="AA570" s="14"/>
      <c r="AB570" s="14"/>
    </row>
    <row r="571" spans="1:30">
      <c r="A571" s="45" t="s">
        <v>285</v>
      </c>
      <c r="B571" s="45" t="s">
        <v>286</v>
      </c>
      <c r="C571" s="45" t="s">
        <v>490</v>
      </c>
      <c r="D571" s="45" t="s">
        <v>497</v>
      </c>
      <c r="E571" s="45" t="s">
        <v>492</v>
      </c>
      <c r="F571" s="45" t="s">
        <v>493</v>
      </c>
      <c r="G571" s="14">
        <v>7659</v>
      </c>
      <c r="H571" s="14">
        <v>9247</v>
      </c>
      <c r="I571" s="14">
        <v>9650</v>
      </c>
      <c r="J571" s="14">
        <v>10784</v>
      </c>
      <c r="K571" s="14">
        <v>12275</v>
      </c>
      <c r="L571" s="14">
        <v>14323</v>
      </c>
      <c r="M571" s="14">
        <v>16208</v>
      </c>
      <c r="N571" s="14">
        <v>17760</v>
      </c>
      <c r="O571" s="14">
        <v>19662</v>
      </c>
      <c r="P571" s="14">
        <v>21547</v>
      </c>
      <c r="Q571" s="14">
        <v>23823</v>
      </c>
      <c r="R571" s="14">
        <v>28443</v>
      </c>
      <c r="S571" s="14">
        <v>30081</v>
      </c>
      <c r="T571" s="14">
        <v>32250</v>
      </c>
      <c r="U571" s="14">
        <v>34600</v>
      </c>
      <c r="V571" s="14">
        <v>37961</v>
      </c>
      <c r="W571" s="14">
        <v>39039</v>
      </c>
      <c r="X571" s="14">
        <v>42892</v>
      </c>
      <c r="Y571" s="14">
        <v>43673</v>
      </c>
      <c r="Z571" s="14">
        <v>48265</v>
      </c>
      <c r="AA571" s="14"/>
      <c r="AB571" s="14"/>
    </row>
    <row r="572" spans="1:30">
      <c r="A572" s="45" t="s">
        <v>285</v>
      </c>
      <c r="B572" s="45" t="s">
        <v>286</v>
      </c>
      <c r="C572" s="45" t="s">
        <v>498</v>
      </c>
      <c r="D572" s="45" t="s">
        <v>491</v>
      </c>
      <c r="E572" s="45" t="s">
        <v>499</v>
      </c>
      <c r="F572" s="45" t="s">
        <v>500</v>
      </c>
      <c r="G572" s="14">
        <v>24763.3</v>
      </c>
      <c r="H572" s="14">
        <v>24826.5</v>
      </c>
      <c r="I572" s="14">
        <v>24770.5</v>
      </c>
      <c r="J572" s="14">
        <v>25943.9</v>
      </c>
      <c r="K572" s="14">
        <v>26368.3</v>
      </c>
      <c r="L572" s="14">
        <v>28041.9</v>
      </c>
      <c r="M572" s="14">
        <v>27328.9</v>
      </c>
      <c r="N572" s="14">
        <v>29047.7</v>
      </c>
      <c r="O572" s="14">
        <v>29394</v>
      </c>
      <c r="P572" s="14">
        <v>31508.9</v>
      </c>
      <c r="Q572" s="14">
        <v>32604.5</v>
      </c>
      <c r="R572" s="14">
        <v>35593.5</v>
      </c>
      <c r="S572" s="14">
        <v>35276.6</v>
      </c>
      <c r="T572" s="14">
        <v>42683.7</v>
      </c>
      <c r="U572" s="14">
        <v>120685.2</v>
      </c>
      <c r="V572" s="14">
        <v>45754.400000000001</v>
      </c>
      <c r="W572" s="14">
        <v>39493.699999999997</v>
      </c>
      <c r="X572" s="14">
        <v>39993.800000000003</v>
      </c>
      <c r="Y572" s="14">
        <v>39385.300000000003</v>
      </c>
      <c r="Z572" s="14">
        <v>47347.8</v>
      </c>
      <c r="AA572" s="14"/>
      <c r="AB572" s="14"/>
      <c r="AC572" s="15">
        <f>IFERROR(Z572/G572-1,"")</f>
        <v>0.91201495761873441</v>
      </c>
      <c r="AD572" s="15">
        <f>IFERROR((Z572/G572)^(1/19)-1,"")</f>
        <v>3.4702100697688865E-2</v>
      </c>
    </row>
    <row r="573" spans="1:30">
      <c r="A573" s="45" t="s">
        <v>285</v>
      </c>
      <c r="B573" s="45" t="s">
        <v>286</v>
      </c>
      <c r="C573" s="45" t="s">
        <v>498</v>
      </c>
      <c r="D573" s="45" t="s">
        <v>495</v>
      </c>
      <c r="E573" s="45" t="s">
        <v>499</v>
      </c>
      <c r="F573" s="45" t="s">
        <v>500</v>
      </c>
      <c r="G573" s="14">
        <v>1524.8</v>
      </c>
      <c r="H573" s="14">
        <v>1231</v>
      </c>
      <c r="I573" s="14">
        <v>1273.3</v>
      </c>
      <c r="J573" s="14">
        <v>1923</v>
      </c>
      <c r="K573" s="14">
        <v>1250.7</v>
      </c>
      <c r="L573" s="14">
        <v>1389.5</v>
      </c>
      <c r="M573" s="14">
        <v>1067.0999999999999</v>
      </c>
      <c r="N573" s="14">
        <v>1101.5999999999999</v>
      </c>
      <c r="O573" s="14">
        <v>1154</v>
      </c>
      <c r="P573" s="14">
        <v>1711.6</v>
      </c>
      <c r="Q573" s="14">
        <v>2074</v>
      </c>
      <c r="R573" s="14">
        <v>2440.8000000000002</v>
      </c>
      <c r="S573" s="14">
        <v>2846</v>
      </c>
      <c r="T573" s="14">
        <v>5642</v>
      </c>
      <c r="U573" s="14">
        <v>52216.2</v>
      </c>
      <c r="V573" s="14">
        <v>6616.1</v>
      </c>
      <c r="W573" s="14">
        <v>3048.1</v>
      </c>
      <c r="X573" s="14">
        <v>1912</v>
      </c>
      <c r="Y573" s="14">
        <v>1459.7</v>
      </c>
      <c r="Z573" s="14">
        <v>1810.3</v>
      </c>
      <c r="AA573" s="14"/>
      <c r="AB573" s="14"/>
      <c r="AC573" s="15">
        <f>IFERROR(Z573/G573-1,"")</f>
        <v>0.18723767051416584</v>
      </c>
      <c r="AD573" s="15">
        <f>IFERROR((Z573/G573)^(1/19)-1,"")</f>
        <v>9.0740440619831997E-3</v>
      </c>
    </row>
    <row r="574" spans="1:30">
      <c r="A574" s="45" t="s">
        <v>285</v>
      </c>
      <c r="B574" s="45" t="s">
        <v>286</v>
      </c>
      <c r="C574" s="45" t="s">
        <v>498</v>
      </c>
      <c r="D574" s="45" t="s">
        <v>496</v>
      </c>
      <c r="E574" s="45" t="s">
        <v>499</v>
      </c>
      <c r="F574" s="45" t="s">
        <v>500</v>
      </c>
      <c r="G574" s="14">
        <v>4187.5</v>
      </c>
      <c r="H574" s="14">
        <v>4384.3999999999996</v>
      </c>
      <c r="I574" s="14">
        <v>4477.8999999999996</v>
      </c>
      <c r="J574" s="14">
        <v>4368.5</v>
      </c>
      <c r="K574" s="14">
        <v>4408.3999999999996</v>
      </c>
      <c r="L574" s="14">
        <v>4552</v>
      </c>
      <c r="M574" s="14">
        <v>4181</v>
      </c>
      <c r="N574" s="14">
        <v>4688.2</v>
      </c>
      <c r="O574" s="14">
        <v>4978</v>
      </c>
      <c r="P574" s="14">
        <v>5960.2</v>
      </c>
      <c r="Q574" s="14">
        <v>6830.2</v>
      </c>
      <c r="R574" s="14">
        <v>7578.5</v>
      </c>
      <c r="S574" s="14">
        <v>6965.2</v>
      </c>
      <c r="T574" s="14">
        <v>8547</v>
      </c>
      <c r="U574" s="14">
        <v>26631.4</v>
      </c>
      <c r="V574" s="14">
        <v>9523.9</v>
      </c>
      <c r="W574" s="14">
        <v>9002.5</v>
      </c>
      <c r="X574" s="14">
        <v>9483.7999999999993</v>
      </c>
      <c r="Y574" s="14">
        <v>9732.6</v>
      </c>
      <c r="Z574" s="14">
        <v>10371.5</v>
      </c>
      <c r="AA574" s="14"/>
      <c r="AB574" s="14"/>
      <c r="AC574" s="15">
        <f>IFERROR(Z574/G574-1,"")</f>
        <v>1.4767761194029849</v>
      </c>
      <c r="AD574" s="15">
        <f>IFERROR((Z574/G574)^(1/19)-1,"")</f>
        <v>4.8892262399779174E-2</v>
      </c>
    </row>
    <row r="575" spans="1:30">
      <c r="A575" s="45" t="s">
        <v>285</v>
      </c>
      <c r="B575" s="45" t="s">
        <v>286</v>
      </c>
      <c r="C575" s="45" t="s">
        <v>498</v>
      </c>
      <c r="D575" s="45" t="s">
        <v>497</v>
      </c>
      <c r="E575" s="45" t="s">
        <v>499</v>
      </c>
      <c r="F575" s="45" t="s">
        <v>500</v>
      </c>
      <c r="G575" s="14">
        <v>14549.4</v>
      </c>
      <c r="H575" s="14">
        <v>15397.9</v>
      </c>
      <c r="I575" s="14">
        <v>14912.7</v>
      </c>
      <c r="J575" s="14">
        <v>15512.1</v>
      </c>
      <c r="K575" s="14">
        <v>16536</v>
      </c>
      <c r="L575" s="14">
        <v>18127.599999999999</v>
      </c>
      <c r="M575" s="14">
        <v>18859</v>
      </c>
      <c r="N575" s="14">
        <v>19256</v>
      </c>
      <c r="O575" s="14">
        <v>19662</v>
      </c>
      <c r="P575" s="14">
        <v>19892.2</v>
      </c>
      <c r="Q575" s="14">
        <v>20375</v>
      </c>
      <c r="R575" s="14">
        <v>22628.2</v>
      </c>
      <c r="S575" s="14">
        <v>22190.2</v>
      </c>
      <c r="T575" s="14">
        <v>22116.799999999999</v>
      </c>
      <c r="U575" s="14">
        <v>21949.7</v>
      </c>
      <c r="V575" s="14">
        <v>23229</v>
      </c>
      <c r="W575" s="14">
        <v>22861.4</v>
      </c>
      <c r="X575" s="14">
        <v>24099.7</v>
      </c>
      <c r="Y575" s="14">
        <v>23046.799999999999</v>
      </c>
      <c r="Z575" s="14">
        <v>22530.9</v>
      </c>
      <c r="AA575" s="14"/>
      <c r="AB575" s="14"/>
      <c r="AC575" s="15">
        <f>IFERROR(Z575/G575-1,"")</f>
        <v>0.54857932285867483</v>
      </c>
      <c r="AD575" s="15">
        <f>IFERROR((Z575/G575)^(1/19)-1,"")</f>
        <v>2.3284740105637081E-2</v>
      </c>
    </row>
    <row r="576" spans="1:30">
      <c r="A576" s="45" t="s">
        <v>285</v>
      </c>
      <c r="B576" s="45" t="s">
        <v>286</v>
      </c>
      <c r="C576" s="45" t="s">
        <v>498</v>
      </c>
      <c r="D576" s="45" t="s">
        <v>501</v>
      </c>
      <c r="E576" s="45" t="s">
        <v>499</v>
      </c>
      <c r="F576" s="45" t="s">
        <v>500</v>
      </c>
      <c r="G576" s="14">
        <v>3583.6</v>
      </c>
      <c r="H576" s="14">
        <v>3020.9</v>
      </c>
      <c r="I576" s="14">
        <v>3261.3</v>
      </c>
      <c r="J576" s="14">
        <v>3117.1</v>
      </c>
      <c r="K576" s="14">
        <v>2932.4</v>
      </c>
      <c r="L576" s="14">
        <v>2431.6</v>
      </c>
      <c r="M576" s="14">
        <v>1952.8</v>
      </c>
      <c r="N576" s="14">
        <v>2692.2</v>
      </c>
      <c r="O576" s="14">
        <v>2082</v>
      </c>
      <c r="P576" s="14">
        <v>2242.5</v>
      </c>
      <c r="Q576" s="14">
        <v>1412</v>
      </c>
      <c r="R576" s="14">
        <v>1207.7</v>
      </c>
      <c r="S576" s="14">
        <v>1161.0999999999999</v>
      </c>
      <c r="T576" s="14">
        <v>1390.8</v>
      </c>
      <c r="U576" s="14">
        <v>1549.8</v>
      </c>
      <c r="V576" s="14">
        <v>1563.5</v>
      </c>
      <c r="W576" s="14">
        <v>1727.5</v>
      </c>
      <c r="X576" s="14">
        <v>2218.8000000000002</v>
      </c>
      <c r="Y576" s="14">
        <v>2540.9</v>
      </c>
      <c r="Z576" s="14">
        <v>3875.9</v>
      </c>
      <c r="AA576" s="14"/>
      <c r="AB576" s="14"/>
      <c r="AC576" s="15">
        <f>IFERROR(Z576/G576-1,"")</f>
        <v>8.1566022993637688E-2</v>
      </c>
      <c r="AD576" s="15">
        <f>IFERROR((Z576/G576)^(1/19)-1,"")</f>
        <v>4.1353698868504818E-3</v>
      </c>
    </row>
    <row r="577" spans="1:30">
      <c r="A577" s="45" t="s">
        <v>305</v>
      </c>
      <c r="B577" s="45" t="s">
        <v>306</v>
      </c>
      <c r="C577" s="45" t="s">
        <v>490</v>
      </c>
      <c r="D577" s="45" t="s">
        <v>491</v>
      </c>
      <c r="E577" s="45" t="s">
        <v>492</v>
      </c>
      <c r="F577" s="45" t="s">
        <v>493</v>
      </c>
      <c r="G577" s="14">
        <v>12875</v>
      </c>
      <c r="H577" s="14">
        <v>12679</v>
      </c>
      <c r="I577" s="14">
        <v>14080</v>
      </c>
      <c r="J577" s="14">
        <v>15927</v>
      </c>
      <c r="K577" s="14">
        <v>16917</v>
      </c>
      <c r="L577" s="14">
        <v>20691</v>
      </c>
      <c r="M577" s="14">
        <v>23477</v>
      </c>
      <c r="N577" s="14">
        <v>27392</v>
      </c>
      <c r="O577" s="14">
        <v>30090</v>
      </c>
      <c r="P577" s="14">
        <v>35163</v>
      </c>
      <c r="Q577" s="14">
        <v>38186</v>
      </c>
      <c r="R577" s="14">
        <v>42985</v>
      </c>
      <c r="S577" s="14">
        <v>45083</v>
      </c>
      <c r="T577" s="14">
        <v>53121</v>
      </c>
      <c r="U577" s="14">
        <v>55277</v>
      </c>
      <c r="V577" s="14">
        <v>60901</v>
      </c>
      <c r="W577" s="14">
        <v>65881</v>
      </c>
      <c r="X577" s="14">
        <v>86138</v>
      </c>
      <c r="Y577" s="14">
        <v>86654</v>
      </c>
      <c r="Z577" s="14">
        <v>84497</v>
      </c>
      <c r="AA577" s="14">
        <v>84488</v>
      </c>
      <c r="AB577" s="14">
        <v>104812</v>
      </c>
    </row>
    <row r="578" spans="1:30">
      <c r="A578" s="45" t="s">
        <v>305</v>
      </c>
      <c r="B578" s="45" t="s">
        <v>306</v>
      </c>
      <c r="C578" s="45" t="s">
        <v>490</v>
      </c>
      <c r="D578" s="45" t="s">
        <v>494</v>
      </c>
      <c r="E578" s="45" t="s">
        <v>492</v>
      </c>
      <c r="F578" s="45" t="s">
        <v>493</v>
      </c>
      <c r="G578" s="14">
        <v>12290</v>
      </c>
      <c r="H578" s="14">
        <v>12157</v>
      </c>
      <c r="I578" s="14">
        <v>13473</v>
      </c>
      <c r="J578" s="14">
        <v>15210</v>
      </c>
      <c r="K578" s="14">
        <v>15979</v>
      </c>
      <c r="L578" s="14">
        <v>19497</v>
      </c>
      <c r="M578" s="14">
        <v>22160</v>
      </c>
      <c r="N578" s="14">
        <v>26086</v>
      </c>
      <c r="O578" s="14">
        <v>28176</v>
      </c>
      <c r="P578" s="14">
        <v>33027</v>
      </c>
      <c r="Q578" s="14">
        <v>35852</v>
      </c>
      <c r="R578" s="14">
        <v>40361</v>
      </c>
      <c r="S578" s="14">
        <v>42273</v>
      </c>
      <c r="T578" s="14">
        <v>50074</v>
      </c>
      <c r="U578" s="14">
        <v>53521</v>
      </c>
      <c r="V578" s="14">
        <v>58926</v>
      </c>
      <c r="W578" s="14">
        <v>63721</v>
      </c>
      <c r="X578" s="14">
        <v>83582</v>
      </c>
      <c r="Y578" s="14">
        <v>83714</v>
      </c>
      <c r="Z578" s="14">
        <v>81235</v>
      </c>
      <c r="AA578" s="14"/>
      <c r="AB578" s="14"/>
    </row>
    <row r="579" spans="1:30">
      <c r="A579" s="45" t="s">
        <v>305</v>
      </c>
      <c r="B579" s="45" t="s">
        <v>306</v>
      </c>
      <c r="C579" s="45" t="s">
        <v>490</v>
      </c>
      <c r="D579" s="45" t="s">
        <v>495</v>
      </c>
      <c r="E579" s="45" t="s">
        <v>492</v>
      </c>
      <c r="F579" s="45" t="s">
        <v>493</v>
      </c>
      <c r="G579" s="14">
        <v>1141</v>
      </c>
      <c r="H579" s="14">
        <v>871</v>
      </c>
      <c r="I579" s="14">
        <v>898</v>
      </c>
      <c r="J579" s="14">
        <v>1127</v>
      </c>
      <c r="K579" s="14">
        <v>1062</v>
      </c>
      <c r="L579" s="14">
        <v>1916</v>
      </c>
      <c r="M579" s="14">
        <v>2638</v>
      </c>
      <c r="N579" s="14">
        <v>3391</v>
      </c>
      <c r="O579" s="14">
        <v>3408</v>
      </c>
      <c r="P579" s="14">
        <v>3537</v>
      </c>
      <c r="Q579" s="14">
        <v>4571</v>
      </c>
      <c r="R579" s="14">
        <v>3261</v>
      </c>
      <c r="S579" s="14">
        <v>4239</v>
      </c>
      <c r="T579" s="14">
        <v>9121</v>
      </c>
      <c r="U579" s="14">
        <v>12094</v>
      </c>
      <c r="V579" s="14">
        <v>14263</v>
      </c>
      <c r="W579" s="14">
        <v>15658</v>
      </c>
      <c r="X579" s="14">
        <v>30033</v>
      </c>
      <c r="Y579" s="14">
        <v>29218</v>
      </c>
      <c r="Z579" s="14">
        <v>24352</v>
      </c>
      <c r="AA579" s="14"/>
      <c r="AB579" s="14"/>
    </row>
    <row r="580" spans="1:30">
      <c r="A580" s="45" t="s">
        <v>305</v>
      </c>
      <c r="B580" s="45" t="s">
        <v>306</v>
      </c>
      <c r="C580" s="45" t="s">
        <v>490</v>
      </c>
      <c r="D580" s="45" t="s">
        <v>496</v>
      </c>
      <c r="E580" s="45" t="s">
        <v>492</v>
      </c>
      <c r="F580" s="45" t="s">
        <v>493</v>
      </c>
      <c r="G580" s="14">
        <v>2456</v>
      </c>
      <c r="H580" s="14">
        <v>2400</v>
      </c>
      <c r="I580" s="14">
        <v>2871</v>
      </c>
      <c r="J580" s="14">
        <v>3128</v>
      </c>
      <c r="K580" s="14">
        <v>3249</v>
      </c>
      <c r="L580" s="14">
        <v>3913</v>
      </c>
      <c r="M580" s="14">
        <v>4063</v>
      </c>
      <c r="N580" s="14">
        <v>4885</v>
      </c>
      <c r="O580" s="14">
        <v>5905</v>
      </c>
      <c r="P580" s="14">
        <v>6880</v>
      </c>
      <c r="Q580" s="14">
        <v>8437</v>
      </c>
      <c r="R580" s="14">
        <v>10013</v>
      </c>
      <c r="S580" s="14">
        <v>10010</v>
      </c>
      <c r="T580" s="14">
        <v>11958</v>
      </c>
      <c r="U580" s="14">
        <v>12226</v>
      </c>
      <c r="V580" s="14">
        <v>12505</v>
      </c>
      <c r="W580" s="14">
        <v>13330</v>
      </c>
      <c r="X580" s="14">
        <v>16377</v>
      </c>
      <c r="Y580" s="14">
        <v>16351</v>
      </c>
      <c r="Z580" s="14">
        <v>16287</v>
      </c>
      <c r="AA580" s="14"/>
      <c r="AB580" s="14"/>
    </row>
    <row r="581" spans="1:30">
      <c r="A581" s="45" t="s">
        <v>305</v>
      </c>
      <c r="B581" s="45" t="s">
        <v>306</v>
      </c>
      <c r="C581" s="45" t="s">
        <v>490</v>
      </c>
      <c r="D581" s="45" t="s">
        <v>497</v>
      </c>
      <c r="E581" s="45" t="s">
        <v>492</v>
      </c>
      <c r="F581" s="45" t="s">
        <v>493</v>
      </c>
      <c r="G581" s="14">
        <v>7860</v>
      </c>
      <c r="H581" s="14">
        <v>7685</v>
      </c>
      <c r="I581" s="14">
        <v>8517</v>
      </c>
      <c r="J581" s="14">
        <v>9754</v>
      </c>
      <c r="K581" s="14">
        <v>10262</v>
      </c>
      <c r="L581" s="14">
        <v>12442</v>
      </c>
      <c r="M581" s="14">
        <v>13933</v>
      </c>
      <c r="N581" s="14">
        <v>15896</v>
      </c>
      <c r="O581" s="14">
        <v>16980</v>
      </c>
      <c r="P581" s="14">
        <v>19958</v>
      </c>
      <c r="Q581" s="14">
        <v>20745</v>
      </c>
      <c r="R581" s="14">
        <v>24577</v>
      </c>
      <c r="S581" s="14">
        <v>25427</v>
      </c>
      <c r="T581" s="14">
        <v>26055</v>
      </c>
      <c r="U581" s="14">
        <v>26460</v>
      </c>
      <c r="V581" s="14">
        <v>29268</v>
      </c>
      <c r="W581" s="14">
        <v>31539</v>
      </c>
      <c r="X581" s="14">
        <v>33516</v>
      </c>
      <c r="Y581" s="14">
        <v>34088</v>
      </c>
      <c r="Z581" s="14">
        <v>36183</v>
      </c>
      <c r="AA581" s="14"/>
      <c r="AB581" s="14"/>
    </row>
    <row r="582" spans="1:30">
      <c r="A582" s="45" t="s">
        <v>305</v>
      </c>
      <c r="B582" s="45" t="s">
        <v>306</v>
      </c>
      <c r="C582" s="45" t="s">
        <v>498</v>
      </c>
      <c r="D582" s="45" t="s">
        <v>491</v>
      </c>
      <c r="E582" s="45" t="s">
        <v>499</v>
      </c>
      <c r="F582" s="45" t="s">
        <v>500</v>
      </c>
      <c r="G582" s="14">
        <v>24459</v>
      </c>
      <c r="H582" s="14">
        <v>21111.8</v>
      </c>
      <c r="I582" s="14">
        <v>21758.3</v>
      </c>
      <c r="J582" s="14">
        <v>22909.599999999999</v>
      </c>
      <c r="K582" s="14">
        <v>22789.4</v>
      </c>
      <c r="L582" s="14">
        <v>26187.8</v>
      </c>
      <c r="M582" s="14">
        <v>27316.400000000001</v>
      </c>
      <c r="N582" s="14">
        <v>29699.3</v>
      </c>
      <c r="O582" s="14">
        <v>30090</v>
      </c>
      <c r="P582" s="14">
        <v>32462.6</v>
      </c>
      <c r="Q582" s="14">
        <v>32659.200000000001</v>
      </c>
      <c r="R582" s="14">
        <v>34197.300000000003</v>
      </c>
      <c r="S582" s="14">
        <v>33256.800000000003</v>
      </c>
      <c r="T582" s="14">
        <v>36430</v>
      </c>
      <c r="U582" s="14">
        <v>35066.9</v>
      </c>
      <c r="V582" s="14">
        <v>37266.400000000001</v>
      </c>
      <c r="W582" s="14">
        <v>38580.199999999997</v>
      </c>
      <c r="X582" s="14">
        <v>48398.3</v>
      </c>
      <c r="Y582" s="14">
        <v>45728.4</v>
      </c>
      <c r="Z582" s="14">
        <v>39443.800000000003</v>
      </c>
      <c r="AA582" s="14"/>
      <c r="AB582" s="14"/>
      <c r="AC582" s="15">
        <f>IFERROR(Z582/G582-1,"")</f>
        <v>0.61264974038186359</v>
      </c>
      <c r="AD582" s="15">
        <f>IFERROR((Z582/G582)^(1/19)-1,"")</f>
        <v>2.5470474420818512E-2</v>
      </c>
    </row>
    <row r="583" spans="1:30">
      <c r="A583" s="45" t="s">
        <v>305</v>
      </c>
      <c r="B583" s="45" t="s">
        <v>306</v>
      </c>
      <c r="C583" s="45" t="s">
        <v>498</v>
      </c>
      <c r="D583" s="45" t="s">
        <v>495</v>
      </c>
      <c r="E583" s="45" t="s">
        <v>499</v>
      </c>
      <c r="F583" s="45" t="s">
        <v>500</v>
      </c>
      <c r="G583" s="14">
        <v>2167.1</v>
      </c>
      <c r="H583" s="14">
        <v>1451</v>
      </c>
      <c r="I583" s="14">
        <v>1388</v>
      </c>
      <c r="J583" s="14">
        <v>1620.7</v>
      </c>
      <c r="K583" s="14">
        <v>1430.1</v>
      </c>
      <c r="L583" s="14">
        <v>2425.6</v>
      </c>
      <c r="M583" s="14">
        <v>3068.9</v>
      </c>
      <c r="N583" s="14">
        <v>3676.6</v>
      </c>
      <c r="O583" s="14">
        <v>3408</v>
      </c>
      <c r="P583" s="14">
        <v>3265.4</v>
      </c>
      <c r="Q583" s="14">
        <v>3909.4</v>
      </c>
      <c r="R583" s="14">
        <v>2594.3000000000002</v>
      </c>
      <c r="S583" s="14">
        <v>3127</v>
      </c>
      <c r="T583" s="14">
        <v>6255.1</v>
      </c>
      <c r="U583" s="14">
        <v>7672.2</v>
      </c>
      <c r="V583" s="14">
        <v>8727.7999999999993</v>
      </c>
      <c r="W583" s="14">
        <v>9169.4</v>
      </c>
      <c r="X583" s="14">
        <v>16874.599999999999</v>
      </c>
      <c r="Y583" s="14">
        <v>15418.7</v>
      </c>
      <c r="Z583" s="14">
        <v>11367.7</v>
      </c>
      <c r="AA583" s="14"/>
      <c r="AB583" s="14"/>
      <c r="AC583" s="15">
        <f>IFERROR(Z583/G583-1,"")</f>
        <v>4.2455816529001895</v>
      </c>
      <c r="AD583" s="15">
        <f>IFERROR((Z583/G583)^(1/19)-1,"")</f>
        <v>9.1148541272953132E-2</v>
      </c>
    </row>
    <row r="584" spans="1:30">
      <c r="A584" s="45" t="s">
        <v>305</v>
      </c>
      <c r="B584" s="45" t="s">
        <v>306</v>
      </c>
      <c r="C584" s="45" t="s">
        <v>498</v>
      </c>
      <c r="D584" s="45" t="s">
        <v>496</v>
      </c>
      <c r="E584" s="45" t="s">
        <v>499</v>
      </c>
      <c r="F584" s="45" t="s">
        <v>500</v>
      </c>
      <c r="G584" s="14">
        <v>4666.3</v>
      </c>
      <c r="H584" s="14">
        <v>3996.6</v>
      </c>
      <c r="I584" s="14">
        <v>4436.2</v>
      </c>
      <c r="J584" s="14">
        <v>4499</v>
      </c>
      <c r="K584" s="14">
        <v>4377.6000000000004</v>
      </c>
      <c r="L584" s="14">
        <v>4952.8</v>
      </c>
      <c r="M584" s="14">
        <v>4727.6000000000004</v>
      </c>
      <c r="N584" s="14">
        <v>5296.5</v>
      </c>
      <c r="O584" s="14">
        <v>5905</v>
      </c>
      <c r="P584" s="14">
        <v>6351.6</v>
      </c>
      <c r="Q584" s="14">
        <v>7215.9</v>
      </c>
      <c r="R584" s="14">
        <v>7966</v>
      </c>
      <c r="S584" s="14">
        <v>7384.2</v>
      </c>
      <c r="T584" s="14">
        <v>8200.7000000000007</v>
      </c>
      <c r="U584" s="14">
        <v>7756</v>
      </c>
      <c r="V584" s="14">
        <v>7652</v>
      </c>
      <c r="W584" s="14">
        <v>7806.1</v>
      </c>
      <c r="X584" s="14">
        <v>9201.7000000000007</v>
      </c>
      <c r="Y584" s="14">
        <v>8628.6</v>
      </c>
      <c r="Z584" s="14">
        <v>7602.9</v>
      </c>
      <c r="AA584" s="14"/>
      <c r="AB584" s="14"/>
      <c r="AC584" s="15">
        <f>IFERROR(Z584/G584-1,"")</f>
        <v>0.62932087521162372</v>
      </c>
      <c r="AD584" s="15">
        <f>IFERROR((Z584/G584)^(1/19)-1,"")</f>
        <v>2.6025709657435003E-2</v>
      </c>
    </row>
    <row r="585" spans="1:30">
      <c r="A585" s="45" t="s">
        <v>305</v>
      </c>
      <c r="B585" s="45" t="s">
        <v>306</v>
      </c>
      <c r="C585" s="45" t="s">
        <v>498</v>
      </c>
      <c r="D585" s="45" t="s">
        <v>497</v>
      </c>
      <c r="E585" s="45" t="s">
        <v>499</v>
      </c>
      <c r="F585" s="45" t="s">
        <v>500</v>
      </c>
      <c r="G585" s="14">
        <v>14931.8</v>
      </c>
      <c r="H585" s="14">
        <v>12795.6</v>
      </c>
      <c r="I585" s="14">
        <v>13161.1</v>
      </c>
      <c r="J585" s="14">
        <v>14030.5</v>
      </c>
      <c r="K585" s="14">
        <v>13824.9</v>
      </c>
      <c r="L585" s="14">
        <v>15748</v>
      </c>
      <c r="M585" s="14">
        <v>16211.4</v>
      </c>
      <c r="N585" s="14">
        <v>17235</v>
      </c>
      <c r="O585" s="14">
        <v>16980</v>
      </c>
      <c r="P585" s="14">
        <v>18425.3</v>
      </c>
      <c r="Q585" s="14">
        <v>17742.5</v>
      </c>
      <c r="R585" s="14">
        <v>19552.599999999999</v>
      </c>
      <c r="S585" s="14">
        <v>18757</v>
      </c>
      <c r="T585" s="14">
        <v>17868.3</v>
      </c>
      <c r="U585" s="14">
        <v>16785.8</v>
      </c>
      <c r="V585" s="14">
        <v>17909.599999999999</v>
      </c>
      <c r="W585" s="14">
        <v>18469.400000000001</v>
      </c>
      <c r="X585" s="14">
        <v>18831.599999999999</v>
      </c>
      <c r="Y585" s="14">
        <v>17988.7</v>
      </c>
      <c r="Z585" s="14">
        <v>16891</v>
      </c>
      <c r="AA585" s="14"/>
      <c r="AB585" s="14"/>
      <c r="AC585" s="15">
        <f>IFERROR(Z585/G585-1,"")</f>
        <v>0.13120990101662233</v>
      </c>
      <c r="AD585" s="15">
        <f>IFERROR((Z585/G585)^(1/19)-1,"")</f>
        <v>6.5099280024480954E-3</v>
      </c>
    </row>
    <row r="586" spans="1:30">
      <c r="A586" s="45" t="s">
        <v>305</v>
      </c>
      <c r="B586" s="45" t="s">
        <v>306</v>
      </c>
      <c r="C586" s="45" t="s">
        <v>498</v>
      </c>
      <c r="D586" s="45" t="s">
        <v>501</v>
      </c>
      <c r="E586" s="45" t="s">
        <v>499</v>
      </c>
      <c r="F586" s="45" t="s">
        <v>500</v>
      </c>
      <c r="G586" s="14">
        <v>1583</v>
      </c>
      <c r="H586" s="14">
        <v>1999.8</v>
      </c>
      <c r="I586" s="14">
        <v>1834.3</v>
      </c>
      <c r="J586" s="14">
        <v>1727.7</v>
      </c>
      <c r="K586" s="14">
        <v>1893.4</v>
      </c>
      <c r="L586" s="14">
        <v>1550.8</v>
      </c>
      <c r="M586" s="14">
        <v>1775.7</v>
      </c>
      <c r="N586" s="14">
        <v>2074.1</v>
      </c>
      <c r="O586" s="14">
        <v>1882</v>
      </c>
      <c r="P586" s="14">
        <v>2448.3000000000002</v>
      </c>
      <c r="Q586" s="14">
        <v>1795.2</v>
      </c>
      <c r="R586" s="14">
        <v>1996.9</v>
      </c>
      <c r="S586" s="14">
        <v>1915.8</v>
      </c>
      <c r="T586" s="14">
        <v>2016.2</v>
      </c>
      <c r="U586" s="14">
        <v>1738.8</v>
      </c>
      <c r="V586" s="14">
        <v>1768.4</v>
      </c>
      <c r="W586" s="14">
        <v>1870.4</v>
      </c>
      <c r="X586" s="14">
        <v>2054.1999999999998</v>
      </c>
      <c r="Y586" s="14">
        <v>2141.5</v>
      </c>
      <c r="Z586" s="14">
        <v>2060.5</v>
      </c>
      <c r="AA586" s="14"/>
      <c r="AB586" s="14"/>
      <c r="AC586" s="15">
        <f>IFERROR(Z586/G586-1,"")</f>
        <v>0.30164245104232479</v>
      </c>
      <c r="AD586" s="15">
        <f>IFERROR((Z586/G586)^(1/19)-1,"")</f>
        <v>1.3971805464861431E-2</v>
      </c>
    </row>
    <row r="587" spans="1:30">
      <c r="A587" s="45" t="s">
        <v>301</v>
      </c>
      <c r="B587" s="45" t="s">
        <v>302</v>
      </c>
      <c r="C587" s="45" t="s">
        <v>490</v>
      </c>
      <c r="D587" s="45" t="s">
        <v>491</v>
      </c>
      <c r="E587" s="45" t="s">
        <v>492</v>
      </c>
      <c r="F587" s="45" t="s">
        <v>493</v>
      </c>
      <c r="G587" s="14">
        <v>18707</v>
      </c>
      <c r="H587" s="14">
        <v>23017</v>
      </c>
      <c r="I587" s="14">
        <v>28794</v>
      </c>
      <c r="J587" s="14">
        <v>34980</v>
      </c>
      <c r="K587" s="14">
        <v>33708</v>
      </c>
      <c r="L587" s="14">
        <v>39320</v>
      </c>
      <c r="M587" s="14">
        <v>39361</v>
      </c>
      <c r="N587" s="14">
        <v>39780</v>
      </c>
      <c r="O587" s="14">
        <v>39557</v>
      </c>
      <c r="P587" s="14">
        <v>44829</v>
      </c>
      <c r="Q587" s="14">
        <v>47658</v>
      </c>
      <c r="R587" s="14">
        <v>50788</v>
      </c>
      <c r="S587" s="14">
        <v>55684</v>
      </c>
      <c r="T587" s="14">
        <v>58493</v>
      </c>
      <c r="U587" s="14">
        <v>62108</v>
      </c>
      <c r="V587" s="14">
        <v>65985</v>
      </c>
      <c r="W587" s="14">
        <v>70200</v>
      </c>
      <c r="X587" s="14">
        <v>78747</v>
      </c>
      <c r="Y587" s="14">
        <v>82936</v>
      </c>
      <c r="Z587" s="14">
        <v>84899</v>
      </c>
      <c r="AA587" s="14">
        <v>96939</v>
      </c>
      <c r="AB587" s="14">
        <v>102924</v>
      </c>
    </row>
    <row r="588" spans="1:30">
      <c r="A588" s="45" t="s">
        <v>301</v>
      </c>
      <c r="B588" s="45" t="s">
        <v>302</v>
      </c>
      <c r="C588" s="45" t="s">
        <v>490</v>
      </c>
      <c r="D588" s="45" t="s">
        <v>494</v>
      </c>
      <c r="E588" s="45" t="s">
        <v>492</v>
      </c>
      <c r="F588" s="45" t="s">
        <v>493</v>
      </c>
      <c r="G588" s="14">
        <v>17133</v>
      </c>
      <c r="H588" s="14">
        <v>21179</v>
      </c>
      <c r="I588" s="14">
        <v>26924</v>
      </c>
      <c r="J588" s="14">
        <v>31751</v>
      </c>
      <c r="K588" s="14">
        <v>30817</v>
      </c>
      <c r="L588" s="14">
        <v>35603</v>
      </c>
      <c r="M588" s="14">
        <v>35932</v>
      </c>
      <c r="N588" s="14">
        <v>37101</v>
      </c>
      <c r="O588" s="14">
        <v>36952</v>
      </c>
      <c r="P588" s="14">
        <v>42225</v>
      </c>
      <c r="Q588" s="14">
        <v>44451</v>
      </c>
      <c r="R588" s="14">
        <v>48742</v>
      </c>
      <c r="S588" s="14">
        <v>52955</v>
      </c>
      <c r="T588" s="14">
        <v>55474</v>
      </c>
      <c r="U588" s="14">
        <v>60039</v>
      </c>
      <c r="V588" s="14">
        <v>63642</v>
      </c>
      <c r="W588" s="14">
        <v>66969</v>
      </c>
      <c r="X588" s="14">
        <v>75168</v>
      </c>
      <c r="Y588" s="14">
        <v>78833</v>
      </c>
      <c r="Z588" s="14">
        <v>80337</v>
      </c>
      <c r="AA588" s="14"/>
      <c r="AB588" s="14"/>
    </row>
    <row r="589" spans="1:30">
      <c r="A589" s="45" t="s">
        <v>301</v>
      </c>
      <c r="B589" s="45" t="s">
        <v>302</v>
      </c>
      <c r="C589" s="45" t="s">
        <v>490</v>
      </c>
      <c r="D589" s="45" t="s">
        <v>495</v>
      </c>
      <c r="E589" s="45" t="s">
        <v>492</v>
      </c>
      <c r="F589" s="45" t="s">
        <v>493</v>
      </c>
      <c r="G589" s="14">
        <v>1164</v>
      </c>
      <c r="H589" s="14">
        <v>965</v>
      </c>
      <c r="I589" s="14">
        <v>1262</v>
      </c>
      <c r="J589" s="14">
        <v>1488</v>
      </c>
      <c r="K589" s="14">
        <v>1408</v>
      </c>
      <c r="L589" s="14">
        <v>1730</v>
      </c>
      <c r="M589" s="14">
        <v>1694</v>
      </c>
      <c r="N589" s="14">
        <v>1940</v>
      </c>
      <c r="O589" s="14">
        <v>1688</v>
      </c>
      <c r="P589" s="14">
        <v>1819</v>
      </c>
      <c r="Q589" s="14">
        <v>2125</v>
      </c>
      <c r="R589" s="14">
        <v>2219</v>
      </c>
      <c r="S589" s="14">
        <v>1776</v>
      </c>
      <c r="T589" s="14">
        <v>1988</v>
      </c>
      <c r="U589" s="14">
        <v>2564</v>
      </c>
      <c r="V589" s="14">
        <v>2822</v>
      </c>
      <c r="W589" s="14">
        <v>2983</v>
      </c>
      <c r="X589" s="14">
        <v>3090</v>
      </c>
      <c r="Y589" s="14">
        <v>3029</v>
      </c>
      <c r="Z589" s="14">
        <v>3843</v>
      </c>
      <c r="AA589" s="14"/>
      <c r="AB589" s="14"/>
    </row>
    <row r="590" spans="1:30">
      <c r="A590" s="45" t="s">
        <v>301</v>
      </c>
      <c r="B590" s="45" t="s">
        <v>302</v>
      </c>
      <c r="C590" s="45" t="s">
        <v>490</v>
      </c>
      <c r="D590" s="45" t="s">
        <v>496</v>
      </c>
      <c r="E590" s="45" t="s">
        <v>492</v>
      </c>
      <c r="F590" s="45" t="s">
        <v>493</v>
      </c>
      <c r="G590" s="14">
        <v>4972</v>
      </c>
      <c r="H590" s="14">
        <v>6759</v>
      </c>
      <c r="I590" s="14">
        <v>6939</v>
      </c>
      <c r="J590" s="14">
        <v>13309</v>
      </c>
      <c r="K590" s="14">
        <v>10576</v>
      </c>
      <c r="L590" s="14">
        <v>11095</v>
      </c>
      <c r="M590" s="14">
        <v>9223</v>
      </c>
      <c r="N590" s="14">
        <v>8002</v>
      </c>
      <c r="O590" s="14">
        <v>5642</v>
      </c>
      <c r="P590" s="14">
        <v>6603</v>
      </c>
      <c r="Q590" s="14">
        <v>7321</v>
      </c>
      <c r="R590" s="14">
        <v>8438</v>
      </c>
      <c r="S590" s="14">
        <v>8485</v>
      </c>
      <c r="T590" s="14">
        <v>9626</v>
      </c>
      <c r="U590" s="14">
        <v>10176</v>
      </c>
      <c r="V590" s="14">
        <v>11432</v>
      </c>
      <c r="W590" s="14">
        <v>14155</v>
      </c>
      <c r="X590" s="14">
        <v>16475</v>
      </c>
      <c r="Y590" s="14">
        <v>17478</v>
      </c>
      <c r="Z590" s="14">
        <v>17635</v>
      </c>
      <c r="AA590" s="14"/>
      <c r="AB590" s="14"/>
    </row>
    <row r="591" spans="1:30">
      <c r="A591" s="45" t="s">
        <v>301</v>
      </c>
      <c r="B591" s="45" t="s">
        <v>302</v>
      </c>
      <c r="C591" s="45" t="s">
        <v>490</v>
      </c>
      <c r="D591" s="45" t="s">
        <v>497</v>
      </c>
      <c r="E591" s="45" t="s">
        <v>492</v>
      </c>
      <c r="F591" s="45" t="s">
        <v>493</v>
      </c>
      <c r="G591" s="14">
        <v>8733</v>
      </c>
      <c r="H591" s="14">
        <v>10005</v>
      </c>
      <c r="I591" s="14">
        <v>11408</v>
      </c>
      <c r="J591" s="14">
        <v>13536</v>
      </c>
      <c r="K591" s="14">
        <v>15242</v>
      </c>
      <c r="L591" s="14">
        <v>18160</v>
      </c>
      <c r="M591" s="14">
        <v>19589</v>
      </c>
      <c r="N591" s="14">
        <v>22218</v>
      </c>
      <c r="O591" s="14">
        <v>26131</v>
      </c>
      <c r="P591" s="14">
        <v>29672</v>
      </c>
      <c r="Q591" s="14">
        <v>31957</v>
      </c>
      <c r="R591" s="14">
        <v>36269</v>
      </c>
      <c r="S591" s="14">
        <v>40027</v>
      </c>
      <c r="T591" s="14">
        <v>41803</v>
      </c>
      <c r="U591" s="14">
        <v>45080</v>
      </c>
      <c r="V591" s="14">
        <v>47428</v>
      </c>
      <c r="W591" s="14">
        <v>47484</v>
      </c>
      <c r="X591" s="14">
        <v>53065</v>
      </c>
      <c r="Y591" s="14">
        <v>53043</v>
      </c>
      <c r="Z591" s="14">
        <v>55623</v>
      </c>
      <c r="AA591" s="14"/>
      <c r="AB591" s="14"/>
    </row>
    <row r="592" spans="1:30">
      <c r="A592" s="45" t="s">
        <v>301</v>
      </c>
      <c r="B592" s="45" t="s">
        <v>302</v>
      </c>
      <c r="C592" s="45" t="s">
        <v>498</v>
      </c>
      <c r="D592" s="45" t="s">
        <v>491</v>
      </c>
      <c r="E592" s="45" t="s">
        <v>499</v>
      </c>
      <c r="F592" s="45" t="s">
        <v>500</v>
      </c>
      <c r="G592" s="14">
        <v>35538.199999999997</v>
      </c>
      <c r="H592" s="14">
        <v>38326.199999999997</v>
      </c>
      <c r="I592" s="14">
        <v>44496.1</v>
      </c>
      <c r="J592" s="14">
        <v>50316.7</v>
      </c>
      <c r="K592" s="14">
        <v>45410.7</v>
      </c>
      <c r="L592" s="14">
        <v>49766.1</v>
      </c>
      <c r="M592" s="14">
        <v>45797.8</v>
      </c>
      <c r="N592" s="14">
        <v>43130.8</v>
      </c>
      <c r="O592" s="14">
        <v>39557</v>
      </c>
      <c r="P592" s="14">
        <v>41386.199999999997</v>
      </c>
      <c r="Q592" s="14">
        <v>40760.300000000003</v>
      </c>
      <c r="R592" s="14">
        <v>40405.1</v>
      </c>
      <c r="S592" s="14">
        <v>41077</v>
      </c>
      <c r="T592" s="14">
        <v>40114</v>
      </c>
      <c r="U592" s="14">
        <v>39400.300000000003</v>
      </c>
      <c r="V592" s="14">
        <v>40377.4</v>
      </c>
      <c r="W592" s="14">
        <v>41109.4</v>
      </c>
      <c r="X592" s="14">
        <v>44245.5</v>
      </c>
      <c r="Y592" s="14">
        <v>43766.400000000001</v>
      </c>
      <c r="Z592" s="14">
        <v>39631.5</v>
      </c>
      <c r="AA592" s="14"/>
      <c r="AB592" s="14"/>
      <c r="AC592" s="15">
        <f>IFERROR(Z592/G592-1,"")</f>
        <v>0.11518028487655552</v>
      </c>
      <c r="AD592" s="15">
        <f>IFERROR((Z592/G592)^(1/19)-1,"")</f>
        <v>5.7541806047582966E-3</v>
      </c>
    </row>
    <row r="593" spans="1:30">
      <c r="A593" s="45" t="s">
        <v>301</v>
      </c>
      <c r="B593" s="45" t="s">
        <v>302</v>
      </c>
      <c r="C593" s="45" t="s">
        <v>498</v>
      </c>
      <c r="D593" s="45" t="s">
        <v>495</v>
      </c>
      <c r="E593" s="45" t="s">
        <v>499</v>
      </c>
      <c r="F593" s="45" t="s">
        <v>500</v>
      </c>
      <c r="G593" s="14">
        <v>2211.4</v>
      </c>
      <c r="H593" s="14">
        <v>1606</v>
      </c>
      <c r="I593" s="14">
        <v>1950.6</v>
      </c>
      <c r="J593" s="14">
        <v>2140.4</v>
      </c>
      <c r="K593" s="14">
        <v>1896.2</v>
      </c>
      <c r="L593" s="14">
        <v>2189.4</v>
      </c>
      <c r="M593" s="14">
        <v>1971</v>
      </c>
      <c r="N593" s="14">
        <v>2103.4</v>
      </c>
      <c r="O593" s="14">
        <v>1688</v>
      </c>
      <c r="P593" s="14">
        <v>1679.3</v>
      </c>
      <c r="Q593" s="14">
        <v>1817.4</v>
      </c>
      <c r="R593" s="14">
        <v>1765.4</v>
      </c>
      <c r="S593" s="14">
        <v>1310.0999999999999</v>
      </c>
      <c r="T593" s="14">
        <v>1363.4</v>
      </c>
      <c r="U593" s="14">
        <v>1626.6</v>
      </c>
      <c r="V593" s="14">
        <v>1726.8</v>
      </c>
      <c r="W593" s="14">
        <v>1746.9</v>
      </c>
      <c r="X593" s="14">
        <v>1736.2</v>
      </c>
      <c r="Y593" s="14">
        <v>1598.4</v>
      </c>
      <c r="Z593" s="14">
        <v>1793.9</v>
      </c>
      <c r="AA593" s="14"/>
      <c r="AB593" s="14"/>
      <c r="AC593" s="15">
        <f>IFERROR(Z593/G593-1,"")</f>
        <v>-0.18879442886858999</v>
      </c>
      <c r="AD593" s="15">
        <f>IFERROR((Z593/G593)^(1/19)-1,"")</f>
        <v>-1.0951890672537434E-2</v>
      </c>
    </row>
    <row r="594" spans="1:30">
      <c r="A594" s="45" t="s">
        <v>301</v>
      </c>
      <c r="B594" s="45" t="s">
        <v>302</v>
      </c>
      <c r="C594" s="45" t="s">
        <v>498</v>
      </c>
      <c r="D594" s="45" t="s">
        <v>496</v>
      </c>
      <c r="E594" s="45" t="s">
        <v>499</v>
      </c>
      <c r="F594" s="45" t="s">
        <v>500</v>
      </c>
      <c r="G594" s="14">
        <v>9445.5</v>
      </c>
      <c r="H594" s="14">
        <v>11254.3</v>
      </c>
      <c r="I594" s="14">
        <v>10722.7</v>
      </c>
      <c r="J594" s="14">
        <v>19143.7</v>
      </c>
      <c r="K594" s="14">
        <v>14247.7</v>
      </c>
      <c r="L594" s="14">
        <v>14043</v>
      </c>
      <c r="M594" s="14">
        <v>10730.8</v>
      </c>
      <c r="N594" s="14">
        <v>8676</v>
      </c>
      <c r="O594" s="14">
        <v>5642</v>
      </c>
      <c r="P594" s="14">
        <v>6095.9</v>
      </c>
      <c r="Q594" s="14">
        <v>6261.4</v>
      </c>
      <c r="R594" s="14">
        <v>6713</v>
      </c>
      <c r="S594" s="14">
        <v>6259.2</v>
      </c>
      <c r="T594" s="14">
        <v>6601.4</v>
      </c>
      <c r="U594" s="14">
        <v>6455.5</v>
      </c>
      <c r="V594" s="14">
        <v>6995.4</v>
      </c>
      <c r="W594" s="14">
        <v>8289.2000000000007</v>
      </c>
      <c r="X594" s="14">
        <v>9256.7999999999993</v>
      </c>
      <c r="Y594" s="14">
        <v>9223.4</v>
      </c>
      <c r="Z594" s="14">
        <v>8232.6</v>
      </c>
      <c r="AA594" s="14"/>
      <c r="AB594" s="14"/>
      <c r="AC594" s="15">
        <f>IFERROR(Z594/G594-1,"")</f>
        <v>-0.1284103541368905</v>
      </c>
      <c r="AD594" s="15">
        <f>IFERROR((Z594/G594)^(1/19)-1,"")</f>
        <v>-7.2074041022874846E-3</v>
      </c>
    </row>
    <row r="595" spans="1:30">
      <c r="A595" s="45" t="s">
        <v>301</v>
      </c>
      <c r="B595" s="45" t="s">
        <v>302</v>
      </c>
      <c r="C595" s="45" t="s">
        <v>498</v>
      </c>
      <c r="D595" s="45" t="s">
        <v>497</v>
      </c>
      <c r="E595" s="45" t="s">
        <v>499</v>
      </c>
      <c r="F595" s="45" t="s">
        <v>500</v>
      </c>
      <c r="G595" s="14">
        <v>16590.599999999999</v>
      </c>
      <c r="H595" s="14">
        <v>16659.099999999999</v>
      </c>
      <c r="I595" s="14">
        <v>17629.7</v>
      </c>
      <c r="J595" s="14">
        <v>19470.599999999999</v>
      </c>
      <c r="K595" s="14">
        <v>20533.599999999999</v>
      </c>
      <c r="L595" s="14">
        <v>22985</v>
      </c>
      <c r="M595" s="14">
        <v>22791.8</v>
      </c>
      <c r="N595" s="14">
        <v>24089.5</v>
      </c>
      <c r="O595" s="14">
        <v>26131</v>
      </c>
      <c r="P595" s="14">
        <v>27393.3</v>
      </c>
      <c r="Q595" s="14">
        <v>27331.8</v>
      </c>
      <c r="R595" s="14">
        <v>28854.3</v>
      </c>
      <c r="S595" s="14">
        <v>29527.1</v>
      </c>
      <c r="T595" s="14">
        <v>28668.2</v>
      </c>
      <c r="U595" s="14">
        <v>28598</v>
      </c>
      <c r="V595" s="14">
        <v>29022.1</v>
      </c>
      <c r="W595" s="14">
        <v>27806.799999999999</v>
      </c>
      <c r="X595" s="14">
        <v>29815.599999999999</v>
      </c>
      <c r="Y595" s="14">
        <v>27991.5</v>
      </c>
      <c r="Z595" s="14">
        <v>25965.7</v>
      </c>
      <c r="AA595" s="14"/>
      <c r="AB595" s="14"/>
      <c r="AC595" s="15">
        <f>IFERROR(Z595/G595-1,"")</f>
        <v>0.56508504815980154</v>
      </c>
      <c r="AD595" s="15">
        <f>IFERROR((Z595/G595)^(1/19)-1,"")</f>
        <v>2.3855904271755435E-2</v>
      </c>
    </row>
    <row r="596" spans="1:30">
      <c r="A596" s="45" t="s">
        <v>301</v>
      </c>
      <c r="B596" s="45" t="s">
        <v>302</v>
      </c>
      <c r="C596" s="45" t="s">
        <v>498</v>
      </c>
      <c r="D596" s="45" t="s">
        <v>501</v>
      </c>
      <c r="E596" s="45" t="s">
        <v>499</v>
      </c>
      <c r="F596" s="45" t="s">
        <v>500</v>
      </c>
      <c r="G596" s="14">
        <v>4301.5</v>
      </c>
      <c r="H596" s="14">
        <v>5745.3</v>
      </c>
      <c r="I596" s="14">
        <v>11303.9</v>
      </c>
      <c r="J596" s="14">
        <v>4917.3</v>
      </c>
      <c r="K596" s="14">
        <v>4838.5</v>
      </c>
      <c r="L596" s="14">
        <v>5844.3</v>
      </c>
      <c r="M596" s="14">
        <v>6313.8</v>
      </c>
      <c r="N596" s="14">
        <v>5357.2</v>
      </c>
      <c r="O596" s="14">
        <v>3491</v>
      </c>
      <c r="P596" s="14">
        <v>3813.7</v>
      </c>
      <c r="Q596" s="14">
        <v>2606</v>
      </c>
      <c r="R596" s="14">
        <v>1444.7</v>
      </c>
      <c r="S596" s="14">
        <v>1967.4</v>
      </c>
      <c r="T596" s="14">
        <v>1411.4</v>
      </c>
      <c r="U596" s="14">
        <v>1408.3</v>
      </c>
      <c r="V596" s="14">
        <v>1199.4000000000001</v>
      </c>
      <c r="W596" s="14">
        <v>1374.4</v>
      </c>
      <c r="X596" s="14">
        <v>1426.6</v>
      </c>
      <c r="Y596" s="14">
        <v>2787.9</v>
      </c>
      <c r="Z596" s="14">
        <v>1510.1</v>
      </c>
      <c r="AA596" s="14"/>
      <c r="AB596" s="14"/>
      <c r="AC596" s="15">
        <f>IFERROR(Z596/G596-1,"")</f>
        <v>-0.64893641752876907</v>
      </c>
      <c r="AD596" s="15">
        <f>IFERROR((Z596/G596)^(1/19)-1,"")</f>
        <v>-5.3603913367784806E-2</v>
      </c>
    </row>
    <row r="597" spans="1:30">
      <c r="A597" s="45" t="s">
        <v>371</v>
      </c>
      <c r="B597" s="45" t="s">
        <v>372</v>
      </c>
      <c r="C597" s="45" t="s">
        <v>490</v>
      </c>
      <c r="D597" s="45" t="s">
        <v>491</v>
      </c>
      <c r="E597" s="45" t="s">
        <v>492</v>
      </c>
      <c r="F597" s="45" t="s">
        <v>493</v>
      </c>
      <c r="G597" s="14">
        <v>10135</v>
      </c>
      <c r="H597" s="14">
        <v>11575</v>
      </c>
      <c r="I597" s="14">
        <v>13095</v>
      </c>
      <c r="J597" s="14">
        <v>13799</v>
      </c>
      <c r="K597" s="14">
        <v>16074</v>
      </c>
      <c r="L597" s="14">
        <v>18704</v>
      </c>
      <c r="M597" s="14">
        <v>26447</v>
      </c>
      <c r="N597" s="14">
        <v>23257</v>
      </c>
      <c r="O597" s="14">
        <v>24695</v>
      </c>
      <c r="P597" s="14">
        <v>28083</v>
      </c>
      <c r="Q597" s="14">
        <v>26724</v>
      </c>
      <c r="R597" s="14">
        <v>31836</v>
      </c>
      <c r="S597" s="14">
        <v>31413</v>
      </c>
      <c r="T597" s="14">
        <v>34819</v>
      </c>
      <c r="U597" s="14">
        <v>36935</v>
      </c>
      <c r="V597" s="14">
        <v>39533</v>
      </c>
      <c r="W597" s="14">
        <v>40970</v>
      </c>
      <c r="X597" s="14">
        <v>44898</v>
      </c>
      <c r="Y597" s="14">
        <v>46560</v>
      </c>
      <c r="Z597" s="14">
        <v>51547</v>
      </c>
      <c r="AA597" s="14">
        <v>58421</v>
      </c>
      <c r="AB597" s="14">
        <v>69177</v>
      </c>
    </row>
    <row r="598" spans="1:30">
      <c r="A598" s="45" t="s">
        <v>371</v>
      </c>
      <c r="B598" s="45" t="s">
        <v>372</v>
      </c>
      <c r="C598" s="45" t="s">
        <v>490</v>
      </c>
      <c r="D598" s="45" t="s">
        <v>494</v>
      </c>
      <c r="E598" s="45" t="s">
        <v>492</v>
      </c>
      <c r="F598" s="45" t="s">
        <v>493</v>
      </c>
      <c r="G598" s="14">
        <v>9921</v>
      </c>
      <c r="H598" s="14">
        <v>11319</v>
      </c>
      <c r="I598" s="14">
        <v>12789</v>
      </c>
      <c r="J598" s="14">
        <v>13446</v>
      </c>
      <c r="K598" s="14">
        <v>15522</v>
      </c>
      <c r="L598" s="14">
        <v>17853</v>
      </c>
      <c r="M598" s="14">
        <v>24417</v>
      </c>
      <c r="N598" s="14">
        <v>22328</v>
      </c>
      <c r="O598" s="14">
        <v>23402</v>
      </c>
      <c r="P598" s="14">
        <v>26392</v>
      </c>
      <c r="Q598" s="14">
        <v>25561</v>
      </c>
      <c r="R598" s="14">
        <v>30446</v>
      </c>
      <c r="S598" s="14">
        <v>30328</v>
      </c>
      <c r="T598" s="14">
        <v>33504</v>
      </c>
      <c r="U598" s="14">
        <v>36170</v>
      </c>
      <c r="V598" s="14">
        <v>38802</v>
      </c>
      <c r="W598" s="14">
        <v>39791</v>
      </c>
      <c r="X598" s="14">
        <v>43691</v>
      </c>
      <c r="Y598" s="14">
        <v>45311</v>
      </c>
      <c r="Z598" s="14">
        <v>49951</v>
      </c>
      <c r="AA598" s="14"/>
      <c r="AB598" s="14"/>
    </row>
    <row r="599" spans="1:30">
      <c r="A599" s="45" t="s">
        <v>371</v>
      </c>
      <c r="B599" s="45" t="s">
        <v>372</v>
      </c>
      <c r="C599" s="45" t="s">
        <v>490</v>
      </c>
      <c r="D599" s="45" t="s">
        <v>495</v>
      </c>
      <c r="E599" s="45" t="s">
        <v>492</v>
      </c>
      <c r="F599" s="45" t="s">
        <v>493</v>
      </c>
      <c r="G599" s="14">
        <v>934</v>
      </c>
      <c r="H599" s="14">
        <v>362</v>
      </c>
      <c r="I599" s="14">
        <v>619</v>
      </c>
      <c r="J599" s="14">
        <v>439</v>
      </c>
      <c r="K599" s="14">
        <v>432</v>
      </c>
      <c r="L599" s="14">
        <v>711</v>
      </c>
      <c r="M599" s="14">
        <v>893</v>
      </c>
      <c r="N599" s="14">
        <v>1316</v>
      </c>
      <c r="O599" s="14">
        <v>1340</v>
      </c>
      <c r="P599" s="14">
        <v>1077</v>
      </c>
      <c r="Q599" s="14">
        <v>956</v>
      </c>
      <c r="R599" s="14">
        <v>927</v>
      </c>
      <c r="S599" s="14">
        <v>792</v>
      </c>
      <c r="T599" s="14">
        <v>987</v>
      </c>
      <c r="U599" s="14">
        <v>1261</v>
      </c>
      <c r="V599" s="14">
        <v>1264</v>
      </c>
      <c r="W599" s="14">
        <v>1334</v>
      </c>
      <c r="X599" s="14">
        <v>1546</v>
      </c>
      <c r="Y599" s="14">
        <v>1574</v>
      </c>
      <c r="Z599" s="14">
        <v>1896</v>
      </c>
      <c r="AA599" s="14"/>
      <c r="AB599" s="14"/>
    </row>
    <row r="600" spans="1:30">
      <c r="A600" s="45" t="s">
        <v>371</v>
      </c>
      <c r="B600" s="45" t="s">
        <v>372</v>
      </c>
      <c r="C600" s="45" t="s">
        <v>490</v>
      </c>
      <c r="D600" s="45" t="s">
        <v>496</v>
      </c>
      <c r="E600" s="45" t="s">
        <v>492</v>
      </c>
      <c r="F600" s="45" t="s">
        <v>493</v>
      </c>
      <c r="G600" s="14">
        <v>1359</v>
      </c>
      <c r="H600" s="14">
        <v>1583</v>
      </c>
      <c r="I600" s="14">
        <v>1751</v>
      </c>
      <c r="J600" s="14">
        <v>1716</v>
      </c>
      <c r="K600" s="14">
        <v>2277</v>
      </c>
      <c r="L600" s="14">
        <v>2931</v>
      </c>
      <c r="M600" s="14">
        <v>3398</v>
      </c>
      <c r="N600" s="14">
        <v>3440</v>
      </c>
      <c r="O600" s="14">
        <v>3783</v>
      </c>
      <c r="P600" s="14">
        <v>4164</v>
      </c>
      <c r="Q600" s="14">
        <v>4488</v>
      </c>
      <c r="R600" s="14">
        <v>5326</v>
      </c>
      <c r="S600" s="14">
        <v>5127</v>
      </c>
      <c r="T600" s="14">
        <v>6267</v>
      </c>
      <c r="U600" s="14">
        <v>6962</v>
      </c>
      <c r="V600" s="14">
        <v>7331</v>
      </c>
      <c r="W600" s="14">
        <v>9230</v>
      </c>
      <c r="X600" s="14">
        <v>10288</v>
      </c>
      <c r="Y600" s="14">
        <v>10607</v>
      </c>
      <c r="Z600" s="14">
        <v>11357</v>
      </c>
      <c r="AA600" s="14"/>
      <c r="AB600" s="14"/>
    </row>
    <row r="601" spans="1:30">
      <c r="A601" s="45" t="s">
        <v>371</v>
      </c>
      <c r="B601" s="45" t="s">
        <v>372</v>
      </c>
      <c r="C601" s="45" t="s">
        <v>490</v>
      </c>
      <c r="D601" s="45" t="s">
        <v>497</v>
      </c>
      <c r="E601" s="45" t="s">
        <v>492</v>
      </c>
      <c r="F601" s="45" t="s">
        <v>493</v>
      </c>
      <c r="G601" s="14">
        <v>6948</v>
      </c>
      <c r="H601" s="14">
        <v>7803</v>
      </c>
      <c r="I601" s="14">
        <v>8116</v>
      </c>
      <c r="J601" s="14">
        <v>8977</v>
      </c>
      <c r="K601" s="14">
        <v>11407</v>
      </c>
      <c r="L601" s="14">
        <v>12938</v>
      </c>
      <c r="M601" s="14">
        <v>14278</v>
      </c>
      <c r="N601" s="14">
        <v>15152</v>
      </c>
      <c r="O601" s="14">
        <v>16092</v>
      </c>
      <c r="P601" s="14">
        <v>17685</v>
      </c>
      <c r="Q601" s="14">
        <v>18806</v>
      </c>
      <c r="R601" s="14">
        <v>22322</v>
      </c>
      <c r="S601" s="14">
        <v>22906</v>
      </c>
      <c r="T601" s="14">
        <v>24587</v>
      </c>
      <c r="U601" s="14">
        <v>26106</v>
      </c>
      <c r="V601" s="14">
        <v>28457</v>
      </c>
      <c r="W601" s="14">
        <v>28011</v>
      </c>
      <c r="X601" s="14">
        <v>30258</v>
      </c>
      <c r="Y601" s="14">
        <v>31310</v>
      </c>
      <c r="Z601" s="14">
        <v>34372</v>
      </c>
      <c r="AA601" s="14"/>
      <c r="AB601" s="14"/>
    </row>
    <row r="602" spans="1:30">
      <c r="A602" s="45" t="s">
        <v>371</v>
      </c>
      <c r="B602" s="45" t="s">
        <v>372</v>
      </c>
      <c r="C602" s="45" t="s">
        <v>498</v>
      </c>
      <c r="D602" s="45" t="s">
        <v>491</v>
      </c>
      <c r="E602" s="45" t="s">
        <v>499</v>
      </c>
      <c r="F602" s="45" t="s">
        <v>500</v>
      </c>
      <c r="G602" s="14">
        <v>19253.8</v>
      </c>
      <c r="H602" s="14">
        <v>19274.099999999999</v>
      </c>
      <c r="I602" s="14">
        <v>20236.2</v>
      </c>
      <c r="J602" s="14">
        <v>19848.900000000001</v>
      </c>
      <c r="K602" s="14">
        <v>21654.3</v>
      </c>
      <c r="L602" s="14">
        <v>23673.1</v>
      </c>
      <c r="M602" s="14">
        <v>30771.5</v>
      </c>
      <c r="N602" s="14">
        <v>25216</v>
      </c>
      <c r="O602" s="14">
        <v>24695</v>
      </c>
      <c r="P602" s="14">
        <v>25926.3</v>
      </c>
      <c r="Q602" s="14">
        <v>22856.2</v>
      </c>
      <c r="R602" s="14">
        <v>25327.599999999999</v>
      </c>
      <c r="S602" s="14">
        <v>23172.799999999999</v>
      </c>
      <c r="T602" s="14">
        <v>23878.6</v>
      </c>
      <c r="U602" s="14">
        <v>23431</v>
      </c>
      <c r="V602" s="14">
        <v>24191</v>
      </c>
      <c r="W602" s="14">
        <v>23992.2</v>
      </c>
      <c r="X602" s="14">
        <v>25226.799999999999</v>
      </c>
      <c r="Y602" s="14">
        <v>24570.3</v>
      </c>
      <c r="Z602" s="14">
        <v>24062.5</v>
      </c>
      <c r="AA602" s="14"/>
      <c r="AB602" s="14"/>
      <c r="AC602" s="15">
        <f>IFERROR(Z602/G602-1,"")</f>
        <v>0.249753295453365</v>
      </c>
      <c r="AD602" s="15">
        <f>IFERROR((Z602/G602)^(1/19)-1,"")</f>
        <v>1.18031223961792E-2</v>
      </c>
    </row>
    <row r="603" spans="1:30">
      <c r="A603" s="45" t="s">
        <v>371</v>
      </c>
      <c r="B603" s="45" t="s">
        <v>372</v>
      </c>
      <c r="C603" s="45" t="s">
        <v>498</v>
      </c>
      <c r="D603" s="45" t="s">
        <v>495</v>
      </c>
      <c r="E603" s="45" t="s">
        <v>499</v>
      </c>
      <c r="F603" s="45" t="s">
        <v>500</v>
      </c>
      <c r="G603" s="14">
        <v>1774.2</v>
      </c>
      <c r="H603" s="14">
        <v>602.79999999999995</v>
      </c>
      <c r="I603" s="14">
        <v>956.6</v>
      </c>
      <c r="J603" s="14">
        <v>631.20000000000005</v>
      </c>
      <c r="K603" s="14">
        <v>582</v>
      </c>
      <c r="L603" s="14">
        <v>899.3</v>
      </c>
      <c r="M603" s="14">
        <v>1039.5999999999999</v>
      </c>
      <c r="N603" s="14">
        <v>1426.9</v>
      </c>
      <c r="O603" s="14">
        <v>1340</v>
      </c>
      <c r="P603" s="14">
        <v>994.3</v>
      </c>
      <c r="Q603" s="14">
        <v>817.6</v>
      </c>
      <c r="R603" s="14">
        <v>737.5</v>
      </c>
      <c r="S603" s="14">
        <v>584.20000000000005</v>
      </c>
      <c r="T603" s="14">
        <v>676.9</v>
      </c>
      <c r="U603" s="14">
        <v>800</v>
      </c>
      <c r="V603" s="14">
        <v>773.5</v>
      </c>
      <c r="W603" s="14">
        <v>781.2</v>
      </c>
      <c r="X603" s="14">
        <v>868.6</v>
      </c>
      <c r="Y603" s="14">
        <v>830.6</v>
      </c>
      <c r="Z603" s="14">
        <v>885.1</v>
      </c>
      <c r="AA603" s="14"/>
      <c r="AB603" s="14"/>
      <c r="AC603" s="15">
        <f>IFERROR(Z603/G603-1,"")</f>
        <v>-0.50112726862811408</v>
      </c>
      <c r="AD603" s="15">
        <f>IFERROR((Z603/G603)^(1/19)-1,"")</f>
        <v>-3.5938533403074624E-2</v>
      </c>
    </row>
    <row r="604" spans="1:30">
      <c r="A604" s="45" t="s">
        <v>371</v>
      </c>
      <c r="B604" s="45" t="s">
        <v>372</v>
      </c>
      <c r="C604" s="45" t="s">
        <v>498</v>
      </c>
      <c r="D604" s="45" t="s">
        <v>496</v>
      </c>
      <c r="E604" s="45" t="s">
        <v>499</v>
      </c>
      <c r="F604" s="45" t="s">
        <v>500</v>
      </c>
      <c r="G604" s="14">
        <v>2582.6</v>
      </c>
      <c r="H604" s="14">
        <v>2635.5</v>
      </c>
      <c r="I604" s="14">
        <v>2706</v>
      </c>
      <c r="J604" s="14">
        <v>2468.4</v>
      </c>
      <c r="K604" s="14">
        <v>3067.9</v>
      </c>
      <c r="L604" s="14">
        <v>3710</v>
      </c>
      <c r="M604" s="14">
        <v>3953.2</v>
      </c>
      <c r="N604" s="14">
        <v>3729.8</v>
      </c>
      <c r="O604" s="14">
        <v>3783</v>
      </c>
      <c r="P604" s="14">
        <v>3844.2</v>
      </c>
      <c r="Q604" s="14">
        <v>3838.4</v>
      </c>
      <c r="R604" s="14">
        <v>4237.2</v>
      </c>
      <c r="S604" s="14">
        <v>3782.1</v>
      </c>
      <c r="T604" s="14">
        <v>4297.8999999999996</v>
      </c>
      <c r="U604" s="14">
        <v>4416.6000000000004</v>
      </c>
      <c r="V604" s="14">
        <v>4486</v>
      </c>
      <c r="W604" s="14">
        <v>5405.1</v>
      </c>
      <c r="X604" s="14">
        <v>5780.5</v>
      </c>
      <c r="Y604" s="14">
        <v>5597.5</v>
      </c>
      <c r="Z604" s="14">
        <v>5301.5</v>
      </c>
      <c r="AA604" s="14"/>
      <c r="AB604" s="14"/>
      <c r="AC604" s="15">
        <f>IFERROR(Z604/G604-1,"")</f>
        <v>1.0527762719739799</v>
      </c>
      <c r="AD604" s="15">
        <f>IFERROR((Z604/G604)^(1/19)-1,"")</f>
        <v>3.857779386628013E-2</v>
      </c>
    </row>
    <row r="605" spans="1:30">
      <c r="A605" s="45" t="s">
        <v>371</v>
      </c>
      <c r="B605" s="45" t="s">
        <v>372</v>
      </c>
      <c r="C605" s="45" t="s">
        <v>498</v>
      </c>
      <c r="D605" s="45" t="s">
        <v>497</v>
      </c>
      <c r="E605" s="45" t="s">
        <v>499</v>
      </c>
      <c r="F605" s="45" t="s">
        <v>500</v>
      </c>
      <c r="G605" s="14">
        <v>13199.3</v>
      </c>
      <c r="H605" s="14">
        <v>12993.4</v>
      </c>
      <c r="I605" s="14">
        <v>12541.4</v>
      </c>
      <c r="J605" s="14">
        <v>12912.7</v>
      </c>
      <c r="K605" s="14">
        <v>15367.1</v>
      </c>
      <c r="L605" s="14">
        <v>16375.4</v>
      </c>
      <c r="M605" s="14">
        <v>16612.8</v>
      </c>
      <c r="N605" s="14">
        <v>16428.3</v>
      </c>
      <c r="O605" s="14">
        <v>16092</v>
      </c>
      <c r="P605" s="14">
        <v>16326.8</v>
      </c>
      <c r="Q605" s="14">
        <v>16084.2</v>
      </c>
      <c r="R605" s="14">
        <v>17758.599999999999</v>
      </c>
      <c r="S605" s="14">
        <v>16897.3</v>
      </c>
      <c r="T605" s="14">
        <v>16861.599999999999</v>
      </c>
      <c r="U605" s="14">
        <v>16561.2</v>
      </c>
      <c r="V605" s="14">
        <v>17413.400000000001</v>
      </c>
      <c r="W605" s="14">
        <v>16403.400000000001</v>
      </c>
      <c r="X605" s="14">
        <v>17001</v>
      </c>
      <c r="Y605" s="14">
        <v>16522.7</v>
      </c>
      <c r="Z605" s="14">
        <v>16045.6</v>
      </c>
      <c r="AA605" s="14"/>
      <c r="AB605" s="14"/>
      <c r="AC605" s="15">
        <f>IFERROR(Z605/G605-1,"")</f>
        <v>0.21564022334517752</v>
      </c>
      <c r="AD605" s="15">
        <f>IFERROR((Z605/G605)^(1/19)-1,"")</f>
        <v>1.0330408266390867E-2</v>
      </c>
    </row>
    <row r="606" spans="1:30">
      <c r="A606" s="45" t="s">
        <v>371</v>
      </c>
      <c r="B606" s="45" t="s">
        <v>372</v>
      </c>
      <c r="C606" s="45" t="s">
        <v>498</v>
      </c>
      <c r="D606" s="45" t="s">
        <v>501</v>
      </c>
      <c r="E606" s="45" t="s">
        <v>499</v>
      </c>
      <c r="F606" s="45" t="s">
        <v>500</v>
      </c>
      <c r="G606" s="14">
        <v>1290.7</v>
      </c>
      <c r="H606" s="14">
        <v>2616</v>
      </c>
      <c r="I606" s="14">
        <v>3559.3</v>
      </c>
      <c r="J606" s="14">
        <v>3328.4</v>
      </c>
      <c r="K606" s="14">
        <v>1893.9</v>
      </c>
      <c r="L606" s="14">
        <v>1611.2</v>
      </c>
      <c r="M606" s="14">
        <v>6803.7</v>
      </c>
      <c r="N606" s="14">
        <v>2624.9</v>
      </c>
      <c r="O606" s="14">
        <v>2186</v>
      </c>
      <c r="P606" s="14">
        <v>3200.7</v>
      </c>
      <c r="Q606" s="14">
        <v>1121.3</v>
      </c>
      <c r="R606" s="14">
        <v>1488.5</v>
      </c>
      <c r="S606" s="14">
        <v>1108.7</v>
      </c>
      <c r="T606" s="14">
        <v>1141.2</v>
      </c>
      <c r="U606" s="14">
        <v>1167.9000000000001</v>
      </c>
      <c r="V606" s="14">
        <v>1070.9000000000001</v>
      </c>
      <c r="W606" s="14">
        <v>711.5</v>
      </c>
      <c r="X606" s="14">
        <v>898.4</v>
      </c>
      <c r="Y606" s="14">
        <v>960.4</v>
      </c>
      <c r="Z606" s="14">
        <v>1086.3</v>
      </c>
      <c r="AA606" s="14"/>
      <c r="AB606" s="14"/>
      <c r="AC606" s="15">
        <f>IFERROR(Z606/G606-1,"")</f>
        <v>-0.15836367862400258</v>
      </c>
      <c r="AD606" s="15">
        <f>IFERROR((Z606/G606)^(1/19)-1,"")</f>
        <v>-9.0330222825641959E-3</v>
      </c>
    </row>
    <row r="607" spans="1:30">
      <c r="A607" s="45" t="s">
        <v>335</v>
      </c>
      <c r="B607" s="45" t="s">
        <v>336</v>
      </c>
      <c r="C607" s="45" t="s">
        <v>490</v>
      </c>
      <c r="D607" s="45" t="s">
        <v>491</v>
      </c>
      <c r="E607" s="45" t="s">
        <v>492</v>
      </c>
      <c r="F607" s="45" t="s">
        <v>493</v>
      </c>
      <c r="G607" s="14">
        <v>5752</v>
      </c>
      <c r="H607" s="14">
        <v>7109</v>
      </c>
      <c r="I607" s="14">
        <v>6976</v>
      </c>
      <c r="J607" s="14">
        <v>8178</v>
      </c>
      <c r="K607" s="14">
        <v>9583</v>
      </c>
      <c r="L607" s="14">
        <v>9922</v>
      </c>
      <c r="M607" s="14">
        <v>12338</v>
      </c>
      <c r="N607" s="14">
        <v>13733</v>
      </c>
      <c r="O607" s="14">
        <v>14289</v>
      </c>
      <c r="P607" s="14">
        <v>16000</v>
      </c>
      <c r="Q607" s="14">
        <v>17027</v>
      </c>
      <c r="R607" s="14">
        <v>20292</v>
      </c>
      <c r="S607" s="14">
        <v>19958</v>
      </c>
      <c r="T607" s="14">
        <v>23705</v>
      </c>
      <c r="U607" s="14">
        <v>22853</v>
      </c>
      <c r="V607" s="14">
        <v>25461</v>
      </c>
      <c r="W607" s="14">
        <v>27659</v>
      </c>
      <c r="X607" s="14">
        <v>29609</v>
      </c>
      <c r="Y607" s="14">
        <v>56197</v>
      </c>
      <c r="Z607" s="14">
        <v>64391</v>
      </c>
      <c r="AA607" s="14">
        <v>62530</v>
      </c>
      <c r="AB607" s="14">
        <v>69280</v>
      </c>
    </row>
    <row r="608" spans="1:30">
      <c r="A608" s="45" t="s">
        <v>335</v>
      </c>
      <c r="B608" s="45" t="s">
        <v>336</v>
      </c>
      <c r="C608" s="45" t="s">
        <v>490</v>
      </c>
      <c r="D608" s="45" t="s">
        <v>494</v>
      </c>
      <c r="E608" s="45" t="s">
        <v>492</v>
      </c>
      <c r="F608" s="45" t="s">
        <v>493</v>
      </c>
      <c r="G608" s="14">
        <v>5588</v>
      </c>
      <c r="H608" s="14">
        <v>6937</v>
      </c>
      <c r="I608" s="14">
        <v>6812</v>
      </c>
      <c r="J608" s="14">
        <v>7942</v>
      </c>
      <c r="K608" s="14">
        <v>9188</v>
      </c>
      <c r="L608" s="14">
        <v>9460</v>
      </c>
      <c r="M608" s="14">
        <v>11714</v>
      </c>
      <c r="N608" s="14">
        <v>13115</v>
      </c>
      <c r="O608" s="14">
        <v>13761</v>
      </c>
      <c r="P608" s="14">
        <v>15411</v>
      </c>
      <c r="Q608" s="14">
        <v>16342</v>
      </c>
      <c r="R608" s="14">
        <v>19226</v>
      </c>
      <c r="S608" s="14">
        <v>18940</v>
      </c>
      <c r="T608" s="14">
        <v>22097</v>
      </c>
      <c r="U608" s="14">
        <v>22159</v>
      </c>
      <c r="V608" s="14">
        <v>24926</v>
      </c>
      <c r="W608" s="14">
        <v>25786</v>
      </c>
      <c r="X608" s="14">
        <v>27610</v>
      </c>
      <c r="Y608" s="14">
        <v>54137</v>
      </c>
      <c r="Z608" s="14">
        <v>61535</v>
      </c>
      <c r="AA608" s="14"/>
      <c r="AB608" s="14"/>
    </row>
    <row r="609" spans="1:30">
      <c r="A609" s="45" t="s">
        <v>335</v>
      </c>
      <c r="B609" s="45" t="s">
        <v>336</v>
      </c>
      <c r="C609" s="45" t="s">
        <v>490</v>
      </c>
      <c r="D609" s="45" t="s">
        <v>495</v>
      </c>
      <c r="E609" s="45" t="s">
        <v>492</v>
      </c>
      <c r="F609" s="45" t="s">
        <v>493</v>
      </c>
      <c r="G609" s="14">
        <v>262</v>
      </c>
      <c r="H609" s="14">
        <v>206</v>
      </c>
      <c r="I609" s="14">
        <v>227</v>
      </c>
      <c r="J609" s="14">
        <v>275</v>
      </c>
      <c r="K609" s="14">
        <v>283</v>
      </c>
      <c r="L609" s="14">
        <v>318</v>
      </c>
      <c r="M609" s="14">
        <v>351</v>
      </c>
      <c r="N609" s="14">
        <v>422</v>
      </c>
      <c r="O609" s="14">
        <v>381</v>
      </c>
      <c r="P609" s="14">
        <v>422</v>
      </c>
      <c r="Q609" s="14">
        <v>519</v>
      </c>
      <c r="R609" s="14">
        <v>535</v>
      </c>
      <c r="S609" s="14">
        <v>490</v>
      </c>
      <c r="T609" s="14">
        <v>563</v>
      </c>
      <c r="U609" s="14">
        <v>603</v>
      </c>
      <c r="V609" s="14">
        <v>641</v>
      </c>
      <c r="W609" s="14">
        <v>641</v>
      </c>
      <c r="X609" s="14">
        <v>714</v>
      </c>
      <c r="Y609" s="14">
        <v>25092</v>
      </c>
      <c r="Z609" s="14">
        <v>27698</v>
      </c>
      <c r="AA609" s="14"/>
      <c r="AB609" s="14"/>
    </row>
    <row r="610" spans="1:30">
      <c r="A610" s="45" t="s">
        <v>335</v>
      </c>
      <c r="B610" s="45" t="s">
        <v>336</v>
      </c>
      <c r="C610" s="45" t="s">
        <v>490</v>
      </c>
      <c r="D610" s="45" t="s">
        <v>496</v>
      </c>
      <c r="E610" s="45" t="s">
        <v>492</v>
      </c>
      <c r="F610" s="45" t="s">
        <v>493</v>
      </c>
      <c r="G610" s="14">
        <v>902</v>
      </c>
      <c r="H610" s="14">
        <v>1108</v>
      </c>
      <c r="I610" s="14">
        <v>1181</v>
      </c>
      <c r="J610" s="14">
        <v>1361</v>
      </c>
      <c r="K610" s="14">
        <v>1596</v>
      </c>
      <c r="L610" s="14">
        <v>1653</v>
      </c>
      <c r="M610" s="14">
        <v>1899</v>
      </c>
      <c r="N610" s="14">
        <v>2173</v>
      </c>
      <c r="O610" s="14">
        <v>2345</v>
      </c>
      <c r="P610" s="14">
        <v>2581</v>
      </c>
      <c r="Q610" s="14">
        <v>2762</v>
      </c>
      <c r="R610" s="14">
        <v>3239</v>
      </c>
      <c r="S610" s="14">
        <v>2985</v>
      </c>
      <c r="T610" s="14">
        <v>3657</v>
      </c>
      <c r="U610" s="14">
        <v>3759</v>
      </c>
      <c r="V610" s="14">
        <v>4330</v>
      </c>
      <c r="W610" s="14">
        <v>4757</v>
      </c>
      <c r="X610" s="14">
        <v>5284</v>
      </c>
      <c r="Y610" s="14">
        <v>5767</v>
      </c>
      <c r="Z610" s="14">
        <v>6118</v>
      </c>
      <c r="AA610" s="14"/>
      <c r="AB610" s="14"/>
    </row>
    <row r="611" spans="1:30">
      <c r="A611" s="45" t="s">
        <v>335</v>
      </c>
      <c r="B611" s="45" t="s">
        <v>336</v>
      </c>
      <c r="C611" s="45" t="s">
        <v>490</v>
      </c>
      <c r="D611" s="45" t="s">
        <v>497</v>
      </c>
      <c r="E611" s="45" t="s">
        <v>492</v>
      </c>
      <c r="F611" s="45" t="s">
        <v>493</v>
      </c>
      <c r="G611" s="14">
        <v>3810</v>
      </c>
      <c r="H611" s="14">
        <v>4361</v>
      </c>
      <c r="I611" s="14">
        <v>4637</v>
      </c>
      <c r="J611" s="14">
        <v>5590</v>
      </c>
      <c r="K611" s="14">
        <v>6449</v>
      </c>
      <c r="L611" s="14">
        <v>6883</v>
      </c>
      <c r="M611" s="14">
        <v>8659</v>
      </c>
      <c r="N611" s="14">
        <v>9666</v>
      </c>
      <c r="O611" s="14">
        <v>10377</v>
      </c>
      <c r="P611" s="14">
        <v>11610</v>
      </c>
      <c r="Q611" s="14">
        <v>12346</v>
      </c>
      <c r="R611" s="14">
        <v>14058</v>
      </c>
      <c r="S611" s="14">
        <v>14071</v>
      </c>
      <c r="T611" s="14">
        <v>15640</v>
      </c>
      <c r="U611" s="14">
        <v>15674</v>
      </c>
      <c r="V611" s="14">
        <v>18521</v>
      </c>
      <c r="W611" s="14">
        <v>18777</v>
      </c>
      <c r="X611" s="14">
        <v>19872</v>
      </c>
      <c r="Y611" s="14">
        <v>21069</v>
      </c>
      <c r="Z611" s="14">
        <v>22687</v>
      </c>
      <c r="AA611" s="14"/>
      <c r="AB611" s="14"/>
    </row>
    <row r="612" spans="1:30">
      <c r="A612" s="45" t="s">
        <v>335</v>
      </c>
      <c r="B612" s="45" t="s">
        <v>336</v>
      </c>
      <c r="C612" s="45" t="s">
        <v>498</v>
      </c>
      <c r="D612" s="45" t="s">
        <v>491</v>
      </c>
      <c r="E612" s="45" t="s">
        <v>499</v>
      </c>
      <c r="F612" s="45" t="s">
        <v>500</v>
      </c>
      <c r="G612" s="14">
        <v>10927.9</v>
      </c>
      <c r="H612" s="14">
        <v>11837.5</v>
      </c>
      <c r="I612" s="14">
        <v>10779.9</v>
      </c>
      <c r="J612" s="14">
        <v>11763.3</v>
      </c>
      <c r="K612" s="14">
        <v>12910.3</v>
      </c>
      <c r="L612" s="14">
        <v>12558.1</v>
      </c>
      <c r="M612" s="14">
        <v>14356.1</v>
      </c>
      <c r="N612" s="14">
        <v>14889.8</v>
      </c>
      <c r="O612" s="14">
        <v>14289</v>
      </c>
      <c r="P612" s="14">
        <v>14771.2</v>
      </c>
      <c r="Q612" s="14">
        <v>14562.6</v>
      </c>
      <c r="R612" s="14">
        <v>16143.6</v>
      </c>
      <c r="S612" s="14">
        <v>14722.6</v>
      </c>
      <c r="T612" s="14">
        <v>16256.7</v>
      </c>
      <c r="U612" s="14">
        <v>14497.6</v>
      </c>
      <c r="V612" s="14">
        <v>15580.1</v>
      </c>
      <c r="W612" s="14">
        <v>16197.2</v>
      </c>
      <c r="X612" s="14">
        <v>16636.400000000001</v>
      </c>
      <c r="Y612" s="14">
        <v>29655.9</v>
      </c>
      <c r="Z612" s="14">
        <v>30058.2</v>
      </c>
      <c r="AA612" s="14"/>
      <c r="AB612" s="14"/>
      <c r="AC612" s="15">
        <f>IFERROR(Z612/G612-1,"")</f>
        <v>1.7505925200633241</v>
      </c>
      <c r="AD612" s="15">
        <f>IFERROR((Z612/G612)^(1/19)-1,"")</f>
        <v>5.4696968607982788E-2</v>
      </c>
    </row>
    <row r="613" spans="1:30">
      <c r="A613" s="45" t="s">
        <v>335</v>
      </c>
      <c r="B613" s="45" t="s">
        <v>336</v>
      </c>
      <c r="C613" s="45" t="s">
        <v>498</v>
      </c>
      <c r="D613" s="45" t="s">
        <v>495</v>
      </c>
      <c r="E613" s="45" t="s">
        <v>499</v>
      </c>
      <c r="F613" s="45" t="s">
        <v>500</v>
      </c>
      <c r="G613" s="14">
        <v>497.6</v>
      </c>
      <c r="H613" s="14">
        <v>343.8</v>
      </c>
      <c r="I613" s="14">
        <v>351.3</v>
      </c>
      <c r="J613" s="14">
        <v>395.4</v>
      </c>
      <c r="K613" s="14">
        <v>381.9</v>
      </c>
      <c r="L613" s="14">
        <v>402.1</v>
      </c>
      <c r="M613" s="14">
        <v>407.9</v>
      </c>
      <c r="N613" s="14">
        <v>457.5</v>
      </c>
      <c r="O613" s="14">
        <v>381</v>
      </c>
      <c r="P613" s="14">
        <v>389.6</v>
      </c>
      <c r="Q613" s="14">
        <v>443.9</v>
      </c>
      <c r="R613" s="14">
        <v>425.6</v>
      </c>
      <c r="S613" s="14">
        <v>361.5</v>
      </c>
      <c r="T613" s="14">
        <v>386.1</v>
      </c>
      <c r="U613" s="14">
        <v>382.5</v>
      </c>
      <c r="V613" s="14">
        <v>392.2</v>
      </c>
      <c r="W613" s="14">
        <v>375.4</v>
      </c>
      <c r="X613" s="14">
        <v>401.2</v>
      </c>
      <c r="Y613" s="14">
        <v>13241.4</v>
      </c>
      <c r="Z613" s="14">
        <v>12929.6</v>
      </c>
      <c r="AA613" s="14"/>
      <c r="AB613" s="14"/>
      <c r="AC613" s="15">
        <f>IFERROR(Z613/G613-1,"")</f>
        <v>24.983922829581992</v>
      </c>
      <c r="AD613" s="15">
        <f>IFERROR((Z613/G613)^(1/19)-1,"")</f>
        <v>0.18702029144683885</v>
      </c>
    </row>
    <row r="614" spans="1:30">
      <c r="A614" s="45" t="s">
        <v>335</v>
      </c>
      <c r="B614" s="45" t="s">
        <v>336</v>
      </c>
      <c r="C614" s="45" t="s">
        <v>498</v>
      </c>
      <c r="D614" s="45" t="s">
        <v>496</v>
      </c>
      <c r="E614" s="45" t="s">
        <v>499</v>
      </c>
      <c r="F614" s="45" t="s">
        <v>500</v>
      </c>
      <c r="G614" s="14">
        <v>1714.2</v>
      </c>
      <c r="H614" s="14">
        <v>1844.9</v>
      </c>
      <c r="I614" s="14">
        <v>1825.2</v>
      </c>
      <c r="J614" s="14">
        <v>1957.8</v>
      </c>
      <c r="K614" s="14">
        <v>2149.8000000000002</v>
      </c>
      <c r="L614" s="14">
        <v>2092.3000000000002</v>
      </c>
      <c r="M614" s="14">
        <v>2210</v>
      </c>
      <c r="N614" s="14">
        <v>2356</v>
      </c>
      <c r="O614" s="14">
        <v>2345</v>
      </c>
      <c r="P614" s="14">
        <v>2382.8000000000002</v>
      </c>
      <c r="Q614" s="14">
        <v>2362.1999999999998</v>
      </c>
      <c r="R614" s="14">
        <v>2576.8000000000002</v>
      </c>
      <c r="S614" s="14">
        <v>2202</v>
      </c>
      <c r="T614" s="14">
        <v>2507.9</v>
      </c>
      <c r="U614" s="14">
        <v>2384.6</v>
      </c>
      <c r="V614" s="14">
        <v>2649.6</v>
      </c>
      <c r="W614" s="14">
        <v>2785.7</v>
      </c>
      <c r="X614" s="14">
        <v>2968.9</v>
      </c>
      <c r="Y614" s="14">
        <v>3043.3</v>
      </c>
      <c r="Z614" s="14">
        <v>2855.9</v>
      </c>
      <c r="AA614" s="14"/>
      <c r="AB614" s="14"/>
      <c r="AC614" s="15">
        <f>IFERROR(Z614/G614-1,"")</f>
        <v>0.66602496791506249</v>
      </c>
      <c r="AD614" s="15">
        <f>IFERROR((Z614/G614)^(1/19)-1,"")</f>
        <v>2.7229416469698453E-2</v>
      </c>
    </row>
    <row r="615" spans="1:30">
      <c r="A615" s="45" t="s">
        <v>335</v>
      </c>
      <c r="B615" s="45" t="s">
        <v>336</v>
      </c>
      <c r="C615" s="45" t="s">
        <v>498</v>
      </c>
      <c r="D615" s="45" t="s">
        <v>497</v>
      </c>
      <c r="E615" s="45" t="s">
        <v>499</v>
      </c>
      <c r="F615" s="45" t="s">
        <v>500</v>
      </c>
      <c r="G615" s="14">
        <v>7237.3</v>
      </c>
      <c r="H615" s="14">
        <v>7261</v>
      </c>
      <c r="I615" s="14">
        <v>7166</v>
      </c>
      <c r="J615" s="14">
        <v>8040.2</v>
      </c>
      <c r="K615" s="14">
        <v>8687.4</v>
      </c>
      <c r="L615" s="14">
        <v>8711.4</v>
      </c>
      <c r="M615" s="14">
        <v>10075.1</v>
      </c>
      <c r="N615" s="14">
        <v>10480.200000000001</v>
      </c>
      <c r="O615" s="14">
        <v>10377</v>
      </c>
      <c r="P615" s="14">
        <v>10718.4</v>
      </c>
      <c r="Q615" s="14">
        <v>10559.1</v>
      </c>
      <c r="R615" s="14">
        <v>11184</v>
      </c>
      <c r="S615" s="14">
        <v>10379.9</v>
      </c>
      <c r="T615" s="14">
        <v>10725.8</v>
      </c>
      <c r="U615" s="14">
        <v>9943.2999999999993</v>
      </c>
      <c r="V615" s="14">
        <v>11333.3</v>
      </c>
      <c r="W615" s="14">
        <v>10995.9</v>
      </c>
      <c r="X615" s="14">
        <v>11165.5</v>
      </c>
      <c r="Y615" s="14">
        <v>11118.4</v>
      </c>
      <c r="Z615" s="14">
        <v>10590.9</v>
      </c>
      <c r="AA615" s="14"/>
      <c r="AB615" s="14"/>
      <c r="AC615" s="15">
        <f>IFERROR(Z615/G615-1,"")</f>
        <v>0.46337722631368039</v>
      </c>
      <c r="AD615" s="15">
        <f>IFERROR((Z615/G615)^(1/19)-1,"")</f>
        <v>2.0241447247897337E-2</v>
      </c>
    </row>
    <row r="616" spans="1:30">
      <c r="A616" s="45" t="s">
        <v>335</v>
      </c>
      <c r="B616" s="45" t="s">
        <v>336</v>
      </c>
      <c r="C616" s="45" t="s">
        <v>498</v>
      </c>
      <c r="D616" s="45" t="s">
        <v>501</v>
      </c>
      <c r="E616" s="45" t="s">
        <v>499</v>
      </c>
      <c r="F616" s="45" t="s">
        <v>500</v>
      </c>
      <c r="G616" s="14">
        <v>1165.9000000000001</v>
      </c>
      <c r="H616" s="14">
        <v>2101.1</v>
      </c>
      <c r="I616" s="14">
        <v>1184.4000000000001</v>
      </c>
      <c r="J616" s="14">
        <v>1031</v>
      </c>
      <c r="K616" s="14">
        <v>1157.9000000000001</v>
      </c>
      <c r="L616" s="14">
        <v>767.5</v>
      </c>
      <c r="M616" s="14">
        <v>936.2</v>
      </c>
      <c r="N616" s="14">
        <v>925.9</v>
      </c>
      <c r="O616" s="14">
        <v>658</v>
      </c>
      <c r="P616" s="14">
        <v>736.7</v>
      </c>
      <c r="Q616" s="14">
        <v>611.5</v>
      </c>
      <c r="R616" s="14">
        <v>1109.8</v>
      </c>
      <c r="S616" s="14">
        <v>1028.3</v>
      </c>
      <c r="T616" s="14">
        <v>1534.8</v>
      </c>
      <c r="U616" s="14">
        <v>1346.2</v>
      </c>
      <c r="V616" s="14">
        <v>877.5</v>
      </c>
      <c r="W616" s="14">
        <v>944</v>
      </c>
      <c r="X616" s="14">
        <v>977.7</v>
      </c>
      <c r="Y616" s="14">
        <v>1165.7</v>
      </c>
      <c r="Z616" s="14">
        <v>2349</v>
      </c>
      <c r="AA616" s="14"/>
      <c r="AB616" s="14"/>
      <c r="AC616" s="15">
        <f>IFERROR(Z616/G616-1,"")</f>
        <v>1.0147525516768159</v>
      </c>
      <c r="AD616" s="15">
        <f>IFERROR((Z616/G616)^(1/19)-1,"")</f>
        <v>3.7556293841125132E-2</v>
      </c>
    </row>
    <row r="617" spans="1:30">
      <c r="A617" s="45" t="s">
        <v>191</v>
      </c>
      <c r="B617" s="45" t="s">
        <v>192</v>
      </c>
      <c r="C617" s="45" t="s">
        <v>490</v>
      </c>
      <c r="D617" s="45" t="s">
        <v>491</v>
      </c>
      <c r="E617" s="45" t="s">
        <v>492</v>
      </c>
      <c r="F617" s="45" t="s">
        <v>493</v>
      </c>
      <c r="G617" s="14">
        <v>33981</v>
      </c>
      <c r="H617" s="14">
        <v>38052</v>
      </c>
      <c r="I617" s="14">
        <v>38274</v>
      </c>
      <c r="J617" s="14">
        <v>48171</v>
      </c>
      <c r="K617" s="14">
        <v>59893</v>
      </c>
      <c r="L617" s="14">
        <v>70705</v>
      </c>
      <c r="M617" s="14">
        <v>74235</v>
      </c>
      <c r="N617" s="14">
        <v>73815</v>
      </c>
      <c r="O617" s="14">
        <v>80683</v>
      </c>
      <c r="P617" s="14">
        <v>98437</v>
      </c>
      <c r="Q617" s="14">
        <v>108247</v>
      </c>
      <c r="R617" s="14">
        <v>136791</v>
      </c>
      <c r="S617" s="14">
        <v>143574</v>
      </c>
      <c r="T617" s="14">
        <v>146670</v>
      </c>
      <c r="U617" s="14">
        <v>119487</v>
      </c>
      <c r="V617" s="14">
        <v>128335</v>
      </c>
      <c r="W617" s="14">
        <v>147624</v>
      </c>
      <c r="X617" s="14">
        <v>177065</v>
      </c>
      <c r="Y617" s="14">
        <v>184222</v>
      </c>
      <c r="Z617" s="14">
        <v>213313</v>
      </c>
      <c r="AA617" s="14">
        <v>243966</v>
      </c>
      <c r="AB617" s="14">
        <v>276161</v>
      </c>
    </row>
    <row r="618" spans="1:30">
      <c r="A618" s="45" t="s">
        <v>191</v>
      </c>
      <c r="B618" s="45" t="s">
        <v>192</v>
      </c>
      <c r="C618" s="45" t="s">
        <v>490</v>
      </c>
      <c r="D618" s="45" t="s">
        <v>494</v>
      </c>
      <c r="E618" s="45" t="s">
        <v>492</v>
      </c>
      <c r="F618" s="45" t="s">
        <v>493</v>
      </c>
      <c r="G618" s="14">
        <v>31318</v>
      </c>
      <c r="H618" s="14">
        <v>35353</v>
      </c>
      <c r="I618" s="14">
        <v>35326</v>
      </c>
      <c r="J618" s="14">
        <v>43666</v>
      </c>
      <c r="K618" s="14">
        <v>53185</v>
      </c>
      <c r="L618" s="14">
        <v>64201</v>
      </c>
      <c r="M618" s="14">
        <v>67672</v>
      </c>
      <c r="N618" s="14">
        <v>67618</v>
      </c>
      <c r="O618" s="14">
        <v>73402</v>
      </c>
      <c r="P618" s="14">
        <v>88246</v>
      </c>
      <c r="Q618" s="14">
        <v>96349</v>
      </c>
      <c r="R618" s="14">
        <v>122385</v>
      </c>
      <c r="S618" s="14">
        <v>128019</v>
      </c>
      <c r="T618" s="14">
        <v>133053</v>
      </c>
      <c r="U618" s="14">
        <v>114314</v>
      </c>
      <c r="V618" s="14">
        <v>123155</v>
      </c>
      <c r="W618" s="14">
        <v>139077</v>
      </c>
      <c r="X618" s="14">
        <v>165287</v>
      </c>
      <c r="Y618" s="14">
        <v>171702</v>
      </c>
      <c r="Z618" s="14">
        <v>196355</v>
      </c>
      <c r="AA618" s="14"/>
      <c r="AB618" s="14"/>
    </row>
    <row r="619" spans="1:30">
      <c r="A619" s="45" t="s">
        <v>191</v>
      </c>
      <c r="B619" s="45" t="s">
        <v>192</v>
      </c>
      <c r="C619" s="45" t="s">
        <v>490</v>
      </c>
      <c r="D619" s="45" t="s">
        <v>495</v>
      </c>
      <c r="E619" s="45" t="s">
        <v>492</v>
      </c>
      <c r="F619" s="45" t="s">
        <v>493</v>
      </c>
      <c r="G619" s="14">
        <v>7280</v>
      </c>
      <c r="H619" s="14">
        <v>7299</v>
      </c>
      <c r="I619" s="14">
        <v>6217</v>
      </c>
      <c r="J619" s="14">
        <v>10192</v>
      </c>
      <c r="K619" s="14">
        <v>13684</v>
      </c>
      <c r="L619" s="14">
        <v>18444</v>
      </c>
      <c r="M619" s="14">
        <v>17944</v>
      </c>
      <c r="N619" s="14">
        <v>12030</v>
      </c>
      <c r="O619" s="14">
        <v>14648</v>
      </c>
      <c r="P619" s="14">
        <v>17218</v>
      </c>
      <c r="Q619" s="14">
        <v>21060</v>
      </c>
      <c r="R619" s="14">
        <v>29617</v>
      </c>
      <c r="S619" s="14">
        <v>31079</v>
      </c>
      <c r="T619" s="14">
        <v>23482</v>
      </c>
      <c r="U619" s="14">
        <v>4849</v>
      </c>
      <c r="V619" s="14">
        <v>5263</v>
      </c>
      <c r="W619" s="14">
        <v>7486</v>
      </c>
      <c r="X619" s="14">
        <v>18112</v>
      </c>
      <c r="Y619" s="14">
        <v>15484</v>
      </c>
      <c r="Z619" s="14">
        <v>21275</v>
      </c>
      <c r="AA619" s="14"/>
      <c r="AB619" s="14"/>
    </row>
    <row r="620" spans="1:30">
      <c r="A620" s="45" t="s">
        <v>191</v>
      </c>
      <c r="B620" s="45" t="s">
        <v>192</v>
      </c>
      <c r="C620" s="45" t="s">
        <v>490</v>
      </c>
      <c r="D620" s="45" t="s">
        <v>496</v>
      </c>
      <c r="E620" s="45" t="s">
        <v>492</v>
      </c>
      <c r="F620" s="45" t="s">
        <v>493</v>
      </c>
      <c r="G620" s="14">
        <v>7091</v>
      </c>
      <c r="H620" s="14">
        <v>7814</v>
      </c>
      <c r="I620" s="14">
        <v>8411</v>
      </c>
      <c r="J620" s="14">
        <v>9908</v>
      </c>
      <c r="K620" s="14">
        <v>11928</v>
      </c>
      <c r="L620" s="14">
        <v>14396</v>
      </c>
      <c r="M620" s="14">
        <v>13983</v>
      </c>
      <c r="N620" s="14">
        <v>15211</v>
      </c>
      <c r="O620" s="14">
        <v>16992</v>
      </c>
      <c r="P620" s="14">
        <v>22747</v>
      </c>
      <c r="Q620" s="14">
        <v>25945</v>
      </c>
      <c r="R620" s="14">
        <v>30631</v>
      </c>
      <c r="S620" s="14">
        <v>30730</v>
      </c>
      <c r="T620" s="14">
        <v>38836</v>
      </c>
      <c r="U620" s="14">
        <v>35824</v>
      </c>
      <c r="V620" s="14">
        <v>38167</v>
      </c>
      <c r="W620" s="14">
        <v>49146</v>
      </c>
      <c r="X620" s="14">
        <v>58156</v>
      </c>
      <c r="Y620" s="14">
        <v>58931</v>
      </c>
      <c r="Z620" s="14">
        <v>65103</v>
      </c>
      <c r="AA620" s="14"/>
      <c r="AB620" s="14"/>
    </row>
    <row r="621" spans="1:30">
      <c r="A621" s="45" t="s">
        <v>191</v>
      </c>
      <c r="B621" s="45" t="s">
        <v>192</v>
      </c>
      <c r="C621" s="45" t="s">
        <v>490</v>
      </c>
      <c r="D621" s="45" t="s">
        <v>497</v>
      </c>
      <c r="E621" s="45" t="s">
        <v>492</v>
      </c>
      <c r="F621" s="45" t="s">
        <v>493</v>
      </c>
      <c r="G621" s="14">
        <v>14306</v>
      </c>
      <c r="H621" s="14">
        <v>17134</v>
      </c>
      <c r="I621" s="14">
        <v>17383</v>
      </c>
      <c r="J621" s="14">
        <v>20340</v>
      </c>
      <c r="K621" s="14">
        <v>23573</v>
      </c>
      <c r="L621" s="14">
        <v>28474</v>
      </c>
      <c r="M621" s="14">
        <v>32309</v>
      </c>
      <c r="N621" s="14">
        <v>35961</v>
      </c>
      <c r="O621" s="14">
        <v>37755</v>
      </c>
      <c r="P621" s="14">
        <v>42655</v>
      </c>
      <c r="Q621" s="14">
        <v>44075</v>
      </c>
      <c r="R621" s="14">
        <v>53623</v>
      </c>
      <c r="S621" s="14">
        <v>57403</v>
      </c>
      <c r="T621" s="14">
        <v>60039</v>
      </c>
      <c r="U621" s="14">
        <v>64005</v>
      </c>
      <c r="V621" s="14">
        <v>69753</v>
      </c>
      <c r="W621" s="14">
        <v>71447</v>
      </c>
      <c r="X621" s="14">
        <v>77037</v>
      </c>
      <c r="Y621" s="14">
        <v>83215</v>
      </c>
      <c r="Z621" s="14">
        <v>89061</v>
      </c>
      <c r="AA621" s="14"/>
      <c r="AB621" s="14"/>
    </row>
    <row r="622" spans="1:30">
      <c r="A622" s="45" t="s">
        <v>191</v>
      </c>
      <c r="B622" s="45" t="s">
        <v>192</v>
      </c>
      <c r="C622" s="45" t="s">
        <v>498</v>
      </c>
      <c r="D622" s="45" t="s">
        <v>491</v>
      </c>
      <c r="E622" s="45" t="s">
        <v>499</v>
      </c>
      <c r="F622" s="45" t="s">
        <v>500</v>
      </c>
      <c r="G622" s="14">
        <v>64555</v>
      </c>
      <c r="H622" s="14">
        <v>63361.2</v>
      </c>
      <c r="I622" s="14">
        <v>59146.2</v>
      </c>
      <c r="J622" s="14">
        <v>69289.8</v>
      </c>
      <c r="K622" s="14">
        <v>80686.5</v>
      </c>
      <c r="L622" s="14">
        <v>89489.3</v>
      </c>
      <c r="M622" s="14">
        <v>86374.2</v>
      </c>
      <c r="N622" s="14">
        <v>80032.7</v>
      </c>
      <c r="O622" s="14">
        <v>80683</v>
      </c>
      <c r="P622" s="14">
        <v>90877.3</v>
      </c>
      <c r="Q622" s="14">
        <v>92580.1</v>
      </c>
      <c r="R622" s="14">
        <v>108826</v>
      </c>
      <c r="S622" s="14">
        <v>105911.7</v>
      </c>
      <c r="T622" s="14">
        <v>100585.1</v>
      </c>
      <c r="U622" s="14">
        <v>75800.7</v>
      </c>
      <c r="V622" s="14">
        <v>78530.5</v>
      </c>
      <c r="W622" s="14">
        <v>86449.2</v>
      </c>
      <c r="X622" s="14">
        <v>99487.4</v>
      </c>
      <c r="Y622" s="14">
        <v>97216.3</v>
      </c>
      <c r="Z622" s="14">
        <v>99576.1</v>
      </c>
      <c r="AA622" s="14"/>
      <c r="AB622" s="14"/>
      <c r="AC622" s="15">
        <f>IFERROR(Z622/G622-1,"")</f>
        <v>0.54250019363333601</v>
      </c>
      <c r="AD622" s="15">
        <f>IFERROR((Z622/G622)^(1/19)-1,"")</f>
        <v>2.3072923649402055E-2</v>
      </c>
    </row>
    <row r="623" spans="1:30">
      <c r="A623" s="45" t="s">
        <v>191</v>
      </c>
      <c r="B623" s="45" t="s">
        <v>192</v>
      </c>
      <c r="C623" s="45" t="s">
        <v>498</v>
      </c>
      <c r="D623" s="45" t="s">
        <v>495</v>
      </c>
      <c r="E623" s="45" t="s">
        <v>499</v>
      </c>
      <c r="F623" s="45" t="s">
        <v>500</v>
      </c>
      <c r="G623" s="14">
        <v>13830.8</v>
      </c>
      <c r="H623" s="14">
        <v>12153.5</v>
      </c>
      <c r="I623" s="14">
        <v>9606.7999999999993</v>
      </c>
      <c r="J623" s="14">
        <v>14661.1</v>
      </c>
      <c r="K623" s="14">
        <v>18434</v>
      </c>
      <c r="L623" s="14">
        <v>23343.599999999999</v>
      </c>
      <c r="M623" s="14">
        <v>20878.2</v>
      </c>
      <c r="N623" s="14">
        <v>13043.3</v>
      </c>
      <c r="O623" s="14">
        <v>14648</v>
      </c>
      <c r="P623" s="14">
        <v>15895.7</v>
      </c>
      <c r="Q623" s="14">
        <v>18011.900000000001</v>
      </c>
      <c r="R623" s="14">
        <v>23562.2</v>
      </c>
      <c r="S623" s="14">
        <v>22926.400000000001</v>
      </c>
      <c r="T623" s="14">
        <v>16103.8</v>
      </c>
      <c r="U623" s="14">
        <v>3076.1</v>
      </c>
      <c r="V623" s="14">
        <v>3220.5</v>
      </c>
      <c r="W623" s="14">
        <v>4383.8</v>
      </c>
      <c r="X623" s="14">
        <v>10176.6</v>
      </c>
      <c r="Y623" s="14">
        <v>8171.1</v>
      </c>
      <c r="Z623" s="14">
        <v>9931.2999999999993</v>
      </c>
      <c r="AA623" s="14"/>
      <c r="AB623" s="14"/>
      <c r="AC623" s="15">
        <f>IFERROR(Z623/G623-1,"")</f>
        <v>-0.2819431992364867</v>
      </c>
      <c r="AD623" s="15">
        <f>IFERROR((Z623/G623)^(1/19)-1,"")</f>
        <v>-1.7280869474092908E-2</v>
      </c>
    </row>
    <row r="624" spans="1:30">
      <c r="A624" s="45" t="s">
        <v>191</v>
      </c>
      <c r="B624" s="45" t="s">
        <v>192</v>
      </c>
      <c r="C624" s="45" t="s">
        <v>498</v>
      </c>
      <c r="D624" s="45" t="s">
        <v>496</v>
      </c>
      <c r="E624" s="45" t="s">
        <v>499</v>
      </c>
      <c r="F624" s="45" t="s">
        <v>500</v>
      </c>
      <c r="G624" s="14">
        <v>13470.6</v>
      </c>
      <c r="H624" s="14">
        <v>13011.7</v>
      </c>
      <c r="I624" s="14">
        <v>12997.9</v>
      </c>
      <c r="J624" s="14">
        <v>14251.9</v>
      </c>
      <c r="K624" s="14">
        <v>16068.4</v>
      </c>
      <c r="L624" s="14">
        <v>18220.3</v>
      </c>
      <c r="M624" s="14">
        <v>16269.1</v>
      </c>
      <c r="N624" s="14">
        <v>16492.3</v>
      </c>
      <c r="O624" s="14">
        <v>16992</v>
      </c>
      <c r="P624" s="14">
        <v>21000.1</v>
      </c>
      <c r="Q624" s="14">
        <v>22189.9</v>
      </c>
      <c r="R624" s="14">
        <v>24368.9</v>
      </c>
      <c r="S624" s="14">
        <v>22668.9</v>
      </c>
      <c r="T624" s="14">
        <v>26633.4</v>
      </c>
      <c r="U624" s="14">
        <v>22726.2</v>
      </c>
      <c r="V624" s="14">
        <v>23355.1</v>
      </c>
      <c r="W624" s="14">
        <v>28780.1</v>
      </c>
      <c r="X624" s="14">
        <v>32676.1</v>
      </c>
      <c r="Y624" s="14">
        <v>31098.6</v>
      </c>
      <c r="Z624" s="14">
        <v>30391</v>
      </c>
      <c r="AA624" s="14"/>
      <c r="AB624" s="14"/>
      <c r="AC624" s="15">
        <f>IFERROR(Z624/G624-1,"")</f>
        <v>1.2560984662895489</v>
      </c>
      <c r="AD624" s="15">
        <f>IFERROR((Z624/G624)^(1/19)-1,"")</f>
        <v>4.3753133046251946E-2</v>
      </c>
    </row>
    <row r="625" spans="1:30">
      <c r="A625" s="45" t="s">
        <v>191</v>
      </c>
      <c r="B625" s="45" t="s">
        <v>192</v>
      </c>
      <c r="C625" s="45" t="s">
        <v>498</v>
      </c>
      <c r="D625" s="45" t="s">
        <v>497</v>
      </c>
      <c r="E625" s="45" t="s">
        <v>499</v>
      </c>
      <c r="F625" s="45" t="s">
        <v>500</v>
      </c>
      <c r="G625" s="14">
        <v>27178.2</v>
      </c>
      <c r="H625" s="14">
        <v>28530.400000000001</v>
      </c>
      <c r="I625" s="14">
        <v>26862.2</v>
      </c>
      <c r="J625" s="14">
        <v>29257.8</v>
      </c>
      <c r="K625" s="14">
        <v>31756.1</v>
      </c>
      <c r="L625" s="14">
        <v>36039</v>
      </c>
      <c r="M625" s="14">
        <v>37592.800000000003</v>
      </c>
      <c r="N625" s="14">
        <v>38990.1</v>
      </c>
      <c r="O625" s="14">
        <v>37755</v>
      </c>
      <c r="P625" s="14">
        <v>39379.199999999997</v>
      </c>
      <c r="Q625" s="14">
        <v>37695.9</v>
      </c>
      <c r="R625" s="14">
        <v>42660.5</v>
      </c>
      <c r="S625" s="14">
        <v>42345.1</v>
      </c>
      <c r="T625" s="14">
        <v>41174.300000000003</v>
      </c>
      <c r="U625" s="14">
        <v>40603.800000000003</v>
      </c>
      <c r="V625" s="14">
        <v>42683.1</v>
      </c>
      <c r="W625" s="14">
        <v>41839.599999999999</v>
      </c>
      <c r="X625" s="14">
        <v>43284.7</v>
      </c>
      <c r="Y625" s="14">
        <v>43913.599999999999</v>
      </c>
      <c r="Z625" s="14">
        <v>41575.699999999997</v>
      </c>
      <c r="AA625" s="14"/>
      <c r="AB625" s="14"/>
      <c r="AC625" s="15">
        <f>IFERROR(Z625/G625-1,"")</f>
        <v>0.52974442751911455</v>
      </c>
      <c r="AD625" s="15">
        <f>IFERROR((Z625/G625)^(1/19)-1,"")</f>
        <v>2.2625888846203202E-2</v>
      </c>
    </row>
    <row r="626" spans="1:30">
      <c r="A626" s="45" t="s">
        <v>191</v>
      </c>
      <c r="B626" s="45" t="s">
        <v>192</v>
      </c>
      <c r="C626" s="45" t="s">
        <v>498</v>
      </c>
      <c r="D626" s="45" t="s">
        <v>501</v>
      </c>
      <c r="E626" s="45" t="s">
        <v>499</v>
      </c>
      <c r="F626" s="45" t="s">
        <v>500</v>
      </c>
      <c r="G626" s="14">
        <v>5016.6000000000004</v>
      </c>
      <c r="H626" s="14">
        <v>5170.6000000000004</v>
      </c>
      <c r="I626" s="14">
        <v>5123.3999999999996</v>
      </c>
      <c r="J626" s="14">
        <v>4639.8999999999996</v>
      </c>
      <c r="K626" s="14">
        <v>5390</v>
      </c>
      <c r="L626" s="14">
        <v>3654.2</v>
      </c>
      <c r="M626" s="14">
        <v>3998</v>
      </c>
      <c r="N626" s="14">
        <v>4788</v>
      </c>
      <c r="O626" s="14">
        <v>4007</v>
      </c>
      <c r="P626" s="14">
        <v>5193</v>
      </c>
      <c r="Q626" s="14">
        <v>4506.3999999999996</v>
      </c>
      <c r="R626" s="14">
        <v>6774.2</v>
      </c>
      <c r="S626" s="14">
        <v>6496.8</v>
      </c>
      <c r="T626" s="14">
        <v>7335.2</v>
      </c>
      <c r="U626" s="14">
        <v>6112.9</v>
      </c>
      <c r="V626" s="14">
        <v>6102.7</v>
      </c>
      <c r="W626" s="14">
        <v>6440.5</v>
      </c>
      <c r="X626" s="14">
        <v>6732.3</v>
      </c>
      <c r="Y626" s="14">
        <v>7426</v>
      </c>
      <c r="Z626" s="14">
        <v>9763.2999999999993</v>
      </c>
      <c r="AA626" s="14"/>
      <c r="AB626" s="14"/>
      <c r="AC626" s="15">
        <f>IFERROR(Z626/G626-1,"")</f>
        <v>0.9461986205796753</v>
      </c>
      <c r="AD626" s="15">
        <f>IFERROR((Z626/G626)^(1/19)-1,"")</f>
        <v>3.5667568869872879E-2</v>
      </c>
    </row>
    <row r="627" spans="1:30">
      <c r="A627" s="45" t="s">
        <v>195</v>
      </c>
      <c r="B627" s="45" t="s">
        <v>196</v>
      </c>
      <c r="C627" s="45" t="s">
        <v>490</v>
      </c>
      <c r="D627" s="45" t="s">
        <v>491</v>
      </c>
      <c r="E627" s="45" t="s">
        <v>492</v>
      </c>
      <c r="F627" s="45" t="s">
        <v>493</v>
      </c>
      <c r="G627" s="14">
        <v>35974</v>
      </c>
      <c r="H627" s="14">
        <v>37531</v>
      </c>
      <c r="I627" s="14">
        <v>42012</v>
      </c>
      <c r="J627" s="14">
        <v>52022</v>
      </c>
      <c r="K627" s="14">
        <v>55221</v>
      </c>
      <c r="L627" s="14">
        <v>62829</v>
      </c>
      <c r="M627" s="14">
        <v>62990</v>
      </c>
      <c r="N627" s="14">
        <v>78297</v>
      </c>
      <c r="O627" s="14">
        <v>90177</v>
      </c>
      <c r="P627" s="14">
        <v>93999</v>
      </c>
      <c r="Q627" s="14">
        <v>102496</v>
      </c>
      <c r="R627" s="14">
        <v>110555</v>
      </c>
      <c r="S627" s="14">
        <v>117725</v>
      </c>
      <c r="T627" s="14">
        <v>129906</v>
      </c>
      <c r="U627" s="14">
        <v>140110</v>
      </c>
      <c r="V627" s="14">
        <v>154907</v>
      </c>
      <c r="W627" s="14">
        <v>165807</v>
      </c>
      <c r="X627" s="14">
        <v>180305</v>
      </c>
      <c r="Y627" s="14">
        <v>188404</v>
      </c>
      <c r="Z627" s="14">
        <v>207991</v>
      </c>
      <c r="AA627" s="14">
        <v>237956</v>
      </c>
      <c r="AB627" s="14">
        <v>244663</v>
      </c>
    </row>
    <row r="628" spans="1:30">
      <c r="A628" s="45" t="s">
        <v>195</v>
      </c>
      <c r="B628" s="45" t="s">
        <v>196</v>
      </c>
      <c r="C628" s="45" t="s">
        <v>490</v>
      </c>
      <c r="D628" s="45" t="s">
        <v>494</v>
      </c>
      <c r="E628" s="45" t="s">
        <v>492</v>
      </c>
      <c r="F628" s="45" t="s">
        <v>493</v>
      </c>
      <c r="G628" s="14">
        <v>33015</v>
      </c>
      <c r="H628" s="14">
        <v>34596</v>
      </c>
      <c r="I628" s="14">
        <v>38469</v>
      </c>
      <c r="J628" s="14">
        <v>47811</v>
      </c>
      <c r="K628" s="14">
        <v>50202</v>
      </c>
      <c r="L628" s="14">
        <v>58091</v>
      </c>
      <c r="M628" s="14">
        <v>57933</v>
      </c>
      <c r="N628" s="14">
        <v>71884</v>
      </c>
      <c r="O628" s="14">
        <v>81752</v>
      </c>
      <c r="P628" s="14">
        <v>85226</v>
      </c>
      <c r="Q628" s="14">
        <v>92804</v>
      </c>
      <c r="R628" s="14">
        <v>100749</v>
      </c>
      <c r="S628" s="14">
        <v>107212</v>
      </c>
      <c r="T628" s="14">
        <v>118687</v>
      </c>
      <c r="U628" s="14">
        <v>130635</v>
      </c>
      <c r="V628" s="14">
        <v>144338</v>
      </c>
      <c r="W628" s="14">
        <v>152348</v>
      </c>
      <c r="X628" s="14">
        <v>166379</v>
      </c>
      <c r="Y628" s="14">
        <v>172563</v>
      </c>
      <c r="Z628" s="14">
        <v>187190</v>
      </c>
      <c r="AA628" s="14"/>
      <c r="AB628" s="14"/>
    </row>
    <row r="629" spans="1:30">
      <c r="A629" s="45" t="s">
        <v>195</v>
      </c>
      <c r="B629" s="45" t="s">
        <v>196</v>
      </c>
      <c r="C629" s="45" t="s">
        <v>490</v>
      </c>
      <c r="D629" s="45" t="s">
        <v>495</v>
      </c>
      <c r="E629" s="45" t="s">
        <v>492</v>
      </c>
      <c r="F629" s="45" t="s">
        <v>493</v>
      </c>
      <c r="G629" s="14">
        <v>5376</v>
      </c>
      <c r="H629" s="14">
        <v>4960</v>
      </c>
      <c r="I629" s="14">
        <v>4944</v>
      </c>
      <c r="J629" s="14">
        <v>8998</v>
      </c>
      <c r="K629" s="14">
        <v>7156</v>
      </c>
      <c r="L629" s="14">
        <v>10088</v>
      </c>
      <c r="M629" s="14">
        <v>7345</v>
      </c>
      <c r="N629" s="14">
        <v>7693</v>
      </c>
      <c r="O629" s="14">
        <v>10041</v>
      </c>
      <c r="P629" s="14">
        <v>13583</v>
      </c>
      <c r="Q629" s="14">
        <v>15057</v>
      </c>
      <c r="R629" s="14">
        <v>16097</v>
      </c>
      <c r="S629" s="14">
        <v>17293</v>
      </c>
      <c r="T629" s="14">
        <v>16524</v>
      </c>
      <c r="U629" s="14">
        <v>23348</v>
      </c>
      <c r="V629" s="14">
        <v>27102</v>
      </c>
      <c r="W629" s="14">
        <v>28315</v>
      </c>
      <c r="X629" s="14">
        <v>26237</v>
      </c>
      <c r="Y629" s="14">
        <v>29505</v>
      </c>
      <c r="Z629" s="14">
        <v>30304</v>
      </c>
      <c r="AA629" s="14"/>
      <c r="AB629" s="14"/>
    </row>
    <row r="630" spans="1:30">
      <c r="A630" s="45" t="s">
        <v>195</v>
      </c>
      <c r="B630" s="45" t="s">
        <v>196</v>
      </c>
      <c r="C630" s="45" t="s">
        <v>490</v>
      </c>
      <c r="D630" s="45" t="s">
        <v>496</v>
      </c>
      <c r="E630" s="45" t="s">
        <v>492</v>
      </c>
      <c r="F630" s="45" t="s">
        <v>493</v>
      </c>
      <c r="G630" s="14">
        <v>11682</v>
      </c>
      <c r="H630" s="14">
        <v>12109</v>
      </c>
      <c r="I630" s="14">
        <v>14039</v>
      </c>
      <c r="J630" s="14">
        <v>16589</v>
      </c>
      <c r="K630" s="14">
        <v>18553</v>
      </c>
      <c r="L630" s="14">
        <v>20655</v>
      </c>
      <c r="M630" s="14">
        <v>19734</v>
      </c>
      <c r="N630" s="14">
        <v>28294</v>
      </c>
      <c r="O630" s="14">
        <v>34075</v>
      </c>
      <c r="P630" s="14">
        <v>29154</v>
      </c>
      <c r="Q630" s="14">
        <v>32328</v>
      </c>
      <c r="R630" s="14">
        <v>33793</v>
      </c>
      <c r="S630" s="14">
        <v>34508</v>
      </c>
      <c r="T630" s="14">
        <v>41500</v>
      </c>
      <c r="U630" s="14">
        <v>44575</v>
      </c>
      <c r="V630" s="14">
        <v>51340</v>
      </c>
      <c r="W630" s="14">
        <v>56668</v>
      </c>
      <c r="X630" s="14">
        <v>63512</v>
      </c>
      <c r="Y630" s="14">
        <v>65361</v>
      </c>
      <c r="Z630" s="14">
        <v>68528</v>
      </c>
      <c r="AA630" s="14"/>
      <c r="AB630" s="14"/>
    </row>
    <row r="631" spans="1:30">
      <c r="A631" s="45" t="s">
        <v>195</v>
      </c>
      <c r="B631" s="45" t="s">
        <v>196</v>
      </c>
      <c r="C631" s="45" t="s">
        <v>490</v>
      </c>
      <c r="D631" s="45" t="s">
        <v>497</v>
      </c>
      <c r="E631" s="45" t="s">
        <v>492</v>
      </c>
      <c r="F631" s="45" t="s">
        <v>493</v>
      </c>
      <c r="G631" s="14">
        <v>13845</v>
      </c>
      <c r="H631" s="14">
        <v>14916</v>
      </c>
      <c r="I631" s="14">
        <v>16381</v>
      </c>
      <c r="J631" s="14">
        <v>18800</v>
      </c>
      <c r="K631" s="14">
        <v>20605</v>
      </c>
      <c r="L631" s="14">
        <v>24022</v>
      </c>
      <c r="M631" s="14">
        <v>26661</v>
      </c>
      <c r="N631" s="14">
        <v>30161</v>
      </c>
      <c r="O631" s="14">
        <v>32561</v>
      </c>
      <c r="P631" s="14">
        <v>36544</v>
      </c>
      <c r="Q631" s="14">
        <v>39378</v>
      </c>
      <c r="R631" s="14">
        <v>44310</v>
      </c>
      <c r="S631" s="14">
        <v>48421</v>
      </c>
      <c r="T631" s="14">
        <v>52757</v>
      </c>
      <c r="U631" s="14">
        <v>55544</v>
      </c>
      <c r="V631" s="14">
        <v>58381</v>
      </c>
      <c r="W631" s="14">
        <v>60137</v>
      </c>
      <c r="X631" s="14">
        <v>65885</v>
      </c>
      <c r="Y631" s="14">
        <v>66146</v>
      </c>
      <c r="Z631" s="14">
        <v>71059</v>
      </c>
      <c r="AA631" s="14"/>
      <c r="AB631" s="14"/>
    </row>
    <row r="632" spans="1:30">
      <c r="A632" s="45" t="s">
        <v>195</v>
      </c>
      <c r="B632" s="45" t="s">
        <v>196</v>
      </c>
      <c r="C632" s="45" t="s">
        <v>498</v>
      </c>
      <c r="D632" s="45" t="s">
        <v>491</v>
      </c>
      <c r="E632" s="45" t="s">
        <v>499</v>
      </c>
      <c r="F632" s="45" t="s">
        <v>500</v>
      </c>
      <c r="G632" s="14">
        <v>68341.100000000006</v>
      </c>
      <c r="H632" s="14">
        <v>62492.7</v>
      </c>
      <c r="I632" s="14">
        <v>64922</v>
      </c>
      <c r="J632" s="14">
        <v>74830</v>
      </c>
      <c r="K632" s="14">
        <v>74391.8</v>
      </c>
      <c r="L632" s="14">
        <v>79520.600000000006</v>
      </c>
      <c r="M632" s="14">
        <v>73290.899999999994</v>
      </c>
      <c r="N632" s="14">
        <v>84892.2</v>
      </c>
      <c r="O632" s="14">
        <v>90177</v>
      </c>
      <c r="P632" s="14">
        <v>86780.1</v>
      </c>
      <c r="Q632" s="14">
        <v>87661.5</v>
      </c>
      <c r="R632" s="14">
        <v>87953.600000000006</v>
      </c>
      <c r="S632" s="14">
        <v>86843.4</v>
      </c>
      <c r="T632" s="14">
        <v>89088.5</v>
      </c>
      <c r="U632" s="14">
        <v>88883.6</v>
      </c>
      <c r="V632" s="14">
        <v>94790.399999999994</v>
      </c>
      <c r="W632" s="14">
        <v>97097.2</v>
      </c>
      <c r="X632" s="14">
        <v>101307.8</v>
      </c>
      <c r="Y632" s="14">
        <v>99423.2</v>
      </c>
      <c r="Z632" s="14">
        <v>97091.7</v>
      </c>
      <c r="AA632" s="14"/>
      <c r="AB632" s="14"/>
      <c r="AC632" s="15">
        <f>IFERROR(Z632/G632-1,"")</f>
        <v>0.42069267249137043</v>
      </c>
      <c r="AD632" s="15">
        <f>IFERROR((Z632/G632)^(1/19)-1,"")</f>
        <v>1.8653128146961517E-2</v>
      </c>
    </row>
    <row r="633" spans="1:30">
      <c r="A633" s="45" t="s">
        <v>195</v>
      </c>
      <c r="B633" s="45" t="s">
        <v>196</v>
      </c>
      <c r="C633" s="45" t="s">
        <v>498</v>
      </c>
      <c r="D633" s="45" t="s">
        <v>495</v>
      </c>
      <c r="E633" s="45" t="s">
        <v>499</v>
      </c>
      <c r="F633" s="45" t="s">
        <v>500</v>
      </c>
      <c r="G633" s="14">
        <v>10213.799999999999</v>
      </c>
      <c r="H633" s="14">
        <v>8258.2999999999993</v>
      </c>
      <c r="I633" s="14">
        <v>7639.9</v>
      </c>
      <c r="J633" s="14">
        <v>12943.4</v>
      </c>
      <c r="K633" s="14">
        <v>9640.9</v>
      </c>
      <c r="L633" s="14">
        <v>12767.5</v>
      </c>
      <c r="M633" s="14">
        <v>8545.7000000000007</v>
      </c>
      <c r="N633" s="14">
        <v>8341</v>
      </c>
      <c r="O633" s="14">
        <v>10041</v>
      </c>
      <c r="P633" s="14">
        <v>12539.9</v>
      </c>
      <c r="Q633" s="14">
        <v>12877.8</v>
      </c>
      <c r="R633" s="14">
        <v>12806.2</v>
      </c>
      <c r="S633" s="14">
        <v>12756.7</v>
      </c>
      <c r="T633" s="14">
        <v>11332</v>
      </c>
      <c r="U633" s="14">
        <v>14811.6</v>
      </c>
      <c r="V633" s="14">
        <v>16584.2</v>
      </c>
      <c r="W633" s="14">
        <v>16581.400000000001</v>
      </c>
      <c r="X633" s="14">
        <v>14741.8</v>
      </c>
      <c r="Y633" s="14">
        <v>15570.2</v>
      </c>
      <c r="Z633" s="14">
        <v>14146.1</v>
      </c>
      <c r="AA633" s="14"/>
      <c r="AB633" s="14"/>
      <c r="AC633" s="15">
        <f>IFERROR(Z633/G633-1,"")</f>
        <v>0.3849987272122033</v>
      </c>
      <c r="AD633" s="15">
        <f>IFERROR((Z633/G633)^(1/19)-1,"")</f>
        <v>1.7289832572327191E-2</v>
      </c>
    </row>
    <row r="634" spans="1:30">
      <c r="A634" s="45" t="s">
        <v>195</v>
      </c>
      <c r="B634" s="45" t="s">
        <v>196</v>
      </c>
      <c r="C634" s="45" t="s">
        <v>498</v>
      </c>
      <c r="D634" s="45" t="s">
        <v>496</v>
      </c>
      <c r="E634" s="45" t="s">
        <v>499</v>
      </c>
      <c r="F634" s="45" t="s">
        <v>500</v>
      </c>
      <c r="G634" s="14">
        <v>22193.599999999999</v>
      </c>
      <c r="H634" s="14">
        <v>20162.5</v>
      </c>
      <c r="I634" s="14">
        <v>21694.6</v>
      </c>
      <c r="J634" s="14">
        <v>23862.1</v>
      </c>
      <c r="K634" s="14">
        <v>24994.400000000001</v>
      </c>
      <c r="L634" s="14">
        <v>26142.7</v>
      </c>
      <c r="M634" s="14">
        <v>22960.9</v>
      </c>
      <c r="N634" s="14">
        <v>30677.3</v>
      </c>
      <c r="O634" s="14">
        <v>34075</v>
      </c>
      <c r="P634" s="14">
        <v>26915</v>
      </c>
      <c r="Q634" s="14">
        <v>27649.1</v>
      </c>
      <c r="R634" s="14">
        <v>26884.5</v>
      </c>
      <c r="S634" s="14">
        <v>25455.9</v>
      </c>
      <c r="T634" s="14">
        <v>28460.400000000001</v>
      </c>
      <c r="U634" s="14">
        <v>28277.7</v>
      </c>
      <c r="V634" s="14">
        <v>31415.9</v>
      </c>
      <c r="W634" s="14">
        <v>33185</v>
      </c>
      <c r="X634" s="14">
        <v>35685.4</v>
      </c>
      <c r="Y634" s="14">
        <v>34491.800000000003</v>
      </c>
      <c r="Z634" s="14">
        <v>31989.8</v>
      </c>
      <c r="AA634" s="14"/>
      <c r="AB634" s="14"/>
      <c r="AC634" s="15">
        <f>IFERROR(Z634/G634-1,"")</f>
        <v>0.4413975200057676</v>
      </c>
      <c r="AD634" s="15">
        <f>IFERROR((Z634/G634)^(1/19)-1,"")</f>
        <v>1.9429132905074642E-2</v>
      </c>
    </row>
    <row r="635" spans="1:30">
      <c r="A635" s="45" t="s">
        <v>195</v>
      </c>
      <c r="B635" s="45" t="s">
        <v>196</v>
      </c>
      <c r="C635" s="45" t="s">
        <v>498</v>
      </c>
      <c r="D635" s="45" t="s">
        <v>497</v>
      </c>
      <c r="E635" s="45" t="s">
        <v>499</v>
      </c>
      <c r="F635" s="45" t="s">
        <v>500</v>
      </c>
      <c r="G635" s="14">
        <v>26301.9</v>
      </c>
      <c r="H635" s="14">
        <v>24836.7</v>
      </c>
      <c r="I635" s="14">
        <v>25314.1</v>
      </c>
      <c r="J635" s="14">
        <v>27041.9</v>
      </c>
      <c r="K635" s="14">
        <v>27758.6</v>
      </c>
      <c r="L635" s="14">
        <v>30404</v>
      </c>
      <c r="M635" s="14">
        <v>31021.3</v>
      </c>
      <c r="N635" s="14">
        <v>32701.599999999999</v>
      </c>
      <c r="O635" s="14">
        <v>32561</v>
      </c>
      <c r="P635" s="14">
        <v>33737.5</v>
      </c>
      <c r="Q635" s="14">
        <v>33678.699999999997</v>
      </c>
      <c r="R635" s="14">
        <v>35251.4</v>
      </c>
      <c r="S635" s="14">
        <v>35719.199999999997</v>
      </c>
      <c r="T635" s="14">
        <v>36180.300000000003</v>
      </c>
      <c r="U635" s="14">
        <v>35236.199999999997</v>
      </c>
      <c r="V635" s="14">
        <v>35724.400000000001</v>
      </c>
      <c r="W635" s="14">
        <v>35216.5</v>
      </c>
      <c r="X635" s="14">
        <v>37018.699999999997</v>
      </c>
      <c r="Y635" s="14">
        <v>34906.1</v>
      </c>
      <c r="Z635" s="14">
        <v>33171.800000000003</v>
      </c>
      <c r="AA635" s="14"/>
      <c r="AB635" s="14"/>
      <c r="AC635" s="15">
        <f>IFERROR(Z635/G635-1,"")</f>
        <v>0.26119405822393071</v>
      </c>
      <c r="AD635" s="15">
        <f>IFERROR((Z635/G635)^(1/19)-1,"")</f>
        <v>1.2288519231972606E-2</v>
      </c>
    </row>
    <row r="636" spans="1:30">
      <c r="A636" s="45" t="s">
        <v>195</v>
      </c>
      <c r="B636" s="45" t="s">
        <v>196</v>
      </c>
      <c r="C636" s="45" t="s">
        <v>498</v>
      </c>
      <c r="D636" s="45" t="s">
        <v>501</v>
      </c>
      <c r="E636" s="45" t="s">
        <v>499</v>
      </c>
      <c r="F636" s="45" t="s">
        <v>500</v>
      </c>
      <c r="G636" s="14">
        <v>4010.6</v>
      </c>
      <c r="H636" s="14">
        <v>4348.8999999999996</v>
      </c>
      <c r="I636" s="14">
        <v>4798.8</v>
      </c>
      <c r="J636" s="14">
        <v>4925.3999999999996</v>
      </c>
      <c r="K636" s="14">
        <v>5236.8</v>
      </c>
      <c r="L636" s="14">
        <v>4210.3999999999996</v>
      </c>
      <c r="M636" s="14">
        <v>4878.8</v>
      </c>
      <c r="N636" s="14">
        <v>6218.1</v>
      </c>
      <c r="O636" s="14">
        <v>5075</v>
      </c>
      <c r="P636" s="14">
        <v>5489.4</v>
      </c>
      <c r="Q636" s="14">
        <v>5166.7</v>
      </c>
      <c r="R636" s="14">
        <v>5210.1000000000004</v>
      </c>
      <c r="S636" s="14">
        <v>5156.3999999999996</v>
      </c>
      <c r="T636" s="14">
        <v>5421.9</v>
      </c>
      <c r="U636" s="14">
        <v>4547.3</v>
      </c>
      <c r="V636" s="14">
        <v>4598.6000000000004</v>
      </c>
      <c r="W636" s="14">
        <v>4232.7</v>
      </c>
      <c r="X636" s="14">
        <v>6037.3</v>
      </c>
      <c r="Y636" s="14">
        <v>6095.1</v>
      </c>
      <c r="Z636" s="14">
        <v>8075.3</v>
      </c>
      <c r="AA636" s="14"/>
      <c r="AB636" s="14"/>
      <c r="AC636" s="15">
        <f>IFERROR(Z636/G636-1,"")</f>
        <v>1.0134892534782827</v>
      </c>
      <c r="AD636" s="15">
        <f>IFERROR((Z636/G636)^(1/19)-1,"")</f>
        <v>3.7522042998969329E-2</v>
      </c>
    </row>
    <row r="637" spans="1:30">
      <c r="A637" s="45" t="s">
        <v>117</v>
      </c>
      <c r="B637" s="45" t="s">
        <v>118</v>
      </c>
      <c r="C637" s="45" t="s">
        <v>490</v>
      </c>
      <c r="D637" s="45" t="s">
        <v>491</v>
      </c>
      <c r="E637" s="45" t="s">
        <v>492</v>
      </c>
      <c r="F637" s="45" t="s">
        <v>493</v>
      </c>
      <c r="G637" s="14">
        <v>67040</v>
      </c>
      <c r="H637" s="14">
        <v>75842</v>
      </c>
      <c r="I637" s="14">
        <v>87385</v>
      </c>
      <c r="J637" s="14">
        <v>101903</v>
      </c>
      <c r="K637" s="14">
        <v>114925</v>
      </c>
      <c r="L637" s="14">
        <v>135623</v>
      </c>
      <c r="M637" s="14">
        <v>147591</v>
      </c>
      <c r="N637" s="14">
        <v>182252</v>
      </c>
      <c r="O637" s="14">
        <v>208545</v>
      </c>
      <c r="P637" s="14">
        <v>234725</v>
      </c>
      <c r="Q637" s="14">
        <v>313814</v>
      </c>
      <c r="R637" s="14">
        <v>479389</v>
      </c>
      <c r="S637" s="14">
        <v>528025</v>
      </c>
      <c r="T637" s="14">
        <v>820754</v>
      </c>
      <c r="U637" s="14">
        <v>981329</v>
      </c>
      <c r="V637" s="14">
        <v>1046611</v>
      </c>
      <c r="W637" s="14">
        <v>928654</v>
      </c>
      <c r="X637" s="14">
        <v>930423</v>
      </c>
      <c r="Y637" s="14">
        <v>1091593</v>
      </c>
      <c r="Z637" s="14">
        <v>1269833</v>
      </c>
      <c r="AA637" s="14">
        <v>1419596</v>
      </c>
      <c r="AB637" s="14">
        <v>1527022</v>
      </c>
    </row>
    <row r="638" spans="1:30">
      <c r="A638" s="45" t="s">
        <v>117</v>
      </c>
      <c r="B638" s="45" t="s">
        <v>118</v>
      </c>
      <c r="C638" s="45" t="s">
        <v>490</v>
      </c>
      <c r="D638" s="45" t="s">
        <v>494</v>
      </c>
      <c r="E638" s="45" t="s">
        <v>492</v>
      </c>
      <c r="F638" s="45" t="s">
        <v>493</v>
      </c>
      <c r="G638" s="14">
        <v>63109</v>
      </c>
      <c r="H638" s="14">
        <v>71341</v>
      </c>
      <c r="I638" s="14">
        <v>82160</v>
      </c>
      <c r="J638" s="14">
        <v>95809</v>
      </c>
      <c r="K638" s="14">
        <v>107385</v>
      </c>
      <c r="L638" s="14">
        <v>126310</v>
      </c>
      <c r="M638" s="14">
        <v>137190</v>
      </c>
      <c r="N638" s="14">
        <v>168366</v>
      </c>
      <c r="O638" s="14">
        <v>191474</v>
      </c>
      <c r="P638" s="14">
        <v>213854</v>
      </c>
      <c r="Q638" s="14">
        <v>282053</v>
      </c>
      <c r="R638" s="14">
        <v>415840</v>
      </c>
      <c r="S638" s="14">
        <v>459879</v>
      </c>
      <c r="T638" s="14">
        <v>756382</v>
      </c>
      <c r="U638" s="14">
        <v>906872</v>
      </c>
      <c r="V638" s="14">
        <v>980129</v>
      </c>
      <c r="W638" s="14">
        <v>876342</v>
      </c>
      <c r="X638" s="14">
        <v>875053</v>
      </c>
      <c r="Y638" s="14">
        <v>1024291</v>
      </c>
      <c r="Z638" s="14">
        <v>1197893</v>
      </c>
      <c r="AA638" s="14"/>
      <c r="AB638" s="14"/>
    </row>
    <row r="639" spans="1:30">
      <c r="A639" s="45" t="s">
        <v>117</v>
      </c>
      <c r="B639" s="45" t="s">
        <v>118</v>
      </c>
      <c r="C639" s="45" t="s">
        <v>490</v>
      </c>
      <c r="D639" s="45" t="s">
        <v>495</v>
      </c>
      <c r="E639" s="45" t="s">
        <v>492</v>
      </c>
      <c r="F639" s="45" t="s">
        <v>493</v>
      </c>
      <c r="G639" s="14">
        <v>5427</v>
      </c>
      <c r="H639" s="14">
        <v>4992</v>
      </c>
      <c r="I639" s="14">
        <v>5481</v>
      </c>
      <c r="J639" s="14">
        <v>7023</v>
      </c>
      <c r="K639" s="14">
        <v>6389</v>
      </c>
      <c r="L639" s="14">
        <v>8714</v>
      </c>
      <c r="M639" s="14">
        <v>9679</v>
      </c>
      <c r="N639" s="14">
        <v>10811</v>
      </c>
      <c r="O639" s="14">
        <v>16692</v>
      </c>
      <c r="P639" s="14">
        <v>16628</v>
      </c>
      <c r="Q639" s="14">
        <v>22230</v>
      </c>
      <c r="R639" s="14">
        <v>104180</v>
      </c>
      <c r="S639" s="14">
        <v>141743</v>
      </c>
      <c r="T639" s="14">
        <v>422603</v>
      </c>
      <c r="U639" s="14">
        <v>540647</v>
      </c>
      <c r="V639" s="14">
        <v>570655</v>
      </c>
      <c r="W639" s="14">
        <v>499385</v>
      </c>
      <c r="X639" s="14">
        <v>443673</v>
      </c>
      <c r="Y639" s="14">
        <v>552662</v>
      </c>
      <c r="Z639" s="14">
        <v>712023</v>
      </c>
      <c r="AA639" s="14"/>
      <c r="AB639" s="14"/>
    </row>
    <row r="640" spans="1:30">
      <c r="A640" s="45" t="s">
        <v>117</v>
      </c>
      <c r="B640" s="45" t="s">
        <v>118</v>
      </c>
      <c r="C640" s="45" t="s">
        <v>490</v>
      </c>
      <c r="D640" s="45" t="s">
        <v>496</v>
      </c>
      <c r="E640" s="45" t="s">
        <v>492</v>
      </c>
      <c r="F640" s="45" t="s">
        <v>493</v>
      </c>
      <c r="G640" s="14">
        <v>21419</v>
      </c>
      <c r="H640" s="14">
        <v>24601</v>
      </c>
      <c r="I640" s="14">
        <v>28856</v>
      </c>
      <c r="J640" s="14">
        <v>34120</v>
      </c>
      <c r="K640" s="14">
        <v>37892</v>
      </c>
      <c r="L640" s="14">
        <v>44320</v>
      </c>
      <c r="M640" s="14">
        <v>46616</v>
      </c>
      <c r="N640" s="14">
        <v>69388</v>
      </c>
      <c r="O640" s="14">
        <v>80897</v>
      </c>
      <c r="P640" s="14">
        <v>87431</v>
      </c>
      <c r="Q640" s="14">
        <v>144477</v>
      </c>
      <c r="R640" s="14">
        <v>177237</v>
      </c>
      <c r="S640" s="14">
        <v>179144</v>
      </c>
      <c r="T640" s="14">
        <v>173850</v>
      </c>
      <c r="U640" s="14">
        <v>193093</v>
      </c>
      <c r="V640" s="14">
        <v>217373</v>
      </c>
      <c r="W640" s="14">
        <v>186939</v>
      </c>
      <c r="X640" s="14">
        <v>212005</v>
      </c>
      <c r="Y640" s="14">
        <v>234759</v>
      </c>
      <c r="Z640" s="14">
        <v>241850</v>
      </c>
      <c r="AA640" s="14"/>
      <c r="AB640" s="14"/>
    </row>
    <row r="641" spans="1:30">
      <c r="A641" s="45" t="s">
        <v>117</v>
      </c>
      <c r="B641" s="45" t="s">
        <v>118</v>
      </c>
      <c r="C641" s="45" t="s">
        <v>490</v>
      </c>
      <c r="D641" s="45" t="s">
        <v>497</v>
      </c>
      <c r="E641" s="45" t="s">
        <v>492</v>
      </c>
      <c r="F641" s="45" t="s">
        <v>493</v>
      </c>
      <c r="G641" s="14">
        <v>31704</v>
      </c>
      <c r="H641" s="14">
        <v>34619</v>
      </c>
      <c r="I641" s="14">
        <v>38840</v>
      </c>
      <c r="J641" s="14">
        <v>45693</v>
      </c>
      <c r="K641" s="14">
        <v>52932</v>
      </c>
      <c r="L641" s="14">
        <v>63330</v>
      </c>
      <c r="M641" s="14">
        <v>68424</v>
      </c>
      <c r="N641" s="14">
        <v>75314</v>
      </c>
      <c r="O641" s="14">
        <v>85329</v>
      </c>
      <c r="P641" s="14">
        <v>97162</v>
      </c>
      <c r="Q641" s="14">
        <v>104258</v>
      </c>
      <c r="R641" s="14">
        <v>121653</v>
      </c>
      <c r="S641" s="14">
        <v>127022</v>
      </c>
      <c r="T641" s="14">
        <v>144332</v>
      </c>
      <c r="U641" s="14">
        <v>157778</v>
      </c>
      <c r="V641" s="14">
        <v>176544</v>
      </c>
      <c r="W641" s="14">
        <v>173640</v>
      </c>
      <c r="X641" s="14">
        <v>200794</v>
      </c>
      <c r="Y641" s="14">
        <v>217130</v>
      </c>
      <c r="Z641" s="14">
        <v>222640</v>
      </c>
      <c r="AA641" s="14"/>
      <c r="AB641" s="14"/>
    </row>
    <row r="642" spans="1:30">
      <c r="A642" s="45" t="s">
        <v>117</v>
      </c>
      <c r="B642" s="45" t="s">
        <v>118</v>
      </c>
      <c r="C642" s="45" t="s">
        <v>498</v>
      </c>
      <c r="D642" s="45" t="s">
        <v>491</v>
      </c>
      <c r="E642" s="45" t="s">
        <v>499</v>
      </c>
      <c r="F642" s="45" t="s">
        <v>500</v>
      </c>
      <c r="G642" s="14">
        <v>127358.1</v>
      </c>
      <c r="H642" s="14">
        <v>126285.6</v>
      </c>
      <c r="I642" s="14">
        <v>135037.5</v>
      </c>
      <c r="J642" s="14">
        <v>146580.6</v>
      </c>
      <c r="K642" s="14">
        <v>154822.79999999999</v>
      </c>
      <c r="L642" s="14">
        <v>171653.9</v>
      </c>
      <c r="M642" s="14">
        <v>171726.2</v>
      </c>
      <c r="N642" s="14">
        <v>197603.7</v>
      </c>
      <c r="O642" s="14">
        <v>208545</v>
      </c>
      <c r="P642" s="14">
        <v>216698.7</v>
      </c>
      <c r="Q642" s="14">
        <v>268394.90000000002</v>
      </c>
      <c r="R642" s="14">
        <v>381384.6</v>
      </c>
      <c r="S642" s="14">
        <v>389513.6</v>
      </c>
      <c r="T642" s="14">
        <v>562866.6</v>
      </c>
      <c r="U642" s="14">
        <v>622539.5</v>
      </c>
      <c r="V642" s="14">
        <v>640440.4</v>
      </c>
      <c r="W642" s="14">
        <v>543823.4</v>
      </c>
      <c r="X642" s="14">
        <v>522775.9</v>
      </c>
      <c r="Y642" s="14">
        <v>576047.69999999995</v>
      </c>
      <c r="Z642" s="14">
        <v>592767.30000000005</v>
      </c>
      <c r="AA642" s="14"/>
      <c r="AB642" s="14"/>
      <c r="AC642" s="15">
        <f>IFERROR(Z642/G642-1,"")</f>
        <v>3.6543352955171287</v>
      </c>
      <c r="AD642" s="15">
        <f>IFERROR((Z642/G642)^(1/19)-1,"")</f>
        <v>8.430236117710499E-2</v>
      </c>
    </row>
    <row r="643" spans="1:30">
      <c r="A643" s="45" t="s">
        <v>117</v>
      </c>
      <c r="B643" s="45" t="s">
        <v>118</v>
      </c>
      <c r="C643" s="45" t="s">
        <v>498</v>
      </c>
      <c r="D643" s="45" t="s">
        <v>495</v>
      </c>
      <c r="E643" s="45" t="s">
        <v>499</v>
      </c>
      <c r="F643" s="45" t="s">
        <v>500</v>
      </c>
      <c r="G643" s="14">
        <v>10310.299999999999</v>
      </c>
      <c r="H643" s="14">
        <v>8312.4</v>
      </c>
      <c r="I643" s="14">
        <v>8470.2000000000007</v>
      </c>
      <c r="J643" s="14">
        <v>10101.4</v>
      </c>
      <c r="K643" s="14">
        <v>8606.7999999999993</v>
      </c>
      <c r="L643" s="14">
        <v>11029.4</v>
      </c>
      <c r="M643" s="14">
        <v>11261.8</v>
      </c>
      <c r="N643" s="14">
        <v>11721.6</v>
      </c>
      <c r="O643" s="14">
        <v>16692</v>
      </c>
      <c r="P643" s="14">
        <v>15351</v>
      </c>
      <c r="Q643" s="14">
        <v>19012.599999999999</v>
      </c>
      <c r="R643" s="14">
        <v>82881.899999999994</v>
      </c>
      <c r="S643" s="14">
        <v>104561</v>
      </c>
      <c r="T643" s="14">
        <v>289817.8</v>
      </c>
      <c r="U643" s="14">
        <v>342977.9</v>
      </c>
      <c r="V643" s="14">
        <v>349194.2</v>
      </c>
      <c r="W643" s="14">
        <v>292441.8</v>
      </c>
      <c r="X643" s="14">
        <v>249286.2</v>
      </c>
      <c r="Y643" s="14">
        <v>291646.90000000002</v>
      </c>
      <c r="Z643" s="14">
        <v>332377.5</v>
      </c>
      <c r="AA643" s="14"/>
      <c r="AB643" s="14"/>
      <c r="AC643" s="15">
        <f>IFERROR(Z643/G643-1,"")</f>
        <v>31.237422771403359</v>
      </c>
      <c r="AD643" s="15">
        <f>IFERROR((Z643/G643)^(1/19)-1,"")</f>
        <v>0.20056971813556324</v>
      </c>
    </row>
    <row r="644" spans="1:30">
      <c r="A644" s="45" t="s">
        <v>117</v>
      </c>
      <c r="B644" s="45" t="s">
        <v>118</v>
      </c>
      <c r="C644" s="45" t="s">
        <v>498</v>
      </c>
      <c r="D644" s="45" t="s">
        <v>496</v>
      </c>
      <c r="E644" s="45" t="s">
        <v>499</v>
      </c>
      <c r="F644" s="45" t="s">
        <v>500</v>
      </c>
      <c r="G644" s="14">
        <v>40691.5</v>
      </c>
      <c r="H644" s="14">
        <v>40964.1</v>
      </c>
      <c r="I644" s="14">
        <v>44592.5</v>
      </c>
      <c r="J644" s="14">
        <v>49079.3</v>
      </c>
      <c r="K644" s="14">
        <v>51046.400000000001</v>
      </c>
      <c r="L644" s="14">
        <v>56094.9</v>
      </c>
      <c r="M644" s="14">
        <v>54239.5</v>
      </c>
      <c r="N644" s="14">
        <v>75232.800000000003</v>
      </c>
      <c r="O644" s="14">
        <v>80897</v>
      </c>
      <c r="P644" s="14">
        <v>80716.5</v>
      </c>
      <c r="Q644" s="14">
        <v>123566.5</v>
      </c>
      <c r="R644" s="14">
        <v>141003.4</v>
      </c>
      <c r="S644" s="14">
        <v>132151</v>
      </c>
      <c r="T644" s="14">
        <v>119225</v>
      </c>
      <c r="U644" s="14">
        <v>122495.1</v>
      </c>
      <c r="V644" s="14">
        <v>133014.5</v>
      </c>
      <c r="W644" s="14">
        <v>109472.2</v>
      </c>
      <c r="X644" s="14">
        <v>119119.1</v>
      </c>
      <c r="Y644" s="14">
        <v>123885.4</v>
      </c>
      <c r="Z644" s="14">
        <v>112897.8</v>
      </c>
      <c r="AA644" s="14"/>
      <c r="AB644" s="14"/>
      <c r="AC644" s="15">
        <f>IFERROR(Z644/G644-1,"")</f>
        <v>1.7744811569983905</v>
      </c>
      <c r="AD644" s="15">
        <f>IFERROR((Z644/G644)^(1/19)-1,"")</f>
        <v>5.5177098702426042E-2</v>
      </c>
    </row>
    <row r="645" spans="1:30">
      <c r="A645" s="45" t="s">
        <v>117</v>
      </c>
      <c r="B645" s="45" t="s">
        <v>118</v>
      </c>
      <c r="C645" s="45" t="s">
        <v>498</v>
      </c>
      <c r="D645" s="45" t="s">
        <v>497</v>
      </c>
      <c r="E645" s="45" t="s">
        <v>499</v>
      </c>
      <c r="F645" s="45" t="s">
        <v>500</v>
      </c>
      <c r="G645" s="14">
        <v>60229.5</v>
      </c>
      <c r="H645" s="14">
        <v>57644.800000000003</v>
      </c>
      <c r="I645" s="14">
        <v>60020.1</v>
      </c>
      <c r="J645" s="14">
        <v>65725.399999999994</v>
      </c>
      <c r="K645" s="14">
        <v>71307.7</v>
      </c>
      <c r="L645" s="14">
        <v>80154.7</v>
      </c>
      <c r="M645" s="14">
        <v>79612.800000000003</v>
      </c>
      <c r="N645" s="14">
        <v>81658</v>
      </c>
      <c r="O645" s="14">
        <v>85329</v>
      </c>
      <c r="P645" s="14">
        <v>89700.2</v>
      </c>
      <c r="Q645" s="14">
        <v>89168.5</v>
      </c>
      <c r="R645" s="14">
        <v>96782.7</v>
      </c>
      <c r="S645" s="14">
        <v>93701.6</v>
      </c>
      <c r="T645" s="14">
        <v>98981.7</v>
      </c>
      <c r="U645" s="14">
        <v>100091.9</v>
      </c>
      <c r="V645" s="14">
        <v>108030.5</v>
      </c>
      <c r="W645" s="14">
        <v>101684.3</v>
      </c>
      <c r="X645" s="14">
        <v>112819.9</v>
      </c>
      <c r="Y645" s="14">
        <v>114582.3</v>
      </c>
      <c r="Z645" s="14">
        <v>103932.8</v>
      </c>
      <c r="AA645" s="14"/>
      <c r="AB645" s="14"/>
      <c r="AC645" s="15">
        <f>IFERROR(Z645/G645-1,"")</f>
        <v>0.72561286412804371</v>
      </c>
      <c r="AD645" s="15">
        <f>IFERROR((Z645/G645)^(1/19)-1,"")</f>
        <v>2.9131102450122182E-2</v>
      </c>
    </row>
    <row r="646" spans="1:30">
      <c r="A646" s="45" t="s">
        <v>117</v>
      </c>
      <c r="B646" s="45" t="s">
        <v>118</v>
      </c>
      <c r="C646" s="45" t="s">
        <v>498</v>
      </c>
      <c r="D646" s="45" t="s">
        <v>501</v>
      </c>
      <c r="E646" s="45" t="s">
        <v>499</v>
      </c>
      <c r="F646" s="45" t="s">
        <v>500</v>
      </c>
      <c r="G646" s="14">
        <v>8659</v>
      </c>
      <c r="H646" s="14">
        <v>11869.2</v>
      </c>
      <c r="I646" s="14">
        <v>13880.9</v>
      </c>
      <c r="J646" s="14">
        <v>12907.6</v>
      </c>
      <c r="K646" s="14">
        <v>13704.7</v>
      </c>
      <c r="L646" s="14">
        <v>12587.2</v>
      </c>
      <c r="M646" s="14">
        <v>14510.6</v>
      </c>
      <c r="N646" s="14">
        <v>13934.6</v>
      </c>
      <c r="O646" s="14">
        <v>8557</v>
      </c>
      <c r="P646" s="14">
        <v>11663.7</v>
      </c>
      <c r="Q646" s="14">
        <v>9483.2000000000007</v>
      </c>
      <c r="R646" s="14">
        <v>10160.1</v>
      </c>
      <c r="S646" s="14">
        <v>8830.7999999999993</v>
      </c>
      <c r="T646" s="14">
        <v>10695.6</v>
      </c>
      <c r="U646" s="14">
        <v>9739.7000000000007</v>
      </c>
      <c r="V646" s="14">
        <v>9520.2000000000007</v>
      </c>
      <c r="W646" s="14">
        <v>9591.6</v>
      </c>
      <c r="X646" s="14">
        <v>10440.1</v>
      </c>
      <c r="Y646" s="14">
        <v>10417.1</v>
      </c>
      <c r="Z646" s="14">
        <v>9979.9</v>
      </c>
      <c r="AA646" s="14"/>
      <c r="AB646" s="14"/>
      <c r="AC646" s="15">
        <f>IFERROR(Z646/G646-1,"")</f>
        <v>0.15254648342764754</v>
      </c>
      <c r="AD646" s="15">
        <f>IFERROR((Z646/G646)^(1/19)-1,"")</f>
        <v>7.5002940750876768E-3</v>
      </c>
    </row>
    <row r="647" spans="1:30">
      <c r="A647" s="45" t="s">
        <v>431</v>
      </c>
      <c r="B647" s="45" t="s">
        <v>432</v>
      </c>
      <c r="C647" s="45" t="s">
        <v>490</v>
      </c>
      <c r="D647" s="45" t="s">
        <v>491</v>
      </c>
      <c r="E647" s="45" t="s">
        <v>492</v>
      </c>
      <c r="F647" s="45" t="s">
        <v>493</v>
      </c>
      <c r="G647" s="14">
        <v>5618</v>
      </c>
      <c r="H647" s="14">
        <v>5949</v>
      </c>
      <c r="I647" s="14">
        <v>6823</v>
      </c>
      <c r="J647" s="14">
        <v>7482</v>
      </c>
      <c r="K647" s="14">
        <v>8286</v>
      </c>
      <c r="L647" s="14">
        <v>9875</v>
      </c>
      <c r="M647" s="14">
        <v>10721</v>
      </c>
      <c r="N647" s="14">
        <v>11804</v>
      </c>
      <c r="O647" s="14">
        <v>12731</v>
      </c>
      <c r="P647" s="14">
        <v>14177</v>
      </c>
      <c r="Q647" s="14">
        <v>15064</v>
      </c>
      <c r="R647" s="14">
        <v>16813</v>
      </c>
      <c r="S647" s="14">
        <v>18419</v>
      </c>
      <c r="T647" s="14">
        <v>19221</v>
      </c>
      <c r="U647" s="14">
        <v>18853</v>
      </c>
      <c r="V647" s="14">
        <v>20934</v>
      </c>
      <c r="W647" s="14">
        <v>21749</v>
      </c>
      <c r="X647" s="14">
        <v>24159</v>
      </c>
      <c r="Y647" s="14">
        <v>26179</v>
      </c>
      <c r="Z647" s="14">
        <v>27991</v>
      </c>
      <c r="AA647" s="14">
        <v>28717</v>
      </c>
      <c r="AB647" s="14">
        <v>33800</v>
      </c>
    </row>
    <row r="648" spans="1:30">
      <c r="A648" s="45" t="s">
        <v>431</v>
      </c>
      <c r="B648" s="45" t="s">
        <v>432</v>
      </c>
      <c r="C648" s="45" t="s">
        <v>490</v>
      </c>
      <c r="D648" s="45" t="s">
        <v>494</v>
      </c>
      <c r="E648" s="45" t="s">
        <v>492</v>
      </c>
      <c r="F648" s="45" t="s">
        <v>493</v>
      </c>
      <c r="G648" s="14">
        <v>5396</v>
      </c>
      <c r="H648" s="14">
        <v>5750</v>
      </c>
      <c r="I648" s="14">
        <v>6576</v>
      </c>
      <c r="J648" s="14">
        <v>7160</v>
      </c>
      <c r="K648" s="14">
        <v>7958</v>
      </c>
      <c r="L648" s="14">
        <v>9393</v>
      </c>
      <c r="M648" s="14">
        <v>10174</v>
      </c>
      <c r="N648" s="14">
        <v>11281</v>
      </c>
      <c r="O648" s="14">
        <v>12037</v>
      </c>
      <c r="P648" s="14">
        <v>13450</v>
      </c>
      <c r="Q648" s="14">
        <v>14230</v>
      </c>
      <c r="R648" s="14">
        <v>15920</v>
      </c>
      <c r="S648" s="14">
        <v>17279</v>
      </c>
      <c r="T648" s="14">
        <v>18096</v>
      </c>
      <c r="U648" s="14">
        <v>18299</v>
      </c>
      <c r="V648" s="14">
        <v>20408</v>
      </c>
      <c r="W648" s="14">
        <v>21178</v>
      </c>
      <c r="X648" s="14">
        <v>23117</v>
      </c>
      <c r="Y648" s="14">
        <v>24823</v>
      </c>
      <c r="Z648" s="14">
        <v>27290</v>
      </c>
      <c r="AA648" s="14"/>
      <c r="AB648" s="14"/>
    </row>
    <row r="649" spans="1:30">
      <c r="A649" s="45" t="s">
        <v>431</v>
      </c>
      <c r="B649" s="45" t="s">
        <v>432</v>
      </c>
      <c r="C649" s="45" t="s">
        <v>490</v>
      </c>
      <c r="D649" s="45" t="s">
        <v>495</v>
      </c>
      <c r="E649" s="45" t="s">
        <v>492</v>
      </c>
      <c r="F649" s="45" t="s">
        <v>493</v>
      </c>
      <c r="G649" s="14">
        <v>264</v>
      </c>
      <c r="H649" s="14">
        <v>177</v>
      </c>
      <c r="I649" s="14">
        <v>220</v>
      </c>
      <c r="J649" s="14">
        <v>240</v>
      </c>
      <c r="K649" s="14">
        <v>252</v>
      </c>
      <c r="L649" s="14">
        <v>307</v>
      </c>
      <c r="M649" s="14">
        <v>288</v>
      </c>
      <c r="N649" s="14">
        <v>344</v>
      </c>
      <c r="O649" s="14">
        <v>333</v>
      </c>
      <c r="P649" s="14">
        <v>361</v>
      </c>
      <c r="Q649" s="14">
        <v>404</v>
      </c>
      <c r="R649" s="14">
        <v>361</v>
      </c>
      <c r="S649" s="14">
        <v>370</v>
      </c>
      <c r="T649" s="14">
        <v>338</v>
      </c>
      <c r="U649" s="14">
        <v>362</v>
      </c>
      <c r="V649" s="14">
        <v>383</v>
      </c>
      <c r="W649" s="14">
        <v>351</v>
      </c>
      <c r="X649" s="14">
        <v>452</v>
      </c>
      <c r="Y649" s="14">
        <v>440</v>
      </c>
      <c r="Z649" s="14">
        <v>560</v>
      </c>
      <c r="AA649" s="14"/>
      <c r="AB649" s="14"/>
    </row>
    <row r="650" spans="1:30">
      <c r="A650" s="45" t="s">
        <v>431</v>
      </c>
      <c r="B650" s="45" t="s">
        <v>432</v>
      </c>
      <c r="C650" s="45" t="s">
        <v>490</v>
      </c>
      <c r="D650" s="45" t="s">
        <v>496</v>
      </c>
      <c r="E650" s="45" t="s">
        <v>492</v>
      </c>
      <c r="F650" s="45" t="s">
        <v>493</v>
      </c>
      <c r="G650" s="14">
        <v>975</v>
      </c>
      <c r="H650" s="14">
        <v>1105</v>
      </c>
      <c r="I650" s="14">
        <v>1392</v>
      </c>
      <c r="J650" s="14">
        <v>1666</v>
      </c>
      <c r="K650" s="14">
        <v>1455</v>
      </c>
      <c r="L650" s="14">
        <v>1738</v>
      </c>
      <c r="M650" s="14">
        <v>1619</v>
      </c>
      <c r="N650" s="14">
        <v>1872</v>
      </c>
      <c r="O650" s="14">
        <v>2399</v>
      </c>
      <c r="P650" s="14">
        <v>2856</v>
      </c>
      <c r="Q650" s="14">
        <v>3050</v>
      </c>
      <c r="R650" s="14">
        <v>3418</v>
      </c>
      <c r="S650" s="14">
        <v>3463</v>
      </c>
      <c r="T650" s="14">
        <v>3641</v>
      </c>
      <c r="U650" s="14">
        <v>3699</v>
      </c>
      <c r="V650" s="14">
        <v>4053</v>
      </c>
      <c r="W650" s="14">
        <v>4281</v>
      </c>
      <c r="X650" s="14">
        <v>4962</v>
      </c>
      <c r="Y650" s="14">
        <v>5328</v>
      </c>
      <c r="Z650" s="14">
        <v>5316</v>
      </c>
      <c r="AA650" s="14"/>
      <c r="AB650" s="14"/>
    </row>
    <row r="651" spans="1:30">
      <c r="A651" s="45" t="s">
        <v>431</v>
      </c>
      <c r="B651" s="45" t="s">
        <v>432</v>
      </c>
      <c r="C651" s="45" t="s">
        <v>490</v>
      </c>
      <c r="D651" s="45" t="s">
        <v>497</v>
      </c>
      <c r="E651" s="45" t="s">
        <v>492</v>
      </c>
      <c r="F651" s="45" t="s">
        <v>493</v>
      </c>
      <c r="G651" s="14">
        <v>3379</v>
      </c>
      <c r="H651" s="14">
        <v>3540</v>
      </c>
      <c r="I651" s="14">
        <v>4161</v>
      </c>
      <c r="J651" s="14">
        <v>4744</v>
      </c>
      <c r="K651" s="14">
        <v>5562</v>
      </c>
      <c r="L651" s="14">
        <v>6785</v>
      </c>
      <c r="M651" s="14">
        <v>7355</v>
      </c>
      <c r="N651" s="14">
        <v>8119</v>
      </c>
      <c r="O651" s="14">
        <v>8367</v>
      </c>
      <c r="P651" s="14">
        <v>9225</v>
      </c>
      <c r="Q651" s="14">
        <v>10013</v>
      </c>
      <c r="R651" s="14">
        <v>11333</v>
      </c>
      <c r="S651" s="14">
        <v>12013</v>
      </c>
      <c r="T651" s="14">
        <v>13053</v>
      </c>
      <c r="U651" s="14">
        <v>13300</v>
      </c>
      <c r="V651" s="14">
        <v>14990</v>
      </c>
      <c r="W651" s="14">
        <v>15176</v>
      </c>
      <c r="X651" s="14">
        <v>16648</v>
      </c>
      <c r="Y651" s="14">
        <v>17652</v>
      </c>
      <c r="Z651" s="14">
        <v>19827</v>
      </c>
      <c r="AA651" s="14"/>
      <c r="AB651" s="14"/>
    </row>
    <row r="652" spans="1:30">
      <c r="A652" s="45" t="s">
        <v>431</v>
      </c>
      <c r="B652" s="45" t="s">
        <v>432</v>
      </c>
      <c r="C652" s="45" t="s">
        <v>498</v>
      </c>
      <c r="D652" s="45" t="s">
        <v>491</v>
      </c>
      <c r="E652" s="45" t="s">
        <v>499</v>
      </c>
      <c r="F652" s="45" t="s">
        <v>500</v>
      </c>
      <c r="G652" s="14">
        <v>10673.5</v>
      </c>
      <c r="H652" s="14">
        <v>9905.6</v>
      </c>
      <c r="I652" s="14">
        <v>10543.3</v>
      </c>
      <c r="J652" s="14">
        <v>10762</v>
      </c>
      <c r="K652" s="14">
        <v>11162.5</v>
      </c>
      <c r="L652" s="14">
        <v>12498.3</v>
      </c>
      <c r="M652" s="14">
        <v>12473.8</v>
      </c>
      <c r="N652" s="14">
        <v>12798.3</v>
      </c>
      <c r="O652" s="14">
        <v>12731</v>
      </c>
      <c r="P652" s="14">
        <v>13088.2</v>
      </c>
      <c r="Q652" s="14">
        <v>12883.8</v>
      </c>
      <c r="R652" s="14">
        <v>13375.8</v>
      </c>
      <c r="S652" s="14">
        <v>13587.3</v>
      </c>
      <c r="T652" s="14">
        <v>13181.6</v>
      </c>
      <c r="U652" s="14">
        <v>11960</v>
      </c>
      <c r="V652" s="14">
        <v>12809.9</v>
      </c>
      <c r="W652" s="14">
        <v>12736.3</v>
      </c>
      <c r="X652" s="14">
        <v>13574.2</v>
      </c>
      <c r="Y652" s="14">
        <v>13815</v>
      </c>
      <c r="Z652" s="14">
        <v>13066.4</v>
      </c>
      <c r="AA652" s="14"/>
      <c r="AB652" s="14"/>
      <c r="AC652" s="15">
        <f>IFERROR(Z652/G652-1,"")</f>
        <v>0.22419075279898815</v>
      </c>
      <c r="AD652" s="15">
        <f>IFERROR((Z652/G652)^(1/19)-1,"")</f>
        <v>1.0703190299089504E-2</v>
      </c>
    </row>
    <row r="653" spans="1:30">
      <c r="A653" s="45" t="s">
        <v>431</v>
      </c>
      <c r="B653" s="45" t="s">
        <v>432</v>
      </c>
      <c r="C653" s="45" t="s">
        <v>498</v>
      </c>
      <c r="D653" s="45" t="s">
        <v>495</v>
      </c>
      <c r="E653" s="45" t="s">
        <v>499</v>
      </c>
      <c r="F653" s="45" t="s">
        <v>500</v>
      </c>
      <c r="G653" s="14">
        <v>500.9</v>
      </c>
      <c r="H653" s="14">
        <v>294.10000000000002</v>
      </c>
      <c r="I653" s="14">
        <v>339.6</v>
      </c>
      <c r="J653" s="14">
        <v>345.3</v>
      </c>
      <c r="K653" s="14">
        <v>340.2</v>
      </c>
      <c r="L653" s="14">
        <v>389.1</v>
      </c>
      <c r="M653" s="14">
        <v>335.4</v>
      </c>
      <c r="N653" s="14">
        <v>373</v>
      </c>
      <c r="O653" s="14">
        <v>333</v>
      </c>
      <c r="P653" s="14">
        <v>333.3</v>
      </c>
      <c r="Q653" s="14">
        <v>345.5</v>
      </c>
      <c r="R653" s="14">
        <v>287.2</v>
      </c>
      <c r="S653" s="14">
        <v>272.89999999999998</v>
      </c>
      <c r="T653" s="14">
        <v>231.8</v>
      </c>
      <c r="U653" s="14">
        <v>229.6</v>
      </c>
      <c r="V653" s="14">
        <v>234.4</v>
      </c>
      <c r="W653" s="14">
        <v>205.5</v>
      </c>
      <c r="X653" s="14">
        <v>254</v>
      </c>
      <c r="Y653" s="14">
        <v>232.2</v>
      </c>
      <c r="Z653" s="14">
        <v>261.39999999999998</v>
      </c>
      <c r="AA653" s="14"/>
      <c r="AB653" s="14"/>
      <c r="AC653" s="15">
        <f>IFERROR(Z653/G653-1,"")</f>
        <v>-0.47813934917149137</v>
      </c>
      <c r="AD653" s="15">
        <f>IFERROR((Z653/G653)^(1/19)-1,"")</f>
        <v>-3.3650002019717462E-2</v>
      </c>
    </row>
    <row r="654" spans="1:30">
      <c r="A654" s="45" t="s">
        <v>431</v>
      </c>
      <c r="B654" s="45" t="s">
        <v>432</v>
      </c>
      <c r="C654" s="45" t="s">
        <v>498</v>
      </c>
      <c r="D654" s="45" t="s">
        <v>496</v>
      </c>
      <c r="E654" s="45" t="s">
        <v>499</v>
      </c>
      <c r="F654" s="45" t="s">
        <v>500</v>
      </c>
      <c r="G654" s="14">
        <v>1852.9</v>
      </c>
      <c r="H654" s="14">
        <v>1840.2</v>
      </c>
      <c r="I654" s="14">
        <v>2151.6</v>
      </c>
      <c r="J654" s="14">
        <v>2395.9</v>
      </c>
      <c r="K654" s="14">
        <v>1960.5</v>
      </c>
      <c r="L654" s="14">
        <v>2199.1</v>
      </c>
      <c r="M654" s="14">
        <v>1883.4</v>
      </c>
      <c r="N654" s="14">
        <v>2029.7</v>
      </c>
      <c r="O654" s="14">
        <v>2399</v>
      </c>
      <c r="P654" s="14">
        <v>2636.7</v>
      </c>
      <c r="Q654" s="14">
        <v>2608.6</v>
      </c>
      <c r="R654" s="14">
        <v>2719.2</v>
      </c>
      <c r="S654" s="14">
        <v>2554.6</v>
      </c>
      <c r="T654" s="14">
        <v>2497</v>
      </c>
      <c r="U654" s="14">
        <v>2346.6</v>
      </c>
      <c r="V654" s="14">
        <v>2480.1</v>
      </c>
      <c r="W654" s="14">
        <v>2507</v>
      </c>
      <c r="X654" s="14">
        <v>2788</v>
      </c>
      <c r="Y654" s="14">
        <v>2811.7</v>
      </c>
      <c r="Z654" s="14">
        <v>2481.5</v>
      </c>
      <c r="AA654" s="14"/>
      <c r="AB654" s="14"/>
      <c r="AC654" s="15">
        <f>IFERROR(Z654/G654-1,"")</f>
        <v>0.33925198337740836</v>
      </c>
      <c r="AD654" s="15">
        <f>IFERROR((Z654/G654)^(1/19)-1,"")</f>
        <v>1.5493067793690418E-2</v>
      </c>
    </row>
    <row r="655" spans="1:30">
      <c r="A655" s="45" t="s">
        <v>431</v>
      </c>
      <c r="B655" s="45" t="s">
        <v>432</v>
      </c>
      <c r="C655" s="45" t="s">
        <v>498</v>
      </c>
      <c r="D655" s="45" t="s">
        <v>497</v>
      </c>
      <c r="E655" s="45" t="s">
        <v>499</v>
      </c>
      <c r="F655" s="45" t="s">
        <v>500</v>
      </c>
      <c r="G655" s="14">
        <v>6418.5</v>
      </c>
      <c r="H655" s="14">
        <v>5894.4</v>
      </c>
      <c r="I655" s="14">
        <v>6429.9</v>
      </c>
      <c r="J655" s="14">
        <v>6824.2</v>
      </c>
      <c r="K655" s="14">
        <v>7492.5</v>
      </c>
      <c r="L655" s="14">
        <v>8588</v>
      </c>
      <c r="M655" s="14">
        <v>8557.7000000000007</v>
      </c>
      <c r="N655" s="14">
        <v>8802.9</v>
      </c>
      <c r="O655" s="14">
        <v>8367</v>
      </c>
      <c r="P655" s="14">
        <v>8516.5</v>
      </c>
      <c r="Q655" s="14">
        <v>8563.7999999999993</v>
      </c>
      <c r="R655" s="14">
        <v>9016.1</v>
      </c>
      <c r="S655" s="14">
        <v>8861.7999999999993</v>
      </c>
      <c r="T655" s="14">
        <v>8951.6</v>
      </c>
      <c r="U655" s="14">
        <v>8437.2999999999993</v>
      </c>
      <c r="V655" s="14">
        <v>9172.7000000000007</v>
      </c>
      <c r="W655" s="14">
        <v>8887.1</v>
      </c>
      <c r="X655" s="14">
        <v>9354</v>
      </c>
      <c r="Y655" s="14">
        <v>9315.2000000000007</v>
      </c>
      <c r="Z655" s="14">
        <v>9255.9</v>
      </c>
      <c r="AA655" s="14"/>
      <c r="AB655" s="14"/>
      <c r="AC655" s="15">
        <f>IFERROR(Z655/G655-1,"")</f>
        <v>0.44206590324842243</v>
      </c>
      <c r="AD655" s="15">
        <f>IFERROR((Z655/G655)^(1/19)-1,"")</f>
        <v>1.9454007146638475E-2</v>
      </c>
    </row>
    <row r="656" spans="1:30">
      <c r="A656" s="45" t="s">
        <v>431</v>
      </c>
      <c r="B656" s="45" t="s">
        <v>432</v>
      </c>
      <c r="C656" s="45" t="s">
        <v>498</v>
      </c>
      <c r="D656" s="45" t="s">
        <v>501</v>
      </c>
      <c r="E656" s="45" t="s">
        <v>499</v>
      </c>
      <c r="F656" s="45" t="s">
        <v>500</v>
      </c>
      <c r="G656" s="14">
        <v>1479.6</v>
      </c>
      <c r="H656" s="14">
        <v>1545</v>
      </c>
      <c r="I656" s="14">
        <v>1240.9000000000001</v>
      </c>
      <c r="J656" s="14">
        <v>733.4</v>
      </c>
      <c r="K656" s="14">
        <v>927.3</v>
      </c>
      <c r="L656" s="14">
        <v>712.9</v>
      </c>
      <c r="M656" s="14">
        <v>1061.5</v>
      </c>
      <c r="N656" s="14">
        <v>1025.7</v>
      </c>
      <c r="O656" s="14">
        <v>939</v>
      </c>
      <c r="P656" s="14">
        <v>931.5</v>
      </c>
      <c r="Q656" s="14">
        <v>652.6</v>
      </c>
      <c r="R656" s="14">
        <v>642</v>
      </c>
      <c r="S656" s="14">
        <v>1057.0999999999999</v>
      </c>
      <c r="T656" s="14">
        <v>729.7</v>
      </c>
      <c r="U656" s="14">
        <v>595.1</v>
      </c>
      <c r="V656" s="14">
        <v>600.9</v>
      </c>
      <c r="W656" s="14">
        <v>802.3</v>
      </c>
      <c r="X656" s="14">
        <v>592.79999999999995</v>
      </c>
      <c r="Y656" s="14">
        <v>740.4</v>
      </c>
      <c r="Z656" s="14">
        <v>740.8</v>
      </c>
      <c r="AA656" s="14"/>
      <c r="AB656" s="14"/>
      <c r="AC656" s="15">
        <f>IFERROR(Z656/G656-1,"")</f>
        <v>-0.49932414165990813</v>
      </c>
      <c r="AD656" s="15">
        <f>IFERROR((Z656/G656)^(1/19)-1,"")</f>
        <v>-3.5755451582278774E-2</v>
      </c>
    </row>
    <row r="657" spans="1:30">
      <c r="A657" s="45" t="s">
        <v>331</v>
      </c>
      <c r="B657" s="45" t="s">
        <v>332</v>
      </c>
      <c r="C657" s="45" t="s">
        <v>490</v>
      </c>
      <c r="D657" s="45" t="s">
        <v>491</v>
      </c>
      <c r="E657" s="45" t="s">
        <v>492</v>
      </c>
      <c r="F657" s="45" t="s">
        <v>493</v>
      </c>
      <c r="G657" s="14">
        <v>11197</v>
      </c>
      <c r="H657" s="14">
        <v>12487</v>
      </c>
      <c r="I657" s="14">
        <v>14661</v>
      </c>
      <c r="J657" s="14">
        <v>15762</v>
      </c>
      <c r="K657" s="14">
        <v>18057</v>
      </c>
      <c r="L657" s="14">
        <v>20920</v>
      </c>
      <c r="M657" s="14">
        <v>23603</v>
      </c>
      <c r="N657" s="14">
        <v>26661</v>
      </c>
      <c r="O657" s="14">
        <v>28207</v>
      </c>
      <c r="P657" s="14">
        <v>30636</v>
      </c>
      <c r="Q657" s="14">
        <v>32241</v>
      </c>
      <c r="R657" s="14">
        <v>36408</v>
      </c>
      <c r="S657" s="14">
        <v>41419</v>
      </c>
      <c r="T657" s="14">
        <v>44906</v>
      </c>
      <c r="U657" s="14">
        <v>43519</v>
      </c>
      <c r="V657" s="14">
        <v>48808</v>
      </c>
      <c r="W657" s="14">
        <v>54898</v>
      </c>
      <c r="X657" s="14">
        <v>59111</v>
      </c>
      <c r="Y657" s="14">
        <v>61589</v>
      </c>
      <c r="Z657" s="14">
        <v>67413</v>
      </c>
      <c r="AA657" s="14">
        <v>77868</v>
      </c>
      <c r="AB657" s="14">
        <v>88302</v>
      </c>
    </row>
    <row r="658" spans="1:30">
      <c r="A658" s="45" t="s">
        <v>331</v>
      </c>
      <c r="B658" s="45" t="s">
        <v>332</v>
      </c>
      <c r="C658" s="45" t="s">
        <v>490</v>
      </c>
      <c r="D658" s="45" t="s">
        <v>494</v>
      </c>
      <c r="E658" s="45" t="s">
        <v>492</v>
      </c>
      <c r="F658" s="45" t="s">
        <v>493</v>
      </c>
      <c r="G658" s="14">
        <v>10827</v>
      </c>
      <c r="H658" s="14">
        <v>12135</v>
      </c>
      <c r="I658" s="14">
        <v>14209</v>
      </c>
      <c r="J658" s="14">
        <v>15238</v>
      </c>
      <c r="K658" s="14">
        <v>17152</v>
      </c>
      <c r="L658" s="14">
        <v>19676</v>
      </c>
      <c r="M658" s="14">
        <v>22178</v>
      </c>
      <c r="N658" s="14">
        <v>25202</v>
      </c>
      <c r="O658" s="14">
        <v>26416</v>
      </c>
      <c r="P658" s="14">
        <v>28773</v>
      </c>
      <c r="Q658" s="14">
        <v>29999</v>
      </c>
      <c r="R658" s="14">
        <v>34169</v>
      </c>
      <c r="S658" s="14">
        <v>38539</v>
      </c>
      <c r="T658" s="14">
        <v>41965</v>
      </c>
      <c r="U658" s="14">
        <v>41912</v>
      </c>
      <c r="V658" s="14">
        <v>46985</v>
      </c>
      <c r="W658" s="14">
        <v>52301</v>
      </c>
      <c r="X658" s="14">
        <v>56316</v>
      </c>
      <c r="Y658" s="14">
        <v>58881</v>
      </c>
      <c r="Z658" s="14">
        <v>63927</v>
      </c>
      <c r="AA658" s="14"/>
      <c r="AB658" s="14"/>
    </row>
    <row r="659" spans="1:30">
      <c r="A659" s="45" t="s">
        <v>331</v>
      </c>
      <c r="B659" s="45" t="s">
        <v>332</v>
      </c>
      <c r="C659" s="45" t="s">
        <v>490</v>
      </c>
      <c r="D659" s="45" t="s">
        <v>495</v>
      </c>
      <c r="E659" s="45" t="s">
        <v>492</v>
      </c>
      <c r="F659" s="45" t="s">
        <v>493</v>
      </c>
      <c r="G659" s="14">
        <v>492</v>
      </c>
      <c r="H659" s="14">
        <v>393</v>
      </c>
      <c r="I659" s="14">
        <v>504</v>
      </c>
      <c r="J659" s="14">
        <v>520</v>
      </c>
      <c r="K659" s="14">
        <v>575</v>
      </c>
      <c r="L659" s="14">
        <v>663</v>
      </c>
      <c r="M659" s="14">
        <v>689</v>
      </c>
      <c r="N659" s="14">
        <v>801</v>
      </c>
      <c r="O659" s="14">
        <v>843</v>
      </c>
      <c r="P659" s="14">
        <v>881</v>
      </c>
      <c r="Q659" s="14">
        <v>1047</v>
      </c>
      <c r="R659" s="14">
        <v>998</v>
      </c>
      <c r="S659" s="14">
        <v>1043</v>
      </c>
      <c r="T659" s="14">
        <v>1217</v>
      </c>
      <c r="U659" s="14">
        <v>1423</v>
      </c>
      <c r="V659" s="14">
        <v>1028</v>
      </c>
      <c r="W659" s="14">
        <v>1314</v>
      </c>
      <c r="X659" s="14">
        <v>1813</v>
      </c>
      <c r="Y659" s="14">
        <v>1814</v>
      </c>
      <c r="Z659" s="14">
        <v>2134</v>
      </c>
      <c r="AA659" s="14"/>
      <c r="AB659" s="14"/>
    </row>
    <row r="660" spans="1:30">
      <c r="A660" s="45" t="s">
        <v>331</v>
      </c>
      <c r="B660" s="45" t="s">
        <v>332</v>
      </c>
      <c r="C660" s="45" t="s">
        <v>490</v>
      </c>
      <c r="D660" s="45" t="s">
        <v>496</v>
      </c>
      <c r="E660" s="45" t="s">
        <v>492</v>
      </c>
      <c r="F660" s="45" t="s">
        <v>493</v>
      </c>
      <c r="G660" s="14">
        <v>2188</v>
      </c>
      <c r="H660" s="14">
        <v>2471</v>
      </c>
      <c r="I660" s="14">
        <v>2928</v>
      </c>
      <c r="J660" s="14">
        <v>3065</v>
      </c>
      <c r="K660" s="14">
        <v>3477</v>
      </c>
      <c r="L660" s="14">
        <v>4163</v>
      </c>
      <c r="M660" s="14">
        <v>4235</v>
      </c>
      <c r="N660" s="14">
        <v>4980</v>
      </c>
      <c r="O660" s="14">
        <v>5717</v>
      </c>
      <c r="P660" s="14">
        <v>6218</v>
      </c>
      <c r="Q660" s="14">
        <v>8475</v>
      </c>
      <c r="R660" s="14">
        <v>8606</v>
      </c>
      <c r="S660" s="14">
        <v>10138</v>
      </c>
      <c r="T660" s="14">
        <v>10805</v>
      </c>
      <c r="U660" s="14">
        <v>10653</v>
      </c>
      <c r="V660" s="14">
        <v>12428</v>
      </c>
      <c r="W660" s="14">
        <v>15193</v>
      </c>
      <c r="X660" s="14">
        <v>16628</v>
      </c>
      <c r="Y660" s="14">
        <v>16592</v>
      </c>
      <c r="Z660" s="14">
        <v>17592</v>
      </c>
      <c r="AA660" s="14"/>
      <c r="AB660" s="14"/>
    </row>
    <row r="661" spans="1:30">
      <c r="A661" s="45" t="s">
        <v>331</v>
      </c>
      <c r="B661" s="45" t="s">
        <v>332</v>
      </c>
      <c r="C661" s="45" t="s">
        <v>490</v>
      </c>
      <c r="D661" s="45" t="s">
        <v>497</v>
      </c>
      <c r="E661" s="45" t="s">
        <v>492</v>
      </c>
      <c r="F661" s="45" t="s">
        <v>493</v>
      </c>
      <c r="G661" s="14">
        <v>6782</v>
      </c>
      <c r="H661" s="14">
        <v>7420</v>
      </c>
      <c r="I661" s="14">
        <v>8193</v>
      </c>
      <c r="J661" s="14">
        <v>9384</v>
      </c>
      <c r="K661" s="14">
        <v>10578</v>
      </c>
      <c r="L661" s="14">
        <v>12800</v>
      </c>
      <c r="M661" s="14">
        <v>14218</v>
      </c>
      <c r="N661" s="14">
        <v>15916</v>
      </c>
      <c r="O661" s="14">
        <v>17000</v>
      </c>
      <c r="P661" s="14">
        <v>18532</v>
      </c>
      <c r="Q661" s="14">
        <v>18197</v>
      </c>
      <c r="R661" s="14">
        <v>21996</v>
      </c>
      <c r="S661" s="14">
        <v>23691</v>
      </c>
      <c r="T661" s="14">
        <v>26846</v>
      </c>
      <c r="U661" s="14">
        <v>26947</v>
      </c>
      <c r="V661" s="14">
        <v>30593</v>
      </c>
      <c r="W661" s="14">
        <v>31738</v>
      </c>
      <c r="X661" s="14">
        <v>34392</v>
      </c>
      <c r="Y661" s="14">
        <v>36245</v>
      </c>
      <c r="Z661" s="14">
        <v>38241</v>
      </c>
      <c r="AA661" s="14"/>
      <c r="AB661" s="14"/>
    </row>
    <row r="662" spans="1:30">
      <c r="A662" s="45" t="s">
        <v>331</v>
      </c>
      <c r="B662" s="45" t="s">
        <v>332</v>
      </c>
      <c r="C662" s="45" t="s">
        <v>498</v>
      </c>
      <c r="D662" s="45" t="s">
        <v>491</v>
      </c>
      <c r="E662" s="45" t="s">
        <v>499</v>
      </c>
      <c r="F662" s="45" t="s">
        <v>500</v>
      </c>
      <c r="G662" s="14">
        <v>21271.1</v>
      </c>
      <c r="H662" s="14">
        <v>20791.8</v>
      </c>
      <c r="I662" s="14">
        <v>22655.7</v>
      </c>
      <c r="J662" s="14">
        <v>22672.6</v>
      </c>
      <c r="K662" s="14">
        <v>24325.5</v>
      </c>
      <c r="L662" s="14">
        <v>26477.8</v>
      </c>
      <c r="M662" s="14">
        <v>27462.7</v>
      </c>
      <c r="N662" s="14">
        <v>28906.7</v>
      </c>
      <c r="O662" s="14">
        <v>28207</v>
      </c>
      <c r="P662" s="14">
        <v>28283.200000000001</v>
      </c>
      <c r="Q662" s="14">
        <v>27574.7</v>
      </c>
      <c r="R662" s="14">
        <v>28964.9</v>
      </c>
      <c r="S662" s="14">
        <v>30554</v>
      </c>
      <c r="T662" s="14">
        <v>30796.2</v>
      </c>
      <c r="U662" s="14">
        <v>27607.8</v>
      </c>
      <c r="V662" s="14">
        <v>29866.5</v>
      </c>
      <c r="W662" s="14">
        <v>32148.5</v>
      </c>
      <c r="X662" s="14">
        <v>33212.6</v>
      </c>
      <c r="Y662" s="14">
        <v>32501.3</v>
      </c>
      <c r="Z662" s="14">
        <v>31468.9</v>
      </c>
      <c r="AA662" s="14"/>
      <c r="AB662" s="14"/>
      <c r="AC662" s="15">
        <f>IFERROR(Z662/G662-1,"")</f>
        <v>0.47942043429817938</v>
      </c>
      <c r="AD662" s="15">
        <f>IFERROR((Z662/G662)^(1/19)-1,"")</f>
        <v>2.0827098520494358E-2</v>
      </c>
    </row>
    <row r="663" spans="1:30">
      <c r="A663" s="45" t="s">
        <v>331</v>
      </c>
      <c r="B663" s="45" t="s">
        <v>332</v>
      </c>
      <c r="C663" s="45" t="s">
        <v>498</v>
      </c>
      <c r="D663" s="45" t="s">
        <v>495</v>
      </c>
      <c r="E663" s="45" t="s">
        <v>499</v>
      </c>
      <c r="F663" s="45" t="s">
        <v>500</v>
      </c>
      <c r="G663" s="14">
        <v>935.4</v>
      </c>
      <c r="H663" s="14">
        <v>654.20000000000005</v>
      </c>
      <c r="I663" s="14">
        <v>778.9</v>
      </c>
      <c r="J663" s="14">
        <v>748.3</v>
      </c>
      <c r="K663" s="14">
        <v>774.5</v>
      </c>
      <c r="L663" s="14">
        <v>839.2</v>
      </c>
      <c r="M663" s="14">
        <v>801.7</v>
      </c>
      <c r="N663" s="14">
        <v>868.5</v>
      </c>
      <c r="O663" s="14">
        <v>843</v>
      </c>
      <c r="P663" s="14">
        <v>813.3</v>
      </c>
      <c r="Q663" s="14">
        <v>895.5</v>
      </c>
      <c r="R663" s="14">
        <v>794</v>
      </c>
      <c r="S663" s="14">
        <v>769.4</v>
      </c>
      <c r="T663" s="14">
        <v>834.6</v>
      </c>
      <c r="U663" s="14">
        <v>902.7</v>
      </c>
      <c r="V663" s="14">
        <v>629.1</v>
      </c>
      <c r="W663" s="14">
        <v>769.5</v>
      </c>
      <c r="X663" s="14">
        <v>1018.7</v>
      </c>
      <c r="Y663" s="14">
        <v>957.3</v>
      </c>
      <c r="Z663" s="14">
        <v>996.2</v>
      </c>
      <c r="AA663" s="14"/>
      <c r="AB663" s="14"/>
      <c r="AC663" s="15">
        <f>IFERROR(Z663/G663-1,"")</f>
        <v>6.4998930938635846E-2</v>
      </c>
      <c r="AD663" s="15">
        <f>IFERROR((Z663/G663)^(1/19)-1,"")</f>
        <v>3.3199090125375363E-3</v>
      </c>
    </row>
    <row r="664" spans="1:30">
      <c r="A664" s="45" t="s">
        <v>331</v>
      </c>
      <c r="B664" s="45" t="s">
        <v>332</v>
      </c>
      <c r="C664" s="45" t="s">
        <v>498</v>
      </c>
      <c r="D664" s="45" t="s">
        <v>496</v>
      </c>
      <c r="E664" s="45" t="s">
        <v>499</v>
      </c>
      <c r="F664" s="45" t="s">
        <v>500</v>
      </c>
      <c r="G664" s="14">
        <v>4156.3999999999996</v>
      </c>
      <c r="H664" s="14">
        <v>4113.8999999999996</v>
      </c>
      <c r="I664" s="14">
        <v>4524.7</v>
      </c>
      <c r="J664" s="14">
        <v>4408.3</v>
      </c>
      <c r="K664" s="14">
        <v>4683.6000000000004</v>
      </c>
      <c r="L664" s="14">
        <v>5268.8</v>
      </c>
      <c r="M664" s="14">
        <v>4927.1000000000004</v>
      </c>
      <c r="N664" s="14">
        <v>5399.5</v>
      </c>
      <c r="O664" s="14">
        <v>5717</v>
      </c>
      <c r="P664" s="14">
        <v>5740.5</v>
      </c>
      <c r="Q664" s="14">
        <v>7248.4</v>
      </c>
      <c r="R664" s="14">
        <v>6846.6</v>
      </c>
      <c r="S664" s="14">
        <v>7478.6</v>
      </c>
      <c r="T664" s="14">
        <v>7410</v>
      </c>
      <c r="U664" s="14">
        <v>6758.1</v>
      </c>
      <c r="V664" s="14">
        <v>7604.9</v>
      </c>
      <c r="W664" s="14">
        <v>8897.1</v>
      </c>
      <c r="X664" s="14">
        <v>9342.7999999999993</v>
      </c>
      <c r="Y664" s="14">
        <v>8755.7999999999993</v>
      </c>
      <c r="Z664" s="14">
        <v>8212.1</v>
      </c>
      <c r="AA664" s="14"/>
      <c r="AB664" s="14"/>
      <c r="AC664" s="15">
        <f>IFERROR(Z664/G664-1,"")</f>
        <v>0.97577230295448003</v>
      </c>
      <c r="AD664" s="15">
        <f>IFERROR((Z664/G664)^(1/19)-1,"")</f>
        <v>3.6489959986327758E-2</v>
      </c>
    </row>
    <row r="665" spans="1:30">
      <c r="A665" s="45" t="s">
        <v>331</v>
      </c>
      <c r="B665" s="45" t="s">
        <v>332</v>
      </c>
      <c r="C665" s="45" t="s">
        <v>498</v>
      </c>
      <c r="D665" s="45" t="s">
        <v>497</v>
      </c>
      <c r="E665" s="45" t="s">
        <v>499</v>
      </c>
      <c r="F665" s="45" t="s">
        <v>500</v>
      </c>
      <c r="G665" s="14">
        <v>12884.3</v>
      </c>
      <c r="H665" s="14">
        <v>12354.5</v>
      </c>
      <c r="I665" s="14">
        <v>12660.6</v>
      </c>
      <c r="J665" s="14">
        <v>13498.2</v>
      </c>
      <c r="K665" s="14">
        <v>14250</v>
      </c>
      <c r="L665" s="14">
        <v>16200.4</v>
      </c>
      <c r="M665" s="14">
        <v>16542.8</v>
      </c>
      <c r="N665" s="14">
        <v>17256.7</v>
      </c>
      <c r="O665" s="14">
        <v>17000</v>
      </c>
      <c r="P665" s="14">
        <v>17108.8</v>
      </c>
      <c r="Q665" s="14">
        <v>15563.3</v>
      </c>
      <c r="R665" s="14">
        <v>17499.2</v>
      </c>
      <c r="S665" s="14">
        <v>17476.400000000001</v>
      </c>
      <c r="T665" s="14">
        <v>18410.8</v>
      </c>
      <c r="U665" s="14">
        <v>17094.7</v>
      </c>
      <c r="V665" s="14">
        <v>18720.400000000001</v>
      </c>
      <c r="W665" s="14">
        <v>18585.900000000001</v>
      </c>
      <c r="X665" s="14">
        <v>19323.8</v>
      </c>
      <c r="Y665" s="14">
        <v>19127</v>
      </c>
      <c r="Z665" s="14">
        <v>17851.599999999999</v>
      </c>
      <c r="AA665" s="14"/>
      <c r="AB665" s="14"/>
      <c r="AC665" s="15">
        <f>IFERROR(Z665/G665-1,"")</f>
        <v>0.38553122792856409</v>
      </c>
      <c r="AD665" s="15">
        <f>IFERROR((Z665/G665)^(1/19)-1,"")</f>
        <v>1.7310414348146175E-2</v>
      </c>
    </row>
    <row r="666" spans="1:30">
      <c r="A666" s="45" t="s">
        <v>331</v>
      </c>
      <c r="B666" s="45" t="s">
        <v>332</v>
      </c>
      <c r="C666" s="45" t="s">
        <v>498</v>
      </c>
      <c r="D666" s="45" t="s">
        <v>501</v>
      </c>
      <c r="E666" s="45" t="s">
        <v>499</v>
      </c>
      <c r="F666" s="45" t="s">
        <v>500</v>
      </c>
      <c r="G666" s="14">
        <v>2591.8000000000002</v>
      </c>
      <c r="H666" s="14">
        <v>3083.4</v>
      </c>
      <c r="I666" s="14">
        <v>3993</v>
      </c>
      <c r="J666" s="14">
        <v>3263.8</v>
      </c>
      <c r="K666" s="14">
        <v>3398.5</v>
      </c>
      <c r="L666" s="14">
        <v>2595.4</v>
      </c>
      <c r="M666" s="14">
        <v>3533.6</v>
      </c>
      <c r="N666" s="14">
        <v>3800.2</v>
      </c>
      <c r="O666" s="14">
        <v>2856</v>
      </c>
      <c r="P666" s="14">
        <v>2900.7</v>
      </c>
      <c r="Q666" s="14">
        <v>1949.2</v>
      </c>
      <c r="R666" s="14">
        <v>2044.6</v>
      </c>
      <c r="S666" s="14">
        <v>2705.1</v>
      </c>
      <c r="T666" s="14">
        <v>2124.6</v>
      </c>
      <c r="U666" s="14">
        <v>1833.4</v>
      </c>
      <c r="V666" s="14">
        <v>1796.6</v>
      </c>
      <c r="W666" s="14">
        <v>2375.1999999999998</v>
      </c>
      <c r="X666" s="14">
        <v>1957.6</v>
      </c>
      <c r="Y666" s="14">
        <v>2232.1999999999998</v>
      </c>
      <c r="Z666" s="14">
        <v>2782.2</v>
      </c>
      <c r="AA666" s="14"/>
      <c r="AB666" s="14"/>
      <c r="AC666" s="15">
        <f>IFERROR(Z666/G666-1,"")</f>
        <v>7.3462458523034124E-2</v>
      </c>
      <c r="AD666" s="15">
        <f>IFERROR((Z666/G666)^(1/19)-1,"")</f>
        <v>3.7379882128607544E-3</v>
      </c>
    </row>
    <row r="667" spans="1:30">
      <c r="A667" s="45" t="s">
        <v>175</v>
      </c>
      <c r="B667" s="45" t="s">
        <v>176</v>
      </c>
      <c r="C667" s="45" t="s">
        <v>490</v>
      </c>
      <c r="D667" s="45" t="s">
        <v>491</v>
      </c>
      <c r="E667" s="45" t="s">
        <v>492</v>
      </c>
      <c r="F667" s="45" t="s">
        <v>493</v>
      </c>
      <c r="G667" s="14">
        <v>36280</v>
      </c>
      <c r="H667" s="14">
        <v>41318</v>
      </c>
      <c r="I667" s="14">
        <v>45365</v>
      </c>
      <c r="J667" s="14">
        <v>60457</v>
      </c>
      <c r="K667" s="14">
        <v>64584</v>
      </c>
      <c r="L667" s="14">
        <v>77206</v>
      </c>
      <c r="M667" s="14">
        <v>76282</v>
      </c>
      <c r="N667" s="14">
        <v>86359</v>
      </c>
      <c r="O667" s="14">
        <v>95806</v>
      </c>
      <c r="P667" s="14">
        <v>109684</v>
      </c>
      <c r="Q667" s="14">
        <v>120222</v>
      </c>
      <c r="R667" s="14">
        <v>132980</v>
      </c>
      <c r="S667" s="14">
        <v>162824</v>
      </c>
      <c r="T667" s="14">
        <v>176071</v>
      </c>
      <c r="U667" s="14">
        <v>185768</v>
      </c>
      <c r="V667" s="14">
        <v>214336</v>
      </c>
      <c r="W667" s="14">
        <v>237927</v>
      </c>
      <c r="X667" s="14">
        <v>257374</v>
      </c>
      <c r="Y667" s="14">
        <v>339892</v>
      </c>
      <c r="Z667" s="14">
        <v>315838</v>
      </c>
      <c r="AA667" s="14">
        <v>391757</v>
      </c>
      <c r="AB667" s="14">
        <v>442765</v>
      </c>
    </row>
    <row r="668" spans="1:30">
      <c r="A668" s="45" t="s">
        <v>175</v>
      </c>
      <c r="B668" s="45" t="s">
        <v>176</v>
      </c>
      <c r="C668" s="45" t="s">
        <v>490</v>
      </c>
      <c r="D668" s="45" t="s">
        <v>494</v>
      </c>
      <c r="E668" s="45" t="s">
        <v>492</v>
      </c>
      <c r="F668" s="45" t="s">
        <v>493</v>
      </c>
      <c r="G668" s="14">
        <v>34673</v>
      </c>
      <c r="H668" s="14">
        <v>39573</v>
      </c>
      <c r="I668" s="14">
        <v>43278</v>
      </c>
      <c r="J668" s="14">
        <v>57567</v>
      </c>
      <c r="K668" s="14">
        <v>60412</v>
      </c>
      <c r="L668" s="14">
        <v>72079</v>
      </c>
      <c r="M668" s="14">
        <v>70946</v>
      </c>
      <c r="N668" s="14">
        <v>80785</v>
      </c>
      <c r="O668" s="14">
        <v>88376</v>
      </c>
      <c r="P668" s="14">
        <v>101459</v>
      </c>
      <c r="Q668" s="14">
        <v>110236</v>
      </c>
      <c r="R668" s="14">
        <v>121755</v>
      </c>
      <c r="S668" s="14">
        <v>146679</v>
      </c>
      <c r="T668" s="14">
        <v>157297</v>
      </c>
      <c r="U668" s="14">
        <v>171620</v>
      </c>
      <c r="V668" s="14">
        <v>197698</v>
      </c>
      <c r="W668" s="14">
        <v>216462</v>
      </c>
      <c r="X668" s="14">
        <v>234048</v>
      </c>
      <c r="Y668" s="14">
        <v>311828</v>
      </c>
      <c r="Z668" s="14">
        <v>283565</v>
      </c>
      <c r="AA668" s="14"/>
      <c r="AB668" s="14"/>
    </row>
    <row r="669" spans="1:30">
      <c r="A669" s="45" t="s">
        <v>175</v>
      </c>
      <c r="B669" s="45" t="s">
        <v>176</v>
      </c>
      <c r="C669" s="45" t="s">
        <v>490</v>
      </c>
      <c r="D669" s="45" t="s">
        <v>495</v>
      </c>
      <c r="E669" s="45" t="s">
        <v>492</v>
      </c>
      <c r="F669" s="45" t="s">
        <v>493</v>
      </c>
      <c r="G669" s="14">
        <v>2389</v>
      </c>
      <c r="H669" s="14">
        <v>2490</v>
      </c>
      <c r="I669" s="14">
        <v>3276</v>
      </c>
      <c r="J669" s="14">
        <v>10674</v>
      </c>
      <c r="K669" s="14">
        <v>6523</v>
      </c>
      <c r="L669" s="14">
        <v>10709</v>
      </c>
      <c r="M669" s="14">
        <v>4479</v>
      </c>
      <c r="N669" s="14">
        <v>4279</v>
      </c>
      <c r="O669" s="14">
        <v>4895</v>
      </c>
      <c r="P669" s="14">
        <v>6778</v>
      </c>
      <c r="Q669" s="14">
        <v>8033</v>
      </c>
      <c r="R669" s="14">
        <v>7791</v>
      </c>
      <c r="S669" s="14">
        <v>9456</v>
      </c>
      <c r="T669" s="14">
        <v>12184</v>
      </c>
      <c r="U669" s="14">
        <v>18019</v>
      </c>
      <c r="V669" s="14">
        <v>22691</v>
      </c>
      <c r="W669" s="14">
        <v>31084</v>
      </c>
      <c r="X669" s="14">
        <v>33960</v>
      </c>
      <c r="Y669" s="14">
        <v>92814</v>
      </c>
      <c r="Z669" s="14">
        <v>54305</v>
      </c>
      <c r="AA669" s="14"/>
      <c r="AB669" s="14"/>
    </row>
    <row r="670" spans="1:30">
      <c r="A670" s="45" t="s">
        <v>175</v>
      </c>
      <c r="B670" s="45" t="s">
        <v>176</v>
      </c>
      <c r="C670" s="45" t="s">
        <v>490</v>
      </c>
      <c r="D670" s="45" t="s">
        <v>496</v>
      </c>
      <c r="E670" s="45" t="s">
        <v>492</v>
      </c>
      <c r="F670" s="45" t="s">
        <v>493</v>
      </c>
      <c r="G670" s="14">
        <v>7957</v>
      </c>
      <c r="H670" s="14">
        <v>9394</v>
      </c>
      <c r="I670" s="14">
        <v>10410</v>
      </c>
      <c r="J670" s="14">
        <v>13059</v>
      </c>
      <c r="K670" s="14">
        <v>14561</v>
      </c>
      <c r="L670" s="14">
        <v>17398</v>
      </c>
      <c r="M670" s="14">
        <v>16512</v>
      </c>
      <c r="N670" s="14">
        <v>19754</v>
      </c>
      <c r="O670" s="14">
        <v>23005</v>
      </c>
      <c r="P670" s="14">
        <v>27794</v>
      </c>
      <c r="Q670" s="14">
        <v>30981</v>
      </c>
      <c r="R670" s="14">
        <v>34857</v>
      </c>
      <c r="S670" s="14">
        <v>48474</v>
      </c>
      <c r="T670" s="14">
        <v>50423</v>
      </c>
      <c r="U670" s="14">
        <v>50905</v>
      </c>
      <c r="V670" s="14">
        <v>62122</v>
      </c>
      <c r="W670" s="14">
        <v>70566</v>
      </c>
      <c r="X670" s="14">
        <v>76124</v>
      </c>
      <c r="Y670" s="14">
        <v>85602</v>
      </c>
      <c r="Z670" s="14">
        <v>87739</v>
      </c>
      <c r="AA670" s="14"/>
      <c r="AB670" s="14"/>
    </row>
    <row r="671" spans="1:30">
      <c r="A671" s="45" t="s">
        <v>175</v>
      </c>
      <c r="B671" s="45" t="s">
        <v>176</v>
      </c>
      <c r="C671" s="45" t="s">
        <v>490</v>
      </c>
      <c r="D671" s="45" t="s">
        <v>497</v>
      </c>
      <c r="E671" s="45" t="s">
        <v>492</v>
      </c>
      <c r="F671" s="45" t="s">
        <v>493</v>
      </c>
      <c r="G671" s="14">
        <v>20058</v>
      </c>
      <c r="H671" s="14">
        <v>22175</v>
      </c>
      <c r="I671" s="14">
        <v>23928</v>
      </c>
      <c r="J671" s="14">
        <v>28540</v>
      </c>
      <c r="K671" s="14">
        <v>33589</v>
      </c>
      <c r="L671" s="14">
        <v>37947</v>
      </c>
      <c r="M671" s="14">
        <v>42665</v>
      </c>
      <c r="N671" s="14">
        <v>47327</v>
      </c>
      <c r="O671" s="14">
        <v>51881</v>
      </c>
      <c r="P671" s="14">
        <v>58049</v>
      </c>
      <c r="Q671" s="14">
        <v>62508</v>
      </c>
      <c r="R671" s="14">
        <v>69402</v>
      </c>
      <c r="S671" s="14">
        <v>74752</v>
      </c>
      <c r="T671" s="14">
        <v>78194</v>
      </c>
      <c r="U671" s="14">
        <v>85894</v>
      </c>
      <c r="V671" s="14">
        <v>94369</v>
      </c>
      <c r="W671" s="14">
        <v>93159</v>
      </c>
      <c r="X671" s="14">
        <v>97641</v>
      </c>
      <c r="Y671" s="14">
        <v>104001</v>
      </c>
      <c r="Z671" s="14">
        <v>104650</v>
      </c>
      <c r="AA671" s="14"/>
      <c r="AB671" s="14"/>
    </row>
    <row r="672" spans="1:30">
      <c r="A672" s="45" t="s">
        <v>175</v>
      </c>
      <c r="B672" s="45" t="s">
        <v>176</v>
      </c>
      <c r="C672" s="45" t="s">
        <v>498</v>
      </c>
      <c r="D672" s="45" t="s">
        <v>491</v>
      </c>
      <c r="E672" s="45" t="s">
        <v>499</v>
      </c>
      <c r="F672" s="45" t="s">
        <v>500</v>
      </c>
      <c r="G672" s="14">
        <v>68922.7</v>
      </c>
      <c r="H672" s="14">
        <v>68798.899999999994</v>
      </c>
      <c r="I672" s="14">
        <v>70102.7</v>
      </c>
      <c r="J672" s="14">
        <v>86962.9</v>
      </c>
      <c r="K672" s="14">
        <v>87005.9</v>
      </c>
      <c r="L672" s="14">
        <v>97717</v>
      </c>
      <c r="M672" s="14">
        <v>88756.800000000003</v>
      </c>
      <c r="N672" s="14">
        <v>93633.3</v>
      </c>
      <c r="O672" s="14">
        <v>95806</v>
      </c>
      <c r="P672" s="14">
        <v>101260.5</v>
      </c>
      <c r="Q672" s="14">
        <v>102822</v>
      </c>
      <c r="R672" s="14">
        <v>105794.1</v>
      </c>
      <c r="S672" s="14">
        <v>120112.1</v>
      </c>
      <c r="T672" s="14">
        <v>120748.1</v>
      </c>
      <c r="U672" s="14">
        <v>117848.3</v>
      </c>
      <c r="V672" s="14">
        <v>131156.1</v>
      </c>
      <c r="W672" s="14">
        <v>139331</v>
      </c>
      <c r="X672" s="14">
        <v>144610.5</v>
      </c>
      <c r="Y672" s="14">
        <v>179365.4</v>
      </c>
      <c r="Z672" s="14">
        <v>147435.5</v>
      </c>
      <c r="AA672" s="14"/>
      <c r="AB672" s="14"/>
      <c r="AC672" s="15">
        <f>IFERROR(Z672/G672-1,"")</f>
        <v>1.1391428368302461</v>
      </c>
      <c r="AD672" s="15">
        <f>IFERROR((Z672/G672)^(1/19)-1,"")</f>
        <v>4.0832971376333571E-2</v>
      </c>
    </row>
    <row r="673" spans="1:30">
      <c r="A673" s="45" t="s">
        <v>175</v>
      </c>
      <c r="B673" s="45" t="s">
        <v>176</v>
      </c>
      <c r="C673" s="45" t="s">
        <v>498</v>
      </c>
      <c r="D673" s="45" t="s">
        <v>495</v>
      </c>
      <c r="E673" s="45" t="s">
        <v>499</v>
      </c>
      <c r="F673" s="45" t="s">
        <v>500</v>
      </c>
      <c r="G673" s="14">
        <v>4538.8</v>
      </c>
      <c r="H673" s="14">
        <v>4145.8999999999996</v>
      </c>
      <c r="I673" s="14">
        <v>5061.8999999999996</v>
      </c>
      <c r="J673" s="14">
        <v>15354.4</v>
      </c>
      <c r="K673" s="14">
        <v>8788.1</v>
      </c>
      <c r="L673" s="14">
        <v>13553.6</v>
      </c>
      <c r="M673" s="14">
        <v>5210.8999999999996</v>
      </c>
      <c r="N673" s="14">
        <v>4639.3999999999996</v>
      </c>
      <c r="O673" s="14">
        <v>4895</v>
      </c>
      <c r="P673" s="14">
        <v>6257.5</v>
      </c>
      <c r="Q673" s="14">
        <v>6870.4</v>
      </c>
      <c r="R673" s="14">
        <v>6198.2</v>
      </c>
      <c r="S673" s="14">
        <v>6975.5</v>
      </c>
      <c r="T673" s="14">
        <v>8355.7000000000007</v>
      </c>
      <c r="U673" s="14">
        <v>11431</v>
      </c>
      <c r="V673" s="14">
        <v>13885</v>
      </c>
      <c r="W673" s="14">
        <v>18202.900000000001</v>
      </c>
      <c r="X673" s="14">
        <v>19081.099999999999</v>
      </c>
      <c r="Y673" s="14">
        <v>48979.1</v>
      </c>
      <c r="Z673" s="14">
        <v>25350</v>
      </c>
      <c r="AA673" s="14"/>
      <c r="AB673" s="14"/>
      <c r="AC673" s="15">
        <f>IFERROR(Z673/G673-1,"")</f>
        <v>4.5851766986868769</v>
      </c>
      <c r="AD673" s="15">
        <f>IFERROR((Z673/G673)^(1/19)-1,"")</f>
        <v>9.4757004279834245E-2</v>
      </c>
    </row>
    <row r="674" spans="1:30">
      <c r="A674" s="45" t="s">
        <v>175</v>
      </c>
      <c r="B674" s="45" t="s">
        <v>176</v>
      </c>
      <c r="C674" s="45" t="s">
        <v>498</v>
      </c>
      <c r="D674" s="45" t="s">
        <v>496</v>
      </c>
      <c r="E674" s="45" t="s">
        <v>499</v>
      </c>
      <c r="F674" s="45" t="s">
        <v>500</v>
      </c>
      <c r="G674" s="14">
        <v>15116.6</v>
      </c>
      <c r="H674" s="14">
        <v>15642.1</v>
      </c>
      <c r="I674" s="14">
        <v>16087.5</v>
      </c>
      <c r="J674" s="14">
        <v>18784.8</v>
      </c>
      <c r="K674" s="14">
        <v>19616</v>
      </c>
      <c r="L674" s="14">
        <v>22020.7</v>
      </c>
      <c r="M674" s="14">
        <v>19211.599999999999</v>
      </c>
      <c r="N674" s="14">
        <v>21417.9</v>
      </c>
      <c r="O674" s="14">
        <v>23005</v>
      </c>
      <c r="P674" s="14">
        <v>25659.5</v>
      </c>
      <c r="Q674" s="14">
        <v>26497</v>
      </c>
      <c r="R674" s="14">
        <v>27731</v>
      </c>
      <c r="S674" s="14">
        <v>35758.300000000003</v>
      </c>
      <c r="T674" s="14">
        <v>34579.699999999997</v>
      </c>
      <c r="U674" s="14">
        <v>32293.3</v>
      </c>
      <c r="V674" s="14">
        <v>38013.599999999999</v>
      </c>
      <c r="W674" s="14">
        <v>41323.699999999997</v>
      </c>
      <c r="X674" s="14">
        <v>42771.7</v>
      </c>
      <c r="Y674" s="14">
        <v>45173.3</v>
      </c>
      <c r="Z674" s="14">
        <v>40957.699999999997</v>
      </c>
      <c r="AA674" s="14"/>
      <c r="AB674" s="14"/>
      <c r="AC674" s="15">
        <f>IFERROR(Z674/G674-1,"")</f>
        <v>1.7094518608681843</v>
      </c>
      <c r="AD674" s="15">
        <f>IFERROR((Z674/G674)^(1/19)-1,"")</f>
        <v>5.3860758978932388E-2</v>
      </c>
    </row>
    <row r="675" spans="1:30">
      <c r="A675" s="45" t="s">
        <v>175</v>
      </c>
      <c r="B675" s="45" t="s">
        <v>176</v>
      </c>
      <c r="C675" s="45" t="s">
        <v>498</v>
      </c>
      <c r="D675" s="45" t="s">
        <v>497</v>
      </c>
      <c r="E675" s="45" t="s">
        <v>499</v>
      </c>
      <c r="F675" s="45" t="s">
        <v>500</v>
      </c>
      <c r="G675" s="14">
        <v>38106</v>
      </c>
      <c r="H675" s="14">
        <v>36923.1</v>
      </c>
      <c r="I675" s="14">
        <v>36975.9</v>
      </c>
      <c r="J675" s="14">
        <v>41052.800000000003</v>
      </c>
      <c r="K675" s="14">
        <v>45250.3</v>
      </c>
      <c r="L675" s="14">
        <v>48028.9</v>
      </c>
      <c r="M675" s="14">
        <v>49642.400000000001</v>
      </c>
      <c r="N675" s="14">
        <v>51313.5</v>
      </c>
      <c r="O675" s="14">
        <v>51881</v>
      </c>
      <c r="P675" s="14">
        <v>53591</v>
      </c>
      <c r="Q675" s="14">
        <v>53461.1</v>
      </c>
      <c r="R675" s="14">
        <v>55213.7</v>
      </c>
      <c r="S675" s="14">
        <v>55143.1</v>
      </c>
      <c r="T675" s="14">
        <v>53624.800000000003</v>
      </c>
      <c r="U675" s="14">
        <v>54489.8</v>
      </c>
      <c r="V675" s="14">
        <v>57746.1</v>
      </c>
      <c r="W675" s="14">
        <v>54554.3</v>
      </c>
      <c r="X675" s="14">
        <v>54861.5</v>
      </c>
      <c r="Y675" s="14">
        <v>54882.7</v>
      </c>
      <c r="Z675" s="14">
        <v>48852.800000000003</v>
      </c>
      <c r="AA675" s="14"/>
      <c r="AB675" s="14"/>
      <c r="AC675" s="15">
        <f>IFERROR(Z675/G675-1,"")</f>
        <v>0.28202382826851413</v>
      </c>
      <c r="AD675" s="15">
        <f>IFERROR((Z675/G675)^(1/19)-1,"")</f>
        <v>1.3161648511870627E-2</v>
      </c>
    </row>
    <row r="676" spans="1:30">
      <c r="A676" s="45" t="s">
        <v>175</v>
      </c>
      <c r="B676" s="45" t="s">
        <v>176</v>
      </c>
      <c r="C676" s="45" t="s">
        <v>498</v>
      </c>
      <c r="D676" s="45" t="s">
        <v>501</v>
      </c>
      <c r="E676" s="45" t="s">
        <v>499</v>
      </c>
      <c r="F676" s="45" t="s">
        <v>500</v>
      </c>
      <c r="G676" s="14">
        <v>8108.2</v>
      </c>
      <c r="H676" s="14">
        <v>9182.5</v>
      </c>
      <c r="I676" s="14">
        <v>8752.6</v>
      </c>
      <c r="J676" s="14">
        <v>7613.3</v>
      </c>
      <c r="K676" s="14">
        <v>7730.2</v>
      </c>
      <c r="L676" s="14">
        <v>7625.2</v>
      </c>
      <c r="M676" s="14">
        <v>8483.1</v>
      </c>
      <c r="N676" s="14">
        <v>10218.9</v>
      </c>
      <c r="O676" s="14">
        <v>8595</v>
      </c>
      <c r="P676" s="14">
        <v>8159.3</v>
      </c>
      <c r="Q676" s="14">
        <v>7452.8</v>
      </c>
      <c r="R676" s="14">
        <v>7720.2</v>
      </c>
      <c r="S676" s="14">
        <v>10325.299999999999</v>
      </c>
      <c r="T676" s="14">
        <v>11312.8</v>
      </c>
      <c r="U676" s="14">
        <v>10658.9</v>
      </c>
      <c r="V676" s="14">
        <v>11330.3</v>
      </c>
      <c r="W676" s="14">
        <v>12679.5</v>
      </c>
      <c r="X676" s="14">
        <v>14790.1</v>
      </c>
      <c r="Y676" s="14">
        <v>15521.1</v>
      </c>
      <c r="Z676" s="14">
        <v>17211.7</v>
      </c>
      <c r="AA676" s="14"/>
      <c r="AB676" s="14"/>
      <c r="AC676" s="15">
        <f>IFERROR(Z676/G676-1,"")</f>
        <v>1.1227522754742116</v>
      </c>
      <c r="AD676" s="15">
        <f>IFERROR((Z676/G676)^(1/19)-1,"")</f>
        <v>4.0411699231720055E-2</v>
      </c>
    </row>
    <row r="677" spans="1:30">
      <c r="A677" s="45" t="s">
        <v>407</v>
      </c>
      <c r="B677" s="45" t="s">
        <v>408</v>
      </c>
      <c r="C677" s="45" t="s">
        <v>490</v>
      </c>
      <c r="D677" s="45" t="s">
        <v>491</v>
      </c>
      <c r="E677" s="45" t="s">
        <v>492</v>
      </c>
      <c r="F677" s="45" t="s">
        <v>493</v>
      </c>
      <c r="G677" s="14">
        <v>6655</v>
      </c>
      <c r="H677" s="14">
        <v>7875</v>
      </c>
      <c r="I677" s="14">
        <v>9077</v>
      </c>
      <c r="J677" s="14">
        <v>10235</v>
      </c>
      <c r="K677" s="14">
        <v>10461</v>
      </c>
      <c r="L677" s="14">
        <v>12158</v>
      </c>
      <c r="M677" s="14">
        <v>15366</v>
      </c>
      <c r="N677" s="14">
        <v>17169</v>
      </c>
      <c r="O677" s="14">
        <v>17596</v>
      </c>
      <c r="P677" s="14">
        <v>19606</v>
      </c>
      <c r="Q677" s="14">
        <v>20200</v>
      </c>
      <c r="R677" s="14">
        <v>23018</v>
      </c>
      <c r="S677" s="14">
        <v>25119</v>
      </c>
      <c r="T677" s="14">
        <v>27245</v>
      </c>
      <c r="U677" s="14">
        <v>28485</v>
      </c>
      <c r="V677" s="14">
        <v>32885</v>
      </c>
      <c r="W677" s="14">
        <v>33359</v>
      </c>
      <c r="X677" s="14">
        <v>37134</v>
      </c>
      <c r="Y677" s="14">
        <v>39005</v>
      </c>
      <c r="Z677" s="14">
        <v>42147</v>
      </c>
      <c r="AA677" s="14">
        <v>47189</v>
      </c>
      <c r="AB677" s="14">
        <v>47291</v>
      </c>
    </row>
    <row r="678" spans="1:30">
      <c r="A678" s="45" t="s">
        <v>407</v>
      </c>
      <c r="B678" s="45" t="s">
        <v>408</v>
      </c>
      <c r="C678" s="45" t="s">
        <v>490</v>
      </c>
      <c r="D678" s="45" t="s">
        <v>494</v>
      </c>
      <c r="E678" s="45" t="s">
        <v>492</v>
      </c>
      <c r="F678" s="45" t="s">
        <v>493</v>
      </c>
      <c r="G678" s="14">
        <v>6331</v>
      </c>
      <c r="H678" s="14">
        <v>7478</v>
      </c>
      <c r="I678" s="14">
        <v>8591</v>
      </c>
      <c r="J678" s="14">
        <v>9687</v>
      </c>
      <c r="K678" s="14">
        <v>10004</v>
      </c>
      <c r="L678" s="14">
        <v>11537</v>
      </c>
      <c r="M678" s="14">
        <v>14457</v>
      </c>
      <c r="N678" s="14">
        <v>16284</v>
      </c>
      <c r="O678" s="14">
        <v>16780</v>
      </c>
      <c r="P678" s="14">
        <v>18649</v>
      </c>
      <c r="Q678" s="14">
        <v>19134</v>
      </c>
      <c r="R678" s="14">
        <v>21797</v>
      </c>
      <c r="S678" s="14">
        <v>23856</v>
      </c>
      <c r="T678" s="14">
        <v>25791</v>
      </c>
      <c r="U678" s="14">
        <v>27888</v>
      </c>
      <c r="V678" s="14">
        <v>32275</v>
      </c>
      <c r="W678" s="14">
        <v>32736</v>
      </c>
      <c r="X678" s="14">
        <v>36419</v>
      </c>
      <c r="Y678" s="14">
        <v>38234</v>
      </c>
      <c r="Z678" s="14">
        <v>41100</v>
      </c>
      <c r="AA678" s="14"/>
      <c r="AB678" s="14"/>
    </row>
    <row r="679" spans="1:30">
      <c r="A679" s="45" t="s">
        <v>407</v>
      </c>
      <c r="B679" s="45" t="s">
        <v>408</v>
      </c>
      <c r="C679" s="45" t="s">
        <v>490</v>
      </c>
      <c r="D679" s="45" t="s">
        <v>495</v>
      </c>
      <c r="E679" s="45" t="s">
        <v>492</v>
      </c>
      <c r="F679" s="45" t="s">
        <v>493</v>
      </c>
      <c r="G679" s="14">
        <v>289</v>
      </c>
      <c r="H679" s="14">
        <v>199</v>
      </c>
      <c r="I679" s="14">
        <v>276</v>
      </c>
      <c r="J679" s="14">
        <v>311</v>
      </c>
      <c r="K679" s="14">
        <v>314</v>
      </c>
      <c r="L679" s="14">
        <v>343</v>
      </c>
      <c r="M679" s="14">
        <v>384</v>
      </c>
      <c r="N679" s="14">
        <v>481</v>
      </c>
      <c r="O679" s="14">
        <v>431</v>
      </c>
      <c r="P679" s="14">
        <v>470</v>
      </c>
      <c r="Q679" s="14">
        <v>542</v>
      </c>
      <c r="R679" s="14">
        <v>663</v>
      </c>
      <c r="S679" s="14">
        <v>560</v>
      </c>
      <c r="T679" s="14">
        <v>964</v>
      </c>
      <c r="U679" s="14">
        <v>1001</v>
      </c>
      <c r="V679" s="14">
        <v>1588</v>
      </c>
      <c r="W679" s="14">
        <v>1130</v>
      </c>
      <c r="X679" s="14">
        <v>2418</v>
      </c>
      <c r="Y679" s="14">
        <v>1597</v>
      </c>
      <c r="Z679" s="14">
        <v>1185</v>
      </c>
      <c r="AA679" s="14"/>
      <c r="AB679" s="14"/>
    </row>
    <row r="680" spans="1:30">
      <c r="A680" s="45" t="s">
        <v>407</v>
      </c>
      <c r="B680" s="45" t="s">
        <v>408</v>
      </c>
      <c r="C680" s="45" t="s">
        <v>490</v>
      </c>
      <c r="D680" s="45" t="s">
        <v>496</v>
      </c>
      <c r="E680" s="45" t="s">
        <v>492</v>
      </c>
      <c r="F680" s="45" t="s">
        <v>493</v>
      </c>
      <c r="G680" s="14">
        <v>1406</v>
      </c>
      <c r="H680" s="14">
        <v>1890</v>
      </c>
      <c r="I680" s="14">
        <v>2352</v>
      </c>
      <c r="J680" s="14">
        <v>2710</v>
      </c>
      <c r="K680" s="14">
        <v>1713</v>
      </c>
      <c r="L680" s="14">
        <v>1825</v>
      </c>
      <c r="M680" s="14">
        <v>2096</v>
      </c>
      <c r="N680" s="14">
        <v>2446</v>
      </c>
      <c r="O680" s="14">
        <v>2674</v>
      </c>
      <c r="P680" s="14">
        <v>2913</v>
      </c>
      <c r="Q680" s="14">
        <v>3032</v>
      </c>
      <c r="R680" s="14">
        <v>3378</v>
      </c>
      <c r="S680" s="14">
        <v>3664</v>
      </c>
      <c r="T680" s="14">
        <v>4194</v>
      </c>
      <c r="U680" s="14">
        <v>4838</v>
      </c>
      <c r="V680" s="14">
        <v>5554</v>
      </c>
      <c r="W680" s="14">
        <v>5839</v>
      </c>
      <c r="X680" s="14">
        <v>6505</v>
      </c>
      <c r="Y680" s="14">
        <v>7013</v>
      </c>
      <c r="Z680" s="14">
        <v>7499</v>
      </c>
      <c r="AA680" s="14"/>
      <c r="AB680" s="14"/>
    </row>
    <row r="681" spans="1:30">
      <c r="A681" s="45" t="s">
        <v>407</v>
      </c>
      <c r="B681" s="45" t="s">
        <v>408</v>
      </c>
      <c r="C681" s="45" t="s">
        <v>490</v>
      </c>
      <c r="D681" s="45" t="s">
        <v>497</v>
      </c>
      <c r="E681" s="45" t="s">
        <v>492</v>
      </c>
      <c r="F681" s="45" t="s">
        <v>493</v>
      </c>
      <c r="G681" s="14">
        <v>3935</v>
      </c>
      <c r="H681" s="14">
        <v>4412</v>
      </c>
      <c r="I681" s="14">
        <v>4876</v>
      </c>
      <c r="J681" s="14">
        <v>5762</v>
      </c>
      <c r="K681" s="14">
        <v>6711</v>
      </c>
      <c r="L681" s="14">
        <v>8323</v>
      </c>
      <c r="M681" s="14">
        <v>9887</v>
      </c>
      <c r="N681" s="14">
        <v>10913</v>
      </c>
      <c r="O681" s="14">
        <v>12208</v>
      </c>
      <c r="P681" s="14">
        <v>13649</v>
      </c>
      <c r="Q681" s="14">
        <v>14285</v>
      </c>
      <c r="R681" s="14">
        <v>16011</v>
      </c>
      <c r="S681" s="14">
        <v>17828</v>
      </c>
      <c r="T681" s="14">
        <v>18632</v>
      </c>
      <c r="U681" s="14">
        <v>20151</v>
      </c>
      <c r="V681" s="14">
        <v>23214</v>
      </c>
      <c r="W681" s="14">
        <v>23727</v>
      </c>
      <c r="X681" s="14">
        <v>25050</v>
      </c>
      <c r="Y681" s="14">
        <v>26230</v>
      </c>
      <c r="Z681" s="14">
        <v>29090</v>
      </c>
      <c r="AA681" s="14"/>
      <c r="AB681" s="14"/>
    </row>
    <row r="682" spans="1:30">
      <c r="A682" s="45" t="s">
        <v>407</v>
      </c>
      <c r="B682" s="45" t="s">
        <v>408</v>
      </c>
      <c r="C682" s="45" t="s">
        <v>498</v>
      </c>
      <c r="D682" s="45" t="s">
        <v>491</v>
      </c>
      <c r="E682" s="45" t="s">
        <v>499</v>
      </c>
      <c r="F682" s="45" t="s">
        <v>500</v>
      </c>
      <c r="G682" s="14">
        <v>12643.5</v>
      </c>
      <c r="H682" s="14">
        <v>13113.3</v>
      </c>
      <c r="I682" s="14">
        <v>14027.6</v>
      </c>
      <c r="J682" s="14">
        <v>14722.8</v>
      </c>
      <c r="K682" s="14">
        <v>14093.3</v>
      </c>
      <c r="L682" s="14">
        <v>15388</v>
      </c>
      <c r="M682" s="14">
        <v>17878.400000000001</v>
      </c>
      <c r="N682" s="14">
        <v>18615.2</v>
      </c>
      <c r="O682" s="14">
        <v>17596</v>
      </c>
      <c r="P682" s="14">
        <v>18100.3</v>
      </c>
      <c r="Q682" s="14">
        <v>17276.400000000001</v>
      </c>
      <c r="R682" s="14">
        <v>18312.3</v>
      </c>
      <c r="S682" s="14">
        <v>18529.8</v>
      </c>
      <c r="T682" s="14">
        <v>18684.400000000001</v>
      </c>
      <c r="U682" s="14">
        <v>18070.400000000001</v>
      </c>
      <c r="V682" s="14">
        <v>20122.900000000001</v>
      </c>
      <c r="W682" s="14">
        <v>19535.2</v>
      </c>
      <c r="X682" s="14">
        <v>20864.400000000001</v>
      </c>
      <c r="Y682" s="14">
        <v>20583.400000000001</v>
      </c>
      <c r="Z682" s="14">
        <v>19674.5</v>
      </c>
      <c r="AA682" s="14"/>
      <c r="AB682" s="14"/>
      <c r="AC682" s="15">
        <f>IFERROR(Z682/G682-1,"")</f>
        <v>0.55609601771661321</v>
      </c>
      <c r="AD682" s="15">
        <f>IFERROR((Z682/G682)^(1/19)-1,"")</f>
        <v>2.3545559457069487E-2</v>
      </c>
    </row>
    <row r="683" spans="1:30">
      <c r="A683" s="45" t="s">
        <v>407</v>
      </c>
      <c r="B683" s="45" t="s">
        <v>408</v>
      </c>
      <c r="C683" s="45" t="s">
        <v>498</v>
      </c>
      <c r="D683" s="45" t="s">
        <v>495</v>
      </c>
      <c r="E683" s="45" t="s">
        <v>499</v>
      </c>
      <c r="F683" s="45" t="s">
        <v>500</v>
      </c>
      <c r="G683" s="14">
        <v>549.1</v>
      </c>
      <c r="H683" s="14">
        <v>331.3</v>
      </c>
      <c r="I683" s="14">
        <v>427.1</v>
      </c>
      <c r="J683" s="14">
        <v>446.9</v>
      </c>
      <c r="K683" s="14">
        <v>422.7</v>
      </c>
      <c r="L683" s="14">
        <v>434</v>
      </c>
      <c r="M683" s="14">
        <v>447.2</v>
      </c>
      <c r="N683" s="14">
        <v>521.5</v>
      </c>
      <c r="O683" s="14">
        <v>431</v>
      </c>
      <c r="P683" s="14">
        <v>433.9</v>
      </c>
      <c r="Q683" s="14">
        <v>463.6</v>
      </c>
      <c r="R683" s="14">
        <v>527.5</v>
      </c>
      <c r="S683" s="14">
        <v>413.1</v>
      </c>
      <c r="T683" s="14">
        <v>661.1</v>
      </c>
      <c r="U683" s="14">
        <v>635</v>
      </c>
      <c r="V683" s="14">
        <v>971.7</v>
      </c>
      <c r="W683" s="14">
        <v>661.7</v>
      </c>
      <c r="X683" s="14">
        <v>1358.6</v>
      </c>
      <c r="Y683" s="14">
        <v>842.8</v>
      </c>
      <c r="Z683" s="14">
        <v>553.20000000000005</v>
      </c>
      <c r="AA683" s="14"/>
      <c r="AB683" s="14"/>
      <c r="AC683" s="15">
        <f>IFERROR(Z683/G683-1,"")</f>
        <v>7.4667637953014232E-3</v>
      </c>
      <c r="AD683" s="15">
        <f>IFERROR((Z683/G683)^(1/19)-1,"")</f>
        <v>3.9160431515639083E-4</v>
      </c>
    </row>
    <row r="684" spans="1:30">
      <c r="A684" s="45" t="s">
        <v>407</v>
      </c>
      <c r="B684" s="45" t="s">
        <v>408</v>
      </c>
      <c r="C684" s="45" t="s">
        <v>498</v>
      </c>
      <c r="D684" s="45" t="s">
        <v>496</v>
      </c>
      <c r="E684" s="45" t="s">
        <v>499</v>
      </c>
      <c r="F684" s="45" t="s">
        <v>500</v>
      </c>
      <c r="G684" s="14">
        <v>2670.6</v>
      </c>
      <c r="H684" s="14">
        <v>3146.3</v>
      </c>
      <c r="I684" s="14">
        <v>3633.9</v>
      </c>
      <c r="J684" s="14">
        <v>3897.7</v>
      </c>
      <c r="K684" s="14">
        <v>2308.1</v>
      </c>
      <c r="L684" s="14">
        <v>2310.4</v>
      </c>
      <c r="M684" s="14">
        <v>2438.8000000000002</v>
      </c>
      <c r="N684" s="14">
        <v>2652</v>
      </c>
      <c r="O684" s="14">
        <v>2674</v>
      </c>
      <c r="P684" s="14">
        <v>2689.3</v>
      </c>
      <c r="Q684" s="14">
        <v>2593.1999999999998</v>
      </c>
      <c r="R684" s="14">
        <v>2687.4</v>
      </c>
      <c r="S684" s="14">
        <v>2702.9</v>
      </c>
      <c r="T684" s="14">
        <v>2876.2</v>
      </c>
      <c r="U684" s="14">
        <v>3069.2</v>
      </c>
      <c r="V684" s="14">
        <v>3398.6</v>
      </c>
      <c r="W684" s="14">
        <v>3419.3</v>
      </c>
      <c r="X684" s="14">
        <v>3655</v>
      </c>
      <c r="Y684" s="14">
        <v>3700.9</v>
      </c>
      <c r="Z684" s="14">
        <v>3501.1</v>
      </c>
      <c r="AA684" s="14"/>
      <c r="AB684" s="14"/>
      <c r="AC684" s="15">
        <f>IFERROR(Z684/G684-1,"")</f>
        <v>0.31097880626076546</v>
      </c>
      <c r="AD684" s="15">
        <f>IFERROR((Z684/G684)^(1/19)-1,"")</f>
        <v>1.4353298592854724E-2</v>
      </c>
    </row>
    <row r="685" spans="1:30">
      <c r="A685" s="45" t="s">
        <v>407</v>
      </c>
      <c r="B685" s="45" t="s">
        <v>408</v>
      </c>
      <c r="C685" s="45" t="s">
        <v>498</v>
      </c>
      <c r="D685" s="45" t="s">
        <v>497</v>
      </c>
      <c r="E685" s="45" t="s">
        <v>499</v>
      </c>
      <c r="F685" s="45" t="s">
        <v>500</v>
      </c>
      <c r="G685" s="14">
        <v>7474.9</v>
      </c>
      <c r="H685" s="14">
        <v>7346.1</v>
      </c>
      <c r="I685" s="14">
        <v>7535</v>
      </c>
      <c r="J685" s="14">
        <v>8287.6</v>
      </c>
      <c r="K685" s="14">
        <v>9040.4</v>
      </c>
      <c r="L685" s="14">
        <v>10534</v>
      </c>
      <c r="M685" s="14">
        <v>11503.8</v>
      </c>
      <c r="N685" s="14">
        <v>11832.2</v>
      </c>
      <c r="O685" s="14">
        <v>12208</v>
      </c>
      <c r="P685" s="14">
        <v>12600.8</v>
      </c>
      <c r="Q685" s="14">
        <v>12217.5</v>
      </c>
      <c r="R685" s="14">
        <v>12737.8</v>
      </c>
      <c r="S685" s="14">
        <v>13151.4</v>
      </c>
      <c r="T685" s="14">
        <v>12777.7</v>
      </c>
      <c r="U685" s="14">
        <v>12783.5</v>
      </c>
      <c r="V685" s="14">
        <v>14205.1</v>
      </c>
      <c r="W685" s="14">
        <v>13894.6</v>
      </c>
      <c r="X685" s="14">
        <v>14074.8</v>
      </c>
      <c r="Y685" s="14">
        <v>13841.9</v>
      </c>
      <c r="Z685" s="14">
        <v>13579.9</v>
      </c>
      <c r="AA685" s="14"/>
      <c r="AB685" s="14"/>
      <c r="AC685" s="15">
        <f>IFERROR(Z685/G685-1,"")</f>
        <v>0.816733334225207</v>
      </c>
      <c r="AD685" s="15">
        <f>IFERROR((Z685/G685)^(1/19)-1,"")</f>
        <v>3.1922078411294352E-2</v>
      </c>
    </row>
    <row r="686" spans="1:30">
      <c r="A686" s="45" t="s">
        <v>407</v>
      </c>
      <c r="B686" s="45" t="s">
        <v>408</v>
      </c>
      <c r="C686" s="45" t="s">
        <v>498</v>
      </c>
      <c r="D686" s="45" t="s">
        <v>501</v>
      </c>
      <c r="E686" s="45" t="s">
        <v>499</v>
      </c>
      <c r="F686" s="45" t="s">
        <v>500</v>
      </c>
      <c r="G686" s="14">
        <v>1332.3</v>
      </c>
      <c r="H686" s="14">
        <v>1628.3</v>
      </c>
      <c r="I686" s="14">
        <v>1679.9</v>
      </c>
      <c r="J686" s="14">
        <v>1301.7</v>
      </c>
      <c r="K686" s="14">
        <v>1706.5</v>
      </c>
      <c r="L686" s="14">
        <v>1323.5</v>
      </c>
      <c r="M686" s="14">
        <v>2431.1999999999998</v>
      </c>
      <c r="N686" s="14">
        <v>2651</v>
      </c>
      <c r="O686" s="14">
        <v>1467</v>
      </c>
      <c r="P686" s="14">
        <v>1492.8</v>
      </c>
      <c r="Q686" s="14">
        <v>1089.5999999999999</v>
      </c>
      <c r="R686" s="14">
        <v>1388.3</v>
      </c>
      <c r="S686" s="14">
        <v>1330</v>
      </c>
      <c r="T686" s="14">
        <v>1373</v>
      </c>
      <c r="U686" s="14">
        <v>1204.0999999999999</v>
      </c>
      <c r="V686" s="14">
        <v>1174.3</v>
      </c>
      <c r="W686" s="14">
        <v>1194</v>
      </c>
      <c r="X686" s="14">
        <v>1373.8</v>
      </c>
      <c r="Y686" s="14">
        <v>1791.6</v>
      </c>
      <c r="Z686" s="14">
        <v>1552.6</v>
      </c>
      <c r="AA686" s="14"/>
      <c r="AB686" s="14"/>
      <c r="AC686" s="15">
        <f>IFERROR(Z686/G686-1,"")</f>
        <v>0.16535314869023487</v>
      </c>
      <c r="AD686" s="15">
        <f>IFERROR((Z686/G686)^(1/19)-1,"")</f>
        <v>8.0864237714421972E-3</v>
      </c>
    </row>
    <row r="687" spans="1:30">
      <c r="A687" s="45" t="s">
        <v>329</v>
      </c>
      <c r="B687" s="45" t="s">
        <v>330</v>
      </c>
      <c r="C687" s="45" t="s">
        <v>490</v>
      </c>
      <c r="D687" s="45" t="s">
        <v>491</v>
      </c>
      <c r="E687" s="45" t="s">
        <v>492</v>
      </c>
      <c r="F687" s="45" t="s">
        <v>493</v>
      </c>
      <c r="G687" s="14">
        <v>11750</v>
      </c>
      <c r="H687" s="14">
        <v>16257</v>
      </c>
      <c r="I687" s="14">
        <v>21255</v>
      </c>
      <c r="J687" s="14">
        <v>22348</v>
      </c>
      <c r="K687" s="14">
        <v>20417</v>
      </c>
      <c r="L687" s="14">
        <v>22811</v>
      </c>
      <c r="M687" s="14">
        <v>24744</v>
      </c>
      <c r="N687" s="14">
        <v>28065</v>
      </c>
      <c r="O687" s="14">
        <v>29222</v>
      </c>
      <c r="P687" s="14">
        <v>33671</v>
      </c>
      <c r="Q687" s="14">
        <v>35897</v>
      </c>
      <c r="R687" s="14">
        <v>39106</v>
      </c>
      <c r="S687" s="14">
        <v>40492</v>
      </c>
      <c r="T687" s="14">
        <v>46597</v>
      </c>
      <c r="U687" s="14">
        <v>48441</v>
      </c>
      <c r="V687" s="14">
        <v>50504</v>
      </c>
      <c r="W687" s="14">
        <v>60671</v>
      </c>
      <c r="X687" s="14">
        <v>64893</v>
      </c>
      <c r="Y687" s="14">
        <v>68910</v>
      </c>
      <c r="Z687" s="14">
        <v>70837</v>
      </c>
      <c r="AA687" s="14">
        <v>81851</v>
      </c>
      <c r="AB687" s="14">
        <v>89996</v>
      </c>
    </row>
    <row r="688" spans="1:30">
      <c r="A688" s="45" t="s">
        <v>329</v>
      </c>
      <c r="B688" s="45" t="s">
        <v>330</v>
      </c>
      <c r="C688" s="45" t="s">
        <v>490</v>
      </c>
      <c r="D688" s="45" t="s">
        <v>494</v>
      </c>
      <c r="E688" s="45" t="s">
        <v>492</v>
      </c>
      <c r="F688" s="45" t="s">
        <v>493</v>
      </c>
      <c r="G688" s="14">
        <v>11232</v>
      </c>
      <c r="H688" s="14">
        <v>15576</v>
      </c>
      <c r="I688" s="14">
        <v>20356</v>
      </c>
      <c r="J688" s="14">
        <v>21339</v>
      </c>
      <c r="K688" s="14">
        <v>19322</v>
      </c>
      <c r="L688" s="14">
        <v>21396</v>
      </c>
      <c r="M688" s="14">
        <v>23366</v>
      </c>
      <c r="N688" s="14">
        <v>26670</v>
      </c>
      <c r="O688" s="14">
        <v>27568</v>
      </c>
      <c r="P688" s="14">
        <v>31514</v>
      </c>
      <c r="Q688" s="14">
        <v>33074</v>
      </c>
      <c r="R688" s="14">
        <v>37771</v>
      </c>
      <c r="S688" s="14">
        <v>39182</v>
      </c>
      <c r="T688" s="14">
        <v>44312</v>
      </c>
      <c r="U688" s="14">
        <v>46798</v>
      </c>
      <c r="V688" s="14">
        <v>49014</v>
      </c>
      <c r="W688" s="14">
        <v>57655</v>
      </c>
      <c r="X688" s="14">
        <v>61926</v>
      </c>
      <c r="Y688" s="14">
        <v>65682</v>
      </c>
      <c r="Z688" s="14">
        <v>67283</v>
      </c>
      <c r="AA688" s="14"/>
      <c r="AB688" s="14"/>
    </row>
    <row r="689" spans="1:30">
      <c r="A689" s="45" t="s">
        <v>329</v>
      </c>
      <c r="B689" s="45" t="s">
        <v>330</v>
      </c>
      <c r="C689" s="45" t="s">
        <v>490</v>
      </c>
      <c r="D689" s="45" t="s">
        <v>495</v>
      </c>
      <c r="E689" s="45" t="s">
        <v>492</v>
      </c>
      <c r="F689" s="45" t="s">
        <v>493</v>
      </c>
      <c r="G689" s="14">
        <v>621</v>
      </c>
      <c r="H689" s="14">
        <v>470</v>
      </c>
      <c r="I689" s="14">
        <v>712</v>
      </c>
      <c r="J689" s="14">
        <v>776</v>
      </c>
      <c r="K689" s="14">
        <v>674</v>
      </c>
      <c r="L689" s="14">
        <v>693</v>
      </c>
      <c r="M689" s="14">
        <v>692</v>
      </c>
      <c r="N689" s="14">
        <v>1033</v>
      </c>
      <c r="O689" s="14">
        <v>757</v>
      </c>
      <c r="P689" s="14">
        <v>974</v>
      </c>
      <c r="Q689" s="14">
        <v>1054</v>
      </c>
      <c r="R689" s="14">
        <v>1090</v>
      </c>
      <c r="S689" s="14">
        <v>1098</v>
      </c>
      <c r="T689" s="14">
        <v>1427</v>
      </c>
      <c r="U689" s="14">
        <v>1534</v>
      </c>
      <c r="V689" s="14">
        <v>1472</v>
      </c>
      <c r="W689" s="14">
        <v>1653</v>
      </c>
      <c r="X689" s="14">
        <v>1965</v>
      </c>
      <c r="Y689" s="14">
        <v>2059</v>
      </c>
      <c r="Z689" s="14">
        <v>2514</v>
      </c>
      <c r="AA689" s="14"/>
      <c r="AB689" s="14"/>
    </row>
    <row r="690" spans="1:30">
      <c r="A690" s="45" t="s">
        <v>329</v>
      </c>
      <c r="B690" s="45" t="s">
        <v>330</v>
      </c>
      <c r="C690" s="45" t="s">
        <v>490</v>
      </c>
      <c r="D690" s="45" t="s">
        <v>496</v>
      </c>
      <c r="E690" s="45" t="s">
        <v>492</v>
      </c>
      <c r="F690" s="45" t="s">
        <v>493</v>
      </c>
      <c r="G690" s="14">
        <v>2434</v>
      </c>
      <c r="H690" s="14">
        <v>3389</v>
      </c>
      <c r="I690" s="14">
        <v>4176</v>
      </c>
      <c r="J690" s="14">
        <v>4716</v>
      </c>
      <c r="K690" s="14">
        <v>4726</v>
      </c>
      <c r="L690" s="14">
        <v>4972</v>
      </c>
      <c r="M690" s="14">
        <v>4466</v>
      </c>
      <c r="N690" s="14">
        <v>5765</v>
      </c>
      <c r="O690" s="14">
        <v>6369</v>
      </c>
      <c r="P690" s="14">
        <v>6985</v>
      </c>
      <c r="Q690" s="14">
        <v>6740</v>
      </c>
      <c r="R690" s="14">
        <v>8290</v>
      </c>
      <c r="S690" s="14">
        <v>8685</v>
      </c>
      <c r="T690" s="14">
        <v>10530</v>
      </c>
      <c r="U690" s="14">
        <v>11643</v>
      </c>
      <c r="V690" s="14">
        <v>11923</v>
      </c>
      <c r="W690" s="14">
        <v>17653</v>
      </c>
      <c r="X690" s="14">
        <v>18245</v>
      </c>
      <c r="Y690" s="14">
        <v>19022</v>
      </c>
      <c r="Z690" s="14">
        <v>19367</v>
      </c>
      <c r="AA690" s="14"/>
      <c r="AB690" s="14"/>
    </row>
    <row r="691" spans="1:30">
      <c r="A691" s="45" t="s">
        <v>329</v>
      </c>
      <c r="B691" s="45" t="s">
        <v>330</v>
      </c>
      <c r="C691" s="45" t="s">
        <v>490</v>
      </c>
      <c r="D691" s="45" t="s">
        <v>497</v>
      </c>
      <c r="E691" s="45" t="s">
        <v>492</v>
      </c>
      <c r="F691" s="45" t="s">
        <v>493</v>
      </c>
      <c r="G691" s="14">
        <v>7141</v>
      </c>
      <c r="H691" s="14">
        <v>8036</v>
      </c>
      <c r="I691" s="14">
        <v>8736</v>
      </c>
      <c r="J691" s="14">
        <v>10442</v>
      </c>
      <c r="K691" s="14">
        <v>11881</v>
      </c>
      <c r="L691" s="14">
        <v>13626</v>
      </c>
      <c r="M691" s="14">
        <v>15456</v>
      </c>
      <c r="N691" s="14">
        <v>17133</v>
      </c>
      <c r="O691" s="14">
        <v>18552</v>
      </c>
      <c r="P691" s="14">
        <v>20097</v>
      </c>
      <c r="Q691" s="14">
        <v>21982</v>
      </c>
      <c r="R691" s="14">
        <v>27266</v>
      </c>
      <c r="S691" s="14">
        <v>28459</v>
      </c>
      <c r="T691" s="14">
        <v>30682</v>
      </c>
      <c r="U691" s="14">
        <v>32153</v>
      </c>
      <c r="V691" s="14">
        <v>34171</v>
      </c>
      <c r="W691" s="14">
        <v>36630</v>
      </c>
      <c r="X691" s="14">
        <v>39438</v>
      </c>
      <c r="Y691" s="14">
        <v>40770</v>
      </c>
      <c r="Z691" s="14">
        <v>43222</v>
      </c>
      <c r="AA691" s="14"/>
      <c r="AB691" s="14"/>
    </row>
    <row r="692" spans="1:30">
      <c r="A692" s="45" t="s">
        <v>329</v>
      </c>
      <c r="B692" s="45" t="s">
        <v>330</v>
      </c>
      <c r="C692" s="45" t="s">
        <v>498</v>
      </c>
      <c r="D692" s="45" t="s">
        <v>491</v>
      </c>
      <c r="E692" s="45" t="s">
        <v>499</v>
      </c>
      <c r="F692" s="45" t="s">
        <v>500</v>
      </c>
      <c r="G692" s="14">
        <v>22322.400000000001</v>
      </c>
      <c r="H692" s="14">
        <v>27070.5</v>
      </c>
      <c r="I692" s="14">
        <v>32845.5</v>
      </c>
      <c r="J692" s="14">
        <v>32145.9</v>
      </c>
      <c r="K692" s="14">
        <v>27505.1</v>
      </c>
      <c r="L692" s="14">
        <v>28871</v>
      </c>
      <c r="M692" s="14">
        <v>28790.2</v>
      </c>
      <c r="N692" s="14">
        <v>30429</v>
      </c>
      <c r="O692" s="14">
        <v>29222</v>
      </c>
      <c r="P692" s="14">
        <v>31085.200000000001</v>
      </c>
      <c r="Q692" s="14">
        <v>30701.5</v>
      </c>
      <c r="R692" s="14">
        <v>31111.3</v>
      </c>
      <c r="S692" s="14">
        <v>29870.2</v>
      </c>
      <c r="T692" s="14">
        <v>31955.9</v>
      </c>
      <c r="U692" s="14">
        <v>30730.2</v>
      </c>
      <c r="V692" s="14">
        <v>30904.3</v>
      </c>
      <c r="W692" s="14">
        <v>35529.199999999997</v>
      </c>
      <c r="X692" s="14">
        <v>36461.4</v>
      </c>
      <c r="Y692" s="14">
        <v>36364.699999999997</v>
      </c>
      <c r="Z692" s="14">
        <v>33067.199999999997</v>
      </c>
      <c r="AA692" s="14"/>
      <c r="AB692" s="14"/>
      <c r="AC692" s="15">
        <f>IFERROR(Z692/G692-1,"")</f>
        <v>0.48134609181808385</v>
      </c>
      <c r="AD692" s="15">
        <f>IFERROR((Z692/G692)^(1/19)-1,"")</f>
        <v>2.089698906121451E-2</v>
      </c>
    </row>
    <row r="693" spans="1:30">
      <c r="A693" s="45" t="s">
        <v>329</v>
      </c>
      <c r="B693" s="45" t="s">
        <v>330</v>
      </c>
      <c r="C693" s="45" t="s">
        <v>498</v>
      </c>
      <c r="D693" s="45" t="s">
        <v>495</v>
      </c>
      <c r="E693" s="45" t="s">
        <v>499</v>
      </c>
      <c r="F693" s="45" t="s">
        <v>500</v>
      </c>
      <c r="G693" s="14">
        <v>1180.3</v>
      </c>
      <c r="H693" s="14">
        <v>783.3</v>
      </c>
      <c r="I693" s="14">
        <v>1099.5</v>
      </c>
      <c r="J693" s="14">
        <v>1115.7</v>
      </c>
      <c r="K693" s="14">
        <v>908</v>
      </c>
      <c r="L693" s="14">
        <v>877.5</v>
      </c>
      <c r="M693" s="14">
        <v>805.2</v>
      </c>
      <c r="N693" s="14">
        <v>1120</v>
      </c>
      <c r="O693" s="14">
        <v>757</v>
      </c>
      <c r="P693" s="14">
        <v>899.2</v>
      </c>
      <c r="Q693" s="14">
        <v>901.5</v>
      </c>
      <c r="R693" s="14">
        <v>867.2</v>
      </c>
      <c r="S693" s="14">
        <v>810</v>
      </c>
      <c r="T693" s="14">
        <v>978.6</v>
      </c>
      <c r="U693" s="14">
        <v>973.1</v>
      </c>
      <c r="V693" s="14">
        <v>900.7</v>
      </c>
      <c r="W693" s="14">
        <v>968</v>
      </c>
      <c r="X693" s="14">
        <v>1104.0999999999999</v>
      </c>
      <c r="Y693" s="14">
        <v>1086.5999999999999</v>
      </c>
      <c r="Z693" s="14">
        <v>1173.5999999999999</v>
      </c>
      <c r="AA693" s="14"/>
      <c r="AB693" s="14"/>
      <c r="AC693" s="15">
        <f>IFERROR(Z693/G693-1,"")</f>
        <v>-5.6765229179022159E-3</v>
      </c>
      <c r="AD693" s="15">
        <f>IFERROR((Z693/G693)^(1/19)-1,"")</f>
        <v>-2.9957067796482217E-4</v>
      </c>
    </row>
    <row r="694" spans="1:30">
      <c r="A694" s="45" t="s">
        <v>329</v>
      </c>
      <c r="B694" s="45" t="s">
        <v>330</v>
      </c>
      <c r="C694" s="45" t="s">
        <v>498</v>
      </c>
      <c r="D694" s="45" t="s">
        <v>496</v>
      </c>
      <c r="E694" s="45" t="s">
        <v>499</v>
      </c>
      <c r="F694" s="45" t="s">
        <v>500</v>
      </c>
      <c r="G694" s="14">
        <v>4624.5</v>
      </c>
      <c r="H694" s="14">
        <v>5642.6</v>
      </c>
      <c r="I694" s="14">
        <v>6453</v>
      </c>
      <c r="J694" s="14">
        <v>6784.1</v>
      </c>
      <c r="K694" s="14">
        <v>6366.5</v>
      </c>
      <c r="L694" s="14">
        <v>6292.9</v>
      </c>
      <c r="M694" s="14">
        <v>5196.3</v>
      </c>
      <c r="N694" s="14">
        <v>6250.6</v>
      </c>
      <c r="O694" s="14">
        <v>6369</v>
      </c>
      <c r="P694" s="14">
        <v>6448.6</v>
      </c>
      <c r="Q694" s="14">
        <v>5764.5</v>
      </c>
      <c r="R694" s="14">
        <v>6595.2</v>
      </c>
      <c r="S694" s="14">
        <v>6406.8</v>
      </c>
      <c r="T694" s="14">
        <v>7221.4</v>
      </c>
      <c r="U694" s="14">
        <v>7386.1</v>
      </c>
      <c r="V694" s="14">
        <v>7295.9</v>
      </c>
      <c r="W694" s="14">
        <v>10337.700000000001</v>
      </c>
      <c r="X694" s="14">
        <v>10251.299999999999</v>
      </c>
      <c r="Y694" s="14">
        <v>10038.200000000001</v>
      </c>
      <c r="Z694" s="14">
        <v>9040.7000000000007</v>
      </c>
      <c r="AA694" s="14"/>
      <c r="AB694" s="14"/>
      <c r="AC694" s="15">
        <f>IFERROR(Z694/G694-1,"")</f>
        <v>0.95495729268028984</v>
      </c>
      <c r="AD694" s="15">
        <f>IFERROR((Z694/G694)^(1/19)-1,"")</f>
        <v>3.5912358931337929E-2</v>
      </c>
    </row>
    <row r="695" spans="1:30">
      <c r="A695" s="45" t="s">
        <v>329</v>
      </c>
      <c r="B695" s="45" t="s">
        <v>330</v>
      </c>
      <c r="C695" s="45" t="s">
        <v>498</v>
      </c>
      <c r="D695" s="45" t="s">
        <v>497</v>
      </c>
      <c r="E695" s="45" t="s">
        <v>499</v>
      </c>
      <c r="F695" s="45" t="s">
        <v>500</v>
      </c>
      <c r="G695" s="14">
        <v>13566</v>
      </c>
      <c r="H695" s="14">
        <v>13381.4</v>
      </c>
      <c r="I695" s="14">
        <v>13499.2</v>
      </c>
      <c r="J695" s="14">
        <v>15020.5</v>
      </c>
      <c r="K695" s="14">
        <v>16006.2</v>
      </c>
      <c r="L695" s="14">
        <v>17245.5</v>
      </c>
      <c r="M695" s="14">
        <v>17984</v>
      </c>
      <c r="N695" s="14">
        <v>18576.2</v>
      </c>
      <c r="O695" s="14">
        <v>18552</v>
      </c>
      <c r="P695" s="14">
        <v>18553.599999999999</v>
      </c>
      <c r="Q695" s="14">
        <v>18800.5</v>
      </c>
      <c r="R695" s="14">
        <v>21691.8</v>
      </c>
      <c r="S695" s="14">
        <v>20993.599999999999</v>
      </c>
      <c r="T695" s="14">
        <v>21041.5</v>
      </c>
      <c r="U695" s="14">
        <v>20397.400000000001</v>
      </c>
      <c r="V695" s="14">
        <v>20909.900000000001</v>
      </c>
      <c r="W695" s="14">
        <v>21450.7</v>
      </c>
      <c r="X695" s="14">
        <v>22159</v>
      </c>
      <c r="Y695" s="14">
        <v>21514.9</v>
      </c>
      <c r="Z695" s="14">
        <v>20176.8</v>
      </c>
      <c r="AA695" s="14"/>
      <c r="AB695" s="14"/>
      <c r="AC695" s="15">
        <f>IFERROR(Z695/G695-1,"")</f>
        <v>0.4873065015479876</v>
      </c>
      <c r="AD695" s="15">
        <f>IFERROR((Z695/G695)^(1/19)-1,"")</f>
        <v>2.1112774200809037E-2</v>
      </c>
    </row>
    <row r="696" spans="1:30">
      <c r="A696" s="45" t="s">
        <v>329</v>
      </c>
      <c r="B696" s="45" t="s">
        <v>330</v>
      </c>
      <c r="C696" s="45" t="s">
        <v>498</v>
      </c>
      <c r="D696" s="45" t="s">
        <v>501</v>
      </c>
      <c r="E696" s="45" t="s">
        <v>499</v>
      </c>
      <c r="F696" s="45" t="s">
        <v>500</v>
      </c>
      <c r="G696" s="14">
        <v>1966.7</v>
      </c>
      <c r="H696" s="14">
        <v>6128.7</v>
      </c>
      <c r="I696" s="14">
        <v>10404.6</v>
      </c>
      <c r="J696" s="14">
        <v>7774.2</v>
      </c>
      <c r="K696" s="14">
        <v>2748.7</v>
      </c>
      <c r="L696" s="14">
        <v>2664.1</v>
      </c>
      <c r="M696" s="14">
        <v>3201.2</v>
      </c>
      <c r="N696" s="14">
        <v>2969.7</v>
      </c>
      <c r="O696" s="14">
        <v>1890</v>
      </c>
      <c r="P696" s="14">
        <v>3191.5</v>
      </c>
      <c r="Q696" s="14">
        <v>2820.7</v>
      </c>
      <c r="R696" s="14">
        <v>895</v>
      </c>
      <c r="S696" s="14">
        <v>692.7</v>
      </c>
      <c r="T696" s="14">
        <v>1147.3</v>
      </c>
      <c r="U696" s="14">
        <v>931.3</v>
      </c>
      <c r="V696" s="14">
        <v>886.1</v>
      </c>
      <c r="W696" s="14">
        <v>1006.7</v>
      </c>
      <c r="X696" s="14">
        <v>1279.4000000000001</v>
      </c>
      <c r="Y696" s="14">
        <v>2021.1</v>
      </c>
      <c r="Z696" s="14">
        <v>1017.6</v>
      </c>
      <c r="AA696" s="14"/>
      <c r="AB696" s="14"/>
      <c r="AC696" s="15">
        <f>IFERROR(Z696/G696-1,"")</f>
        <v>-0.48258504093150967</v>
      </c>
      <c r="AD696" s="15">
        <f>IFERROR((Z696/G696)^(1/19)-1,"")</f>
        <v>-3.4085037153025799E-2</v>
      </c>
    </row>
    <row r="697" spans="1:30">
      <c r="A697" s="45" t="s">
        <v>313</v>
      </c>
      <c r="B697" s="45" t="s">
        <v>314</v>
      </c>
      <c r="C697" s="45" t="s">
        <v>490</v>
      </c>
      <c r="D697" s="45" t="s">
        <v>491</v>
      </c>
      <c r="E697" s="45" t="s">
        <v>492</v>
      </c>
      <c r="F697" s="45" t="s">
        <v>493</v>
      </c>
      <c r="G697" s="14">
        <v>13059</v>
      </c>
      <c r="H697" s="14">
        <v>15737</v>
      </c>
      <c r="I697" s="14">
        <v>16582</v>
      </c>
      <c r="J697" s="14">
        <v>19697</v>
      </c>
      <c r="K697" s="14">
        <v>22692</v>
      </c>
      <c r="L697" s="14">
        <v>25691</v>
      </c>
      <c r="M697" s="14">
        <v>24193</v>
      </c>
      <c r="N697" s="14">
        <v>28682</v>
      </c>
      <c r="O697" s="14">
        <v>32206</v>
      </c>
      <c r="P697" s="14">
        <v>34255</v>
      </c>
      <c r="Q697" s="14">
        <v>37302</v>
      </c>
      <c r="R697" s="14">
        <v>44019</v>
      </c>
      <c r="S697" s="14">
        <v>46571</v>
      </c>
      <c r="T697" s="14">
        <v>53196</v>
      </c>
      <c r="U697" s="14">
        <v>54243</v>
      </c>
      <c r="V697" s="14">
        <v>58249</v>
      </c>
      <c r="W697" s="14">
        <v>65805</v>
      </c>
      <c r="X697" s="14">
        <v>69688</v>
      </c>
      <c r="Y697" s="14">
        <v>75055</v>
      </c>
      <c r="Z697" s="14">
        <v>81381</v>
      </c>
      <c r="AA697" s="14">
        <v>90591</v>
      </c>
      <c r="AB697" s="14">
        <v>101030</v>
      </c>
    </row>
    <row r="698" spans="1:30">
      <c r="A698" s="45" t="s">
        <v>313</v>
      </c>
      <c r="B698" s="45" t="s">
        <v>314</v>
      </c>
      <c r="C698" s="45" t="s">
        <v>490</v>
      </c>
      <c r="D698" s="45" t="s">
        <v>494</v>
      </c>
      <c r="E698" s="45" t="s">
        <v>492</v>
      </c>
      <c r="F698" s="45" t="s">
        <v>493</v>
      </c>
      <c r="G698" s="14">
        <v>12487</v>
      </c>
      <c r="H698" s="14">
        <v>15142</v>
      </c>
      <c r="I698" s="14">
        <v>16042</v>
      </c>
      <c r="J698" s="14">
        <v>19052</v>
      </c>
      <c r="K698" s="14">
        <v>21480</v>
      </c>
      <c r="L698" s="14">
        <v>23932</v>
      </c>
      <c r="M698" s="14">
        <v>22841</v>
      </c>
      <c r="N698" s="14">
        <v>27186</v>
      </c>
      <c r="O698" s="14">
        <v>30101</v>
      </c>
      <c r="P698" s="14">
        <v>32037</v>
      </c>
      <c r="Q698" s="14">
        <v>34193</v>
      </c>
      <c r="R698" s="14">
        <v>41005</v>
      </c>
      <c r="S698" s="14">
        <v>43552</v>
      </c>
      <c r="T698" s="14">
        <v>49644</v>
      </c>
      <c r="U698" s="14">
        <v>52798</v>
      </c>
      <c r="V698" s="14">
        <v>57077</v>
      </c>
      <c r="W698" s="14">
        <v>63384</v>
      </c>
      <c r="X698" s="14">
        <v>67119</v>
      </c>
      <c r="Y698" s="14">
        <v>72611</v>
      </c>
      <c r="Z698" s="14">
        <v>77690</v>
      </c>
      <c r="AA698" s="14"/>
      <c r="AB698" s="14"/>
    </row>
    <row r="699" spans="1:30">
      <c r="A699" s="45" t="s">
        <v>313</v>
      </c>
      <c r="B699" s="45" t="s">
        <v>314</v>
      </c>
      <c r="C699" s="45" t="s">
        <v>490</v>
      </c>
      <c r="D699" s="45" t="s">
        <v>495</v>
      </c>
      <c r="E699" s="45" t="s">
        <v>492</v>
      </c>
      <c r="F699" s="45" t="s">
        <v>493</v>
      </c>
      <c r="G699" s="14">
        <v>742</v>
      </c>
      <c r="H699" s="14">
        <v>580</v>
      </c>
      <c r="I699" s="14">
        <v>690</v>
      </c>
      <c r="J699" s="14">
        <v>786</v>
      </c>
      <c r="K699" s="14">
        <v>743</v>
      </c>
      <c r="L699" s="14">
        <v>1286</v>
      </c>
      <c r="M699" s="14">
        <v>1052</v>
      </c>
      <c r="N699" s="14">
        <v>1508</v>
      </c>
      <c r="O699" s="14">
        <v>2029</v>
      </c>
      <c r="P699" s="14">
        <v>1197</v>
      </c>
      <c r="Q699" s="14">
        <v>1212</v>
      </c>
      <c r="R699" s="14">
        <v>1429</v>
      </c>
      <c r="S699" s="14">
        <v>1415</v>
      </c>
      <c r="T699" s="14">
        <v>2940</v>
      </c>
      <c r="U699" s="14">
        <v>2959</v>
      </c>
      <c r="V699" s="14">
        <v>2464</v>
      </c>
      <c r="W699" s="14">
        <v>1728</v>
      </c>
      <c r="X699" s="14">
        <v>2004</v>
      </c>
      <c r="Y699" s="14">
        <v>3381</v>
      </c>
      <c r="Z699" s="14">
        <v>2793</v>
      </c>
      <c r="AA699" s="14"/>
      <c r="AB699" s="14"/>
    </row>
    <row r="700" spans="1:30">
      <c r="A700" s="45" t="s">
        <v>313</v>
      </c>
      <c r="B700" s="45" t="s">
        <v>314</v>
      </c>
      <c r="C700" s="45" t="s">
        <v>490</v>
      </c>
      <c r="D700" s="45" t="s">
        <v>496</v>
      </c>
      <c r="E700" s="45" t="s">
        <v>492</v>
      </c>
      <c r="F700" s="45" t="s">
        <v>493</v>
      </c>
      <c r="G700" s="14">
        <v>1871</v>
      </c>
      <c r="H700" s="14">
        <v>2373</v>
      </c>
      <c r="I700" s="14">
        <v>2710</v>
      </c>
      <c r="J700" s="14">
        <v>2986</v>
      </c>
      <c r="K700" s="14">
        <v>3475</v>
      </c>
      <c r="L700" s="14">
        <v>3748</v>
      </c>
      <c r="M700" s="14">
        <v>2997</v>
      </c>
      <c r="N700" s="14">
        <v>3699</v>
      </c>
      <c r="O700" s="14">
        <v>4512</v>
      </c>
      <c r="P700" s="14">
        <v>4791</v>
      </c>
      <c r="Q700" s="14">
        <v>5421</v>
      </c>
      <c r="R700" s="14">
        <v>6514</v>
      </c>
      <c r="S700" s="14">
        <v>6462</v>
      </c>
      <c r="T700" s="14">
        <v>7992</v>
      </c>
      <c r="U700" s="14">
        <v>9279</v>
      </c>
      <c r="V700" s="14">
        <v>9689</v>
      </c>
      <c r="W700" s="14">
        <v>14372</v>
      </c>
      <c r="X700" s="14">
        <v>15452</v>
      </c>
      <c r="Y700" s="14">
        <v>15586</v>
      </c>
      <c r="Z700" s="14">
        <v>17204</v>
      </c>
      <c r="AA700" s="14"/>
      <c r="AB700" s="14"/>
    </row>
    <row r="701" spans="1:30">
      <c r="A701" s="45" t="s">
        <v>313</v>
      </c>
      <c r="B701" s="45" t="s">
        <v>314</v>
      </c>
      <c r="C701" s="45" t="s">
        <v>490</v>
      </c>
      <c r="D701" s="45" t="s">
        <v>497</v>
      </c>
      <c r="E701" s="45" t="s">
        <v>492</v>
      </c>
      <c r="F701" s="45" t="s">
        <v>493</v>
      </c>
      <c r="G701" s="14">
        <v>7362</v>
      </c>
      <c r="H701" s="14">
        <v>8495</v>
      </c>
      <c r="I701" s="14">
        <v>9651</v>
      </c>
      <c r="J701" s="14">
        <v>11645</v>
      </c>
      <c r="K701" s="14">
        <v>13240</v>
      </c>
      <c r="L701" s="14">
        <v>15300</v>
      </c>
      <c r="M701" s="14">
        <v>15278</v>
      </c>
      <c r="N701" s="14">
        <v>17691</v>
      </c>
      <c r="O701" s="14">
        <v>19252</v>
      </c>
      <c r="P701" s="14">
        <v>21435</v>
      </c>
      <c r="Q701" s="14">
        <v>23169</v>
      </c>
      <c r="R701" s="14">
        <v>28551</v>
      </c>
      <c r="S701" s="14">
        <v>31026</v>
      </c>
      <c r="T701" s="14">
        <v>33296</v>
      </c>
      <c r="U701" s="14">
        <v>35084</v>
      </c>
      <c r="V701" s="14">
        <v>37954</v>
      </c>
      <c r="W701" s="14">
        <v>38509</v>
      </c>
      <c r="X701" s="14">
        <v>42398</v>
      </c>
      <c r="Y701" s="14">
        <v>44278</v>
      </c>
      <c r="Z701" s="14">
        <v>47813</v>
      </c>
      <c r="AA701" s="14"/>
      <c r="AB701" s="14"/>
    </row>
    <row r="702" spans="1:30">
      <c r="A702" s="45" t="s">
        <v>313</v>
      </c>
      <c r="B702" s="45" t="s">
        <v>314</v>
      </c>
      <c r="C702" s="45" t="s">
        <v>498</v>
      </c>
      <c r="D702" s="45" t="s">
        <v>491</v>
      </c>
      <c r="E702" s="45" t="s">
        <v>499</v>
      </c>
      <c r="F702" s="45" t="s">
        <v>500</v>
      </c>
      <c r="G702" s="14">
        <v>24808.400000000001</v>
      </c>
      <c r="H702" s="14">
        <v>26204</v>
      </c>
      <c r="I702" s="14">
        <v>25625.3</v>
      </c>
      <c r="J702" s="14">
        <v>28332</v>
      </c>
      <c r="K702" s="14">
        <v>30570.1</v>
      </c>
      <c r="L702" s="14">
        <v>32516.2</v>
      </c>
      <c r="M702" s="14">
        <v>28149.7</v>
      </c>
      <c r="N702" s="14">
        <v>31098</v>
      </c>
      <c r="O702" s="14">
        <v>32206</v>
      </c>
      <c r="P702" s="14">
        <v>31624.3</v>
      </c>
      <c r="Q702" s="14">
        <v>31903.200000000001</v>
      </c>
      <c r="R702" s="14">
        <v>35019.9</v>
      </c>
      <c r="S702" s="14">
        <v>34354.5</v>
      </c>
      <c r="T702" s="14">
        <v>36481.4</v>
      </c>
      <c r="U702" s="14">
        <v>34410.9</v>
      </c>
      <c r="V702" s="14">
        <v>35643.599999999999</v>
      </c>
      <c r="W702" s="14">
        <v>38535.699999999997</v>
      </c>
      <c r="X702" s="14">
        <v>39155.5</v>
      </c>
      <c r="Y702" s="14">
        <v>39607.5</v>
      </c>
      <c r="Z702" s="14">
        <v>37989.199999999997</v>
      </c>
      <c r="AA702" s="14"/>
      <c r="AB702" s="14"/>
      <c r="AC702" s="15">
        <f>IFERROR(Z702/G702-1,"")</f>
        <v>0.53130391319069337</v>
      </c>
      <c r="AD702" s="15">
        <f>IFERROR((Z702/G702)^(1/19)-1,"")</f>
        <v>2.268073119686087E-2</v>
      </c>
    </row>
    <row r="703" spans="1:30">
      <c r="A703" s="45" t="s">
        <v>313</v>
      </c>
      <c r="B703" s="45" t="s">
        <v>314</v>
      </c>
      <c r="C703" s="45" t="s">
        <v>498</v>
      </c>
      <c r="D703" s="45" t="s">
        <v>495</v>
      </c>
      <c r="E703" s="45" t="s">
        <v>499</v>
      </c>
      <c r="F703" s="45" t="s">
        <v>500</v>
      </c>
      <c r="G703" s="14">
        <v>1408.7</v>
      </c>
      <c r="H703" s="14">
        <v>966.2</v>
      </c>
      <c r="I703" s="14">
        <v>1065.8</v>
      </c>
      <c r="J703" s="14">
        <v>1131.0999999999999</v>
      </c>
      <c r="K703" s="14">
        <v>1000.6</v>
      </c>
      <c r="L703" s="14">
        <v>1627.5</v>
      </c>
      <c r="M703" s="14">
        <v>1224.5</v>
      </c>
      <c r="N703" s="14">
        <v>1635</v>
      </c>
      <c r="O703" s="14">
        <v>2029</v>
      </c>
      <c r="P703" s="14">
        <v>1105.0999999999999</v>
      </c>
      <c r="Q703" s="14">
        <v>1036.5999999999999</v>
      </c>
      <c r="R703" s="14">
        <v>1136.9000000000001</v>
      </c>
      <c r="S703" s="14">
        <v>1043.8</v>
      </c>
      <c r="T703" s="14">
        <v>2016.2</v>
      </c>
      <c r="U703" s="14">
        <v>1877.1</v>
      </c>
      <c r="V703" s="14">
        <v>1507.8</v>
      </c>
      <c r="W703" s="14">
        <v>1011.9</v>
      </c>
      <c r="X703" s="14">
        <v>1126</v>
      </c>
      <c r="Y703" s="14">
        <v>1784.2</v>
      </c>
      <c r="Z703" s="14">
        <v>1303.8</v>
      </c>
      <c r="AA703" s="14"/>
      <c r="AB703" s="14"/>
      <c r="AC703" s="15">
        <f>IFERROR(Z703/G703-1,"")</f>
        <v>-7.4465819549939694E-2</v>
      </c>
      <c r="AD703" s="15">
        <f>IFERROR((Z703/G703)^(1/19)-1,"")</f>
        <v>-4.0645706429425221E-3</v>
      </c>
    </row>
    <row r="704" spans="1:30">
      <c r="A704" s="45" t="s">
        <v>313</v>
      </c>
      <c r="B704" s="45" t="s">
        <v>314</v>
      </c>
      <c r="C704" s="45" t="s">
        <v>498</v>
      </c>
      <c r="D704" s="45" t="s">
        <v>496</v>
      </c>
      <c r="E704" s="45" t="s">
        <v>499</v>
      </c>
      <c r="F704" s="45" t="s">
        <v>500</v>
      </c>
      <c r="G704" s="14">
        <v>3553.6</v>
      </c>
      <c r="H704" s="14">
        <v>3950.7</v>
      </c>
      <c r="I704" s="14">
        <v>4188.3</v>
      </c>
      <c r="J704" s="14">
        <v>4294.6000000000004</v>
      </c>
      <c r="K704" s="14">
        <v>4681.2</v>
      </c>
      <c r="L704" s="14">
        <v>4743.5</v>
      </c>
      <c r="M704" s="14">
        <v>3487.1</v>
      </c>
      <c r="N704" s="14">
        <v>4010.6</v>
      </c>
      <c r="O704" s="14">
        <v>4512</v>
      </c>
      <c r="P704" s="14">
        <v>4423.1000000000004</v>
      </c>
      <c r="Q704" s="14">
        <v>4636.3999999999996</v>
      </c>
      <c r="R704" s="14">
        <v>5182.3</v>
      </c>
      <c r="S704" s="14">
        <v>4766.8999999999996</v>
      </c>
      <c r="T704" s="14">
        <v>5480.9</v>
      </c>
      <c r="U704" s="14">
        <v>5886.5</v>
      </c>
      <c r="V704" s="14">
        <v>5928.9</v>
      </c>
      <c r="W704" s="14">
        <v>8416.2999999999993</v>
      </c>
      <c r="X704" s="14">
        <v>8682</v>
      </c>
      <c r="Y704" s="14">
        <v>8224.9</v>
      </c>
      <c r="Z704" s="14">
        <v>8031</v>
      </c>
      <c r="AA704" s="14"/>
      <c r="AB704" s="14"/>
      <c r="AC704" s="15">
        <f>IFERROR(Z704/G704-1,"")</f>
        <v>1.2599617289509233</v>
      </c>
      <c r="AD704" s="15">
        <f>IFERROR((Z704/G704)^(1/19)-1,"")</f>
        <v>4.3847124498745726E-2</v>
      </c>
    </row>
    <row r="705" spans="1:30">
      <c r="A705" s="45" t="s">
        <v>313</v>
      </c>
      <c r="B705" s="45" t="s">
        <v>314</v>
      </c>
      <c r="C705" s="45" t="s">
        <v>498</v>
      </c>
      <c r="D705" s="45" t="s">
        <v>497</v>
      </c>
      <c r="E705" s="45" t="s">
        <v>499</v>
      </c>
      <c r="F705" s="45" t="s">
        <v>500</v>
      </c>
      <c r="G705" s="14">
        <v>13986.8</v>
      </c>
      <c r="H705" s="14">
        <v>14145.2</v>
      </c>
      <c r="I705" s="14">
        <v>14913.3</v>
      </c>
      <c r="J705" s="14">
        <v>16750.599999999999</v>
      </c>
      <c r="K705" s="14">
        <v>17837.099999999999</v>
      </c>
      <c r="L705" s="14">
        <v>19364.3</v>
      </c>
      <c r="M705" s="14">
        <v>17776.400000000001</v>
      </c>
      <c r="N705" s="14">
        <v>19181.2</v>
      </c>
      <c r="O705" s="14">
        <v>19252</v>
      </c>
      <c r="P705" s="14">
        <v>19788.8</v>
      </c>
      <c r="Q705" s="14">
        <v>19815.7</v>
      </c>
      <c r="R705" s="14">
        <v>22714.1</v>
      </c>
      <c r="S705" s="14">
        <v>22887.3</v>
      </c>
      <c r="T705" s="14">
        <v>22834.1</v>
      </c>
      <c r="U705" s="14">
        <v>22256.7</v>
      </c>
      <c r="V705" s="14">
        <v>23224.7</v>
      </c>
      <c r="W705" s="14">
        <v>22551</v>
      </c>
      <c r="X705" s="14">
        <v>23822.1</v>
      </c>
      <c r="Y705" s="14">
        <v>23366.1</v>
      </c>
      <c r="Z705" s="14">
        <v>22319.9</v>
      </c>
      <c r="AA705" s="14"/>
      <c r="AB705" s="14"/>
      <c r="AC705" s="15">
        <f>IFERROR(Z705/G705-1,"")</f>
        <v>0.59578316698601563</v>
      </c>
      <c r="AD705" s="15">
        <f>IFERROR((Z705/G705)^(1/19)-1,"")</f>
        <v>2.4903168524303076E-2</v>
      </c>
    </row>
    <row r="706" spans="1:30">
      <c r="A706" s="45" t="s">
        <v>313</v>
      </c>
      <c r="B706" s="45" t="s">
        <v>314</v>
      </c>
      <c r="C706" s="45" t="s">
        <v>498</v>
      </c>
      <c r="D706" s="45" t="s">
        <v>501</v>
      </c>
      <c r="E706" s="45" t="s">
        <v>499</v>
      </c>
      <c r="F706" s="45" t="s">
        <v>500</v>
      </c>
      <c r="G706" s="14">
        <v>4772.8999999999996</v>
      </c>
      <c r="H706" s="14">
        <v>6150.2</v>
      </c>
      <c r="I706" s="14">
        <v>4622.6000000000004</v>
      </c>
      <c r="J706" s="14">
        <v>5229.3999999999996</v>
      </c>
      <c r="K706" s="14">
        <v>5418.7</v>
      </c>
      <c r="L706" s="14">
        <v>4554.2</v>
      </c>
      <c r="M706" s="14">
        <v>4087.7</v>
      </c>
      <c r="N706" s="14">
        <v>4650.3</v>
      </c>
      <c r="O706" s="14">
        <v>4308</v>
      </c>
      <c r="P706" s="14">
        <v>4259.7</v>
      </c>
      <c r="Q706" s="14">
        <v>3755.5</v>
      </c>
      <c r="R706" s="14">
        <v>3589.6</v>
      </c>
      <c r="S706" s="14">
        <v>3429.5</v>
      </c>
      <c r="T706" s="14">
        <v>3713.6</v>
      </c>
      <c r="U706" s="14">
        <v>3474.5</v>
      </c>
      <c r="V706" s="14">
        <v>4265.7</v>
      </c>
      <c r="W706" s="14">
        <v>5138.1000000000004</v>
      </c>
      <c r="X706" s="14">
        <v>4082</v>
      </c>
      <c r="Y706" s="14">
        <v>4942.6000000000004</v>
      </c>
      <c r="Z706" s="14">
        <v>4612.5</v>
      </c>
      <c r="AA706" s="14"/>
      <c r="AB706" s="14"/>
      <c r="AC706" s="15">
        <f>IFERROR(Z706/G706-1,"")</f>
        <v>-3.3606402815897995E-2</v>
      </c>
      <c r="AD706" s="15">
        <f>IFERROR((Z706/G706)^(1/19)-1,"")</f>
        <v>-1.7975444390573303E-3</v>
      </c>
    </row>
    <row r="707" spans="1:30">
      <c r="A707" s="45" t="s">
        <v>413</v>
      </c>
      <c r="B707" s="45" t="s">
        <v>414</v>
      </c>
      <c r="C707" s="45" t="s">
        <v>490</v>
      </c>
      <c r="D707" s="45" t="s">
        <v>491</v>
      </c>
      <c r="E707" s="45" t="s">
        <v>492</v>
      </c>
      <c r="F707" s="45" t="s">
        <v>493</v>
      </c>
      <c r="G707" s="14">
        <v>7681</v>
      </c>
      <c r="H707" s="14">
        <v>8812</v>
      </c>
      <c r="I707" s="14">
        <v>9290</v>
      </c>
      <c r="J707" s="14">
        <v>10245</v>
      </c>
      <c r="K707" s="14">
        <v>11799</v>
      </c>
      <c r="L707" s="14">
        <v>15043</v>
      </c>
      <c r="M707" s="14">
        <v>15176</v>
      </c>
      <c r="N707" s="14">
        <v>16033</v>
      </c>
      <c r="O707" s="14">
        <v>18069</v>
      </c>
      <c r="P707" s="14">
        <v>19267</v>
      </c>
      <c r="Q707" s="14">
        <v>20718</v>
      </c>
      <c r="R707" s="14">
        <v>24326</v>
      </c>
      <c r="S707" s="14">
        <v>23942</v>
      </c>
      <c r="T707" s="14">
        <v>30189</v>
      </c>
      <c r="U707" s="14">
        <v>29705</v>
      </c>
      <c r="V707" s="14">
        <v>31108</v>
      </c>
      <c r="W707" s="14">
        <v>32570</v>
      </c>
      <c r="X707" s="14">
        <v>36237</v>
      </c>
      <c r="Y707" s="14">
        <v>36703</v>
      </c>
      <c r="Z707" s="14">
        <v>38240</v>
      </c>
      <c r="AA707" s="14">
        <v>42744</v>
      </c>
      <c r="AB707" s="14">
        <v>48944</v>
      </c>
    </row>
    <row r="708" spans="1:30">
      <c r="A708" s="45" t="s">
        <v>413</v>
      </c>
      <c r="B708" s="45" t="s">
        <v>414</v>
      </c>
      <c r="C708" s="45" t="s">
        <v>490</v>
      </c>
      <c r="D708" s="45" t="s">
        <v>494</v>
      </c>
      <c r="E708" s="45" t="s">
        <v>492</v>
      </c>
      <c r="F708" s="45" t="s">
        <v>493</v>
      </c>
      <c r="G708" s="14">
        <v>7386</v>
      </c>
      <c r="H708" s="14">
        <v>8534</v>
      </c>
      <c r="I708" s="14">
        <v>8989</v>
      </c>
      <c r="J708" s="14">
        <v>9885</v>
      </c>
      <c r="K708" s="14">
        <v>11195</v>
      </c>
      <c r="L708" s="14">
        <v>13971</v>
      </c>
      <c r="M708" s="14">
        <v>14096</v>
      </c>
      <c r="N708" s="14">
        <v>15124</v>
      </c>
      <c r="O708" s="14">
        <v>16844</v>
      </c>
      <c r="P708" s="14">
        <v>18036</v>
      </c>
      <c r="Q708" s="14">
        <v>19489</v>
      </c>
      <c r="R708" s="14">
        <v>23182</v>
      </c>
      <c r="S708" s="14">
        <v>22813</v>
      </c>
      <c r="T708" s="14">
        <v>28833</v>
      </c>
      <c r="U708" s="14">
        <v>28984</v>
      </c>
      <c r="V708" s="14">
        <v>30437</v>
      </c>
      <c r="W708" s="14">
        <v>31830</v>
      </c>
      <c r="X708" s="14">
        <v>35479</v>
      </c>
      <c r="Y708" s="14">
        <v>35808</v>
      </c>
      <c r="Z708" s="14">
        <v>37215</v>
      </c>
      <c r="AA708" s="14"/>
      <c r="AB708" s="14"/>
    </row>
    <row r="709" spans="1:30">
      <c r="A709" s="45" t="s">
        <v>413</v>
      </c>
      <c r="B709" s="45" t="s">
        <v>414</v>
      </c>
      <c r="C709" s="45" t="s">
        <v>490</v>
      </c>
      <c r="D709" s="45" t="s">
        <v>495</v>
      </c>
      <c r="E709" s="45" t="s">
        <v>492</v>
      </c>
      <c r="F709" s="45" t="s">
        <v>493</v>
      </c>
      <c r="G709" s="14">
        <v>468</v>
      </c>
      <c r="H709" s="14">
        <v>338</v>
      </c>
      <c r="I709" s="14">
        <v>371</v>
      </c>
      <c r="J709" s="14">
        <v>425</v>
      </c>
      <c r="K709" s="14">
        <v>695</v>
      </c>
      <c r="L709" s="14">
        <v>2537</v>
      </c>
      <c r="M709" s="14">
        <v>2009</v>
      </c>
      <c r="N709" s="14">
        <v>1601</v>
      </c>
      <c r="O709" s="14">
        <v>1910</v>
      </c>
      <c r="P709" s="14">
        <v>964</v>
      </c>
      <c r="Q709" s="14">
        <v>1492</v>
      </c>
      <c r="R709" s="14">
        <v>3278</v>
      </c>
      <c r="S709" s="14">
        <v>2267</v>
      </c>
      <c r="T709" s="14">
        <v>5180</v>
      </c>
      <c r="U709" s="14">
        <v>4644</v>
      </c>
      <c r="V709" s="14">
        <v>4244</v>
      </c>
      <c r="W709" s="14">
        <v>6593</v>
      </c>
      <c r="X709" s="14">
        <v>7084</v>
      </c>
      <c r="Y709" s="14">
        <v>7040</v>
      </c>
      <c r="Z709" s="14">
        <v>5959</v>
      </c>
      <c r="AA709" s="14"/>
      <c r="AB709" s="14"/>
    </row>
    <row r="710" spans="1:30">
      <c r="A710" s="45" t="s">
        <v>413</v>
      </c>
      <c r="B710" s="45" t="s">
        <v>414</v>
      </c>
      <c r="C710" s="45" t="s">
        <v>490</v>
      </c>
      <c r="D710" s="45" t="s">
        <v>496</v>
      </c>
      <c r="E710" s="45" t="s">
        <v>492</v>
      </c>
      <c r="F710" s="45" t="s">
        <v>493</v>
      </c>
      <c r="G710" s="14">
        <v>1326</v>
      </c>
      <c r="H710" s="14">
        <v>1461</v>
      </c>
      <c r="I710" s="14">
        <v>1675</v>
      </c>
      <c r="J710" s="14">
        <v>1721</v>
      </c>
      <c r="K710" s="14">
        <v>1956</v>
      </c>
      <c r="L710" s="14">
        <v>2379</v>
      </c>
      <c r="M710" s="14">
        <v>2134</v>
      </c>
      <c r="N710" s="14">
        <v>2530</v>
      </c>
      <c r="O710" s="14">
        <v>2977</v>
      </c>
      <c r="P710" s="14">
        <v>3227</v>
      </c>
      <c r="Q710" s="14">
        <v>3657</v>
      </c>
      <c r="R710" s="14">
        <v>4133</v>
      </c>
      <c r="S710" s="14">
        <v>4122</v>
      </c>
      <c r="T710" s="14">
        <v>5237</v>
      </c>
      <c r="U710" s="14">
        <v>5183</v>
      </c>
      <c r="V710" s="14">
        <v>5324</v>
      </c>
      <c r="W710" s="14">
        <v>5801</v>
      </c>
      <c r="X710" s="14">
        <v>6593</v>
      </c>
      <c r="Y710" s="14">
        <v>6675</v>
      </c>
      <c r="Z710" s="14">
        <v>7104</v>
      </c>
      <c r="AA710" s="14"/>
      <c r="AB710" s="14"/>
    </row>
    <row r="711" spans="1:30">
      <c r="A711" s="45" t="s">
        <v>413</v>
      </c>
      <c r="B711" s="45" t="s">
        <v>414</v>
      </c>
      <c r="C711" s="45" t="s">
        <v>490</v>
      </c>
      <c r="D711" s="45" t="s">
        <v>497</v>
      </c>
      <c r="E711" s="45" t="s">
        <v>492</v>
      </c>
      <c r="F711" s="45" t="s">
        <v>493</v>
      </c>
      <c r="G711" s="14">
        <v>4189</v>
      </c>
      <c r="H711" s="14">
        <v>4623</v>
      </c>
      <c r="I711" s="14">
        <v>5329</v>
      </c>
      <c r="J711" s="14">
        <v>5945</v>
      </c>
      <c r="K711" s="14">
        <v>6959</v>
      </c>
      <c r="L711" s="14">
        <v>7621</v>
      </c>
      <c r="M711" s="14">
        <v>7932</v>
      </c>
      <c r="N711" s="14">
        <v>9161</v>
      </c>
      <c r="O711" s="14">
        <v>10254</v>
      </c>
      <c r="P711" s="14">
        <v>11497</v>
      </c>
      <c r="Q711" s="14">
        <v>12987</v>
      </c>
      <c r="R711" s="14">
        <v>14375</v>
      </c>
      <c r="S711" s="14">
        <v>14906</v>
      </c>
      <c r="T711" s="14">
        <v>16746</v>
      </c>
      <c r="U711" s="14">
        <v>17360</v>
      </c>
      <c r="V711" s="14">
        <v>19040</v>
      </c>
      <c r="W711" s="14">
        <v>18606</v>
      </c>
      <c r="X711" s="14">
        <v>20590</v>
      </c>
      <c r="Y711" s="14">
        <v>19849</v>
      </c>
      <c r="Z711" s="14">
        <v>22391</v>
      </c>
      <c r="AA711" s="14"/>
      <c r="AB711" s="14"/>
    </row>
    <row r="712" spans="1:30">
      <c r="A712" s="45" t="s">
        <v>413</v>
      </c>
      <c r="B712" s="45" t="s">
        <v>414</v>
      </c>
      <c r="C712" s="45" t="s">
        <v>498</v>
      </c>
      <c r="D712" s="45" t="s">
        <v>491</v>
      </c>
      <c r="E712" s="45" t="s">
        <v>499</v>
      </c>
      <c r="F712" s="45" t="s">
        <v>500</v>
      </c>
      <c r="G712" s="14">
        <v>14591.8</v>
      </c>
      <c r="H712" s="14">
        <v>14673.2</v>
      </c>
      <c r="I712" s="14">
        <v>14356.1</v>
      </c>
      <c r="J712" s="14">
        <v>14737.1</v>
      </c>
      <c r="K712" s="14">
        <v>15895.1</v>
      </c>
      <c r="L712" s="14">
        <v>19039.400000000001</v>
      </c>
      <c r="M712" s="14">
        <v>17658.099999999999</v>
      </c>
      <c r="N712" s="14">
        <v>17383.5</v>
      </c>
      <c r="O712" s="14">
        <v>18069</v>
      </c>
      <c r="P712" s="14">
        <v>17787.3</v>
      </c>
      <c r="Q712" s="14">
        <v>17719.400000000001</v>
      </c>
      <c r="R712" s="14">
        <v>19352.900000000001</v>
      </c>
      <c r="S712" s="14">
        <v>17661.5</v>
      </c>
      <c r="T712" s="14">
        <v>20703.400000000001</v>
      </c>
      <c r="U712" s="14">
        <v>18844.400000000001</v>
      </c>
      <c r="V712" s="14">
        <v>19035.599999999999</v>
      </c>
      <c r="W712" s="14">
        <v>19073.099999999999</v>
      </c>
      <c r="X712" s="14">
        <v>20360.5</v>
      </c>
      <c r="Y712" s="14">
        <v>19368.599999999999</v>
      </c>
      <c r="Z712" s="14">
        <v>17850.7</v>
      </c>
      <c r="AA712" s="14"/>
      <c r="AB712" s="14"/>
      <c r="AC712" s="15">
        <f>IFERROR(Z712/G712-1,"")</f>
        <v>0.22333776504612191</v>
      </c>
      <c r="AD712" s="15">
        <f>IFERROR((Z712/G712)^(1/19)-1,"")</f>
        <v>1.0666113083035889E-2</v>
      </c>
    </row>
    <row r="713" spans="1:30">
      <c r="A713" s="45" t="s">
        <v>413</v>
      </c>
      <c r="B713" s="45" t="s">
        <v>414</v>
      </c>
      <c r="C713" s="45" t="s">
        <v>498</v>
      </c>
      <c r="D713" s="45" t="s">
        <v>495</v>
      </c>
      <c r="E713" s="45" t="s">
        <v>499</v>
      </c>
      <c r="F713" s="45" t="s">
        <v>500</v>
      </c>
      <c r="G713" s="14">
        <v>889.4</v>
      </c>
      <c r="H713" s="14">
        <v>562.70000000000005</v>
      </c>
      <c r="I713" s="14">
        <v>573.70000000000005</v>
      </c>
      <c r="J713" s="14">
        <v>611.5</v>
      </c>
      <c r="K713" s="14">
        <v>936.2</v>
      </c>
      <c r="L713" s="14">
        <v>3210.6</v>
      </c>
      <c r="M713" s="14">
        <v>2337.9</v>
      </c>
      <c r="N713" s="14">
        <v>1735.9</v>
      </c>
      <c r="O713" s="14">
        <v>1910</v>
      </c>
      <c r="P713" s="14">
        <v>890</v>
      </c>
      <c r="Q713" s="14">
        <v>1276.0999999999999</v>
      </c>
      <c r="R713" s="14">
        <v>2607.9</v>
      </c>
      <c r="S713" s="14">
        <v>1672.3</v>
      </c>
      <c r="T713" s="14">
        <v>3552.4</v>
      </c>
      <c r="U713" s="14">
        <v>2946.1</v>
      </c>
      <c r="V713" s="14">
        <v>2597</v>
      </c>
      <c r="W713" s="14">
        <v>3860.9</v>
      </c>
      <c r="X713" s="14">
        <v>3980.3</v>
      </c>
      <c r="Y713" s="14">
        <v>3715.1</v>
      </c>
      <c r="Z713" s="14">
        <v>2781.7</v>
      </c>
      <c r="AA713" s="14"/>
      <c r="AB713" s="14"/>
      <c r="AC713" s="15">
        <f>IFERROR(Z713/G713-1,"")</f>
        <v>2.1276141218799189</v>
      </c>
      <c r="AD713" s="15">
        <f>IFERROR((Z713/G713)^(1/19)-1,"")</f>
        <v>6.1851661197759533E-2</v>
      </c>
    </row>
    <row r="714" spans="1:30">
      <c r="A714" s="45" t="s">
        <v>413</v>
      </c>
      <c r="B714" s="45" t="s">
        <v>414</v>
      </c>
      <c r="C714" s="45" t="s">
        <v>498</v>
      </c>
      <c r="D714" s="45" t="s">
        <v>496</v>
      </c>
      <c r="E714" s="45" t="s">
        <v>499</v>
      </c>
      <c r="F714" s="45" t="s">
        <v>500</v>
      </c>
      <c r="G714" s="14">
        <v>2519</v>
      </c>
      <c r="H714" s="14">
        <v>2432.6999999999998</v>
      </c>
      <c r="I714" s="14">
        <v>2587.6999999999998</v>
      </c>
      <c r="J714" s="14">
        <v>2475.4</v>
      </c>
      <c r="K714" s="14">
        <v>2634.8</v>
      </c>
      <c r="L714" s="14">
        <v>3010.4</v>
      </c>
      <c r="M714" s="14">
        <v>2483.1</v>
      </c>
      <c r="N714" s="14">
        <v>2743.1</v>
      </c>
      <c r="O714" s="14">
        <v>2977</v>
      </c>
      <c r="P714" s="14">
        <v>2979.2</v>
      </c>
      <c r="Q714" s="14">
        <v>3127.7</v>
      </c>
      <c r="R714" s="14">
        <v>3288.1</v>
      </c>
      <c r="S714" s="14">
        <v>3040.7</v>
      </c>
      <c r="T714" s="14">
        <v>3591.5</v>
      </c>
      <c r="U714" s="14">
        <v>3288</v>
      </c>
      <c r="V714" s="14">
        <v>3257.9</v>
      </c>
      <c r="W714" s="14">
        <v>3397.1</v>
      </c>
      <c r="X714" s="14">
        <v>3704.4</v>
      </c>
      <c r="Y714" s="14">
        <v>3522.5</v>
      </c>
      <c r="Z714" s="14">
        <v>3316.2</v>
      </c>
      <c r="AA714" s="14"/>
      <c r="AB714" s="14"/>
      <c r="AC714" s="15">
        <f>IFERROR(Z714/G714-1,"")</f>
        <v>0.31647479158396186</v>
      </c>
      <c r="AD714" s="15">
        <f>IFERROR((Z714/G714)^(1/19)-1,"")</f>
        <v>1.4576668465581477E-2</v>
      </c>
    </row>
    <row r="715" spans="1:30">
      <c r="A715" s="45" t="s">
        <v>413</v>
      </c>
      <c r="B715" s="45" t="s">
        <v>414</v>
      </c>
      <c r="C715" s="45" t="s">
        <v>498</v>
      </c>
      <c r="D715" s="45" t="s">
        <v>497</v>
      </c>
      <c r="E715" s="45" t="s">
        <v>499</v>
      </c>
      <c r="F715" s="45" t="s">
        <v>500</v>
      </c>
      <c r="G715" s="14">
        <v>7958</v>
      </c>
      <c r="H715" s="14">
        <v>7697.5</v>
      </c>
      <c r="I715" s="14">
        <v>8235.1</v>
      </c>
      <c r="J715" s="14">
        <v>8551.7999999999993</v>
      </c>
      <c r="K715" s="14">
        <v>9375.2000000000007</v>
      </c>
      <c r="L715" s="14">
        <v>9646.2999999999993</v>
      </c>
      <c r="M715" s="14">
        <v>9228.6</v>
      </c>
      <c r="N715" s="14">
        <v>9932.7000000000007</v>
      </c>
      <c r="O715" s="14">
        <v>10254</v>
      </c>
      <c r="P715" s="14">
        <v>10614.1</v>
      </c>
      <c r="Q715" s="14">
        <v>11107.4</v>
      </c>
      <c r="R715" s="14">
        <v>11436.2</v>
      </c>
      <c r="S715" s="14">
        <v>10995.9</v>
      </c>
      <c r="T715" s="14">
        <v>11484.3</v>
      </c>
      <c r="U715" s="14">
        <v>11012.9</v>
      </c>
      <c r="V715" s="14">
        <v>11650.9</v>
      </c>
      <c r="W715" s="14">
        <v>10895.7</v>
      </c>
      <c r="X715" s="14">
        <v>11568.9</v>
      </c>
      <c r="Y715" s="14">
        <v>10474.6</v>
      </c>
      <c r="Z715" s="14">
        <v>10452.700000000001</v>
      </c>
      <c r="AA715" s="14"/>
      <c r="AB715" s="14"/>
      <c r="AC715" s="15">
        <f>IFERROR(Z715/G715-1,"")</f>
        <v>0.31348328725810504</v>
      </c>
      <c r="AD715" s="15">
        <f>IFERROR((Z715/G715)^(1/19)-1,"")</f>
        <v>1.4455196443079021E-2</v>
      </c>
    </row>
    <row r="716" spans="1:30">
      <c r="A716" s="45" t="s">
        <v>413</v>
      </c>
      <c r="B716" s="45" t="s">
        <v>414</v>
      </c>
      <c r="C716" s="45" t="s">
        <v>498</v>
      </c>
      <c r="D716" s="45" t="s">
        <v>501</v>
      </c>
      <c r="E716" s="45" t="s">
        <v>499</v>
      </c>
      <c r="F716" s="45" t="s">
        <v>500</v>
      </c>
      <c r="G716" s="14">
        <v>2664.8</v>
      </c>
      <c r="H716" s="14">
        <v>3516.5</v>
      </c>
      <c r="I716" s="14">
        <v>2494.3000000000002</v>
      </c>
      <c r="J716" s="14">
        <v>2579.8000000000002</v>
      </c>
      <c r="K716" s="14">
        <v>2135.1</v>
      </c>
      <c r="L716" s="14">
        <v>1815.3</v>
      </c>
      <c r="M716" s="14">
        <v>2351.5</v>
      </c>
      <c r="N716" s="14">
        <v>1986.3</v>
      </c>
      <c r="O716" s="14">
        <v>1703</v>
      </c>
      <c r="P716" s="14">
        <v>2168.6</v>
      </c>
      <c r="Q716" s="14">
        <v>1157.2</v>
      </c>
      <c r="R716" s="14">
        <v>1110.5999999999999</v>
      </c>
      <c r="S716" s="14">
        <v>1119.8</v>
      </c>
      <c r="T716" s="14">
        <v>1145.3</v>
      </c>
      <c r="U716" s="14">
        <v>1140</v>
      </c>
      <c r="V716" s="14">
        <v>1119.2</v>
      </c>
      <c r="W716" s="14">
        <v>485.5</v>
      </c>
      <c r="X716" s="14">
        <v>680.4</v>
      </c>
      <c r="Y716" s="14">
        <v>1183.7</v>
      </c>
      <c r="Z716" s="14">
        <v>822.5</v>
      </c>
      <c r="AA716" s="14"/>
      <c r="AB716" s="14"/>
      <c r="AC716" s="15">
        <f>IFERROR(Z716/G716-1,"")</f>
        <v>-0.69134644250975685</v>
      </c>
      <c r="AD716" s="15">
        <f>IFERROR((Z716/G716)^(1/19)-1,"")</f>
        <v>-5.9995207649915505E-2</v>
      </c>
    </row>
    <row r="717" spans="1:30">
      <c r="A717" s="45" t="s">
        <v>185</v>
      </c>
      <c r="B717" s="45" t="s">
        <v>186</v>
      </c>
      <c r="C717" s="45" t="s">
        <v>490</v>
      </c>
      <c r="D717" s="45" t="s">
        <v>491</v>
      </c>
      <c r="E717" s="45" t="s">
        <v>492</v>
      </c>
      <c r="F717" s="45" t="s">
        <v>493</v>
      </c>
      <c r="G717" s="14">
        <v>25289</v>
      </c>
      <c r="H717" s="14">
        <v>26804</v>
      </c>
      <c r="I717" s="14">
        <v>28289</v>
      </c>
      <c r="J717" s="14">
        <v>32174</v>
      </c>
      <c r="K717" s="14">
        <v>37817</v>
      </c>
      <c r="L717" s="14">
        <v>41449</v>
      </c>
      <c r="M717" s="14">
        <v>45772</v>
      </c>
      <c r="N717" s="14">
        <v>52150</v>
      </c>
      <c r="O717" s="14">
        <v>59904</v>
      </c>
      <c r="P717" s="14">
        <v>74656</v>
      </c>
      <c r="Q717" s="14">
        <v>106752</v>
      </c>
      <c r="R717" s="14">
        <v>147386</v>
      </c>
      <c r="S717" s="14">
        <v>153865</v>
      </c>
      <c r="T717" s="14">
        <v>130345</v>
      </c>
      <c r="U717" s="14">
        <v>141617</v>
      </c>
      <c r="V717" s="14">
        <v>262202</v>
      </c>
      <c r="W717" s="14">
        <v>277064</v>
      </c>
      <c r="X717" s="14">
        <v>224623</v>
      </c>
      <c r="Y717" s="14">
        <v>245743</v>
      </c>
      <c r="Z717" s="14">
        <v>269032</v>
      </c>
      <c r="AA717" s="14">
        <v>291874</v>
      </c>
      <c r="AB717" s="14">
        <v>326107</v>
      </c>
    </row>
    <row r="718" spans="1:30">
      <c r="A718" s="45" t="s">
        <v>185</v>
      </c>
      <c r="B718" s="45" t="s">
        <v>186</v>
      </c>
      <c r="C718" s="45" t="s">
        <v>490</v>
      </c>
      <c r="D718" s="45" t="s">
        <v>494</v>
      </c>
      <c r="E718" s="45" t="s">
        <v>492</v>
      </c>
      <c r="F718" s="45" t="s">
        <v>493</v>
      </c>
      <c r="G718" s="14">
        <v>24425</v>
      </c>
      <c r="H718" s="14">
        <v>26021</v>
      </c>
      <c r="I718" s="14">
        <v>27358</v>
      </c>
      <c r="J718" s="14">
        <v>31079</v>
      </c>
      <c r="K718" s="14">
        <v>36051</v>
      </c>
      <c r="L718" s="14">
        <v>39319</v>
      </c>
      <c r="M718" s="14">
        <v>43653</v>
      </c>
      <c r="N718" s="14">
        <v>49851</v>
      </c>
      <c r="O718" s="14">
        <v>56874</v>
      </c>
      <c r="P718" s="14">
        <v>70724</v>
      </c>
      <c r="Q718" s="14">
        <v>100720</v>
      </c>
      <c r="R718" s="14">
        <v>138296</v>
      </c>
      <c r="S718" s="14">
        <v>142434</v>
      </c>
      <c r="T718" s="14">
        <v>118213</v>
      </c>
      <c r="U718" s="14">
        <v>124569</v>
      </c>
      <c r="V718" s="14">
        <v>221308</v>
      </c>
      <c r="W718" s="14">
        <v>240126</v>
      </c>
      <c r="X718" s="14">
        <v>202921</v>
      </c>
      <c r="Y718" s="14">
        <v>220303</v>
      </c>
      <c r="Z718" s="14">
        <v>236730</v>
      </c>
      <c r="AA718" s="14"/>
      <c r="AB718" s="14"/>
    </row>
    <row r="719" spans="1:30">
      <c r="A719" s="45" t="s">
        <v>185</v>
      </c>
      <c r="B719" s="45" t="s">
        <v>186</v>
      </c>
      <c r="C719" s="45" t="s">
        <v>490</v>
      </c>
      <c r="D719" s="45" t="s">
        <v>495</v>
      </c>
      <c r="E719" s="45" t="s">
        <v>492</v>
      </c>
      <c r="F719" s="45" t="s">
        <v>493</v>
      </c>
      <c r="G719" s="14">
        <v>1289</v>
      </c>
      <c r="H719" s="14">
        <v>875</v>
      </c>
      <c r="I719" s="14">
        <v>982</v>
      </c>
      <c r="J719" s="14">
        <v>1205</v>
      </c>
      <c r="K719" s="14">
        <v>1262</v>
      </c>
      <c r="L719" s="14">
        <v>1340</v>
      </c>
      <c r="M719" s="14">
        <v>1561</v>
      </c>
      <c r="N719" s="14">
        <v>1880</v>
      </c>
      <c r="O719" s="14">
        <v>1566</v>
      </c>
      <c r="P719" s="14">
        <v>2159</v>
      </c>
      <c r="Q719" s="14">
        <v>23389</v>
      </c>
      <c r="R719" s="14">
        <v>50084</v>
      </c>
      <c r="S719" s="14">
        <v>42802</v>
      </c>
      <c r="T719" s="14">
        <v>12449</v>
      </c>
      <c r="U719" s="14">
        <v>13281</v>
      </c>
      <c r="V719" s="14">
        <v>77967</v>
      </c>
      <c r="W719" s="14">
        <v>110354</v>
      </c>
      <c r="X719" s="14">
        <v>65802</v>
      </c>
      <c r="Y719" s="14">
        <v>69904</v>
      </c>
      <c r="Z719" s="14">
        <v>77170</v>
      </c>
      <c r="AA719" s="14"/>
      <c r="AB719" s="14"/>
    </row>
    <row r="720" spans="1:30">
      <c r="A720" s="45" t="s">
        <v>185</v>
      </c>
      <c r="B720" s="45" t="s">
        <v>186</v>
      </c>
      <c r="C720" s="45" t="s">
        <v>490</v>
      </c>
      <c r="D720" s="45" t="s">
        <v>496</v>
      </c>
      <c r="E720" s="45" t="s">
        <v>492</v>
      </c>
      <c r="F720" s="45" t="s">
        <v>493</v>
      </c>
      <c r="G720" s="14">
        <v>3821</v>
      </c>
      <c r="H720" s="14">
        <v>4286</v>
      </c>
      <c r="I720" s="14">
        <v>4579</v>
      </c>
      <c r="J720" s="14">
        <v>5531</v>
      </c>
      <c r="K720" s="14">
        <v>6392</v>
      </c>
      <c r="L720" s="14">
        <v>6817</v>
      </c>
      <c r="M720" s="14">
        <v>6986</v>
      </c>
      <c r="N720" s="14">
        <v>8504</v>
      </c>
      <c r="O720" s="14">
        <v>10358</v>
      </c>
      <c r="P720" s="14">
        <v>16668</v>
      </c>
      <c r="Q720" s="14">
        <v>20433</v>
      </c>
      <c r="R720" s="14">
        <v>25338</v>
      </c>
      <c r="S720" s="14">
        <v>29610</v>
      </c>
      <c r="T720" s="14">
        <v>29508</v>
      </c>
      <c r="U720" s="14">
        <v>31328</v>
      </c>
      <c r="V720" s="14">
        <v>54203</v>
      </c>
      <c r="W720" s="14">
        <v>43998</v>
      </c>
      <c r="X720" s="14">
        <v>37553</v>
      </c>
      <c r="Y720" s="14">
        <v>41930</v>
      </c>
      <c r="Z720" s="14">
        <v>47028</v>
      </c>
      <c r="AA720" s="14"/>
      <c r="AB720" s="14"/>
    </row>
    <row r="721" spans="1:30">
      <c r="A721" s="45" t="s">
        <v>185</v>
      </c>
      <c r="B721" s="45" t="s">
        <v>186</v>
      </c>
      <c r="C721" s="45" t="s">
        <v>490</v>
      </c>
      <c r="D721" s="45" t="s">
        <v>497</v>
      </c>
      <c r="E721" s="45" t="s">
        <v>492</v>
      </c>
      <c r="F721" s="45" t="s">
        <v>493</v>
      </c>
      <c r="G721" s="14">
        <v>15054</v>
      </c>
      <c r="H721" s="14">
        <v>16645</v>
      </c>
      <c r="I721" s="14">
        <v>17054</v>
      </c>
      <c r="J721" s="14">
        <v>21096</v>
      </c>
      <c r="K721" s="14">
        <v>24106</v>
      </c>
      <c r="L721" s="14">
        <v>27958</v>
      </c>
      <c r="M721" s="14">
        <v>31161</v>
      </c>
      <c r="N721" s="14">
        <v>34541</v>
      </c>
      <c r="O721" s="14">
        <v>40029</v>
      </c>
      <c r="P721" s="14">
        <v>46668</v>
      </c>
      <c r="Q721" s="14">
        <v>52249</v>
      </c>
      <c r="R721" s="14">
        <v>57912</v>
      </c>
      <c r="S721" s="14">
        <v>63931</v>
      </c>
      <c r="T721" s="14">
        <v>69537</v>
      </c>
      <c r="U721" s="14">
        <v>72254</v>
      </c>
      <c r="V721" s="14">
        <v>79800</v>
      </c>
      <c r="W721" s="14">
        <v>78059</v>
      </c>
      <c r="X721" s="14">
        <v>88939</v>
      </c>
      <c r="Y721" s="14">
        <v>93062</v>
      </c>
      <c r="Z721" s="14">
        <v>97120</v>
      </c>
      <c r="AA721" s="14"/>
      <c r="AB721" s="14"/>
    </row>
    <row r="722" spans="1:30">
      <c r="A722" s="45" t="s">
        <v>185</v>
      </c>
      <c r="B722" s="45" t="s">
        <v>186</v>
      </c>
      <c r="C722" s="45" t="s">
        <v>498</v>
      </c>
      <c r="D722" s="45" t="s">
        <v>491</v>
      </c>
      <c r="E722" s="45" t="s">
        <v>499</v>
      </c>
      <c r="F722" s="45" t="s">
        <v>500</v>
      </c>
      <c r="G722" s="14">
        <v>48043.5</v>
      </c>
      <c r="H722" s="14">
        <v>44632.4</v>
      </c>
      <c r="I722" s="14">
        <v>43715.8</v>
      </c>
      <c r="J722" s="14">
        <v>46279.6</v>
      </c>
      <c r="K722" s="14">
        <v>50945.8</v>
      </c>
      <c r="L722" s="14">
        <v>52461.2</v>
      </c>
      <c r="M722" s="14">
        <v>53257.3</v>
      </c>
      <c r="N722" s="14">
        <v>56542.8</v>
      </c>
      <c r="O722" s="14">
        <v>59904</v>
      </c>
      <c r="P722" s="14">
        <v>68922.600000000006</v>
      </c>
      <c r="Q722" s="14">
        <v>91301.5</v>
      </c>
      <c r="R722" s="14">
        <v>117255</v>
      </c>
      <c r="S722" s="14">
        <v>113503.2</v>
      </c>
      <c r="T722" s="14">
        <v>89389.6</v>
      </c>
      <c r="U722" s="14">
        <v>89839.6</v>
      </c>
      <c r="V722" s="14">
        <v>160446.20000000001</v>
      </c>
      <c r="W722" s="14">
        <v>162249.79999999999</v>
      </c>
      <c r="X722" s="14">
        <v>126208.7</v>
      </c>
      <c r="Y722" s="14">
        <v>129681.8</v>
      </c>
      <c r="Z722" s="14">
        <v>125586.1</v>
      </c>
      <c r="AA722" s="14"/>
      <c r="AB722" s="14"/>
      <c r="AC722" s="15">
        <f>IFERROR(Z722/G722-1,"")</f>
        <v>1.614008138457856</v>
      </c>
      <c r="AD722" s="15">
        <f>IFERROR((Z722/G722)^(1/19)-1,"")</f>
        <v>5.187352158037517E-2</v>
      </c>
    </row>
    <row r="723" spans="1:30">
      <c r="A723" s="45" t="s">
        <v>185</v>
      </c>
      <c r="B723" s="45" t="s">
        <v>186</v>
      </c>
      <c r="C723" s="45" t="s">
        <v>498</v>
      </c>
      <c r="D723" s="45" t="s">
        <v>495</v>
      </c>
      <c r="E723" s="45" t="s">
        <v>499</v>
      </c>
      <c r="F723" s="45" t="s">
        <v>500</v>
      </c>
      <c r="G723" s="14">
        <v>2449.4</v>
      </c>
      <c r="H723" s="14">
        <v>1456.5</v>
      </c>
      <c r="I723" s="14">
        <v>1517.7</v>
      </c>
      <c r="J723" s="14">
        <v>1733.1</v>
      </c>
      <c r="K723" s="14">
        <v>1700.3</v>
      </c>
      <c r="L723" s="14">
        <v>1696.1</v>
      </c>
      <c r="M723" s="14">
        <v>1816</v>
      </c>
      <c r="N723" s="14">
        <v>2038.4</v>
      </c>
      <c r="O723" s="14">
        <v>1566</v>
      </c>
      <c r="P723" s="14">
        <v>1993.2</v>
      </c>
      <c r="Q723" s="14">
        <v>20003.900000000001</v>
      </c>
      <c r="R723" s="14">
        <v>39845</v>
      </c>
      <c r="S723" s="14">
        <v>31574.2</v>
      </c>
      <c r="T723" s="14">
        <v>8537.4</v>
      </c>
      <c r="U723" s="14">
        <v>8425.2999999999993</v>
      </c>
      <c r="V723" s="14">
        <v>47709.4</v>
      </c>
      <c r="W723" s="14">
        <v>64623.7</v>
      </c>
      <c r="X723" s="14">
        <v>36972.1</v>
      </c>
      <c r="Y723" s="14">
        <v>36889.199999999997</v>
      </c>
      <c r="Z723" s="14">
        <v>36023.5</v>
      </c>
      <c r="AA723" s="14"/>
      <c r="AB723" s="14"/>
      <c r="AC723" s="15">
        <f>IFERROR(Z723/G723-1,"")</f>
        <v>13.707071119457826</v>
      </c>
      <c r="AD723" s="15">
        <f>IFERROR((Z723/G723)^(1/19)-1,"")</f>
        <v>0.15199010032822091</v>
      </c>
    </row>
    <row r="724" spans="1:30">
      <c r="A724" s="45" t="s">
        <v>185</v>
      </c>
      <c r="B724" s="45" t="s">
        <v>186</v>
      </c>
      <c r="C724" s="45" t="s">
        <v>498</v>
      </c>
      <c r="D724" s="45" t="s">
        <v>496</v>
      </c>
      <c r="E724" s="45" t="s">
        <v>499</v>
      </c>
      <c r="F724" s="45" t="s">
        <v>500</v>
      </c>
      <c r="G724" s="14">
        <v>7259.2</v>
      </c>
      <c r="H724" s="14">
        <v>7137.4</v>
      </c>
      <c r="I724" s="14">
        <v>7076.2</v>
      </c>
      <c r="J724" s="14">
        <v>7955.4</v>
      </c>
      <c r="K724" s="14">
        <v>8610.9</v>
      </c>
      <c r="L724" s="14">
        <v>8627.9</v>
      </c>
      <c r="M724" s="14">
        <v>8128.5</v>
      </c>
      <c r="N724" s="14">
        <v>9220.2999999999993</v>
      </c>
      <c r="O724" s="14">
        <v>10358</v>
      </c>
      <c r="P724" s="14">
        <v>15387.9</v>
      </c>
      <c r="Q724" s="14">
        <v>17475.7</v>
      </c>
      <c r="R724" s="14">
        <v>20158</v>
      </c>
      <c r="S724" s="14">
        <v>21842.7</v>
      </c>
      <c r="T724" s="14">
        <v>20236.400000000001</v>
      </c>
      <c r="U724" s="14">
        <v>19874</v>
      </c>
      <c r="V724" s="14">
        <v>33167.800000000003</v>
      </c>
      <c r="W724" s="14">
        <v>25765.4</v>
      </c>
      <c r="X724" s="14">
        <v>21099.9</v>
      </c>
      <c r="Y724" s="14">
        <v>22127</v>
      </c>
      <c r="Z724" s="14">
        <v>21953.5</v>
      </c>
      <c r="AA724" s="14"/>
      <c r="AB724" s="14"/>
      <c r="AC724" s="15">
        <f>IFERROR(Z724/G724-1,"")</f>
        <v>2.0242313202556756</v>
      </c>
      <c r="AD724" s="15">
        <f>IFERROR((Z724/G724)^(1/19)-1,"")</f>
        <v>5.9974766488743558E-2</v>
      </c>
    </row>
    <row r="725" spans="1:30">
      <c r="A725" s="45" t="s">
        <v>185</v>
      </c>
      <c r="B725" s="45" t="s">
        <v>186</v>
      </c>
      <c r="C725" s="45" t="s">
        <v>498</v>
      </c>
      <c r="D725" s="45" t="s">
        <v>497</v>
      </c>
      <c r="E725" s="45" t="s">
        <v>499</v>
      </c>
      <c r="F725" s="45" t="s">
        <v>500</v>
      </c>
      <c r="G725" s="14">
        <v>28598.400000000001</v>
      </c>
      <c r="H725" s="14">
        <v>27715.200000000001</v>
      </c>
      <c r="I725" s="14">
        <v>26353.7</v>
      </c>
      <c r="J725" s="14">
        <v>30345.4</v>
      </c>
      <c r="K725" s="14">
        <v>32475.200000000001</v>
      </c>
      <c r="L725" s="14">
        <v>35385.300000000003</v>
      </c>
      <c r="M725" s="14">
        <v>36257.1</v>
      </c>
      <c r="N725" s="14">
        <v>37450.5</v>
      </c>
      <c r="O725" s="14">
        <v>40029</v>
      </c>
      <c r="P725" s="14">
        <v>43084</v>
      </c>
      <c r="Q725" s="14">
        <v>44686.9</v>
      </c>
      <c r="R725" s="14">
        <v>46072.7</v>
      </c>
      <c r="S725" s="14">
        <v>47160.6</v>
      </c>
      <c r="T725" s="14">
        <v>47687.9</v>
      </c>
      <c r="U725" s="14">
        <v>45836.800000000003</v>
      </c>
      <c r="V725" s="14">
        <v>48831.1</v>
      </c>
      <c r="W725" s="14">
        <v>45711.7</v>
      </c>
      <c r="X725" s="14">
        <v>49972.1</v>
      </c>
      <c r="Y725" s="14">
        <v>49110</v>
      </c>
      <c r="Z725" s="14">
        <v>45337.7</v>
      </c>
      <c r="AA725" s="14"/>
      <c r="AB725" s="14"/>
      <c r="AC725" s="15">
        <f>IFERROR(Z725/G725-1,"")</f>
        <v>0.5853229551303567</v>
      </c>
      <c r="AD725" s="15">
        <f>IFERROR((Z725/G725)^(1/19)-1,"")</f>
        <v>2.4548479328440731E-2</v>
      </c>
    </row>
    <row r="726" spans="1:30">
      <c r="A726" s="45" t="s">
        <v>185</v>
      </c>
      <c r="B726" s="45" t="s">
        <v>186</v>
      </c>
      <c r="C726" s="45" t="s">
        <v>498</v>
      </c>
      <c r="D726" s="45" t="s">
        <v>501</v>
      </c>
      <c r="E726" s="45" t="s">
        <v>499</v>
      </c>
      <c r="F726" s="45" t="s">
        <v>500</v>
      </c>
      <c r="G726" s="14">
        <v>8095</v>
      </c>
      <c r="H726" s="14">
        <v>7018.4</v>
      </c>
      <c r="I726" s="14">
        <v>7329.5</v>
      </c>
      <c r="J726" s="14">
        <v>4670.6000000000004</v>
      </c>
      <c r="K726" s="14">
        <v>5780.4</v>
      </c>
      <c r="L726" s="14">
        <v>4056.1</v>
      </c>
      <c r="M726" s="14">
        <v>4589.5</v>
      </c>
      <c r="N726" s="14">
        <v>5340.9</v>
      </c>
      <c r="O726" s="14">
        <v>4920</v>
      </c>
      <c r="P726" s="14">
        <v>4827.3999999999996</v>
      </c>
      <c r="Q726" s="14">
        <v>3975.3</v>
      </c>
      <c r="R726" s="14">
        <v>3947.6</v>
      </c>
      <c r="S726" s="14">
        <v>4492.5</v>
      </c>
      <c r="T726" s="14">
        <v>4607.8</v>
      </c>
      <c r="U726" s="14">
        <v>4888.6000000000004</v>
      </c>
      <c r="V726" s="14">
        <v>5713.5</v>
      </c>
      <c r="W726" s="14">
        <v>4517.8999999999996</v>
      </c>
      <c r="X726" s="14">
        <v>5971</v>
      </c>
      <c r="Y726" s="14">
        <v>8130.5</v>
      </c>
      <c r="Z726" s="14">
        <v>7194.4</v>
      </c>
      <c r="AA726" s="14"/>
      <c r="AB726" s="14"/>
      <c r="AC726" s="15">
        <f>IFERROR(Z726/G726-1,"")</f>
        <v>-0.11125386040765906</v>
      </c>
      <c r="AD726" s="15">
        <f>IFERROR((Z726/G726)^(1/19)-1,"")</f>
        <v>-6.18833298350141E-3</v>
      </c>
    </row>
    <row r="727" spans="1:30">
      <c r="A727" s="45" t="s">
        <v>291</v>
      </c>
      <c r="B727" s="45" t="s">
        <v>292</v>
      </c>
      <c r="C727" s="45" t="s">
        <v>490</v>
      </c>
      <c r="D727" s="45" t="s">
        <v>491</v>
      </c>
      <c r="E727" s="45" t="s">
        <v>492</v>
      </c>
      <c r="F727" s="45" t="s">
        <v>493</v>
      </c>
      <c r="G727" s="14">
        <v>14672</v>
      </c>
      <c r="H727" s="14">
        <v>17128</v>
      </c>
      <c r="I727" s="14">
        <v>20967</v>
      </c>
      <c r="J727" s="14">
        <v>20952</v>
      </c>
      <c r="K727" s="14">
        <v>23778</v>
      </c>
      <c r="L727" s="14">
        <v>28119</v>
      </c>
      <c r="M727" s="14">
        <v>31675</v>
      </c>
      <c r="N727" s="14">
        <v>31977</v>
      </c>
      <c r="O727" s="14">
        <v>36720</v>
      </c>
      <c r="P727" s="14">
        <v>40499</v>
      </c>
      <c r="Q727" s="14">
        <v>43974</v>
      </c>
      <c r="R727" s="14">
        <v>58307</v>
      </c>
      <c r="S727" s="14">
        <v>48420</v>
      </c>
      <c r="T727" s="14">
        <v>57264</v>
      </c>
      <c r="U727" s="14">
        <v>58352</v>
      </c>
      <c r="V727" s="14">
        <v>66345</v>
      </c>
      <c r="W727" s="14">
        <v>74833</v>
      </c>
      <c r="X727" s="14">
        <v>81739</v>
      </c>
      <c r="Y727" s="14">
        <v>88211</v>
      </c>
      <c r="Z727" s="14">
        <v>94311</v>
      </c>
      <c r="AA727" s="14">
        <v>113114</v>
      </c>
      <c r="AB727" s="14">
        <v>124483</v>
      </c>
    </row>
    <row r="728" spans="1:30">
      <c r="A728" s="45" t="s">
        <v>291</v>
      </c>
      <c r="B728" s="45" t="s">
        <v>292</v>
      </c>
      <c r="C728" s="45" t="s">
        <v>490</v>
      </c>
      <c r="D728" s="45" t="s">
        <v>494</v>
      </c>
      <c r="E728" s="45" t="s">
        <v>492</v>
      </c>
      <c r="F728" s="45" t="s">
        <v>493</v>
      </c>
      <c r="G728" s="14">
        <v>14184</v>
      </c>
      <c r="H728" s="14">
        <v>16650</v>
      </c>
      <c r="I728" s="14">
        <v>20305</v>
      </c>
      <c r="J728" s="14">
        <v>20258</v>
      </c>
      <c r="K728" s="14">
        <v>22498</v>
      </c>
      <c r="L728" s="14">
        <v>26008</v>
      </c>
      <c r="M728" s="14">
        <v>29650</v>
      </c>
      <c r="N728" s="14">
        <v>30459</v>
      </c>
      <c r="O728" s="14">
        <v>34318</v>
      </c>
      <c r="P728" s="14">
        <v>38290</v>
      </c>
      <c r="Q728" s="14">
        <v>41778</v>
      </c>
      <c r="R728" s="14">
        <v>55892</v>
      </c>
      <c r="S728" s="14">
        <v>46314</v>
      </c>
      <c r="T728" s="14">
        <v>54220</v>
      </c>
      <c r="U728" s="14">
        <v>56455</v>
      </c>
      <c r="V728" s="14">
        <v>64512</v>
      </c>
      <c r="W728" s="14">
        <v>71819</v>
      </c>
      <c r="X728" s="14">
        <v>78696</v>
      </c>
      <c r="Y728" s="14">
        <v>84601</v>
      </c>
      <c r="Z728" s="14">
        <v>89408</v>
      </c>
      <c r="AA728" s="14"/>
      <c r="AB728" s="14"/>
    </row>
    <row r="729" spans="1:30">
      <c r="A729" s="45" t="s">
        <v>291</v>
      </c>
      <c r="B729" s="45" t="s">
        <v>292</v>
      </c>
      <c r="C729" s="45" t="s">
        <v>490</v>
      </c>
      <c r="D729" s="45" t="s">
        <v>495</v>
      </c>
      <c r="E729" s="45" t="s">
        <v>492</v>
      </c>
      <c r="F729" s="45" t="s">
        <v>493</v>
      </c>
      <c r="G729" s="14">
        <v>678</v>
      </c>
      <c r="H729" s="14">
        <v>510</v>
      </c>
      <c r="I729" s="14">
        <v>727</v>
      </c>
      <c r="J729" s="14">
        <v>724</v>
      </c>
      <c r="K729" s="14">
        <v>775</v>
      </c>
      <c r="L729" s="14">
        <v>1230</v>
      </c>
      <c r="M729" s="14">
        <v>1361</v>
      </c>
      <c r="N729" s="14">
        <v>1540</v>
      </c>
      <c r="O729" s="14">
        <v>1173</v>
      </c>
      <c r="P729" s="14">
        <v>2931</v>
      </c>
      <c r="Q729" s="14">
        <v>1456</v>
      </c>
      <c r="R729" s="14">
        <v>1790</v>
      </c>
      <c r="S729" s="14">
        <v>1514</v>
      </c>
      <c r="T729" s="14">
        <v>2035</v>
      </c>
      <c r="U729" s="14">
        <v>2434</v>
      </c>
      <c r="V729" s="14">
        <v>2623</v>
      </c>
      <c r="W729" s="14">
        <v>2706</v>
      </c>
      <c r="X729" s="14">
        <v>2847</v>
      </c>
      <c r="Y729" s="14">
        <v>2852</v>
      </c>
      <c r="Z729" s="14">
        <v>3545</v>
      </c>
      <c r="AA729" s="14"/>
      <c r="AB729" s="14"/>
    </row>
    <row r="730" spans="1:30">
      <c r="A730" s="45" t="s">
        <v>291</v>
      </c>
      <c r="B730" s="45" t="s">
        <v>292</v>
      </c>
      <c r="C730" s="45" t="s">
        <v>490</v>
      </c>
      <c r="D730" s="45" t="s">
        <v>496</v>
      </c>
      <c r="E730" s="45" t="s">
        <v>492</v>
      </c>
      <c r="F730" s="45" t="s">
        <v>493</v>
      </c>
      <c r="G730" s="14">
        <v>2679</v>
      </c>
      <c r="H730" s="14">
        <v>3079</v>
      </c>
      <c r="I730" s="14">
        <v>3810</v>
      </c>
      <c r="J730" s="14">
        <v>3782</v>
      </c>
      <c r="K730" s="14">
        <v>4215</v>
      </c>
      <c r="L730" s="14">
        <v>4737</v>
      </c>
      <c r="M730" s="14">
        <v>5021</v>
      </c>
      <c r="N730" s="14">
        <v>5827</v>
      </c>
      <c r="O730" s="14">
        <v>7279</v>
      </c>
      <c r="P730" s="14">
        <v>7281</v>
      </c>
      <c r="Q730" s="14">
        <v>8594</v>
      </c>
      <c r="R730" s="14">
        <v>11525</v>
      </c>
      <c r="S730" s="14">
        <v>9345</v>
      </c>
      <c r="T730" s="14">
        <v>11715</v>
      </c>
      <c r="U730" s="14">
        <v>12577</v>
      </c>
      <c r="V730" s="14">
        <v>14310</v>
      </c>
      <c r="W730" s="14">
        <v>18983</v>
      </c>
      <c r="X730" s="14">
        <v>21262</v>
      </c>
      <c r="Y730" s="14">
        <v>23945</v>
      </c>
      <c r="Z730" s="14">
        <v>26199</v>
      </c>
      <c r="AA730" s="14"/>
      <c r="AB730" s="14"/>
    </row>
    <row r="731" spans="1:30">
      <c r="A731" s="45" t="s">
        <v>291</v>
      </c>
      <c r="B731" s="45" t="s">
        <v>292</v>
      </c>
      <c r="C731" s="45" t="s">
        <v>490</v>
      </c>
      <c r="D731" s="45" t="s">
        <v>497</v>
      </c>
      <c r="E731" s="45" t="s">
        <v>492</v>
      </c>
      <c r="F731" s="45" t="s">
        <v>493</v>
      </c>
      <c r="G731" s="14">
        <v>8551</v>
      </c>
      <c r="H731" s="14">
        <v>8851</v>
      </c>
      <c r="I731" s="14">
        <v>10215</v>
      </c>
      <c r="J731" s="14">
        <v>11741</v>
      </c>
      <c r="K731" s="14">
        <v>13298</v>
      </c>
      <c r="L731" s="14">
        <v>15623</v>
      </c>
      <c r="M731" s="14">
        <v>18104</v>
      </c>
      <c r="N731" s="14">
        <v>19452</v>
      </c>
      <c r="O731" s="14">
        <v>22287</v>
      </c>
      <c r="P731" s="14">
        <v>24263</v>
      </c>
      <c r="Q731" s="14">
        <v>29355</v>
      </c>
      <c r="R731" s="14">
        <v>39499</v>
      </c>
      <c r="S731" s="14">
        <v>32628</v>
      </c>
      <c r="T731" s="14">
        <v>36962</v>
      </c>
      <c r="U731" s="14">
        <v>37845</v>
      </c>
      <c r="V731" s="14">
        <v>43701</v>
      </c>
      <c r="W731" s="14">
        <v>45415</v>
      </c>
      <c r="X731" s="14">
        <v>50409</v>
      </c>
      <c r="Y731" s="14">
        <v>53258</v>
      </c>
      <c r="Z731" s="14">
        <v>55367</v>
      </c>
      <c r="AA731" s="14"/>
      <c r="AB731" s="14"/>
    </row>
    <row r="732" spans="1:30">
      <c r="A732" s="45" t="s">
        <v>291</v>
      </c>
      <c r="B732" s="45" t="s">
        <v>292</v>
      </c>
      <c r="C732" s="45" t="s">
        <v>498</v>
      </c>
      <c r="D732" s="45" t="s">
        <v>491</v>
      </c>
      <c r="E732" s="45" t="s">
        <v>499</v>
      </c>
      <c r="F732" s="45" t="s">
        <v>500</v>
      </c>
      <c r="G732" s="14">
        <v>27873.1</v>
      </c>
      <c r="H732" s="14">
        <v>28519.4</v>
      </c>
      <c r="I732" s="14">
        <v>32401.3</v>
      </c>
      <c r="J732" s="14">
        <v>30138.3</v>
      </c>
      <c r="K732" s="14">
        <v>32033.1</v>
      </c>
      <c r="L732" s="14">
        <v>35589.9</v>
      </c>
      <c r="M732" s="14">
        <v>36855.199999999997</v>
      </c>
      <c r="N732" s="14">
        <v>34670.5</v>
      </c>
      <c r="O732" s="14">
        <v>36720</v>
      </c>
      <c r="P732" s="14">
        <v>37388.800000000003</v>
      </c>
      <c r="Q732" s="14">
        <v>37609.5</v>
      </c>
      <c r="R732" s="14">
        <v>46386.9</v>
      </c>
      <c r="S732" s="14">
        <v>35718.5</v>
      </c>
      <c r="T732" s="14">
        <v>39271.199999999997</v>
      </c>
      <c r="U732" s="14">
        <v>37017.599999999999</v>
      </c>
      <c r="V732" s="14">
        <v>40597.699999999997</v>
      </c>
      <c r="W732" s="14">
        <v>43822.5</v>
      </c>
      <c r="X732" s="14">
        <v>45926.6</v>
      </c>
      <c r="Y732" s="14">
        <v>46550.1</v>
      </c>
      <c r="Z732" s="14">
        <v>44025.1</v>
      </c>
      <c r="AA732" s="14"/>
      <c r="AB732" s="14"/>
      <c r="AC732" s="15">
        <f>IFERROR(Z732/G732-1,"")</f>
        <v>0.57948344461147139</v>
      </c>
      <c r="AD732" s="15">
        <f>IFERROR((Z732/G732)^(1/19)-1,"")</f>
        <v>2.4349505240461422E-2</v>
      </c>
    </row>
    <row r="733" spans="1:30">
      <c r="A733" s="45" t="s">
        <v>291</v>
      </c>
      <c r="B733" s="45" t="s">
        <v>292</v>
      </c>
      <c r="C733" s="45" t="s">
        <v>498</v>
      </c>
      <c r="D733" s="45" t="s">
        <v>495</v>
      </c>
      <c r="E733" s="45" t="s">
        <v>499</v>
      </c>
      <c r="F733" s="45" t="s">
        <v>500</v>
      </c>
      <c r="G733" s="14">
        <v>1287.4000000000001</v>
      </c>
      <c r="H733" s="14">
        <v>849</v>
      </c>
      <c r="I733" s="14">
        <v>1123.5999999999999</v>
      </c>
      <c r="J733" s="14">
        <v>1041.2</v>
      </c>
      <c r="K733" s="14">
        <v>1043.7</v>
      </c>
      <c r="L733" s="14">
        <v>1556.6</v>
      </c>
      <c r="M733" s="14">
        <v>1583.5</v>
      </c>
      <c r="N733" s="14">
        <v>1669.7</v>
      </c>
      <c r="O733" s="14">
        <v>1173</v>
      </c>
      <c r="P733" s="14">
        <v>2705.9</v>
      </c>
      <c r="Q733" s="14">
        <v>1245.3</v>
      </c>
      <c r="R733" s="14">
        <v>1424.1</v>
      </c>
      <c r="S733" s="14">
        <v>1116.8</v>
      </c>
      <c r="T733" s="14">
        <v>1395.6</v>
      </c>
      <c r="U733" s="14">
        <v>1544.1</v>
      </c>
      <c r="V733" s="14">
        <v>1605.1</v>
      </c>
      <c r="W733" s="14">
        <v>1584.6</v>
      </c>
      <c r="X733" s="14">
        <v>1599.6</v>
      </c>
      <c r="Y733" s="14">
        <v>1505</v>
      </c>
      <c r="Z733" s="14">
        <v>1654.8</v>
      </c>
      <c r="AA733" s="14"/>
      <c r="AB733" s="14"/>
      <c r="AC733" s="15">
        <f>IFERROR(Z733/G733-1,"")</f>
        <v>0.2853813888457355</v>
      </c>
      <c r="AD733" s="15">
        <f>IFERROR((Z733/G733)^(1/19)-1,"")</f>
        <v>1.3301129403379575E-2</v>
      </c>
    </row>
    <row r="734" spans="1:30">
      <c r="A734" s="45" t="s">
        <v>291</v>
      </c>
      <c r="B734" s="45" t="s">
        <v>292</v>
      </c>
      <c r="C734" s="45" t="s">
        <v>498</v>
      </c>
      <c r="D734" s="45" t="s">
        <v>496</v>
      </c>
      <c r="E734" s="45" t="s">
        <v>499</v>
      </c>
      <c r="F734" s="45" t="s">
        <v>500</v>
      </c>
      <c r="G734" s="14">
        <v>5089.8</v>
      </c>
      <c r="H734" s="14">
        <v>5127.3</v>
      </c>
      <c r="I734" s="14">
        <v>5888.1</v>
      </c>
      <c r="J734" s="14">
        <v>5440.1</v>
      </c>
      <c r="K734" s="14">
        <v>5678.1</v>
      </c>
      <c r="L734" s="14">
        <v>5995.9</v>
      </c>
      <c r="M734" s="14">
        <v>5842.3</v>
      </c>
      <c r="N734" s="14">
        <v>6317.8</v>
      </c>
      <c r="O734" s="14">
        <v>7279</v>
      </c>
      <c r="P734" s="14">
        <v>6721.8</v>
      </c>
      <c r="Q734" s="14">
        <v>7350.2</v>
      </c>
      <c r="R734" s="14">
        <v>9168.9</v>
      </c>
      <c r="S734" s="14">
        <v>6893.6</v>
      </c>
      <c r="T734" s="14">
        <v>8034.1</v>
      </c>
      <c r="U734" s="14">
        <v>7978.6</v>
      </c>
      <c r="V734" s="14">
        <v>8756.5</v>
      </c>
      <c r="W734" s="14">
        <v>11116.5</v>
      </c>
      <c r="X734" s="14">
        <v>11946.5</v>
      </c>
      <c r="Y734" s="14">
        <v>12636.1</v>
      </c>
      <c r="Z734" s="14">
        <v>12230.4</v>
      </c>
      <c r="AA734" s="14"/>
      <c r="AB734" s="14"/>
      <c r="AC734" s="15">
        <f>IFERROR(Z734/G734-1,"")</f>
        <v>1.4029234940469171</v>
      </c>
      <c r="AD734" s="15">
        <f>IFERROR((Z734/G734)^(1/19)-1,"")</f>
        <v>4.7222451211435867E-2</v>
      </c>
    </row>
    <row r="735" spans="1:30">
      <c r="A735" s="45" t="s">
        <v>291</v>
      </c>
      <c r="B735" s="45" t="s">
        <v>292</v>
      </c>
      <c r="C735" s="45" t="s">
        <v>498</v>
      </c>
      <c r="D735" s="45" t="s">
        <v>497</v>
      </c>
      <c r="E735" s="45" t="s">
        <v>499</v>
      </c>
      <c r="F735" s="45" t="s">
        <v>500</v>
      </c>
      <c r="G735" s="14">
        <v>16244.1</v>
      </c>
      <c r="H735" s="14">
        <v>14737.7</v>
      </c>
      <c r="I735" s="14">
        <v>15785.9</v>
      </c>
      <c r="J735" s="14">
        <v>16889.099999999999</v>
      </c>
      <c r="K735" s="14">
        <v>17914.7</v>
      </c>
      <c r="L735" s="14">
        <v>19774</v>
      </c>
      <c r="M735" s="14">
        <v>21064.799999999999</v>
      </c>
      <c r="N735" s="14">
        <v>21090.5</v>
      </c>
      <c r="O735" s="14">
        <v>22287</v>
      </c>
      <c r="P735" s="14">
        <v>22399.7</v>
      </c>
      <c r="Q735" s="14">
        <v>25106.400000000001</v>
      </c>
      <c r="R735" s="14">
        <v>31424</v>
      </c>
      <c r="S735" s="14">
        <v>24069</v>
      </c>
      <c r="T735" s="14">
        <v>25348.2</v>
      </c>
      <c r="U735" s="14">
        <v>24008.3</v>
      </c>
      <c r="V735" s="14">
        <v>26741.4</v>
      </c>
      <c r="W735" s="14">
        <v>26595.200000000001</v>
      </c>
      <c r="X735" s="14">
        <v>28323.3</v>
      </c>
      <c r="Y735" s="14">
        <v>28104.9</v>
      </c>
      <c r="Z735" s="14">
        <v>25846.7</v>
      </c>
      <c r="AA735" s="14"/>
      <c r="AB735" s="14"/>
      <c r="AC735" s="15">
        <f>IFERROR(Z735/G735-1,"")</f>
        <v>0.59114386146354669</v>
      </c>
      <c r="AD735" s="15">
        <f>IFERROR((Z735/G735)^(1/19)-1,"")</f>
        <v>2.4746129670165207E-2</v>
      </c>
    </row>
    <row r="736" spans="1:30">
      <c r="A736" s="45" t="s">
        <v>291</v>
      </c>
      <c r="B736" s="45" t="s">
        <v>292</v>
      </c>
      <c r="C736" s="45" t="s">
        <v>498</v>
      </c>
      <c r="D736" s="45" t="s">
        <v>501</v>
      </c>
      <c r="E736" s="45" t="s">
        <v>499</v>
      </c>
      <c r="F736" s="45" t="s">
        <v>500</v>
      </c>
      <c r="G736" s="14">
        <v>4324.5</v>
      </c>
      <c r="H736" s="14">
        <v>7010.8</v>
      </c>
      <c r="I736" s="14">
        <v>8579.7000000000007</v>
      </c>
      <c r="J736" s="14">
        <v>5769.4</v>
      </c>
      <c r="K736" s="14">
        <v>5672.2</v>
      </c>
      <c r="L736" s="14">
        <v>5591.5</v>
      </c>
      <c r="M736" s="14">
        <v>6008.6</v>
      </c>
      <c r="N736" s="14">
        <v>3945.5</v>
      </c>
      <c r="O736" s="14">
        <v>3580</v>
      </c>
      <c r="P736" s="14">
        <v>3522</v>
      </c>
      <c r="Q736" s="14">
        <v>2029.5</v>
      </c>
      <c r="R736" s="14">
        <v>2449.5</v>
      </c>
      <c r="S736" s="14">
        <v>2085.4</v>
      </c>
      <c r="T736" s="14">
        <v>2405.8000000000002</v>
      </c>
      <c r="U736" s="14">
        <v>2282.5</v>
      </c>
      <c r="V736" s="14">
        <v>2372.4</v>
      </c>
      <c r="W736" s="14">
        <v>2761.1</v>
      </c>
      <c r="X736" s="14">
        <v>2346.9</v>
      </c>
      <c r="Y736" s="14">
        <v>2399</v>
      </c>
      <c r="Z736" s="14">
        <v>2005.9</v>
      </c>
      <c r="AA736" s="14"/>
      <c r="AB736" s="14"/>
      <c r="AC736" s="15">
        <f>IFERROR(Z736/G736-1,"")</f>
        <v>-0.53615446872470796</v>
      </c>
      <c r="AD736" s="15">
        <f>IFERROR((Z736/G736)^(1/19)-1,"")</f>
        <v>-3.9625314336928064E-2</v>
      </c>
    </row>
    <row r="737" spans="1:30">
      <c r="A737" s="45" t="s">
        <v>213</v>
      </c>
      <c r="B737" s="45" t="s">
        <v>214</v>
      </c>
      <c r="C737" s="45" t="s">
        <v>490</v>
      </c>
      <c r="D737" s="45" t="s">
        <v>491</v>
      </c>
      <c r="E737" s="45" t="s">
        <v>492</v>
      </c>
      <c r="F737" s="45" t="s">
        <v>493</v>
      </c>
      <c r="G737" s="14">
        <v>22883</v>
      </c>
      <c r="H737" s="14">
        <v>25029</v>
      </c>
      <c r="I737" s="14">
        <v>28130</v>
      </c>
      <c r="J737" s="14">
        <v>28946</v>
      </c>
      <c r="K737" s="14">
        <v>29364</v>
      </c>
      <c r="L737" s="14">
        <v>38654</v>
      </c>
      <c r="M737" s="14">
        <v>41714</v>
      </c>
      <c r="N737" s="14">
        <v>46235</v>
      </c>
      <c r="O737" s="14">
        <v>51453</v>
      </c>
      <c r="P737" s="14">
        <v>61142</v>
      </c>
      <c r="Q737" s="14">
        <v>81372</v>
      </c>
      <c r="R737" s="14">
        <v>93298</v>
      </c>
      <c r="S737" s="14">
        <v>94236</v>
      </c>
      <c r="T737" s="14">
        <v>100467</v>
      </c>
      <c r="U737" s="14">
        <v>108299</v>
      </c>
      <c r="V737" s="14">
        <v>120433</v>
      </c>
      <c r="W737" s="14">
        <v>128108</v>
      </c>
      <c r="X737" s="14">
        <v>136824</v>
      </c>
      <c r="Y737" s="14">
        <v>139741</v>
      </c>
      <c r="Z737" s="14">
        <v>165928</v>
      </c>
      <c r="AA737" s="14">
        <v>230309</v>
      </c>
      <c r="AB737" s="14">
        <v>632670</v>
      </c>
    </row>
    <row r="738" spans="1:30">
      <c r="A738" s="45" t="s">
        <v>213</v>
      </c>
      <c r="B738" s="45" t="s">
        <v>214</v>
      </c>
      <c r="C738" s="45" t="s">
        <v>490</v>
      </c>
      <c r="D738" s="45" t="s">
        <v>494</v>
      </c>
      <c r="E738" s="45" t="s">
        <v>492</v>
      </c>
      <c r="F738" s="45" t="s">
        <v>493</v>
      </c>
      <c r="G738" s="14">
        <v>21143</v>
      </c>
      <c r="H738" s="14">
        <v>23170</v>
      </c>
      <c r="I738" s="14">
        <v>25713</v>
      </c>
      <c r="J738" s="14">
        <v>26437</v>
      </c>
      <c r="K738" s="14">
        <v>26778</v>
      </c>
      <c r="L738" s="14">
        <v>35942</v>
      </c>
      <c r="M738" s="14">
        <v>39486</v>
      </c>
      <c r="N738" s="14">
        <v>43715</v>
      </c>
      <c r="O738" s="14">
        <v>47902</v>
      </c>
      <c r="P738" s="14">
        <v>57366</v>
      </c>
      <c r="Q738" s="14">
        <v>75741</v>
      </c>
      <c r="R738" s="14">
        <v>86688</v>
      </c>
      <c r="S738" s="14">
        <v>87613</v>
      </c>
      <c r="T738" s="14">
        <v>92825</v>
      </c>
      <c r="U738" s="14">
        <v>101686</v>
      </c>
      <c r="V738" s="14">
        <v>111475</v>
      </c>
      <c r="W738" s="14">
        <v>117306</v>
      </c>
      <c r="X738" s="14">
        <v>126288</v>
      </c>
      <c r="Y738" s="14">
        <v>128452</v>
      </c>
      <c r="Z738" s="14">
        <v>144384</v>
      </c>
      <c r="AA738" s="14"/>
      <c r="AB738" s="14"/>
    </row>
    <row r="739" spans="1:30">
      <c r="A739" s="45" t="s">
        <v>213</v>
      </c>
      <c r="B739" s="45" t="s">
        <v>214</v>
      </c>
      <c r="C739" s="45" t="s">
        <v>490</v>
      </c>
      <c r="D739" s="45" t="s">
        <v>495</v>
      </c>
      <c r="E739" s="45" t="s">
        <v>492</v>
      </c>
      <c r="F739" s="45" t="s">
        <v>493</v>
      </c>
      <c r="G739" s="14">
        <v>2814</v>
      </c>
      <c r="H739" s="14">
        <v>1964</v>
      </c>
      <c r="I739" s="14">
        <v>2213</v>
      </c>
      <c r="J739" s="14">
        <v>3064</v>
      </c>
      <c r="K739" s="14">
        <v>2960</v>
      </c>
      <c r="L739" s="14">
        <v>2628</v>
      </c>
      <c r="M739" s="14">
        <v>4287</v>
      </c>
      <c r="N739" s="14">
        <v>2511</v>
      </c>
      <c r="O739" s="14">
        <v>2228</v>
      </c>
      <c r="P739" s="14">
        <v>4367</v>
      </c>
      <c r="Q739" s="14">
        <v>7940</v>
      </c>
      <c r="R739" s="14">
        <v>7826</v>
      </c>
      <c r="S739" s="14">
        <v>5904</v>
      </c>
      <c r="T739" s="14">
        <v>7666</v>
      </c>
      <c r="U739" s="14">
        <v>11043</v>
      </c>
      <c r="V739" s="14">
        <v>9045</v>
      </c>
      <c r="W739" s="14">
        <v>6518</v>
      </c>
      <c r="X739" s="14">
        <v>6680</v>
      </c>
      <c r="Y739" s="14">
        <v>6332</v>
      </c>
      <c r="Z739" s="14">
        <v>10585</v>
      </c>
      <c r="AA739" s="14"/>
      <c r="AB739" s="14"/>
    </row>
    <row r="740" spans="1:30">
      <c r="A740" s="45" t="s">
        <v>213</v>
      </c>
      <c r="B740" s="45" t="s">
        <v>214</v>
      </c>
      <c r="C740" s="45" t="s">
        <v>490</v>
      </c>
      <c r="D740" s="45" t="s">
        <v>496</v>
      </c>
      <c r="E740" s="45" t="s">
        <v>492</v>
      </c>
      <c r="F740" s="45" t="s">
        <v>493</v>
      </c>
      <c r="G740" s="14">
        <v>7081</v>
      </c>
      <c r="H740" s="14">
        <v>8261</v>
      </c>
      <c r="I740" s="14">
        <v>9205</v>
      </c>
      <c r="J740" s="14">
        <v>8840</v>
      </c>
      <c r="K740" s="14">
        <v>9172</v>
      </c>
      <c r="L740" s="14">
        <v>11056</v>
      </c>
      <c r="M740" s="14">
        <v>10129</v>
      </c>
      <c r="N740" s="14">
        <v>12942</v>
      </c>
      <c r="O740" s="14">
        <v>14775</v>
      </c>
      <c r="P740" s="14">
        <v>18459</v>
      </c>
      <c r="Q740" s="14">
        <v>28873</v>
      </c>
      <c r="R740" s="14">
        <v>35396</v>
      </c>
      <c r="S740" s="14">
        <v>34283</v>
      </c>
      <c r="T740" s="14">
        <v>34681</v>
      </c>
      <c r="U740" s="14">
        <v>37355</v>
      </c>
      <c r="V740" s="14">
        <v>44938</v>
      </c>
      <c r="W740" s="14">
        <v>52166</v>
      </c>
      <c r="X740" s="14">
        <v>55585</v>
      </c>
      <c r="Y740" s="14">
        <v>53136</v>
      </c>
      <c r="Z740" s="14">
        <v>63549</v>
      </c>
      <c r="AA740" s="14"/>
      <c r="AB740" s="14"/>
    </row>
    <row r="741" spans="1:30">
      <c r="A741" s="45" t="s">
        <v>213</v>
      </c>
      <c r="B741" s="45" t="s">
        <v>214</v>
      </c>
      <c r="C741" s="45" t="s">
        <v>490</v>
      </c>
      <c r="D741" s="45" t="s">
        <v>497</v>
      </c>
      <c r="E741" s="45" t="s">
        <v>492</v>
      </c>
      <c r="F741" s="45" t="s">
        <v>493</v>
      </c>
      <c r="G741" s="14">
        <v>10504</v>
      </c>
      <c r="H741" s="14">
        <v>11930</v>
      </c>
      <c r="I741" s="14">
        <v>13251</v>
      </c>
      <c r="J741" s="14">
        <v>13377</v>
      </c>
      <c r="K741" s="14">
        <v>13276</v>
      </c>
      <c r="L741" s="14">
        <v>21333</v>
      </c>
      <c r="M741" s="14">
        <v>23824</v>
      </c>
      <c r="N741" s="14">
        <v>26827</v>
      </c>
      <c r="O741" s="14">
        <v>29473</v>
      </c>
      <c r="P741" s="14">
        <v>32767</v>
      </c>
      <c r="Q741" s="14">
        <v>37288</v>
      </c>
      <c r="R741" s="14">
        <v>41681</v>
      </c>
      <c r="S741" s="14">
        <v>45538</v>
      </c>
      <c r="T741" s="14">
        <v>48313</v>
      </c>
      <c r="U741" s="14">
        <v>51213</v>
      </c>
      <c r="V741" s="14">
        <v>55216</v>
      </c>
      <c r="W741" s="14">
        <v>56279</v>
      </c>
      <c r="X741" s="14">
        <v>61811</v>
      </c>
      <c r="Y741" s="14">
        <v>65712</v>
      </c>
      <c r="Z741" s="14">
        <v>66485</v>
      </c>
      <c r="AA741" s="14"/>
      <c r="AB741" s="14"/>
    </row>
    <row r="742" spans="1:30">
      <c r="A742" s="45" t="s">
        <v>213</v>
      </c>
      <c r="B742" s="45" t="s">
        <v>214</v>
      </c>
      <c r="C742" s="45" t="s">
        <v>498</v>
      </c>
      <c r="D742" s="45" t="s">
        <v>491</v>
      </c>
      <c r="E742" s="45" t="s">
        <v>499</v>
      </c>
      <c r="F742" s="45" t="s">
        <v>500</v>
      </c>
      <c r="G742" s="14">
        <v>43471.7</v>
      </c>
      <c r="H742" s="14">
        <v>41675.800000000003</v>
      </c>
      <c r="I742" s="14">
        <v>43469.9</v>
      </c>
      <c r="J742" s="14">
        <v>41636.300000000003</v>
      </c>
      <c r="K742" s="14">
        <v>39558.9</v>
      </c>
      <c r="L742" s="14">
        <v>48923.6</v>
      </c>
      <c r="M742" s="14">
        <v>48535.8</v>
      </c>
      <c r="N742" s="14">
        <v>50129.5</v>
      </c>
      <c r="O742" s="14">
        <v>51453</v>
      </c>
      <c r="P742" s="14">
        <v>56446.5</v>
      </c>
      <c r="Q742" s="14">
        <v>69594.8</v>
      </c>
      <c r="R742" s="14">
        <v>74224.5</v>
      </c>
      <c r="S742" s="14">
        <v>69516</v>
      </c>
      <c r="T742" s="14">
        <v>68899.5</v>
      </c>
      <c r="U742" s="14">
        <v>68703.199999999997</v>
      </c>
      <c r="V742" s="14">
        <v>73695.100000000006</v>
      </c>
      <c r="W742" s="14">
        <v>75020.5</v>
      </c>
      <c r="X742" s="14">
        <v>76877.2</v>
      </c>
      <c r="Y742" s="14">
        <v>73743.100000000006</v>
      </c>
      <c r="Z742" s="14">
        <v>77456.399999999994</v>
      </c>
      <c r="AA742" s="14"/>
      <c r="AB742" s="14"/>
      <c r="AC742" s="15">
        <f>IFERROR(Z742/G742-1,"")</f>
        <v>0.78176606849973651</v>
      </c>
      <c r="AD742" s="15">
        <f>IFERROR((Z742/G742)^(1/19)-1,"")</f>
        <v>3.0867071976893534E-2</v>
      </c>
    </row>
    <row r="743" spans="1:30">
      <c r="A743" s="45" t="s">
        <v>213</v>
      </c>
      <c r="B743" s="45" t="s">
        <v>214</v>
      </c>
      <c r="C743" s="45" t="s">
        <v>498</v>
      </c>
      <c r="D743" s="45" t="s">
        <v>495</v>
      </c>
      <c r="E743" s="45" t="s">
        <v>499</v>
      </c>
      <c r="F743" s="45" t="s">
        <v>500</v>
      </c>
      <c r="G743" s="14">
        <v>5345</v>
      </c>
      <c r="H743" s="14">
        <v>3270.4</v>
      </c>
      <c r="I743" s="14">
        <v>3419.1</v>
      </c>
      <c r="J743" s="14">
        <v>4407.5</v>
      </c>
      <c r="K743" s="14">
        <v>3987.9</v>
      </c>
      <c r="L743" s="14">
        <v>3325.9</v>
      </c>
      <c r="M743" s="14">
        <v>4988.3999999999996</v>
      </c>
      <c r="N743" s="14">
        <v>2722.5</v>
      </c>
      <c r="O743" s="14">
        <v>2228</v>
      </c>
      <c r="P743" s="14">
        <v>4031.6</v>
      </c>
      <c r="Q743" s="14">
        <v>6790.8</v>
      </c>
      <c r="R743" s="14">
        <v>6226.1</v>
      </c>
      <c r="S743" s="14">
        <v>4355.3</v>
      </c>
      <c r="T743" s="14">
        <v>5257.3</v>
      </c>
      <c r="U743" s="14">
        <v>7005.5</v>
      </c>
      <c r="V743" s="14">
        <v>5534.8</v>
      </c>
      <c r="W743" s="14">
        <v>3817</v>
      </c>
      <c r="X743" s="14">
        <v>3753.3</v>
      </c>
      <c r="Y743" s="14">
        <v>3341.5</v>
      </c>
      <c r="Z743" s="14">
        <v>4941.2</v>
      </c>
      <c r="AA743" s="14"/>
      <c r="AB743" s="14"/>
      <c r="AC743" s="15">
        <f>IFERROR(Z743/G743-1,"")</f>
        <v>-7.5547240411599659E-2</v>
      </c>
      <c r="AD743" s="15">
        <f>IFERROR((Z743/G743)^(1/19)-1,"")</f>
        <v>-4.1258508671623284E-3</v>
      </c>
    </row>
    <row r="744" spans="1:30">
      <c r="A744" s="45" t="s">
        <v>213</v>
      </c>
      <c r="B744" s="45" t="s">
        <v>214</v>
      </c>
      <c r="C744" s="45" t="s">
        <v>498</v>
      </c>
      <c r="D744" s="45" t="s">
        <v>496</v>
      </c>
      <c r="E744" s="45" t="s">
        <v>499</v>
      </c>
      <c r="F744" s="45" t="s">
        <v>500</v>
      </c>
      <c r="G744" s="14">
        <v>13451.2</v>
      </c>
      <c r="H744" s="14">
        <v>13754.9</v>
      </c>
      <c r="I744" s="14">
        <v>14224.5</v>
      </c>
      <c r="J744" s="14">
        <v>12716.4</v>
      </c>
      <c r="K744" s="14">
        <v>12356.8</v>
      </c>
      <c r="L744" s="14">
        <v>13992.9</v>
      </c>
      <c r="M744" s="14">
        <v>11785.8</v>
      </c>
      <c r="N744" s="14">
        <v>14032.1</v>
      </c>
      <c r="O744" s="14">
        <v>14775</v>
      </c>
      <c r="P744" s="14">
        <v>17041.400000000001</v>
      </c>
      <c r="Q744" s="14">
        <v>24694.1</v>
      </c>
      <c r="R744" s="14">
        <v>28159.8</v>
      </c>
      <c r="S744" s="14">
        <v>25289.9</v>
      </c>
      <c r="T744" s="14">
        <v>23784</v>
      </c>
      <c r="U744" s="14">
        <v>23697.4</v>
      </c>
      <c r="V744" s="14">
        <v>27498.400000000001</v>
      </c>
      <c r="W744" s="14">
        <v>30548.6</v>
      </c>
      <c r="X744" s="14">
        <v>31231.5</v>
      </c>
      <c r="Y744" s="14">
        <v>28040.6</v>
      </c>
      <c r="Z744" s="14">
        <v>29665.599999999999</v>
      </c>
      <c r="AA744" s="14"/>
      <c r="AB744" s="14"/>
      <c r="AC744" s="15">
        <f>IFERROR(Z744/G744-1,"")</f>
        <v>1.2054240513857497</v>
      </c>
      <c r="AD744" s="15">
        <f>IFERROR((Z744/G744)^(1/19)-1,"")</f>
        <v>4.2505924974340026E-2</v>
      </c>
    </row>
    <row r="745" spans="1:30">
      <c r="A745" s="45" t="s">
        <v>213</v>
      </c>
      <c r="B745" s="45" t="s">
        <v>214</v>
      </c>
      <c r="C745" s="45" t="s">
        <v>498</v>
      </c>
      <c r="D745" s="45" t="s">
        <v>497</v>
      </c>
      <c r="E745" s="45" t="s">
        <v>499</v>
      </c>
      <c r="F745" s="45" t="s">
        <v>500</v>
      </c>
      <c r="G745" s="14">
        <v>19955.3</v>
      </c>
      <c r="H745" s="14">
        <v>19865.2</v>
      </c>
      <c r="I745" s="14">
        <v>20477.8</v>
      </c>
      <c r="J745" s="14">
        <v>19242.3</v>
      </c>
      <c r="K745" s="14">
        <v>17885.5</v>
      </c>
      <c r="L745" s="14">
        <v>27000.799999999999</v>
      </c>
      <c r="M745" s="14">
        <v>27719.8</v>
      </c>
      <c r="N745" s="14">
        <v>29086.7</v>
      </c>
      <c r="O745" s="14">
        <v>29473</v>
      </c>
      <c r="P745" s="14">
        <v>30250.6</v>
      </c>
      <c r="Q745" s="14">
        <v>31891.200000000001</v>
      </c>
      <c r="R745" s="14">
        <v>33159.9</v>
      </c>
      <c r="S745" s="14">
        <v>33592.5</v>
      </c>
      <c r="T745" s="14">
        <v>33132.699999999997</v>
      </c>
      <c r="U745" s="14">
        <v>32488.7</v>
      </c>
      <c r="V745" s="14">
        <v>33787.699999999997</v>
      </c>
      <c r="W745" s="14">
        <v>32957.199999999997</v>
      </c>
      <c r="X745" s="14">
        <v>34729.699999999997</v>
      </c>
      <c r="Y745" s="14">
        <v>34677.1</v>
      </c>
      <c r="Z745" s="14">
        <v>31036.6</v>
      </c>
      <c r="AA745" s="14"/>
      <c r="AB745" s="14"/>
      <c r="AC745" s="15">
        <f>IFERROR(Z745/G745-1,"")</f>
        <v>0.55530610915395906</v>
      </c>
      <c r="AD745" s="15">
        <f>IFERROR((Z745/G745)^(1/19)-1,"")</f>
        <v>2.3518206866991243E-2</v>
      </c>
    </row>
    <row r="746" spans="1:30">
      <c r="A746" s="45" t="s">
        <v>213</v>
      </c>
      <c r="B746" s="45" t="s">
        <v>214</v>
      </c>
      <c r="C746" s="45" t="s">
        <v>498</v>
      </c>
      <c r="D746" s="45" t="s">
        <v>501</v>
      </c>
      <c r="E746" s="45" t="s">
        <v>499</v>
      </c>
      <c r="F746" s="45" t="s">
        <v>500</v>
      </c>
      <c r="G746" s="14">
        <v>1414.6</v>
      </c>
      <c r="H746" s="14">
        <v>1689.7</v>
      </c>
      <c r="I746" s="14">
        <v>1613.2</v>
      </c>
      <c r="J746" s="14">
        <v>1661.2</v>
      </c>
      <c r="K746" s="14">
        <v>1844.2</v>
      </c>
      <c r="L746" s="14">
        <v>1170.9000000000001</v>
      </c>
      <c r="M746" s="14">
        <v>1449.5</v>
      </c>
      <c r="N746" s="14">
        <v>1555.9</v>
      </c>
      <c r="O746" s="14">
        <v>1426</v>
      </c>
      <c r="P746" s="14">
        <v>1636.8</v>
      </c>
      <c r="Q746" s="14">
        <v>1402.6</v>
      </c>
      <c r="R746" s="14">
        <v>1420.1</v>
      </c>
      <c r="S746" s="14">
        <v>1392</v>
      </c>
      <c r="T746" s="14">
        <v>1484.7</v>
      </c>
      <c r="U746" s="14">
        <v>1316.3</v>
      </c>
      <c r="V746" s="14">
        <v>1392.7</v>
      </c>
      <c r="W746" s="14">
        <v>1372.1</v>
      </c>
      <c r="X746" s="14">
        <v>1243.4000000000001</v>
      </c>
      <c r="Y746" s="14">
        <v>1726.7</v>
      </c>
      <c r="Z746" s="14">
        <v>1757.5</v>
      </c>
      <c r="AA746" s="14"/>
      <c r="AB746" s="14"/>
      <c r="AC746" s="15">
        <f>IFERROR(Z746/G746-1,"")</f>
        <v>0.24240067863707071</v>
      </c>
      <c r="AD746" s="15">
        <f>IFERROR((Z746/G746)^(1/19)-1,"")</f>
        <v>1.1488946185850724E-2</v>
      </c>
    </row>
    <row r="747" spans="1:30">
      <c r="A747" s="45" t="s">
        <v>369</v>
      </c>
      <c r="B747" s="45" t="s">
        <v>370</v>
      </c>
      <c r="C747" s="45" t="s">
        <v>490</v>
      </c>
      <c r="D747" s="45" t="s">
        <v>491</v>
      </c>
      <c r="E747" s="45" t="s">
        <v>492</v>
      </c>
      <c r="F747" s="45" t="s">
        <v>493</v>
      </c>
      <c r="G747" s="14">
        <v>8992</v>
      </c>
      <c r="H747" s="14">
        <v>9724</v>
      </c>
      <c r="I747" s="14">
        <v>14001</v>
      </c>
      <c r="J747" s="14">
        <v>14598</v>
      </c>
      <c r="K747" s="14">
        <v>16148</v>
      </c>
      <c r="L747" s="14">
        <v>17577</v>
      </c>
      <c r="M747" s="14">
        <v>18777</v>
      </c>
      <c r="N747" s="14">
        <v>19940</v>
      </c>
      <c r="O747" s="14">
        <v>22637</v>
      </c>
      <c r="P747" s="14">
        <v>26180</v>
      </c>
      <c r="Q747" s="14">
        <v>28266</v>
      </c>
      <c r="R747" s="14">
        <v>31074</v>
      </c>
      <c r="S747" s="14">
        <v>34571</v>
      </c>
      <c r="T747" s="14">
        <v>37450</v>
      </c>
      <c r="U747" s="14">
        <v>39639</v>
      </c>
      <c r="V747" s="14">
        <v>41041</v>
      </c>
      <c r="W747" s="14">
        <v>41695</v>
      </c>
      <c r="X747" s="14">
        <v>46566</v>
      </c>
      <c r="Y747" s="14">
        <v>49439</v>
      </c>
      <c r="Z747" s="14">
        <v>51593</v>
      </c>
      <c r="AA747" s="14">
        <v>62556</v>
      </c>
      <c r="AB747" s="14">
        <v>68290</v>
      </c>
    </row>
    <row r="748" spans="1:30">
      <c r="A748" s="45" t="s">
        <v>369</v>
      </c>
      <c r="B748" s="45" t="s">
        <v>370</v>
      </c>
      <c r="C748" s="45" t="s">
        <v>490</v>
      </c>
      <c r="D748" s="45" t="s">
        <v>494</v>
      </c>
      <c r="E748" s="45" t="s">
        <v>492</v>
      </c>
      <c r="F748" s="45" t="s">
        <v>493</v>
      </c>
      <c r="G748" s="14">
        <v>8778</v>
      </c>
      <c r="H748" s="14">
        <v>9483</v>
      </c>
      <c r="I748" s="14">
        <v>13611</v>
      </c>
      <c r="J748" s="14">
        <v>14172</v>
      </c>
      <c r="K748" s="14">
        <v>15484</v>
      </c>
      <c r="L748" s="14">
        <v>16616</v>
      </c>
      <c r="M748" s="14">
        <v>17775</v>
      </c>
      <c r="N748" s="14">
        <v>19077</v>
      </c>
      <c r="O748" s="14">
        <v>21508</v>
      </c>
      <c r="P748" s="14">
        <v>24890</v>
      </c>
      <c r="Q748" s="14">
        <v>26826</v>
      </c>
      <c r="R748" s="14">
        <v>29721</v>
      </c>
      <c r="S748" s="14">
        <v>33177</v>
      </c>
      <c r="T748" s="14">
        <v>35868</v>
      </c>
      <c r="U748" s="14">
        <v>38607</v>
      </c>
      <c r="V748" s="14">
        <v>40184</v>
      </c>
      <c r="W748" s="14">
        <v>40736</v>
      </c>
      <c r="X748" s="14">
        <v>45264</v>
      </c>
      <c r="Y748" s="14">
        <v>48054</v>
      </c>
      <c r="Z748" s="14">
        <v>49842</v>
      </c>
      <c r="AA748" s="14"/>
      <c r="AB748" s="14"/>
    </row>
    <row r="749" spans="1:30">
      <c r="A749" s="45" t="s">
        <v>369</v>
      </c>
      <c r="B749" s="45" t="s">
        <v>370</v>
      </c>
      <c r="C749" s="45" t="s">
        <v>490</v>
      </c>
      <c r="D749" s="45" t="s">
        <v>495</v>
      </c>
      <c r="E749" s="45" t="s">
        <v>492</v>
      </c>
      <c r="F749" s="45" t="s">
        <v>493</v>
      </c>
      <c r="G749" s="14">
        <v>1156</v>
      </c>
      <c r="H749" s="14">
        <v>478</v>
      </c>
      <c r="I749" s="14">
        <v>1521</v>
      </c>
      <c r="J749" s="14">
        <v>1236</v>
      </c>
      <c r="K749" s="14">
        <v>1237</v>
      </c>
      <c r="L749" s="14">
        <v>1088</v>
      </c>
      <c r="M749" s="14">
        <v>799</v>
      </c>
      <c r="N749" s="14">
        <v>1225</v>
      </c>
      <c r="O749" s="14">
        <v>1370</v>
      </c>
      <c r="P749" s="14">
        <v>2298</v>
      </c>
      <c r="Q749" s="14">
        <v>2906</v>
      </c>
      <c r="R749" s="14">
        <v>3051</v>
      </c>
      <c r="S749" s="14">
        <v>3725</v>
      </c>
      <c r="T749" s="14">
        <v>3721</v>
      </c>
      <c r="U749" s="14">
        <v>4385</v>
      </c>
      <c r="V749" s="14">
        <v>3235</v>
      </c>
      <c r="W749" s="14">
        <v>2988</v>
      </c>
      <c r="X749" s="14">
        <v>2260</v>
      </c>
      <c r="Y749" s="14">
        <v>2269</v>
      </c>
      <c r="Z749" s="14">
        <v>2244</v>
      </c>
      <c r="AA749" s="14"/>
      <c r="AB749" s="14"/>
    </row>
    <row r="750" spans="1:30">
      <c r="A750" s="45" t="s">
        <v>369</v>
      </c>
      <c r="B750" s="45" t="s">
        <v>370</v>
      </c>
      <c r="C750" s="45" t="s">
        <v>490</v>
      </c>
      <c r="D750" s="45" t="s">
        <v>496</v>
      </c>
      <c r="E750" s="45" t="s">
        <v>492</v>
      </c>
      <c r="F750" s="45" t="s">
        <v>493</v>
      </c>
      <c r="G750" s="14">
        <v>1471</v>
      </c>
      <c r="H750" s="14">
        <v>1616</v>
      </c>
      <c r="I750" s="14">
        <v>2311</v>
      </c>
      <c r="J750" s="14">
        <v>2476</v>
      </c>
      <c r="K750" s="14">
        <v>2791</v>
      </c>
      <c r="L750" s="14">
        <v>3040</v>
      </c>
      <c r="M750" s="14">
        <v>3010</v>
      </c>
      <c r="N750" s="14">
        <v>3345</v>
      </c>
      <c r="O750" s="14">
        <v>3849</v>
      </c>
      <c r="P750" s="14">
        <v>4280</v>
      </c>
      <c r="Q750" s="14">
        <v>4874</v>
      </c>
      <c r="R750" s="14">
        <v>5442</v>
      </c>
      <c r="S750" s="14">
        <v>5784</v>
      </c>
      <c r="T750" s="14">
        <v>6897</v>
      </c>
      <c r="U750" s="14">
        <v>7605</v>
      </c>
      <c r="V750" s="14">
        <v>7788</v>
      </c>
      <c r="W750" s="14">
        <v>8710</v>
      </c>
      <c r="X750" s="14">
        <v>10691</v>
      </c>
      <c r="Y750" s="14">
        <v>11256</v>
      </c>
      <c r="Z750" s="14">
        <v>11904</v>
      </c>
      <c r="AA750" s="14"/>
      <c r="AB750" s="14"/>
    </row>
    <row r="751" spans="1:30">
      <c r="A751" s="45" t="s">
        <v>369</v>
      </c>
      <c r="B751" s="45" t="s">
        <v>370</v>
      </c>
      <c r="C751" s="45" t="s">
        <v>490</v>
      </c>
      <c r="D751" s="45" t="s">
        <v>497</v>
      </c>
      <c r="E751" s="45" t="s">
        <v>492</v>
      </c>
      <c r="F751" s="45" t="s">
        <v>493</v>
      </c>
      <c r="G751" s="14">
        <v>5421</v>
      </c>
      <c r="H751" s="14">
        <v>5927</v>
      </c>
      <c r="I751" s="14">
        <v>6918</v>
      </c>
      <c r="J751" s="14">
        <v>8710</v>
      </c>
      <c r="K751" s="14">
        <v>9880</v>
      </c>
      <c r="L751" s="14">
        <v>10925</v>
      </c>
      <c r="M751" s="14">
        <v>12007</v>
      </c>
      <c r="N751" s="14">
        <v>12882</v>
      </c>
      <c r="O751" s="14">
        <v>14671</v>
      </c>
      <c r="P751" s="14">
        <v>16552</v>
      </c>
      <c r="Q751" s="14">
        <v>17769</v>
      </c>
      <c r="R751" s="14">
        <v>19931</v>
      </c>
      <c r="S751" s="14">
        <v>22242</v>
      </c>
      <c r="T751" s="14">
        <v>23684</v>
      </c>
      <c r="U751" s="14">
        <v>24942</v>
      </c>
      <c r="V751" s="14">
        <v>27421</v>
      </c>
      <c r="W751" s="14">
        <v>27883</v>
      </c>
      <c r="X751" s="14">
        <v>30536</v>
      </c>
      <c r="Y751" s="14">
        <v>32048</v>
      </c>
      <c r="Z751" s="14">
        <v>34222</v>
      </c>
      <c r="AA751" s="14"/>
      <c r="AB751" s="14"/>
    </row>
    <row r="752" spans="1:30">
      <c r="A752" s="45" t="s">
        <v>369</v>
      </c>
      <c r="B752" s="45" t="s">
        <v>370</v>
      </c>
      <c r="C752" s="45" t="s">
        <v>498</v>
      </c>
      <c r="D752" s="45" t="s">
        <v>491</v>
      </c>
      <c r="E752" s="45" t="s">
        <v>499</v>
      </c>
      <c r="F752" s="45" t="s">
        <v>500</v>
      </c>
      <c r="G752" s="14">
        <v>17082.5</v>
      </c>
      <c r="H752" s="14">
        <v>16191.3</v>
      </c>
      <c r="I752" s="14">
        <v>21636.1</v>
      </c>
      <c r="J752" s="14">
        <v>20998.6</v>
      </c>
      <c r="K752" s="14">
        <v>21754</v>
      </c>
      <c r="L752" s="14">
        <v>22246.3</v>
      </c>
      <c r="M752" s="14">
        <v>21847.9</v>
      </c>
      <c r="N752" s="14">
        <v>21619.599999999999</v>
      </c>
      <c r="O752" s="14">
        <v>22637</v>
      </c>
      <c r="P752" s="14">
        <v>24169.4</v>
      </c>
      <c r="Q752" s="14">
        <v>24175</v>
      </c>
      <c r="R752" s="14">
        <v>24721.4</v>
      </c>
      <c r="S752" s="14">
        <v>25502.3</v>
      </c>
      <c r="T752" s="14">
        <v>25682.9</v>
      </c>
      <c r="U752" s="14">
        <v>25146.400000000001</v>
      </c>
      <c r="V752" s="14">
        <v>25113.7</v>
      </c>
      <c r="W752" s="14">
        <v>24416.799999999999</v>
      </c>
      <c r="X752" s="14">
        <v>26164</v>
      </c>
      <c r="Y752" s="14">
        <v>26089.599999999999</v>
      </c>
      <c r="Z752" s="14">
        <v>24084</v>
      </c>
      <c r="AA752" s="14"/>
      <c r="AB752" s="14"/>
      <c r="AC752" s="15">
        <f>IFERROR(Z752/G752-1,"")</f>
        <v>0.4098638957997951</v>
      </c>
      <c r="AD752" s="15">
        <f>IFERROR((Z752/G752)^(1/19)-1,"")</f>
        <v>1.8242994922206046E-2</v>
      </c>
    </row>
    <row r="753" spans="1:30">
      <c r="A753" s="45" t="s">
        <v>369</v>
      </c>
      <c r="B753" s="45" t="s">
        <v>370</v>
      </c>
      <c r="C753" s="45" t="s">
        <v>498</v>
      </c>
      <c r="D753" s="45" t="s">
        <v>495</v>
      </c>
      <c r="E753" s="45" t="s">
        <v>499</v>
      </c>
      <c r="F753" s="45" t="s">
        <v>500</v>
      </c>
      <c r="G753" s="14">
        <v>2195.9</v>
      </c>
      <c r="H753" s="14">
        <v>795.7</v>
      </c>
      <c r="I753" s="14">
        <v>2349.6999999999998</v>
      </c>
      <c r="J753" s="14">
        <v>1778.5</v>
      </c>
      <c r="K753" s="14">
        <v>1666</v>
      </c>
      <c r="L753" s="14">
        <v>1376.9</v>
      </c>
      <c r="M753" s="14">
        <v>929.7</v>
      </c>
      <c r="N753" s="14">
        <v>1328.2</v>
      </c>
      <c r="O753" s="14">
        <v>1370</v>
      </c>
      <c r="P753" s="14">
        <v>2121.5</v>
      </c>
      <c r="Q753" s="14">
        <v>2485.4</v>
      </c>
      <c r="R753" s="14">
        <v>2427.3000000000002</v>
      </c>
      <c r="S753" s="14">
        <v>2747.9</v>
      </c>
      <c r="T753" s="14">
        <v>2551.8000000000002</v>
      </c>
      <c r="U753" s="14">
        <v>2781.8</v>
      </c>
      <c r="V753" s="14">
        <v>1979.6</v>
      </c>
      <c r="W753" s="14">
        <v>1749.8</v>
      </c>
      <c r="X753" s="14">
        <v>1269.8</v>
      </c>
      <c r="Y753" s="14">
        <v>1197.4000000000001</v>
      </c>
      <c r="Z753" s="14">
        <v>1047.5</v>
      </c>
      <c r="AA753" s="14"/>
      <c r="AB753" s="14"/>
      <c r="AC753" s="15">
        <f>IFERROR(Z753/G753-1,"")</f>
        <v>-0.52297463454619975</v>
      </c>
      <c r="AD753" s="15">
        <f>IFERROR((Z753/G753)^(1/19)-1,"")</f>
        <v>-3.8208066928143714E-2</v>
      </c>
    </row>
    <row r="754" spans="1:30">
      <c r="A754" s="45" t="s">
        <v>369</v>
      </c>
      <c r="B754" s="45" t="s">
        <v>370</v>
      </c>
      <c r="C754" s="45" t="s">
        <v>498</v>
      </c>
      <c r="D754" s="45" t="s">
        <v>496</v>
      </c>
      <c r="E754" s="45" t="s">
        <v>499</v>
      </c>
      <c r="F754" s="45" t="s">
        <v>500</v>
      </c>
      <c r="G754" s="14">
        <v>2794.9</v>
      </c>
      <c r="H754" s="14">
        <v>2691.3</v>
      </c>
      <c r="I754" s="14">
        <v>3571.7</v>
      </c>
      <c r="J754" s="14">
        <v>3561.8</v>
      </c>
      <c r="K754" s="14">
        <v>3760.3</v>
      </c>
      <c r="L754" s="14">
        <v>3847.7</v>
      </c>
      <c r="M754" s="14">
        <v>3502.8</v>
      </c>
      <c r="N754" s="14">
        <v>3626.8</v>
      </c>
      <c r="O754" s="14">
        <v>3849</v>
      </c>
      <c r="P754" s="14">
        <v>3951.3</v>
      </c>
      <c r="Q754" s="14">
        <v>4168.6000000000004</v>
      </c>
      <c r="R754" s="14">
        <v>4329.5</v>
      </c>
      <c r="S754" s="14">
        <v>4266.7</v>
      </c>
      <c r="T754" s="14">
        <v>4729.8999999999996</v>
      </c>
      <c r="U754" s="14">
        <v>4824.5</v>
      </c>
      <c r="V754" s="14">
        <v>4765.6000000000004</v>
      </c>
      <c r="W754" s="14">
        <v>5100.6000000000004</v>
      </c>
      <c r="X754" s="14">
        <v>6006.9</v>
      </c>
      <c r="Y754" s="14">
        <v>5939.9</v>
      </c>
      <c r="Z754" s="14">
        <v>5556.9</v>
      </c>
      <c r="AA754" s="14"/>
      <c r="AB754" s="14"/>
      <c r="AC754" s="15">
        <f>IFERROR(Z754/G754-1,"")</f>
        <v>0.98822855916132935</v>
      </c>
      <c r="AD754" s="15">
        <f>IFERROR((Z754/G754)^(1/19)-1,"")</f>
        <v>3.6832860822910041E-2</v>
      </c>
    </row>
    <row r="755" spans="1:30">
      <c r="A755" s="45" t="s">
        <v>369</v>
      </c>
      <c r="B755" s="45" t="s">
        <v>370</v>
      </c>
      <c r="C755" s="45" t="s">
        <v>498</v>
      </c>
      <c r="D755" s="45" t="s">
        <v>497</v>
      </c>
      <c r="E755" s="45" t="s">
        <v>499</v>
      </c>
      <c r="F755" s="45" t="s">
        <v>500</v>
      </c>
      <c r="G755" s="14">
        <v>10298.6</v>
      </c>
      <c r="H755" s="14">
        <v>9869.6</v>
      </c>
      <c r="I755" s="14">
        <v>10691.2</v>
      </c>
      <c r="J755" s="14">
        <v>12528.2</v>
      </c>
      <c r="K755" s="14">
        <v>13310.1</v>
      </c>
      <c r="L755" s="14">
        <v>13827.1</v>
      </c>
      <c r="M755" s="14">
        <v>13970.6</v>
      </c>
      <c r="N755" s="14">
        <v>13967.1</v>
      </c>
      <c r="O755" s="14">
        <v>14671</v>
      </c>
      <c r="P755" s="14">
        <v>15280.8</v>
      </c>
      <c r="Q755" s="14">
        <v>15197.2</v>
      </c>
      <c r="R755" s="14">
        <v>15856.4</v>
      </c>
      <c r="S755" s="14">
        <v>16407.5</v>
      </c>
      <c r="T755" s="14">
        <v>16242.3</v>
      </c>
      <c r="U755" s="14">
        <v>15822.8</v>
      </c>
      <c r="V755" s="14">
        <v>16779.400000000001</v>
      </c>
      <c r="W755" s="14">
        <v>16328.4</v>
      </c>
      <c r="X755" s="14">
        <v>17157.2</v>
      </c>
      <c r="Y755" s="14">
        <v>16912.099999999999</v>
      </c>
      <c r="Z755" s="14">
        <v>15975.5</v>
      </c>
      <c r="AA755" s="14"/>
      <c r="AB755" s="14"/>
      <c r="AC755" s="15">
        <f>IFERROR(Z755/G755-1,"")</f>
        <v>0.55123026430777</v>
      </c>
      <c r="AD755" s="15">
        <f>IFERROR((Z755/G755)^(1/19)-1,"")</f>
        <v>2.3376860897963425E-2</v>
      </c>
    </row>
    <row r="756" spans="1:30">
      <c r="A756" s="45" t="s">
        <v>369</v>
      </c>
      <c r="B756" s="45" t="s">
        <v>370</v>
      </c>
      <c r="C756" s="45" t="s">
        <v>498</v>
      </c>
      <c r="D756" s="45" t="s">
        <v>501</v>
      </c>
      <c r="E756" s="45" t="s">
        <v>499</v>
      </c>
      <c r="F756" s="45" t="s">
        <v>500</v>
      </c>
      <c r="G756" s="14">
        <v>1386.2</v>
      </c>
      <c r="H756" s="14">
        <v>2433.8000000000002</v>
      </c>
      <c r="I756" s="14">
        <v>4420</v>
      </c>
      <c r="J756" s="14">
        <v>2516.6999999999998</v>
      </c>
      <c r="K756" s="14">
        <v>2123.8000000000002</v>
      </c>
      <c r="L756" s="14">
        <v>1978.4</v>
      </c>
      <c r="M756" s="14">
        <v>2278.9</v>
      </c>
      <c r="N756" s="14">
        <v>1761.9</v>
      </c>
      <c r="O756" s="14">
        <v>1618</v>
      </c>
      <c r="P756" s="14">
        <v>1623.9</v>
      </c>
      <c r="Q756" s="14">
        <v>1091.3</v>
      </c>
      <c r="R756" s="14">
        <v>1031.8</v>
      </c>
      <c r="S756" s="14">
        <v>1051.9000000000001</v>
      </c>
      <c r="T756" s="14">
        <v>1073.3</v>
      </c>
      <c r="U756" s="14">
        <v>1062</v>
      </c>
      <c r="V756" s="14">
        <v>1064.7</v>
      </c>
      <c r="W756" s="14">
        <v>675.8</v>
      </c>
      <c r="X756" s="14">
        <v>999</v>
      </c>
      <c r="Y756" s="14">
        <v>1309.3</v>
      </c>
      <c r="Z756" s="14">
        <v>687.6</v>
      </c>
      <c r="AA756" s="14"/>
      <c r="AB756" s="14"/>
      <c r="AC756" s="15">
        <f>IFERROR(Z756/G756-1,"")</f>
        <v>-0.50396768143125092</v>
      </c>
      <c r="AD756" s="15">
        <f>IFERROR((Z756/G756)^(1/19)-1,"")</f>
        <v>-3.6228212307580776E-2</v>
      </c>
    </row>
    <row r="757" spans="1:30">
      <c r="A757" s="45" t="s">
        <v>373</v>
      </c>
      <c r="B757" s="45" t="s">
        <v>374</v>
      </c>
      <c r="C757" s="45" t="s">
        <v>490</v>
      </c>
      <c r="D757" s="45" t="s">
        <v>491</v>
      </c>
      <c r="E757" s="45" t="s">
        <v>492</v>
      </c>
      <c r="F757" s="45" t="s">
        <v>493</v>
      </c>
      <c r="G757" s="14">
        <v>7302</v>
      </c>
      <c r="H757" s="14">
        <v>8272</v>
      </c>
      <c r="I757" s="14">
        <v>9507</v>
      </c>
      <c r="J757" s="14">
        <v>10490</v>
      </c>
      <c r="K757" s="14">
        <v>11608</v>
      </c>
      <c r="L757" s="14">
        <v>15159</v>
      </c>
      <c r="M757" s="14">
        <v>16054</v>
      </c>
      <c r="N757" s="14">
        <v>18267</v>
      </c>
      <c r="O757" s="14">
        <v>18867</v>
      </c>
      <c r="P757" s="14">
        <v>24708</v>
      </c>
      <c r="Q757" s="14">
        <v>26795</v>
      </c>
      <c r="R757" s="14">
        <v>32650</v>
      </c>
      <c r="S757" s="14">
        <v>34551</v>
      </c>
      <c r="T757" s="14">
        <v>40527</v>
      </c>
      <c r="U757" s="14">
        <v>35215</v>
      </c>
      <c r="V757" s="14">
        <v>41757</v>
      </c>
      <c r="W757" s="14">
        <v>51989</v>
      </c>
      <c r="X757" s="14">
        <v>53160</v>
      </c>
      <c r="Y757" s="14">
        <v>53078</v>
      </c>
      <c r="Z757" s="14">
        <v>51509</v>
      </c>
      <c r="AA757" s="14">
        <v>53827</v>
      </c>
      <c r="AB757" s="14">
        <v>61082</v>
      </c>
    </row>
    <row r="758" spans="1:30">
      <c r="A758" s="45" t="s">
        <v>373</v>
      </c>
      <c r="B758" s="45" t="s">
        <v>374</v>
      </c>
      <c r="C758" s="45" t="s">
        <v>490</v>
      </c>
      <c r="D758" s="45" t="s">
        <v>494</v>
      </c>
      <c r="E758" s="45" t="s">
        <v>492</v>
      </c>
      <c r="F758" s="45" t="s">
        <v>493</v>
      </c>
      <c r="G758" s="14">
        <v>7041</v>
      </c>
      <c r="H758" s="14">
        <v>7985</v>
      </c>
      <c r="I758" s="14">
        <v>9155</v>
      </c>
      <c r="J758" s="14">
        <v>10057</v>
      </c>
      <c r="K758" s="14">
        <v>10958</v>
      </c>
      <c r="L758" s="14">
        <v>14252</v>
      </c>
      <c r="M758" s="14">
        <v>14999</v>
      </c>
      <c r="N758" s="14">
        <v>17177</v>
      </c>
      <c r="O758" s="14">
        <v>17878</v>
      </c>
      <c r="P758" s="14">
        <v>23064</v>
      </c>
      <c r="Q758" s="14">
        <v>25541</v>
      </c>
      <c r="R758" s="14">
        <v>31230</v>
      </c>
      <c r="S758" s="14">
        <v>32980</v>
      </c>
      <c r="T758" s="14">
        <v>38755</v>
      </c>
      <c r="U758" s="14">
        <v>33732</v>
      </c>
      <c r="V758" s="14">
        <v>40366</v>
      </c>
      <c r="W758" s="14">
        <v>50143</v>
      </c>
      <c r="X758" s="14">
        <v>50676</v>
      </c>
      <c r="Y758" s="14">
        <v>50300</v>
      </c>
      <c r="Z758" s="14">
        <v>48489</v>
      </c>
      <c r="AA758" s="14"/>
      <c r="AB758" s="14"/>
    </row>
    <row r="759" spans="1:30">
      <c r="A759" s="45" t="s">
        <v>373</v>
      </c>
      <c r="B759" s="45" t="s">
        <v>374</v>
      </c>
      <c r="C759" s="45" t="s">
        <v>490</v>
      </c>
      <c r="D759" s="45" t="s">
        <v>495</v>
      </c>
      <c r="E759" s="45" t="s">
        <v>492</v>
      </c>
      <c r="F759" s="45" t="s">
        <v>493</v>
      </c>
      <c r="G759" s="14">
        <v>631</v>
      </c>
      <c r="H759" s="14">
        <v>478</v>
      </c>
      <c r="I759" s="14">
        <v>713</v>
      </c>
      <c r="J759" s="14">
        <v>742</v>
      </c>
      <c r="K759" s="14">
        <v>548</v>
      </c>
      <c r="L759" s="14">
        <v>1402</v>
      </c>
      <c r="M759" s="14">
        <v>843</v>
      </c>
      <c r="N759" s="14">
        <v>1018</v>
      </c>
      <c r="O759" s="14">
        <v>1209</v>
      </c>
      <c r="P759" s="14">
        <v>2182</v>
      </c>
      <c r="Q759" s="14">
        <v>3904</v>
      </c>
      <c r="R759" s="14">
        <v>5968</v>
      </c>
      <c r="S759" s="14">
        <v>5568</v>
      </c>
      <c r="T759" s="14">
        <v>9102</v>
      </c>
      <c r="U759" s="14">
        <v>3608</v>
      </c>
      <c r="V759" s="14">
        <v>8533</v>
      </c>
      <c r="W759" s="14">
        <v>16853</v>
      </c>
      <c r="X759" s="14">
        <v>13728</v>
      </c>
      <c r="Y759" s="14">
        <v>10499</v>
      </c>
      <c r="Z759" s="14">
        <v>6960</v>
      </c>
      <c r="AA759" s="14"/>
      <c r="AB759" s="14"/>
    </row>
    <row r="760" spans="1:30">
      <c r="A760" s="45" t="s">
        <v>373</v>
      </c>
      <c r="B760" s="45" t="s">
        <v>374</v>
      </c>
      <c r="C760" s="45" t="s">
        <v>490</v>
      </c>
      <c r="D760" s="45" t="s">
        <v>496</v>
      </c>
      <c r="E760" s="45" t="s">
        <v>492</v>
      </c>
      <c r="F760" s="45" t="s">
        <v>493</v>
      </c>
      <c r="G760" s="14">
        <v>1542</v>
      </c>
      <c r="H760" s="14">
        <v>1783</v>
      </c>
      <c r="I760" s="14">
        <v>2126</v>
      </c>
      <c r="J760" s="14">
        <v>2404</v>
      </c>
      <c r="K760" s="14">
        <v>2769</v>
      </c>
      <c r="L760" s="14">
        <v>3364</v>
      </c>
      <c r="M760" s="14">
        <v>3257</v>
      </c>
      <c r="N760" s="14">
        <v>3871</v>
      </c>
      <c r="O760" s="14">
        <v>4320</v>
      </c>
      <c r="P760" s="14">
        <v>5570</v>
      </c>
      <c r="Q760" s="14">
        <v>6270</v>
      </c>
      <c r="R760" s="14">
        <v>7275</v>
      </c>
      <c r="S760" s="14">
        <v>7805</v>
      </c>
      <c r="T760" s="14">
        <v>8769</v>
      </c>
      <c r="U760" s="14">
        <v>9088</v>
      </c>
      <c r="V760" s="14">
        <v>9490</v>
      </c>
      <c r="W760" s="14">
        <v>10740</v>
      </c>
      <c r="X760" s="14">
        <v>12360</v>
      </c>
      <c r="Y760" s="14">
        <v>13348</v>
      </c>
      <c r="Z760" s="14">
        <v>13375</v>
      </c>
      <c r="AA760" s="14"/>
      <c r="AB760" s="14"/>
    </row>
    <row r="761" spans="1:30">
      <c r="A761" s="45" t="s">
        <v>373</v>
      </c>
      <c r="B761" s="45" t="s">
        <v>374</v>
      </c>
      <c r="C761" s="45" t="s">
        <v>490</v>
      </c>
      <c r="D761" s="45" t="s">
        <v>497</v>
      </c>
      <c r="E761" s="45" t="s">
        <v>492</v>
      </c>
      <c r="F761" s="45" t="s">
        <v>493</v>
      </c>
      <c r="G761" s="14">
        <v>4361</v>
      </c>
      <c r="H761" s="14">
        <v>4808</v>
      </c>
      <c r="I761" s="14">
        <v>5194</v>
      </c>
      <c r="J761" s="14">
        <v>5992</v>
      </c>
      <c r="K761" s="14">
        <v>6552</v>
      </c>
      <c r="L761" s="14">
        <v>8359</v>
      </c>
      <c r="M761" s="14">
        <v>9232</v>
      </c>
      <c r="N761" s="14">
        <v>10167</v>
      </c>
      <c r="O761" s="14">
        <v>11293</v>
      </c>
      <c r="P761" s="14">
        <v>12939</v>
      </c>
      <c r="Q761" s="14">
        <v>14351</v>
      </c>
      <c r="R761" s="14">
        <v>16813</v>
      </c>
      <c r="S761" s="14">
        <v>18173</v>
      </c>
      <c r="T761" s="14">
        <v>19576</v>
      </c>
      <c r="U761" s="14">
        <v>19635</v>
      </c>
      <c r="V761" s="14">
        <v>20802</v>
      </c>
      <c r="W761" s="14">
        <v>20925</v>
      </c>
      <c r="X761" s="14">
        <v>22828</v>
      </c>
      <c r="Y761" s="14">
        <v>24238</v>
      </c>
      <c r="Z761" s="14">
        <v>25618</v>
      </c>
      <c r="AA761" s="14"/>
      <c r="AB761" s="14"/>
    </row>
    <row r="762" spans="1:30">
      <c r="A762" s="45" t="s">
        <v>373</v>
      </c>
      <c r="B762" s="45" t="s">
        <v>374</v>
      </c>
      <c r="C762" s="45" t="s">
        <v>498</v>
      </c>
      <c r="D762" s="45" t="s">
        <v>491</v>
      </c>
      <c r="E762" s="45" t="s">
        <v>499</v>
      </c>
      <c r="F762" s="45" t="s">
        <v>500</v>
      </c>
      <c r="G762" s="14">
        <v>13871.8</v>
      </c>
      <c r="H762" s="14">
        <v>13773</v>
      </c>
      <c r="I762" s="14">
        <v>14690.8</v>
      </c>
      <c r="J762" s="14">
        <v>15088.4</v>
      </c>
      <c r="K762" s="14">
        <v>15638.2</v>
      </c>
      <c r="L762" s="14">
        <v>19186.599999999999</v>
      </c>
      <c r="M762" s="14">
        <v>18678.900000000001</v>
      </c>
      <c r="N762" s="14">
        <v>19805.7</v>
      </c>
      <c r="O762" s="14">
        <v>18867</v>
      </c>
      <c r="P762" s="14">
        <v>22810.5</v>
      </c>
      <c r="Q762" s="14">
        <v>22916.9</v>
      </c>
      <c r="R762" s="14">
        <v>25975.200000000001</v>
      </c>
      <c r="S762" s="14">
        <v>25487.599999999999</v>
      </c>
      <c r="T762" s="14">
        <v>27793.1</v>
      </c>
      <c r="U762" s="14">
        <v>22339.8</v>
      </c>
      <c r="V762" s="14">
        <v>25551.9</v>
      </c>
      <c r="W762" s="14">
        <v>30445</v>
      </c>
      <c r="X762" s="14">
        <v>29869</v>
      </c>
      <c r="Y762" s="14">
        <v>28009.9</v>
      </c>
      <c r="Z762" s="14">
        <v>24044.799999999999</v>
      </c>
      <c r="AA762" s="14"/>
      <c r="AB762" s="14"/>
      <c r="AC762" s="15">
        <f>IFERROR(Z762/G762-1,"")</f>
        <v>0.73335832408195056</v>
      </c>
      <c r="AD762" s="15">
        <f>IFERROR((Z762/G762)^(1/19)-1,"")</f>
        <v>2.9373707187584142E-2</v>
      </c>
    </row>
    <row r="763" spans="1:30">
      <c r="A763" s="45" t="s">
        <v>373</v>
      </c>
      <c r="B763" s="45" t="s">
        <v>374</v>
      </c>
      <c r="C763" s="45" t="s">
        <v>498</v>
      </c>
      <c r="D763" s="45" t="s">
        <v>495</v>
      </c>
      <c r="E763" s="45" t="s">
        <v>499</v>
      </c>
      <c r="F763" s="45" t="s">
        <v>500</v>
      </c>
      <c r="G763" s="14">
        <v>1199.5</v>
      </c>
      <c r="H763" s="14">
        <v>795.1</v>
      </c>
      <c r="I763" s="14">
        <v>1101.5</v>
      </c>
      <c r="J763" s="14">
        <v>1066.5999999999999</v>
      </c>
      <c r="K763" s="14">
        <v>738.6</v>
      </c>
      <c r="L763" s="14">
        <v>1774</v>
      </c>
      <c r="M763" s="14">
        <v>980.5</v>
      </c>
      <c r="N763" s="14">
        <v>1103.7</v>
      </c>
      <c r="O763" s="14">
        <v>1209</v>
      </c>
      <c r="P763" s="14">
        <v>2014.4</v>
      </c>
      <c r="Q763" s="14">
        <v>3339</v>
      </c>
      <c r="R763" s="14">
        <v>4747.8999999999996</v>
      </c>
      <c r="S763" s="14">
        <v>4107.3999999999996</v>
      </c>
      <c r="T763" s="14">
        <v>6242.1</v>
      </c>
      <c r="U763" s="14">
        <v>2288.9</v>
      </c>
      <c r="V763" s="14">
        <v>5221.5</v>
      </c>
      <c r="W763" s="14">
        <v>9869.2000000000007</v>
      </c>
      <c r="X763" s="14">
        <v>7713.3</v>
      </c>
      <c r="Y763" s="14">
        <v>5540.5</v>
      </c>
      <c r="Z763" s="14">
        <v>3249</v>
      </c>
      <c r="AA763" s="14"/>
      <c r="AB763" s="14"/>
      <c r="AC763" s="15">
        <f>IFERROR(Z763/G763-1,"")</f>
        <v>1.7086285952480198</v>
      </c>
      <c r="AD763" s="15">
        <f>IFERROR((Z763/G763)^(1/19)-1,"")</f>
        <v>5.384390312775289E-2</v>
      </c>
    </row>
    <row r="764" spans="1:30">
      <c r="A764" s="45" t="s">
        <v>373</v>
      </c>
      <c r="B764" s="45" t="s">
        <v>374</v>
      </c>
      <c r="C764" s="45" t="s">
        <v>498</v>
      </c>
      <c r="D764" s="45" t="s">
        <v>496</v>
      </c>
      <c r="E764" s="45" t="s">
        <v>499</v>
      </c>
      <c r="F764" s="45" t="s">
        <v>500</v>
      </c>
      <c r="G764" s="14">
        <v>2928.6</v>
      </c>
      <c r="H764" s="14">
        <v>2968.1</v>
      </c>
      <c r="I764" s="14">
        <v>3285.2</v>
      </c>
      <c r="J764" s="14">
        <v>3458</v>
      </c>
      <c r="K764" s="14">
        <v>3730.8</v>
      </c>
      <c r="L764" s="14">
        <v>4258</v>
      </c>
      <c r="M764" s="14">
        <v>3790</v>
      </c>
      <c r="N764" s="14">
        <v>4197.1000000000004</v>
      </c>
      <c r="O764" s="14">
        <v>4320</v>
      </c>
      <c r="P764" s="14">
        <v>5142.2</v>
      </c>
      <c r="Q764" s="14">
        <v>5362.5</v>
      </c>
      <c r="R764" s="14">
        <v>5787.7</v>
      </c>
      <c r="S764" s="14">
        <v>5757.6</v>
      </c>
      <c r="T764" s="14">
        <v>6013.7</v>
      </c>
      <c r="U764" s="14">
        <v>5765.3</v>
      </c>
      <c r="V764" s="14">
        <v>5807.1</v>
      </c>
      <c r="W764" s="14">
        <v>6289.4</v>
      </c>
      <c r="X764" s="14">
        <v>6944.7</v>
      </c>
      <c r="Y764" s="14">
        <v>7043.9</v>
      </c>
      <c r="Z764" s="14">
        <v>6243.5</v>
      </c>
      <c r="AA764" s="14"/>
      <c r="AB764" s="14"/>
      <c r="AC764" s="15">
        <f>IFERROR(Z764/G764-1,"")</f>
        <v>1.1319060301850716</v>
      </c>
      <c r="AD764" s="15">
        <f>IFERROR((Z764/G764)^(1/19)-1,"")</f>
        <v>4.0647348477222289E-2</v>
      </c>
    </row>
    <row r="765" spans="1:30">
      <c r="A765" s="45" t="s">
        <v>373</v>
      </c>
      <c r="B765" s="45" t="s">
        <v>374</v>
      </c>
      <c r="C765" s="45" t="s">
        <v>498</v>
      </c>
      <c r="D765" s="45" t="s">
        <v>497</v>
      </c>
      <c r="E765" s="45" t="s">
        <v>499</v>
      </c>
      <c r="F765" s="45" t="s">
        <v>500</v>
      </c>
      <c r="G765" s="14">
        <v>8283.9</v>
      </c>
      <c r="H765" s="14">
        <v>8005.7</v>
      </c>
      <c r="I765" s="14">
        <v>8027.1</v>
      </c>
      <c r="J765" s="14">
        <v>8619.2999999999993</v>
      </c>
      <c r="K765" s="14">
        <v>8826.1</v>
      </c>
      <c r="L765" s="14">
        <v>10579.7</v>
      </c>
      <c r="M765" s="14">
        <v>10742.1</v>
      </c>
      <c r="N765" s="14">
        <v>11023.4</v>
      </c>
      <c r="O765" s="14">
        <v>11293</v>
      </c>
      <c r="P765" s="14">
        <v>11945.3</v>
      </c>
      <c r="Q765" s="14">
        <v>12273.9</v>
      </c>
      <c r="R765" s="14">
        <v>13375.8</v>
      </c>
      <c r="S765" s="14">
        <v>13405.9</v>
      </c>
      <c r="T765" s="14">
        <v>13425.1</v>
      </c>
      <c r="U765" s="14">
        <v>12456.1</v>
      </c>
      <c r="V765" s="14">
        <v>12729.1</v>
      </c>
      <c r="W765" s="14">
        <v>12253.8</v>
      </c>
      <c r="X765" s="14">
        <v>12826.3</v>
      </c>
      <c r="Y765" s="14">
        <v>12790.7</v>
      </c>
      <c r="Z765" s="14">
        <v>11959.1</v>
      </c>
      <c r="AA765" s="14"/>
      <c r="AB765" s="14"/>
      <c r="AC765" s="15">
        <f>IFERROR(Z765/G765-1,"")</f>
        <v>0.44365576600393553</v>
      </c>
      <c r="AD765" s="15">
        <f>IFERROR((Z765/G765)^(1/19)-1,"")</f>
        <v>1.9513130881960716E-2</v>
      </c>
    </row>
    <row r="766" spans="1:30">
      <c r="A766" s="45" t="s">
        <v>373</v>
      </c>
      <c r="B766" s="45" t="s">
        <v>374</v>
      </c>
      <c r="C766" s="45" t="s">
        <v>498</v>
      </c>
      <c r="D766" s="45" t="s">
        <v>501</v>
      </c>
      <c r="E766" s="45" t="s">
        <v>499</v>
      </c>
      <c r="F766" s="45" t="s">
        <v>500</v>
      </c>
      <c r="G766" s="14">
        <v>964.9</v>
      </c>
      <c r="H766" s="14">
        <v>1526.7</v>
      </c>
      <c r="I766" s="14">
        <v>1733.1</v>
      </c>
      <c r="J766" s="14">
        <v>1322.7</v>
      </c>
      <c r="K766" s="14">
        <v>1466.7</v>
      </c>
      <c r="L766" s="14">
        <v>1426.3</v>
      </c>
      <c r="M766" s="14">
        <v>1938.9</v>
      </c>
      <c r="N766" s="14">
        <v>2299.6999999999998</v>
      </c>
      <c r="O766" s="14">
        <v>1055</v>
      </c>
      <c r="P766" s="14">
        <v>2190.8000000000002</v>
      </c>
      <c r="Q766" s="14">
        <v>869</v>
      </c>
      <c r="R766" s="14">
        <v>934</v>
      </c>
      <c r="S766" s="14">
        <v>1057.0999999999999</v>
      </c>
      <c r="T766" s="14">
        <v>896.3</v>
      </c>
      <c r="U766" s="14">
        <v>888.8</v>
      </c>
      <c r="V766" s="14">
        <v>943.6</v>
      </c>
      <c r="W766" s="14">
        <v>951.6</v>
      </c>
      <c r="X766" s="14">
        <v>989.5</v>
      </c>
      <c r="Y766" s="14">
        <v>1168.9000000000001</v>
      </c>
      <c r="Z766" s="14">
        <v>1183.4000000000001</v>
      </c>
      <c r="AA766" s="14"/>
      <c r="AB766" s="14"/>
      <c r="AC766" s="15">
        <f>IFERROR(Z766/G766-1,"")</f>
        <v>0.22644833661519348</v>
      </c>
      <c r="AD766" s="15">
        <f>IFERROR((Z766/G766)^(1/19)-1,"")</f>
        <v>1.0801203762974998E-2</v>
      </c>
    </row>
    <row r="767" spans="1:30">
      <c r="A767" s="45" t="s">
        <v>297</v>
      </c>
      <c r="B767" s="45" t="s">
        <v>298</v>
      </c>
      <c r="C767" s="45" t="s">
        <v>490</v>
      </c>
      <c r="D767" s="45" t="s">
        <v>491</v>
      </c>
      <c r="E767" s="45" t="s">
        <v>492</v>
      </c>
      <c r="F767" s="45" t="s">
        <v>493</v>
      </c>
      <c r="G767" s="14">
        <v>17662</v>
      </c>
      <c r="H767" s="14">
        <v>18703</v>
      </c>
      <c r="I767" s="14">
        <v>21877</v>
      </c>
      <c r="J767" s="14">
        <v>21748</v>
      </c>
      <c r="K767" s="14">
        <v>28033</v>
      </c>
      <c r="L767" s="14">
        <v>32042</v>
      </c>
      <c r="M767" s="14">
        <v>36226</v>
      </c>
      <c r="N767" s="14">
        <v>39732</v>
      </c>
      <c r="O767" s="14">
        <v>45343</v>
      </c>
      <c r="P767" s="14">
        <v>49450</v>
      </c>
      <c r="Q767" s="14">
        <v>53756</v>
      </c>
      <c r="R767" s="14">
        <v>56978</v>
      </c>
      <c r="S767" s="14">
        <v>61292</v>
      </c>
      <c r="T767" s="14">
        <v>62998</v>
      </c>
      <c r="U767" s="14">
        <v>63155</v>
      </c>
      <c r="V767" s="14">
        <v>68792</v>
      </c>
      <c r="W767" s="14">
        <v>73669</v>
      </c>
      <c r="X767" s="14">
        <v>80566</v>
      </c>
      <c r="Y767" s="14">
        <v>84731</v>
      </c>
      <c r="Z767" s="14">
        <v>87825</v>
      </c>
      <c r="AA767" s="14">
        <v>97477</v>
      </c>
      <c r="AB767" s="14">
        <v>112399</v>
      </c>
    </row>
    <row r="768" spans="1:30">
      <c r="A768" s="45" t="s">
        <v>297</v>
      </c>
      <c r="B768" s="45" t="s">
        <v>298</v>
      </c>
      <c r="C768" s="45" t="s">
        <v>490</v>
      </c>
      <c r="D768" s="45" t="s">
        <v>494</v>
      </c>
      <c r="E768" s="45" t="s">
        <v>492</v>
      </c>
      <c r="F768" s="45" t="s">
        <v>493</v>
      </c>
      <c r="G768" s="14">
        <v>16708</v>
      </c>
      <c r="H768" s="14">
        <v>17868</v>
      </c>
      <c r="I768" s="14">
        <v>20915</v>
      </c>
      <c r="J768" s="14">
        <v>20844</v>
      </c>
      <c r="K768" s="14">
        <v>26535</v>
      </c>
      <c r="L768" s="14">
        <v>30402</v>
      </c>
      <c r="M768" s="14">
        <v>34351</v>
      </c>
      <c r="N768" s="14">
        <v>38028</v>
      </c>
      <c r="O768" s="14">
        <v>43147</v>
      </c>
      <c r="P768" s="14">
        <v>47285</v>
      </c>
      <c r="Q768" s="14">
        <v>51540</v>
      </c>
      <c r="R768" s="14">
        <v>54877</v>
      </c>
      <c r="S768" s="14">
        <v>58689</v>
      </c>
      <c r="T768" s="14">
        <v>60971</v>
      </c>
      <c r="U768" s="14">
        <v>61615</v>
      </c>
      <c r="V768" s="14">
        <v>66659</v>
      </c>
      <c r="W768" s="14">
        <v>70755</v>
      </c>
      <c r="X768" s="14">
        <v>77603</v>
      </c>
      <c r="Y768" s="14">
        <v>81667</v>
      </c>
      <c r="Z768" s="14">
        <v>84454</v>
      </c>
      <c r="AA768" s="14"/>
      <c r="AB768" s="14"/>
    </row>
    <row r="769" spans="1:30">
      <c r="A769" s="45" t="s">
        <v>297</v>
      </c>
      <c r="B769" s="45" t="s">
        <v>298</v>
      </c>
      <c r="C769" s="45" t="s">
        <v>490</v>
      </c>
      <c r="D769" s="45" t="s">
        <v>495</v>
      </c>
      <c r="E769" s="45" t="s">
        <v>492</v>
      </c>
      <c r="F769" s="45" t="s">
        <v>493</v>
      </c>
      <c r="G769" s="14">
        <v>889</v>
      </c>
      <c r="H769" s="14">
        <v>683</v>
      </c>
      <c r="I769" s="14">
        <v>891</v>
      </c>
      <c r="J769" s="14">
        <v>875</v>
      </c>
      <c r="K769" s="14">
        <v>928</v>
      </c>
      <c r="L769" s="14">
        <v>1049</v>
      </c>
      <c r="M769" s="14">
        <v>1098</v>
      </c>
      <c r="N769" s="14">
        <v>1261</v>
      </c>
      <c r="O769" s="14">
        <v>1268</v>
      </c>
      <c r="P769" s="14">
        <v>1426</v>
      </c>
      <c r="Q769" s="14">
        <v>1492</v>
      </c>
      <c r="R769" s="14">
        <v>1391</v>
      </c>
      <c r="S769" s="14">
        <v>1418</v>
      </c>
      <c r="T769" s="14">
        <v>1241</v>
      </c>
      <c r="U769" s="14">
        <v>1602</v>
      </c>
      <c r="V769" s="14">
        <v>1624</v>
      </c>
      <c r="W769" s="14">
        <v>1667</v>
      </c>
      <c r="X769" s="14">
        <v>2393</v>
      </c>
      <c r="Y769" s="14">
        <v>2183</v>
      </c>
      <c r="Z769" s="14">
        <v>2330</v>
      </c>
      <c r="AA769" s="14"/>
      <c r="AB769" s="14"/>
    </row>
    <row r="770" spans="1:30">
      <c r="A770" s="45" t="s">
        <v>297</v>
      </c>
      <c r="B770" s="45" t="s">
        <v>298</v>
      </c>
      <c r="C770" s="45" t="s">
        <v>490</v>
      </c>
      <c r="D770" s="45" t="s">
        <v>496</v>
      </c>
      <c r="E770" s="45" t="s">
        <v>492</v>
      </c>
      <c r="F770" s="45" t="s">
        <v>493</v>
      </c>
      <c r="G770" s="14">
        <v>4401</v>
      </c>
      <c r="H770" s="14">
        <v>4576</v>
      </c>
      <c r="I770" s="14">
        <v>5418</v>
      </c>
      <c r="J770" s="14">
        <v>5230</v>
      </c>
      <c r="K770" s="14">
        <v>6993</v>
      </c>
      <c r="L770" s="14">
        <v>7978</v>
      </c>
      <c r="M770" s="14">
        <v>7191</v>
      </c>
      <c r="N770" s="14">
        <v>8445</v>
      </c>
      <c r="O770" s="14">
        <v>9960</v>
      </c>
      <c r="P770" s="14">
        <v>11526</v>
      </c>
      <c r="Q770" s="14">
        <v>13013</v>
      </c>
      <c r="R770" s="14">
        <v>13620</v>
      </c>
      <c r="S770" s="14">
        <v>14018</v>
      </c>
      <c r="T770" s="14">
        <v>15104</v>
      </c>
      <c r="U770" s="14">
        <v>14154</v>
      </c>
      <c r="V770" s="14">
        <v>16207</v>
      </c>
      <c r="W770" s="14">
        <v>18538</v>
      </c>
      <c r="X770" s="14">
        <v>20482</v>
      </c>
      <c r="Y770" s="14">
        <v>20725</v>
      </c>
      <c r="Z770" s="14">
        <v>20589</v>
      </c>
      <c r="AA770" s="14"/>
      <c r="AB770" s="14"/>
    </row>
    <row r="771" spans="1:30">
      <c r="A771" s="45" t="s">
        <v>297</v>
      </c>
      <c r="B771" s="45" t="s">
        <v>298</v>
      </c>
      <c r="C771" s="45" t="s">
        <v>490</v>
      </c>
      <c r="D771" s="45" t="s">
        <v>497</v>
      </c>
      <c r="E771" s="45" t="s">
        <v>492</v>
      </c>
      <c r="F771" s="45" t="s">
        <v>493</v>
      </c>
      <c r="G771" s="14">
        <v>10301</v>
      </c>
      <c r="H771" s="14">
        <v>11179</v>
      </c>
      <c r="I771" s="14">
        <v>12900</v>
      </c>
      <c r="J771" s="14">
        <v>13274</v>
      </c>
      <c r="K771" s="14">
        <v>16600</v>
      </c>
      <c r="L771" s="14">
        <v>19850</v>
      </c>
      <c r="M771" s="14">
        <v>23399</v>
      </c>
      <c r="N771" s="14">
        <v>26149</v>
      </c>
      <c r="O771" s="14">
        <v>29222</v>
      </c>
      <c r="P771" s="14">
        <v>31724</v>
      </c>
      <c r="Q771" s="14">
        <v>35663</v>
      </c>
      <c r="R771" s="14">
        <v>38306</v>
      </c>
      <c r="S771" s="14">
        <v>40791</v>
      </c>
      <c r="T771" s="14">
        <v>43834</v>
      </c>
      <c r="U771" s="14">
        <v>45220</v>
      </c>
      <c r="V771" s="14">
        <v>47898</v>
      </c>
      <c r="W771" s="14">
        <v>49160</v>
      </c>
      <c r="X771" s="14">
        <v>53739</v>
      </c>
      <c r="Y771" s="14">
        <v>56850</v>
      </c>
      <c r="Z771" s="14">
        <v>59670</v>
      </c>
      <c r="AA771" s="14"/>
      <c r="AB771" s="14"/>
    </row>
    <row r="772" spans="1:30">
      <c r="A772" s="45" t="s">
        <v>297</v>
      </c>
      <c r="B772" s="45" t="s">
        <v>298</v>
      </c>
      <c r="C772" s="45" t="s">
        <v>498</v>
      </c>
      <c r="D772" s="45" t="s">
        <v>491</v>
      </c>
      <c r="E772" s="45" t="s">
        <v>499</v>
      </c>
      <c r="F772" s="45" t="s">
        <v>500</v>
      </c>
      <c r="G772" s="14">
        <v>33552.800000000003</v>
      </c>
      <c r="H772" s="14">
        <v>31142.3</v>
      </c>
      <c r="I772" s="14">
        <v>33806.199999999997</v>
      </c>
      <c r="J772" s="14">
        <v>31283</v>
      </c>
      <c r="K772" s="14">
        <v>37765</v>
      </c>
      <c r="L772" s="14">
        <v>40554.5</v>
      </c>
      <c r="M772" s="14">
        <v>42150.3</v>
      </c>
      <c r="N772" s="14">
        <v>43078.8</v>
      </c>
      <c r="O772" s="14">
        <v>45343</v>
      </c>
      <c r="P772" s="14">
        <v>45652.4</v>
      </c>
      <c r="Q772" s="14">
        <v>45975.8</v>
      </c>
      <c r="R772" s="14">
        <v>45329.599999999999</v>
      </c>
      <c r="S772" s="14">
        <v>45213.9</v>
      </c>
      <c r="T772" s="14">
        <v>43203.5</v>
      </c>
      <c r="U772" s="14">
        <v>40064.5</v>
      </c>
      <c r="V772" s="14">
        <v>42095.1</v>
      </c>
      <c r="W772" s="14">
        <v>43140.9</v>
      </c>
      <c r="X772" s="14">
        <v>45267.5</v>
      </c>
      <c r="Y772" s="14">
        <v>44713.599999999999</v>
      </c>
      <c r="Z772" s="14">
        <v>40997.4</v>
      </c>
      <c r="AA772" s="14"/>
      <c r="AB772" s="14"/>
      <c r="AC772" s="15">
        <f>IFERROR(Z772/G772-1,"")</f>
        <v>0.22187716077346753</v>
      </c>
      <c r="AD772" s="15">
        <f>IFERROR((Z772/G772)^(1/19)-1,"")</f>
        <v>1.0602567403851237E-2</v>
      </c>
    </row>
    <row r="773" spans="1:30">
      <c r="A773" s="45" t="s">
        <v>297</v>
      </c>
      <c r="B773" s="45" t="s">
        <v>298</v>
      </c>
      <c r="C773" s="45" t="s">
        <v>498</v>
      </c>
      <c r="D773" s="45" t="s">
        <v>495</v>
      </c>
      <c r="E773" s="45" t="s">
        <v>499</v>
      </c>
      <c r="F773" s="45" t="s">
        <v>500</v>
      </c>
      <c r="G773" s="14">
        <v>1688.4</v>
      </c>
      <c r="H773" s="14">
        <v>1136.7</v>
      </c>
      <c r="I773" s="14">
        <v>1377.1</v>
      </c>
      <c r="J773" s="14">
        <v>1258.2</v>
      </c>
      <c r="K773" s="14">
        <v>1250.0999999999999</v>
      </c>
      <c r="L773" s="14">
        <v>1328.3</v>
      </c>
      <c r="M773" s="14">
        <v>1277.8</v>
      </c>
      <c r="N773" s="14">
        <v>1367.2</v>
      </c>
      <c r="O773" s="14">
        <v>1268</v>
      </c>
      <c r="P773" s="14">
        <v>1316.5</v>
      </c>
      <c r="Q773" s="14">
        <v>1276.0999999999999</v>
      </c>
      <c r="R773" s="14">
        <v>1106.5999999999999</v>
      </c>
      <c r="S773" s="14">
        <v>1046</v>
      </c>
      <c r="T773" s="14">
        <v>851.1</v>
      </c>
      <c r="U773" s="14">
        <v>1016.3</v>
      </c>
      <c r="V773" s="14">
        <v>993.8</v>
      </c>
      <c r="W773" s="14">
        <v>976.2</v>
      </c>
      <c r="X773" s="14">
        <v>1344.6</v>
      </c>
      <c r="Y773" s="14">
        <v>1152</v>
      </c>
      <c r="Z773" s="14">
        <v>1087.7</v>
      </c>
      <c r="AA773" s="14"/>
      <c r="AB773" s="14"/>
      <c r="AC773" s="15">
        <f>IFERROR(Z773/G773-1,"")</f>
        <v>-0.35578062070599381</v>
      </c>
      <c r="AD773" s="15">
        <f>IFERROR((Z773/G773)^(1/19)-1,"")</f>
        <v>-2.2877201275897208E-2</v>
      </c>
    </row>
    <row r="774" spans="1:30">
      <c r="A774" s="45" t="s">
        <v>297</v>
      </c>
      <c r="B774" s="45" t="s">
        <v>298</v>
      </c>
      <c r="C774" s="45" t="s">
        <v>498</v>
      </c>
      <c r="D774" s="45" t="s">
        <v>496</v>
      </c>
      <c r="E774" s="45" t="s">
        <v>499</v>
      </c>
      <c r="F774" s="45" t="s">
        <v>500</v>
      </c>
      <c r="G774" s="14">
        <v>8360</v>
      </c>
      <c r="H774" s="14">
        <v>7620.4</v>
      </c>
      <c r="I774" s="14">
        <v>8372.7000000000007</v>
      </c>
      <c r="J774" s="14">
        <v>7523</v>
      </c>
      <c r="K774" s="14">
        <v>9421.1</v>
      </c>
      <c r="L774" s="14">
        <v>10097.299999999999</v>
      </c>
      <c r="M774" s="14">
        <v>8366.4</v>
      </c>
      <c r="N774" s="14">
        <v>9156.4</v>
      </c>
      <c r="O774" s="14">
        <v>9960</v>
      </c>
      <c r="P774" s="14">
        <v>10640.8</v>
      </c>
      <c r="Q774" s="14">
        <v>11129.6</v>
      </c>
      <c r="R774" s="14">
        <v>10835.6</v>
      </c>
      <c r="S774" s="14">
        <v>10340.799999999999</v>
      </c>
      <c r="T774" s="14">
        <v>10358.200000000001</v>
      </c>
      <c r="U774" s="14">
        <v>8979.1</v>
      </c>
      <c r="V774" s="14">
        <v>9917.4</v>
      </c>
      <c r="W774" s="14">
        <v>10855.9</v>
      </c>
      <c r="X774" s="14">
        <v>11508.2</v>
      </c>
      <c r="Y774" s="14">
        <v>10936.8</v>
      </c>
      <c r="Z774" s="14">
        <v>9611.1</v>
      </c>
      <c r="AA774" s="14"/>
      <c r="AB774" s="14"/>
      <c r="AC774" s="15">
        <f>IFERROR(Z774/G774-1,"")</f>
        <v>0.14965311004784687</v>
      </c>
      <c r="AD774" s="15">
        <f>IFERROR((Z774/G774)^(1/19)-1,"")</f>
        <v>7.3670172658848454E-3</v>
      </c>
    </row>
    <row r="775" spans="1:30">
      <c r="A775" s="45" t="s">
        <v>297</v>
      </c>
      <c r="B775" s="45" t="s">
        <v>298</v>
      </c>
      <c r="C775" s="45" t="s">
        <v>498</v>
      </c>
      <c r="D775" s="45" t="s">
        <v>497</v>
      </c>
      <c r="E775" s="45" t="s">
        <v>499</v>
      </c>
      <c r="F775" s="45" t="s">
        <v>500</v>
      </c>
      <c r="G775" s="14">
        <v>19570</v>
      </c>
      <c r="H775" s="14">
        <v>18614.900000000001</v>
      </c>
      <c r="I775" s="14">
        <v>19935.3</v>
      </c>
      <c r="J775" s="14">
        <v>19093.7</v>
      </c>
      <c r="K775" s="14">
        <v>22363.3</v>
      </c>
      <c r="L775" s="14">
        <v>25123.1</v>
      </c>
      <c r="M775" s="14">
        <v>27225.200000000001</v>
      </c>
      <c r="N775" s="14">
        <v>28351.599999999999</v>
      </c>
      <c r="O775" s="14">
        <v>29222</v>
      </c>
      <c r="P775" s="14">
        <v>29287.7</v>
      </c>
      <c r="Q775" s="14">
        <v>30501.4</v>
      </c>
      <c r="R775" s="14">
        <v>30474.9</v>
      </c>
      <c r="S775" s="14">
        <v>30090.7</v>
      </c>
      <c r="T775" s="14">
        <v>30061</v>
      </c>
      <c r="U775" s="14">
        <v>28686.799999999999</v>
      </c>
      <c r="V775" s="14">
        <v>29309.7</v>
      </c>
      <c r="W775" s="14">
        <v>28788.3</v>
      </c>
      <c r="X775" s="14">
        <v>30194.3</v>
      </c>
      <c r="Y775" s="14">
        <v>30000.5</v>
      </c>
      <c r="Z775" s="14">
        <v>27854.9</v>
      </c>
      <c r="AA775" s="14"/>
      <c r="AB775" s="14"/>
      <c r="AC775" s="15">
        <f>IFERROR(Z775/G775-1,"")</f>
        <v>0.42334695963209001</v>
      </c>
      <c r="AD775" s="15">
        <f>IFERROR((Z775/G775)^(1/19)-1,"")</f>
        <v>1.8753205644159054E-2</v>
      </c>
    </row>
    <row r="776" spans="1:30">
      <c r="A776" s="45" t="s">
        <v>297</v>
      </c>
      <c r="B776" s="45" t="s">
        <v>298</v>
      </c>
      <c r="C776" s="45" t="s">
        <v>498</v>
      </c>
      <c r="D776" s="45" t="s">
        <v>501</v>
      </c>
      <c r="E776" s="45" t="s">
        <v>499</v>
      </c>
      <c r="F776" s="45" t="s">
        <v>500</v>
      </c>
      <c r="G776" s="14">
        <v>2122.1999999999998</v>
      </c>
      <c r="H776" s="14">
        <v>2379.6999999999998</v>
      </c>
      <c r="I776" s="14">
        <v>2635.3</v>
      </c>
      <c r="J776" s="14">
        <v>2107.9</v>
      </c>
      <c r="K776" s="14">
        <v>2713.2</v>
      </c>
      <c r="L776" s="14">
        <v>1930.2</v>
      </c>
      <c r="M776" s="14">
        <v>3098.8</v>
      </c>
      <c r="N776" s="14">
        <v>2357.1</v>
      </c>
      <c r="O776" s="14">
        <v>2697</v>
      </c>
      <c r="P776" s="14">
        <v>2408.6</v>
      </c>
      <c r="Q776" s="14">
        <v>1174.3</v>
      </c>
      <c r="R776" s="14">
        <v>1241.0999999999999</v>
      </c>
      <c r="S776" s="14">
        <v>1816.2</v>
      </c>
      <c r="T776" s="14">
        <v>543.1</v>
      </c>
      <c r="U776" s="14">
        <v>406</v>
      </c>
      <c r="V776" s="14">
        <v>568.5</v>
      </c>
      <c r="W776" s="14">
        <v>813.4</v>
      </c>
      <c r="X776" s="14">
        <v>555.70000000000005</v>
      </c>
      <c r="Y776" s="14">
        <v>1007.4</v>
      </c>
      <c r="Z776" s="14">
        <v>871.1</v>
      </c>
      <c r="AA776" s="14"/>
      <c r="AB776" s="14"/>
      <c r="AC776" s="15">
        <f>IFERROR(Z776/G776-1,"")</f>
        <v>-0.58952973329563663</v>
      </c>
      <c r="AD776" s="15">
        <f>IFERROR((Z776/G776)^(1/19)-1,"")</f>
        <v>-4.578463487140283E-2</v>
      </c>
    </row>
    <row r="777" spans="1:30">
      <c r="A777" s="45" t="s">
        <v>111</v>
      </c>
      <c r="B777" s="45" t="s">
        <v>112</v>
      </c>
      <c r="C777" s="45" t="s">
        <v>490</v>
      </c>
      <c r="D777" s="45" t="s">
        <v>491</v>
      </c>
      <c r="E777" s="45" t="s">
        <v>492</v>
      </c>
      <c r="F777" s="45" t="s">
        <v>493</v>
      </c>
      <c r="G777" s="14">
        <v>304018</v>
      </c>
      <c r="H777" s="14">
        <v>406106</v>
      </c>
      <c r="I777" s="14">
        <v>471684</v>
      </c>
      <c r="J777" s="14">
        <v>544135</v>
      </c>
      <c r="K777" s="14">
        <v>631211</v>
      </c>
      <c r="L777" s="14">
        <v>761619</v>
      </c>
      <c r="M777" s="14">
        <v>808403</v>
      </c>
      <c r="N777" s="14">
        <v>784706</v>
      </c>
      <c r="O777" s="14">
        <v>1057411</v>
      </c>
      <c r="P777" s="14">
        <v>1079848</v>
      </c>
      <c r="Q777" s="14">
        <v>1324907</v>
      </c>
      <c r="R777" s="14">
        <v>1389129</v>
      </c>
      <c r="S777" s="14">
        <v>1355845</v>
      </c>
      <c r="T777" s="14">
        <v>1454040</v>
      </c>
      <c r="U777" s="14">
        <v>1365318</v>
      </c>
      <c r="V777" s="14">
        <v>1479503</v>
      </c>
      <c r="W777" s="14">
        <v>1651683</v>
      </c>
      <c r="X777" s="14">
        <v>1831544</v>
      </c>
      <c r="Y777" s="14">
        <v>1700063</v>
      </c>
      <c r="Z777" s="14">
        <v>1828142</v>
      </c>
      <c r="AA777" s="14">
        <v>2109145</v>
      </c>
      <c r="AB777" s="14">
        <v>2455739</v>
      </c>
    </row>
    <row r="778" spans="1:30">
      <c r="A778" s="45" t="s">
        <v>111</v>
      </c>
      <c r="B778" s="45" t="s">
        <v>112</v>
      </c>
      <c r="C778" s="45" t="s">
        <v>490</v>
      </c>
      <c r="D778" s="45" t="s">
        <v>494</v>
      </c>
      <c r="E778" s="45" t="s">
        <v>492</v>
      </c>
      <c r="F778" s="45" t="s">
        <v>493</v>
      </c>
      <c r="G778" s="14">
        <v>250491</v>
      </c>
      <c r="H778" s="14">
        <v>326335</v>
      </c>
      <c r="I778" s="14">
        <v>366281</v>
      </c>
      <c r="J778" s="14">
        <v>429796</v>
      </c>
      <c r="K778" s="14">
        <v>502160</v>
      </c>
      <c r="L778" s="14">
        <v>643651</v>
      </c>
      <c r="M778" s="14">
        <v>671754</v>
      </c>
      <c r="N778" s="14">
        <v>647791</v>
      </c>
      <c r="O778" s="14">
        <v>885246</v>
      </c>
      <c r="P778" s="14">
        <v>895974</v>
      </c>
      <c r="Q778" s="14">
        <v>1093414</v>
      </c>
      <c r="R778" s="14">
        <v>1136641</v>
      </c>
      <c r="S778" s="14">
        <v>1117093</v>
      </c>
      <c r="T778" s="14">
        <v>1256873</v>
      </c>
      <c r="U778" s="14">
        <v>1155687</v>
      </c>
      <c r="V778" s="14">
        <v>1257222</v>
      </c>
      <c r="W778" s="14">
        <v>1393844</v>
      </c>
      <c r="X778" s="14">
        <v>1570569</v>
      </c>
      <c r="Y778" s="14">
        <v>1455585</v>
      </c>
      <c r="Z778" s="14">
        <v>1561048</v>
      </c>
      <c r="AA778" s="14"/>
      <c r="AB778" s="14"/>
    </row>
    <row r="779" spans="1:30">
      <c r="A779" s="45" t="s">
        <v>111</v>
      </c>
      <c r="B779" s="45" t="s">
        <v>112</v>
      </c>
      <c r="C779" s="45" t="s">
        <v>490</v>
      </c>
      <c r="D779" s="45" t="s">
        <v>495</v>
      </c>
      <c r="E779" s="45" t="s">
        <v>492</v>
      </c>
      <c r="F779" s="45" t="s">
        <v>493</v>
      </c>
      <c r="G779" s="14">
        <v>101795</v>
      </c>
      <c r="H779" s="14">
        <v>142822</v>
      </c>
      <c r="I779" s="14">
        <v>150340</v>
      </c>
      <c r="J779" s="14">
        <v>178629</v>
      </c>
      <c r="K779" s="14">
        <v>203074</v>
      </c>
      <c r="L779" s="14">
        <v>264833</v>
      </c>
      <c r="M779" s="14">
        <v>281089</v>
      </c>
      <c r="N779" s="14">
        <v>211051</v>
      </c>
      <c r="O779" s="14">
        <v>311457</v>
      </c>
      <c r="P779" s="14">
        <v>367340</v>
      </c>
      <c r="Q779" s="14">
        <v>477557</v>
      </c>
      <c r="R779" s="14">
        <v>456926</v>
      </c>
      <c r="S779" s="14">
        <v>413438</v>
      </c>
      <c r="T779" s="14">
        <v>451738</v>
      </c>
      <c r="U779" s="14">
        <v>313883</v>
      </c>
      <c r="V779" s="14">
        <v>353852</v>
      </c>
      <c r="W779" s="14">
        <v>453014</v>
      </c>
      <c r="X779" s="14">
        <v>499649</v>
      </c>
      <c r="Y779" s="14">
        <v>409918</v>
      </c>
      <c r="Z779" s="14">
        <v>485851</v>
      </c>
      <c r="AA779" s="14"/>
      <c r="AB779" s="14"/>
    </row>
    <row r="780" spans="1:30">
      <c r="A780" s="45" t="s">
        <v>111</v>
      </c>
      <c r="B780" s="45" t="s">
        <v>112</v>
      </c>
      <c r="C780" s="45" t="s">
        <v>490</v>
      </c>
      <c r="D780" s="45" t="s">
        <v>496</v>
      </c>
      <c r="E780" s="45" t="s">
        <v>492</v>
      </c>
      <c r="F780" s="45" t="s">
        <v>493</v>
      </c>
      <c r="G780" s="14">
        <v>77312</v>
      </c>
      <c r="H780" s="14">
        <v>101840</v>
      </c>
      <c r="I780" s="14">
        <v>126867</v>
      </c>
      <c r="J780" s="14">
        <v>143702</v>
      </c>
      <c r="K780" s="14">
        <v>173415</v>
      </c>
      <c r="L780" s="14">
        <v>227524</v>
      </c>
      <c r="M780" s="14">
        <v>221998</v>
      </c>
      <c r="N780" s="14">
        <v>248372</v>
      </c>
      <c r="O780" s="14">
        <v>364946</v>
      </c>
      <c r="P780" s="14">
        <v>292507</v>
      </c>
      <c r="Q780" s="14">
        <v>368119</v>
      </c>
      <c r="R780" s="14">
        <v>390166</v>
      </c>
      <c r="S780" s="14">
        <v>389591</v>
      </c>
      <c r="T780" s="14">
        <v>463169</v>
      </c>
      <c r="U780" s="14">
        <v>475778</v>
      </c>
      <c r="V780" s="14">
        <v>510701</v>
      </c>
      <c r="W780" s="14">
        <v>533826</v>
      </c>
      <c r="X780" s="14">
        <v>627835</v>
      </c>
      <c r="Y780" s="14">
        <v>598141</v>
      </c>
      <c r="Z780" s="14">
        <v>605895</v>
      </c>
      <c r="AA780" s="14"/>
      <c r="AB780" s="14"/>
    </row>
    <row r="781" spans="1:30">
      <c r="A781" s="45" t="s">
        <v>111</v>
      </c>
      <c r="B781" s="45" t="s">
        <v>112</v>
      </c>
      <c r="C781" s="45" t="s">
        <v>490</v>
      </c>
      <c r="D781" s="45" t="s">
        <v>497</v>
      </c>
      <c r="E781" s="45" t="s">
        <v>492</v>
      </c>
      <c r="F781" s="45" t="s">
        <v>493</v>
      </c>
      <c r="G781" s="14">
        <v>65777</v>
      </c>
      <c r="H781" s="14">
        <v>71181</v>
      </c>
      <c r="I781" s="14">
        <v>78928</v>
      </c>
      <c r="J781" s="14">
        <v>97243</v>
      </c>
      <c r="K781" s="14">
        <v>114920</v>
      </c>
      <c r="L781" s="14">
        <v>139280</v>
      </c>
      <c r="M781" s="14">
        <v>155812</v>
      </c>
      <c r="N781" s="14">
        <v>173832</v>
      </c>
      <c r="O781" s="14">
        <v>196855</v>
      </c>
      <c r="P781" s="14">
        <v>219258</v>
      </c>
      <c r="Q781" s="14">
        <v>233034</v>
      </c>
      <c r="R781" s="14">
        <v>272624</v>
      </c>
      <c r="S781" s="14">
        <v>298670</v>
      </c>
      <c r="T781" s="14">
        <v>321493</v>
      </c>
      <c r="U781" s="14">
        <v>340544</v>
      </c>
      <c r="V781" s="14">
        <v>365854</v>
      </c>
      <c r="W781" s="14">
        <v>377586</v>
      </c>
      <c r="X781" s="14">
        <v>414343</v>
      </c>
      <c r="Y781" s="14">
        <v>414361</v>
      </c>
      <c r="Z781" s="14">
        <v>433168</v>
      </c>
      <c r="AA781" s="14"/>
      <c r="AB781" s="14"/>
    </row>
    <row r="782" spans="1:30">
      <c r="A782" s="45" t="s">
        <v>111</v>
      </c>
      <c r="B782" s="45" t="s">
        <v>112</v>
      </c>
      <c r="C782" s="45" t="s">
        <v>498</v>
      </c>
      <c r="D782" s="45" t="s">
        <v>491</v>
      </c>
      <c r="E782" s="45" t="s">
        <v>499</v>
      </c>
      <c r="F782" s="45" t="s">
        <v>500</v>
      </c>
      <c r="G782" s="14">
        <v>577557.69999999995</v>
      </c>
      <c r="H782" s="14">
        <v>676213.1</v>
      </c>
      <c r="I782" s="14">
        <v>728902.2</v>
      </c>
      <c r="J782" s="14">
        <v>782699</v>
      </c>
      <c r="K782" s="14">
        <v>850345.8</v>
      </c>
      <c r="L782" s="14">
        <v>963958.4</v>
      </c>
      <c r="M782" s="14">
        <v>940599.7</v>
      </c>
      <c r="N782" s="14">
        <v>850804.4</v>
      </c>
      <c r="O782" s="14">
        <v>1057411</v>
      </c>
      <c r="P782" s="14">
        <v>996918.4</v>
      </c>
      <c r="Q782" s="14">
        <v>1133150</v>
      </c>
      <c r="R782" s="14">
        <v>1105141</v>
      </c>
      <c r="S782" s="14">
        <v>1000180.2</v>
      </c>
      <c r="T782" s="14">
        <v>997169.1</v>
      </c>
      <c r="U782" s="14">
        <v>866136</v>
      </c>
      <c r="V782" s="14">
        <v>905334.9</v>
      </c>
      <c r="W782" s="14">
        <v>967232</v>
      </c>
      <c r="X782" s="14">
        <v>1029088</v>
      </c>
      <c r="Y782" s="14">
        <v>897145.2</v>
      </c>
      <c r="Z782" s="14">
        <v>853390</v>
      </c>
      <c r="AA782" s="14"/>
      <c r="AB782" s="14"/>
      <c r="AC782" s="15">
        <f>IFERROR(Z782/G782-1,"")</f>
        <v>0.47758397126382368</v>
      </c>
      <c r="AD782" s="15">
        <f>IFERROR((Z782/G782)^(1/19)-1,"")</f>
        <v>2.0760364903515738E-2</v>
      </c>
    </row>
    <row r="783" spans="1:30">
      <c r="A783" s="45" t="s">
        <v>111</v>
      </c>
      <c r="B783" s="45" t="s">
        <v>112</v>
      </c>
      <c r="C783" s="45" t="s">
        <v>498</v>
      </c>
      <c r="D783" s="45" t="s">
        <v>495</v>
      </c>
      <c r="E783" s="45" t="s">
        <v>499</v>
      </c>
      <c r="F783" s="45" t="s">
        <v>500</v>
      </c>
      <c r="G783" s="14">
        <v>193385.1</v>
      </c>
      <c r="H783" s="14">
        <v>237815.4</v>
      </c>
      <c r="I783" s="14">
        <v>232323.9</v>
      </c>
      <c r="J783" s="14">
        <v>256945.3</v>
      </c>
      <c r="K783" s="14">
        <v>273574.90000000002</v>
      </c>
      <c r="L783" s="14">
        <v>335191.40000000002</v>
      </c>
      <c r="M783" s="14">
        <v>327055</v>
      </c>
      <c r="N783" s="14">
        <v>228828.5</v>
      </c>
      <c r="O783" s="14">
        <v>311457</v>
      </c>
      <c r="P783" s="14">
        <v>339129.2</v>
      </c>
      <c r="Q783" s="14">
        <v>408439</v>
      </c>
      <c r="R783" s="14">
        <v>363513.9</v>
      </c>
      <c r="S783" s="14">
        <v>304985.09999999998</v>
      </c>
      <c r="T783" s="14">
        <v>309798.3</v>
      </c>
      <c r="U783" s="14">
        <v>199122.4</v>
      </c>
      <c r="V783" s="14">
        <v>216528.5</v>
      </c>
      <c r="W783" s="14">
        <v>265286.8</v>
      </c>
      <c r="X783" s="14">
        <v>280737.3</v>
      </c>
      <c r="Y783" s="14">
        <v>216319</v>
      </c>
      <c r="Z783" s="14">
        <v>226798.8</v>
      </c>
      <c r="AA783" s="14"/>
      <c r="AB783" s="14"/>
      <c r="AC783" s="15">
        <f>IFERROR(Z783/G783-1,"")</f>
        <v>0.17278321856233991</v>
      </c>
      <c r="AD783" s="15">
        <f>IFERROR((Z783/G783)^(1/19)-1,"")</f>
        <v>8.4236888086319794E-3</v>
      </c>
    </row>
    <row r="784" spans="1:30">
      <c r="A784" s="45" t="s">
        <v>111</v>
      </c>
      <c r="B784" s="45" t="s">
        <v>112</v>
      </c>
      <c r="C784" s="45" t="s">
        <v>498</v>
      </c>
      <c r="D784" s="45" t="s">
        <v>496</v>
      </c>
      <c r="E784" s="45" t="s">
        <v>499</v>
      </c>
      <c r="F784" s="45" t="s">
        <v>500</v>
      </c>
      <c r="G784" s="14">
        <v>146872.70000000001</v>
      </c>
      <c r="H784" s="14">
        <v>169575.7</v>
      </c>
      <c r="I784" s="14">
        <v>196050.1</v>
      </c>
      <c r="J784" s="14">
        <v>206704.6</v>
      </c>
      <c r="K784" s="14">
        <v>233618.4</v>
      </c>
      <c r="L784" s="14">
        <v>287969.90000000002</v>
      </c>
      <c r="M784" s="14">
        <v>258300.79999999999</v>
      </c>
      <c r="N784" s="14">
        <v>269293.2</v>
      </c>
      <c r="O784" s="14">
        <v>364946</v>
      </c>
      <c r="P784" s="14">
        <v>270043.2</v>
      </c>
      <c r="Q784" s="14">
        <v>314840.2</v>
      </c>
      <c r="R784" s="14">
        <v>310402</v>
      </c>
      <c r="S784" s="14">
        <v>287393.59999999998</v>
      </c>
      <c r="T784" s="14">
        <v>317637.59999999998</v>
      </c>
      <c r="U784" s="14">
        <v>301826</v>
      </c>
      <c r="V784" s="14">
        <v>312507.3</v>
      </c>
      <c r="W784" s="14">
        <v>312610.59999999998</v>
      </c>
      <c r="X784" s="14">
        <v>352761.1</v>
      </c>
      <c r="Y784" s="14">
        <v>315646.7</v>
      </c>
      <c r="Z784" s="14">
        <v>282837.59999999998</v>
      </c>
      <c r="AA784" s="14"/>
      <c r="AB784" s="14"/>
      <c r="AC784" s="15">
        <f>IFERROR(Z784/G784-1,"")</f>
        <v>0.92573296466940391</v>
      </c>
      <c r="AD784" s="15">
        <f>IFERROR((Z784/G784)^(1/19)-1,"")</f>
        <v>3.5091495238872561E-2</v>
      </c>
    </row>
    <row r="785" spans="1:30">
      <c r="A785" s="45" t="s">
        <v>111</v>
      </c>
      <c r="B785" s="45" t="s">
        <v>112</v>
      </c>
      <c r="C785" s="45" t="s">
        <v>498</v>
      </c>
      <c r="D785" s="45" t="s">
        <v>497</v>
      </c>
      <c r="E785" s="45" t="s">
        <v>499</v>
      </c>
      <c r="F785" s="45" t="s">
        <v>500</v>
      </c>
      <c r="G785" s="14">
        <v>124958.9</v>
      </c>
      <c r="H785" s="14">
        <v>118525</v>
      </c>
      <c r="I785" s="14">
        <v>121969.7</v>
      </c>
      <c r="J785" s="14">
        <v>139876.5</v>
      </c>
      <c r="K785" s="14">
        <v>154816.4</v>
      </c>
      <c r="L785" s="14">
        <v>176282.3</v>
      </c>
      <c r="M785" s="14">
        <v>181292.2</v>
      </c>
      <c r="N785" s="14">
        <v>188474.5</v>
      </c>
      <c r="O785" s="14">
        <v>196855</v>
      </c>
      <c r="P785" s="14">
        <v>202419.5</v>
      </c>
      <c r="Q785" s="14">
        <v>199306.4</v>
      </c>
      <c r="R785" s="14">
        <v>216889.8</v>
      </c>
      <c r="S785" s="14">
        <v>220323</v>
      </c>
      <c r="T785" s="14">
        <v>220477.4</v>
      </c>
      <c r="U785" s="14">
        <v>216035.7</v>
      </c>
      <c r="V785" s="14">
        <v>223872.7</v>
      </c>
      <c r="W785" s="14">
        <v>221115.8</v>
      </c>
      <c r="X785" s="14">
        <v>232806.5</v>
      </c>
      <c r="Y785" s="14">
        <v>218663.6</v>
      </c>
      <c r="Z785" s="14">
        <v>202209.2</v>
      </c>
      <c r="AA785" s="14"/>
      <c r="AB785" s="14"/>
      <c r="AC785" s="15">
        <f>IFERROR(Z785/G785-1,"")</f>
        <v>0.61820566602298843</v>
      </c>
      <c r="AD785" s="15">
        <f>IFERROR((Z785/G785)^(1/19)-1,"")</f>
        <v>2.5656117256482647E-2</v>
      </c>
    </row>
    <row r="786" spans="1:30">
      <c r="A786" s="45" t="s">
        <v>111</v>
      </c>
      <c r="B786" s="45" t="s">
        <v>112</v>
      </c>
      <c r="C786" s="45" t="s">
        <v>498</v>
      </c>
      <c r="D786" s="45" t="s">
        <v>501</v>
      </c>
      <c r="E786" s="45" t="s">
        <v>499</v>
      </c>
      <c r="F786" s="45" t="s">
        <v>500</v>
      </c>
      <c r="G786" s="14">
        <v>10651.6</v>
      </c>
      <c r="H786" s="14">
        <v>17468.900000000001</v>
      </c>
      <c r="I786" s="14">
        <v>15678.2</v>
      </c>
      <c r="J786" s="14">
        <v>14703.6</v>
      </c>
      <c r="K786" s="14">
        <v>14483</v>
      </c>
      <c r="L786" s="14">
        <v>15205.9</v>
      </c>
      <c r="M786" s="14">
        <v>14956.6</v>
      </c>
      <c r="N786" s="14">
        <v>15761.5</v>
      </c>
      <c r="O786" s="14">
        <v>11989</v>
      </c>
      <c r="P786" s="14">
        <v>15573.5</v>
      </c>
      <c r="Q786" s="14">
        <v>12575.9</v>
      </c>
      <c r="R786" s="14">
        <v>13464.1</v>
      </c>
      <c r="S786" s="14">
        <v>11355.9</v>
      </c>
      <c r="T786" s="14">
        <v>14040.2</v>
      </c>
      <c r="U786" s="14">
        <v>16165.4</v>
      </c>
      <c r="V786" s="14">
        <v>16408.599999999999</v>
      </c>
      <c r="W786" s="14">
        <v>17227.900000000001</v>
      </c>
      <c r="X786" s="14">
        <v>16148.7</v>
      </c>
      <c r="Y786" s="14">
        <v>17501.599999999999</v>
      </c>
      <c r="Z786" s="14">
        <v>16867.099999999999</v>
      </c>
      <c r="AA786" s="14"/>
      <c r="AB786" s="14"/>
      <c r="AC786" s="15">
        <f>IFERROR(Z786/G786-1,"")</f>
        <v>0.58352735739231654</v>
      </c>
      <c r="AD786" s="15">
        <f>IFERROR((Z786/G786)^(1/19)-1,"")</f>
        <v>2.4487370588725188E-2</v>
      </c>
    </row>
    <row r="787" spans="1:30">
      <c r="A787" s="45" t="s">
        <v>119</v>
      </c>
      <c r="B787" s="45" t="s">
        <v>120</v>
      </c>
      <c r="C787" s="45" t="s">
        <v>490</v>
      </c>
      <c r="D787" s="45" t="s">
        <v>491</v>
      </c>
      <c r="E787" s="45" t="s">
        <v>492</v>
      </c>
      <c r="F787" s="45" t="s">
        <v>493</v>
      </c>
      <c r="G787" s="14">
        <v>262923</v>
      </c>
      <c r="H787" s="14">
        <v>285260</v>
      </c>
      <c r="I787" s="14">
        <v>374621</v>
      </c>
      <c r="J787" s="14">
        <v>454077</v>
      </c>
      <c r="K787" s="14">
        <v>515695</v>
      </c>
      <c r="L787" s="14">
        <v>529513</v>
      </c>
      <c r="M787" s="14">
        <v>639226</v>
      </c>
      <c r="N787" s="14">
        <v>478013</v>
      </c>
      <c r="O787" s="14">
        <v>624095</v>
      </c>
      <c r="P787" s="14">
        <v>773568</v>
      </c>
      <c r="Q787" s="14">
        <v>952506</v>
      </c>
      <c r="R787" s="14">
        <v>961749</v>
      </c>
      <c r="S787" s="14">
        <v>922011</v>
      </c>
      <c r="T787" s="14">
        <v>791519</v>
      </c>
      <c r="U787" s="14">
        <v>544353</v>
      </c>
      <c r="V787" s="14">
        <v>593501</v>
      </c>
      <c r="W787" s="14">
        <v>726355</v>
      </c>
      <c r="X787" s="14">
        <v>770547</v>
      </c>
      <c r="Y787" s="14">
        <v>689600</v>
      </c>
      <c r="Z787" s="14">
        <v>1111118</v>
      </c>
      <c r="AA787" s="14">
        <v>1493271</v>
      </c>
      <c r="AB787" s="14">
        <v>1315680</v>
      </c>
    </row>
    <row r="788" spans="1:30">
      <c r="A788" s="45" t="s">
        <v>119</v>
      </c>
      <c r="B788" s="45" t="s">
        <v>120</v>
      </c>
      <c r="C788" s="45" t="s">
        <v>490</v>
      </c>
      <c r="D788" s="45" t="s">
        <v>494</v>
      </c>
      <c r="E788" s="45" t="s">
        <v>492</v>
      </c>
      <c r="F788" s="45" t="s">
        <v>493</v>
      </c>
      <c r="G788" s="14">
        <v>255278</v>
      </c>
      <c r="H788" s="14">
        <v>275632</v>
      </c>
      <c r="I788" s="14">
        <v>363433</v>
      </c>
      <c r="J788" s="14">
        <v>441488</v>
      </c>
      <c r="K788" s="14">
        <v>500642</v>
      </c>
      <c r="L788" s="14">
        <v>513466</v>
      </c>
      <c r="M788" s="14">
        <v>621073</v>
      </c>
      <c r="N788" s="14">
        <v>458278</v>
      </c>
      <c r="O788" s="14">
        <v>600189</v>
      </c>
      <c r="P788" s="14">
        <v>745563</v>
      </c>
      <c r="Q788" s="14">
        <v>914544</v>
      </c>
      <c r="R788" s="14">
        <v>920588</v>
      </c>
      <c r="S788" s="14">
        <v>883852</v>
      </c>
      <c r="T788" s="14">
        <v>748392</v>
      </c>
      <c r="U788" s="14">
        <v>511478</v>
      </c>
      <c r="V788" s="14">
        <v>561131</v>
      </c>
      <c r="W788" s="14">
        <v>694301</v>
      </c>
      <c r="X788" s="14">
        <v>738356</v>
      </c>
      <c r="Y788" s="14">
        <v>653264</v>
      </c>
      <c r="Z788" s="14">
        <v>1065640</v>
      </c>
      <c r="AA788" s="14"/>
      <c r="AB788" s="14"/>
    </row>
    <row r="789" spans="1:30">
      <c r="A789" s="45" t="s">
        <v>119</v>
      </c>
      <c r="B789" s="45" t="s">
        <v>120</v>
      </c>
      <c r="C789" s="45" t="s">
        <v>490</v>
      </c>
      <c r="D789" s="45" t="s">
        <v>495</v>
      </c>
      <c r="E789" s="45" t="s">
        <v>492</v>
      </c>
      <c r="F789" s="45" t="s">
        <v>493</v>
      </c>
      <c r="G789" s="14">
        <v>161626</v>
      </c>
      <c r="H789" s="14">
        <v>167224</v>
      </c>
      <c r="I789" s="14">
        <v>222735</v>
      </c>
      <c r="J789" s="14">
        <v>292437</v>
      </c>
      <c r="K789" s="14">
        <v>334366</v>
      </c>
      <c r="L789" s="14">
        <v>333615</v>
      </c>
      <c r="M789" s="14">
        <v>428658</v>
      </c>
      <c r="N789" s="14">
        <v>262535</v>
      </c>
      <c r="O789" s="14">
        <v>366061</v>
      </c>
      <c r="P789" s="14">
        <v>463788</v>
      </c>
      <c r="Q789" s="14">
        <v>572006</v>
      </c>
      <c r="R789" s="14">
        <v>541198</v>
      </c>
      <c r="S789" s="14">
        <v>488200</v>
      </c>
      <c r="T789" s="14">
        <v>344123</v>
      </c>
      <c r="U789" s="14">
        <v>150027</v>
      </c>
      <c r="V789" s="14">
        <v>160761</v>
      </c>
      <c r="W789" s="14">
        <v>275834</v>
      </c>
      <c r="X789" s="14">
        <v>293883</v>
      </c>
      <c r="Y789" s="14">
        <v>197942</v>
      </c>
      <c r="Z789" s="14">
        <v>546975</v>
      </c>
      <c r="AA789" s="14"/>
      <c r="AB789" s="14"/>
    </row>
    <row r="790" spans="1:30">
      <c r="A790" s="45" t="s">
        <v>119</v>
      </c>
      <c r="B790" s="45" t="s">
        <v>120</v>
      </c>
      <c r="C790" s="45" t="s">
        <v>490</v>
      </c>
      <c r="D790" s="45" t="s">
        <v>496</v>
      </c>
      <c r="E790" s="45" t="s">
        <v>492</v>
      </c>
      <c r="F790" s="45" t="s">
        <v>493</v>
      </c>
      <c r="G790" s="14">
        <v>54502</v>
      </c>
      <c r="H790" s="14">
        <v>59682</v>
      </c>
      <c r="I790" s="14">
        <v>89034</v>
      </c>
      <c r="J790" s="14">
        <v>91501</v>
      </c>
      <c r="K790" s="14">
        <v>103067</v>
      </c>
      <c r="L790" s="14">
        <v>105125</v>
      </c>
      <c r="M790" s="14">
        <v>107303</v>
      </c>
      <c r="N790" s="14">
        <v>101831</v>
      </c>
      <c r="O790" s="14">
        <v>133747</v>
      </c>
      <c r="P790" s="14">
        <v>171100</v>
      </c>
      <c r="Q790" s="14">
        <v>221314</v>
      </c>
      <c r="R790" s="14">
        <v>237231</v>
      </c>
      <c r="S790" s="14">
        <v>235120</v>
      </c>
      <c r="T790" s="14">
        <v>227901</v>
      </c>
      <c r="U790" s="14">
        <v>177349</v>
      </c>
      <c r="V790" s="14">
        <v>205121</v>
      </c>
      <c r="W790" s="14">
        <v>213466</v>
      </c>
      <c r="X790" s="14">
        <v>226373</v>
      </c>
      <c r="Y790" s="14">
        <v>228789</v>
      </c>
      <c r="Z790" s="14">
        <v>290912</v>
      </c>
      <c r="AA790" s="14"/>
      <c r="AB790" s="14"/>
    </row>
    <row r="791" spans="1:30">
      <c r="A791" s="45" t="s">
        <v>119</v>
      </c>
      <c r="B791" s="45" t="s">
        <v>120</v>
      </c>
      <c r="C791" s="45" t="s">
        <v>490</v>
      </c>
      <c r="D791" s="45" t="s">
        <v>497</v>
      </c>
      <c r="E791" s="45" t="s">
        <v>492</v>
      </c>
      <c r="F791" s="45" t="s">
        <v>493</v>
      </c>
      <c r="G791" s="14">
        <v>32987</v>
      </c>
      <c r="H791" s="14">
        <v>36984</v>
      </c>
      <c r="I791" s="14">
        <v>40537</v>
      </c>
      <c r="J791" s="14">
        <v>46611</v>
      </c>
      <c r="K791" s="14">
        <v>51234</v>
      </c>
      <c r="L791" s="14">
        <v>63105</v>
      </c>
      <c r="M791" s="14">
        <v>70973</v>
      </c>
      <c r="N791" s="14">
        <v>75154</v>
      </c>
      <c r="O791" s="14">
        <v>81832</v>
      </c>
      <c r="P791" s="14">
        <v>91983</v>
      </c>
      <c r="Q791" s="14">
        <v>98105</v>
      </c>
      <c r="R791" s="14">
        <v>114497</v>
      </c>
      <c r="S791" s="14">
        <v>130143</v>
      </c>
      <c r="T791" s="14">
        <v>148117</v>
      </c>
      <c r="U791" s="14">
        <v>152176</v>
      </c>
      <c r="V791" s="14">
        <v>160765</v>
      </c>
      <c r="W791" s="14">
        <v>166230</v>
      </c>
      <c r="X791" s="14">
        <v>178925</v>
      </c>
      <c r="Y791" s="14">
        <v>182668</v>
      </c>
      <c r="Z791" s="14">
        <v>186985</v>
      </c>
      <c r="AA791" s="14"/>
      <c r="AB791" s="14"/>
    </row>
    <row r="792" spans="1:30">
      <c r="A792" s="45" t="s">
        <v>119</v>
      </c>
      <c r="B792" s="45" t="s">
        <v>120</v>
      </c>
      <c r="C792" s="45" t="s">
        <v>498</v>
      </c>
      <c r="D792" s="45" t="s">
        <v>491</v>
      </c>
      <c r="E792" s="45" t="s">
        <v>499</v>
      </c>
      <c r="F792" s="45" t="s">
        <v>500</v>
      </c>
      <c r="G792" s="14">
        <v>499486.4</v>
      </c>
      <c r="H792" s="14">
        <v>474991.2</v>
      </c>
      <c r="I792" s="14">
        <v>578909.30000000005</v>
      </c>
      <c r="J792" s="14">
        <v>653156.5</v>
      </c>
      <c r="K792" s="14">
        <v>694726.4</v>
      </c>
      <c r="L792" s="14">
        <v>670188.1</v>
      </c>
      <c r="M792" s="14">
        <v>743758.2</v>
      </c>
      <c r="N792" s="14">
        <v>518277.7</v>
      </c>
      <c r="O792" s="14">
        <v>624095</v>
      </c>
      <c r="P792" s="14">
        <v>714159.9</v>
      </c>
      <c r="Q792" s="14">
        <v>814647.5</v>
      </c>
      <c r="R792" s="14">
        <v>765132.80000000005</v>
      </c>
      <c r="S792" s="14">
        <v>680149.4</v>
      </c>
      <c r="T792" s="14">
        <v>542817.5</v>
      </c>
      <c r="U792" s="14">
        <v>345328.9</v>
      </c>
      <c r="V792" s="14">
        <v>363174.1</v>
      </c>
      <c r="W792" s="14">
        <v>425356.3</v>
      </c>
      <c r="X792" s="14">
        <v>432946.6</v>
      </c>
      <c r="Y792" s="14">
        <v>363910.8</v>
      </c>
      <c r="Z792" s="14">
        <v>518678</v>
      </c>
      <c r="AA792" s="14"/>
      <c r="AB792" s="14"/>
      <c r="AC792" s="15">
        <f>IFERROR(Z792/G792-1,"")</f>
        <v>3.8422667764327567E-2</v>
      </c>
      <c r="AD792" s="15">
        <f>IFERROR((Z792/G792)^(1/19)-1,"")</f>
        <v>1.9863331111558136E-3</v>
      </c>
    </row>
    <row r="793" spans="1:30">
      <c r="A793" s="45" t="s">
        <v>119</v>
      </c>
      <c r="B793" s="45" t="s">
        <v>120</v>
      </c>
      <c r="C793" s="45" t="s">
        <v>498</v>
      </c>
      <c r="D793" s="45" t="s">
        <v>495</v>
      </c>
      <c r="E793" s="45" t="s">
        <v>499</v>
      </c>
      <c r="F793" s="45" t="s">
        <v>500</v>
      </c>
      <c r="G793" s="14">
        <v>307048.2</v>
      </c>
      <c r="H793" s="14">
        <v>278446.8</v>
      </c>
      <c r="I793" s="14">
        <v>344196.7</v>
      </c>
      <c r="J793" s="14">
        <v>420649.8</v>
      </c>
      <c r="K793" s="14">
        <v>450446.3</v>
      </c>
      <c r="L793" s="14">
        <v>422246.9</v>
      </c>
      <c r="M793" s="14">
        <v>498755.4</v>
      </c>
      <c r="N793" s="14">
        <v>284649.2</v>
      </c>
      <c r="O793" s="14">
        <v>366061</v>
      </c>
      <c r="P793" s="14">
        <v>428170.3</v>
      </c>
      <c r="Q793" s="14">
        <v>489218.2</v>
      </c>
      <c r="R793" s="14">
        <v>430557.6</v>
      </c>
      <c r="S793" s="14">
        <v>360135.5</v>
      </c>
      <c r="T793" s="14">
        <v>235996.79999999999</v>
      </c>
      <c r="U793" s="14">
        <v>95174.7</v>
      </c>
      <c r="V793" s="14">
        <v>98372.6</v>
      </c>
      <c r="W793" s="14">
        <v>161529.5</v>
      </c>
      <c r="X793" s="14">
        <v>165123.79999999999</v>
      </c>
      <c r="Y793" s="14">
        <v>104456.5</v>
      </c>
      <c r="Z793" s="14">
        <v>255332.4</v>
      </c>
      <c r="AA793" s="14"/>
      <c r="AB793" s="14"/>
      <c r="AC793" s="15">
        <f>IFERROR(Z793/G793-1,"")</f>
        <v>-0.16842893070208531</v>
      </c>
      <c r="AD793" s="15">
        <f>IFERROR((Z793/G793)^(1/19)-1,"")</f>
        <v>-9.6603264928804E-3</v>
      </c>
    </row>
    <row r="794" spans="1:30">
      <c r="A794" s="45" t="s">
        <v>119</v>
      </c>
      <c r="B794" s="45" t="s">
        <v>120</v>
      </c>
      <c r="C794" s="45" t="s">
        <v>498</v>
      </c>
      <c r="D794" s="45" t="s">
        <v>496</v>
      </c>
      <c r="E794" s="45" t="s">
        <v>499</v>
      </c>
      <c r="F794" s="45" t="s">
        <v>500</v>
      </c>
      <c r="G794" s="14">
        <v>103540.7</v>
      </c>
      <c r="H794" s="14">
        <v>99377.3</v>
      </c>
      <c r="I794" s="14">
        <v>137585.60000000001</v>
      </c>
      <c r="J794" s="14">
        <v>131617.5</v>
      </c>
      <c r="K794" s="14">
        <v>138848.29999999999</v>
      </c>
      <c r="L794" s="14">
        <v>133053.70000000001</v>
      </c>
      <c r="M794" s="14">
        <v>124850.6</v>
      </c>
      <c r="N794" s="14">
        <v>110408.6</v>
      </c>
      <c r="O794" s="14">
        <v>133747</v>
      </c>
      <c r="P794" s="14">
        <v>157960</v>
      </c>
      <c r="Q794" s="14">
        <v>189282.7</v>
      </c>
      <c r="R794" s="14">
        <v>188732.4</v>
      </c>
      <c r="S794" s="14">
        <v>173443.4</v>
      </c>
      <c r="T794" s="14">
        <v>156292.70000000001</v>
      </c>
      <c r="U794" s="14">
        <v>112507.4</v>
      </c>
      <c r="V794" s="14">
        <v>125517.3</v>
      </c>
      <c r="W794" s="14">
        <v>125006.5</v>
      </c>
      <c r="X794" s="14">
        <v>127192</v>
      </c>
      <c r="Y794" s="14">
        <v>120734.9</v>
      </c>
      <c r="Z794" s="14">
        <v>135800.29999999999</v>
      </c>
      <c r="AA794" s="14"/>
      <c r="AB794" s="14"/>
      <c r="AC794" s="15">
        <f>IFERROR(Z794/G794-1,"")</f>
        <v>0.31156443794565791</v>
      </c>
      <c r="AD794" s="15">
        <f>IFERROR((Z794/G794)^(1/19)-1,"")</f>
        <v>1.437714223853348E-2</v>
      </c>
    </row>
    <row r="795" spans="1:30">
      <c r="A795" s="45" t="s">
        <v>119</v>
      </c>
      <c r="B795" s="45" t="s">
        <v>120</v>
      </c>
      <c r="C795" s="45" t="s">
        <v>498</v>
      </c>
      <c r="D795" s="45" t="s">
        <v>497</v>
      </c>
      <c r="E795" s="45" t="s">
        <v>499</v>
      </c>
      <c r="F795" s="45" t="s">
        <v>500</v>
      </c>
      <c r="G795" s="14">
        <v>62666.400000000001</v>
      </c>
      <c r="H795" s="14">
        <v>61583.3</v>
      </c>
      <c r="I795" s="14">
        <v>62642.7</v>
      </c>
      <c r="J795" s="14">
        <v>67047.100000000006</v>
      </c>
      <c r="K795" s="14">
        <v>69020.7</v>
      </c>
      <c r="L795" s="14">
        <v>79870.3</v>
      </c>
      <c r="M795" s="14">
        <v>82579.600000000006</v>
      </c>
      <c r="N795" s="14">
        <v>81484.5</v>
      </c>
      <c r="O795" s="14">
        <v>81832</v>
      </c>
      <c r="P795" s="14">
        <v>84918.9</v>
      </c>
      <c r="Q795" s="14">
        <v>83906</v>
      </c>
      <c r="R795" s="14">
        <v>91089.7</v>
      </c>
      <c r="S795" s="14">
        <v>96003.9</v>
      </c>
      <c r="T795" s="14">
        <v>101577.5</v>
      </c>
      <c r="U795" s="14">
        <v>96538</v>
      </c>
      <c r="V795" s="14">
        <v>98375</v>
      </c>
      <c r="W795" s="14">
        <v>97344.9</v>
      </c>
      <c r="X795" s="14">
        <v>100532.4</v>
      </c>
      <c r="Y795" s="14">
        <v>96396.3</v>
      </c>
      <c r="Z795" s="14">
        <v>87287.8</v>
      </c>
      <c r="AA795" s="14"/>
      <c r="AB795" s="14"/>
      <c r="AC795" s="15">
        <f>IFERROR(Z795/G795-1,"")</f>
        <v>0.39289635275043722</v>
      </c>
      <c r="AD795" s="15">
        <f>IFERROR((Z795/G795)^(1/19)-1,"")</f>
        <v>1.7594319011072557E-2</v>
      </c>
    </row>
    <row r="796" spans="1:30">
      <c r="A796" s="45" t="s">
        <v>119</v>
      </c>
      <c r="B796" s="45" t="s">
        <v>120</v>
      </c>
      <c r="C796" s="45" t="s">
        <v>498</v>
      </c>
      <c r="D796" s="45" t="s">
        <v>501</v>
      </c>
      <c r="E796" s="45" t="s">
        <v>499</v>
      </c>
      <c r="F796" s="45" t="s">
        <v>500</v>
      </c>
      <c r="G796" s="14">
        <v>11708.4</v>
      </c>
      <c r="H796" s="14">
        <v>19551.2</v>
      </c>
      <c r="I796" s="14">
        <v>17195.3</v>
      </c>
      <c r="J796" s="14">
        <v>15733.3</v>
      </c>
      <c r="K796" s="14">
        <v>16132.3</v>
      </c>
      <c r="L796" s="14">
        <v>14707</v>
      </c>
      <c r="M796" s="14">
        <v>16450.400000000001</v>
      </c>
      <c r="N796" s="14">
        <v>20339.099999999999</v>
      </c>
      <c r="O796" s="14">
        <v>18549</v>
      </c>
      <c r="P796" s="14">
        <v>17257.400000000001</v>
      </c>
      <c r="Q796" s="14">
        <v>19773.8</v>
      </c>
      <c r="R796" s="14">
        <v>22007.7</v>
      </c>
      <c r="S796" s="14">
        <v>22417.4</v>
      </c>
      <c r="T796" s="14">
        <v>19373.599999999999</v>
      </c>
      <c r="U796" s="14">
        <v>20253.3</v>
      </c>
      <c r="V796" s="14">
        <v>21102</v>
      </c>
      <c r="W796" s="14">
        <v>22704.400000000001</v>
      </c>
      <c r="X796" s="14">
        <v>22011.200000000001</v>
      </c>
      <c r="Y796" s="14">
        <v>23148.1</v>
      </c>
      <c r="Z796" s="14">
        <v>19030.8</v>
      </c>
      <c r="AA796" s="14"/>
      <c r="AB796" s="14"/>
      <c r="AC796" s="15">
        <f>IFERROR(Z796/G796-1,"")</f>
        <v>0.62539715076355429</v>
      </c>
      <c r="AD796" s="15">
        <f>IFERROR((Z796/G796)^(1/19)-1,"")</f>
        <v>2.5895515221624477E-2</v>
      </c>
    </row>
    <row r="797" spans="1:30">
      <c r="A797" s="45" t="s">
        <v>381</v>
      </c>
      <c r="B797" s="45" t="s">
        <v>382</v>
      </c>
      <c r="C797" s="45" t="s">
        <v>490</v>
      </c>
      <c r="D797" s="45" t="s">
        <v>491</v>
      </c>
      <c r="E797" s="45" t="s">
        <v>492</v>
      </c>
      <c r="F797" s="45" t="s">
        <v>493</v>
      </c>
      <c r="G797" s="14">
        <v>5679</v>
      </c>
      <c r="H797" s="14">
        <v>6342</v>
      </c>
      <c r="I797" s="14">
        <v>7491</v>
      </c>
      <c r="J797" s="14">
        <v>8365</v>
      </c>
      <c r="K797" s="14">
        <v>9699</v>
      </c>
      <c r="L797" s="14">
        <v>11769</v>
      </c>
      <c r="M797" s="14">
        <v>13883</v>
      </c>
      <c r="N797" s="14">
        <v>14845</v>
      </c>
      <c r="O797" s="14">
        <v>15954</v>
      </c>
      <c r="P797" s="14">
        <v>18093</v>
      </c>
      <c r="Q797" s="14">
        <v>19491</v>
      </c>
      <c r="R797" s="14">
        <v>22361</v>
      </c>
      <c r="S797" s="14">
        <v>31073</v>
      </c>
      <c r="T797" s="14">
        <v>33035</v>
      </c>
      <c r="U797" s="14">
        <v>31408</v>
      </c>
      <c r="V797" s="14">
        <v>34828</v>
      </c>
      <c r="W797" s="14">
        <v>37176</v>
      </c>
      <c r="X797" s="14">
        <v>40660</v>
      </c>
      <c r="Y797" s="14">
        <v>43337</v>
      </c>
      <c r="Z797" s="14">
        <v>48003</v>
      </c>
      <c r="AA797" s="14">
        <v>56007</v>
      </c>
      <c r="AB797" s="14">
        <v>65725</v>
      </c>
    </row>
    <row r="798" spans="1:30">
      <c r="A798" s="45" t="s">
        <v>381</v>
      </c>
      <c r="B798" s="45" t="s">
        <v>382</v>
      </c>
      <c r="C798" s="45" t="s">
        <v>490</v>
      </c>
      <c r="D798" s="45" t="s">
        <v>494</v>
      </c>
      <c r="E798" s="45" t="s">
        <v>492</v>
      </c>
      <c r="F798" s="45" t="s">
        <v>493</v>
      </c>
      <c r="G798" s="14">
        <v>5529</v>
      </c>
      <c r="H798" s="14">
        <v>6201</v>
      </c>
      <c r="I798" s="14">
        <v>7303</v>
      </c>
      <c r="J798" s="14">
        <v>8129</v>
      </c>
      <c r="K798" s="14">
        <v>9295</v>
      </c>
      <c r="L798" s="14">
        <v>11170</v>
      </c>
      <c r="M798" s="14">
        <v>13074</v>
      </c>
      <c r="N798" s="14">
        <v>14162</v>
      </c>
      <c r="O798" s="14">
        <v>15104</v>
      </c>
      <c r="P798" s="14">
        <v>17180</v>
      </c>
      <c r="Q798" s="14">
        <v>18516</v>
      </c>
      <c r="R798" s="14">
        <v>21309</v>
      </c>
      <c r="S798" s="14">
        <v>27761</v>
      </c>
      <c r="T798" s="14">
        <v>30029</v>
      </c>
      <c r="U798" s="14">
        <v>30406</v>
      </c>
      <c r="V798" s="14">
        <v>33860</v>
      </c>
      <c r="W798" s="14">
        <v>36099</v>
      </c>
      <c r="X798" s="14">
        <v>39384</v>
      </c>
      <c r="Y798" s="14">
        <v>41534</v>
      </c>
      <c r="Z798" s="14">
        <v>45694</v>
      </c>
      <c r="AA798" s="14"/>
      <c r="AB798" s="14"/>
    </row>
    <row r="799" spans="1:30">
      <c r="A799" s="45" t="s">
        <v>381</v>
      </c>
      <c r="B799" s="45" t="s">
        <v>382</v>
      </c>
      <c r="C799" s="45" t="s">
        <v>490</v>
      </c>
      <c r="D799" s="45" t="s">
        <v>495</v>
      </c>
      <c r="E799" s="45" t="s">
        <v>492</v>
      </c>
      <c r="F799" s="45" t="s">
        <v>493</v>
      </c>
      <c r="G799" s="14">
        <v>291</v>
      </c>
      <c r="H799" s="14">
        <v>240</v>
      </c>
      <c r="I799" s="14">
        <v>310</v>
      </c>
      <c r="J799" s="14">
        <v>344</v>
      </c>
      <c r="K799" s="14">
        <v>333</v>
      </c>
      <c r="L799" s="14">
        <v>362</v>
      </c>
      <c r="M799" s="14">
        <v>389</v>
      </c>
      <c r="N799" s="14">
        <v>424</v>
      </c>
      <c r="O799" s="14">
        <v>413</v>
      </c>
      <c r="P799" s="14">
        <v>515</v>
      </c>
      <c r="Q799" s="14">
        <v>509</v>
      </c>
      <c r="R799" s="14">
        <v>473</v>
      </c>
      <c r="S799" s="14">
        <v>511</v>
      </c>
      <c r="T799" s="14">
        <v>550</v>
      </c>
      <c r="U799" s="14">
        <v>869</v>
      </c>
      <c r="V799" s="14">
        <v>1124</v>
      </c>
      <c r="W799" s="14">
        <v>981</v>
      </c>
      <c r="X799" s="14">
        <v>906</v>
      </c>
      <c r="Y799" s="14">
        <v>705</v>
      </c>
      <c r="Z799" s="14">
        <v>968</v>
      </c>
      <c r="AA799" s="14"/>
      <c r="AB799" s="14"/>
    </row>
    <row r="800" spans="1:30">
      <c r="A800" s="45" t="s">
        <v>381</v>
      </c>
      <c r="B800" s="45" t="s">
        <v>382</v>
      </c>
      <c r="C800" s="45" t="s">
        <v>490</v>
      </c>
      <c r="D800" s="45" t="s">
        <v>496</v>
      </c>
      <c r="E800" s="45" t="s">
        <v>492</v>
      </c>
      <c r="F800" s="45" t="s">
        <v>493</v>
      </c>
      <c r="G800" s="14">
        <v>1080</v>
      </c>
      <c r="H800" s="14">
        <v>1262</v>
      </c>
      <c r="I800" s="14">
        <v>1596</v>
      </c>
      <c r="J800" s="14">
        <v>1730</v>
      </c>
      <c r="K800" s="14">
        <v>1955</v>
      </c>
      <c r="L800" s="14">
        <v>2181</v>
      </c>
      <c r="M800" s="14">
        <v>2262</v>
      </c>
      <c r="N800" s="14">
        <v>2502</v>
      </c>
      <c r="O800" s="14">
        <v>2932</v>
      </c>
      <c r="P800" s="14">
        <v>3358</v>
      </c>
      <c r="Q800" s="14">
        <v>3958</v>
      </c>
      <c r="R800" s="14">
        <v>4453</v>
      </c>
      <c r="S800" s="14">
        <v>4564</v>
      </c>
      <c r="T800" s="14">
        <v>6288</v>
      </c>
      <c r="U800" s="14">
        <v>7760</v>
      </c>
      <c r="V800" s="14">
        <v>7971</v>
      </c>
      <c r="W800" s="14">
        <v>8961</v>
      </c>
      <c r="X800" s="14">
        <v>10498</v>
      </c>
      <c r="Y800" s="14">
        <v>11873</v>
      </c>
      <c r="Z800" s="14">
        <v>13168</v>
      </c>
      <c r="AA800" s="14"/>
      <c r="AB800" s="14"/>
    </row>
    <row r="801" spans="1:30">
      <c r="A801" s="45" t="s">
        <v>381</v>
      </c>
      <c r="B801" s="45" t="s">
        <v>382</v>
      </c>
      <c r="C801" s="45" t="s">
        <v>490</v>
      </c>
      <c r="D801" s="45" t="s">
        <v>497</v>
      </c>
      <c r="E801" s="45" t="s">
        <v>492</v>
      </c>
      <c r="F801" s="45" t="s">
        <v>493</v>
      </c>
      <c r="G801" s="14">
        <v>3469</v>
      </c>
      <c r="H801" s="14">
        <v>3861</v>
      </c>
      <c r="I801" s="14">
        <v>4512</v>
      </c>
      <c r="J801" s="14">
        <v>5293</v>
      </c>
      <c r="K801" s="14">
        <v>6107</v>
      </c>
      <c r="L801" s="14">
        <v>7673</v>
      </c>
      <c r="M801" s="14">
        <v>8604</v>
      </c>
      <c r="N801" s="14">
        <v>9669</v>
      </c>
      <c r="O801" s="14">
        <v>10363</v>
      </c>
      <c r="P801" s="14">
        <v>11804</v>
      </c>
      <c r="Q801" s="14">
        <v>12936</v>
      </c>
      <c r="R801" s="14">
        <v>15344</v>
      </c>
      <c r="S801" s="14">
        <v>16896</v>
      </c>
      <c r="T801" s="14">
        <v>18839</v>
      </c>
      <c r="U801" s="14">
        <v>20754</v>
      </c>
      <c r="V801" s="14">
        <v>22926</v>
      </c>
      <c r="W801" s="14">
        <v>23673</v>
      </c>
      <c r="X801" s="14">
        <v>26355</v>
      </c>
      <c r="Y801" s="14">
        <v>26971</v>
      </c>
      <c r="Z801" s="14">
        <v>29332</v>
      </c>
      <c r="AA801" s="14"/>
      <c r="AB801" s="14"/>
    </row>
    <row r="802" spans="1:30">
      <c r="A802" s="45" t="s">
        <v>381</v>
      </c>
      <c r="B802" s="45" t="s">
        <v>382</v>
      </c>
      <c r="C802" s="45" t="s">
        <v>498</v>
      </c>
      <c r="D802" s="45" t="s">
        <v>491</v>
      </c>
      <c r="E802" s="45" t="s">
        <v>499</v>
      </c>
      <c r="F802" s="45" t="s">
        <v>500</v>
      </c>
      <c r="G802" s="14">
        <v>10789.5</v>
      </c>
      <c r="H802" s="14">
        <v>10560.6</v>
      </c>
      <c r="I802" s="14">
        <v>11575.5</v>
      </c>
      <c r="J802" s="14">
        <v>12031.9</v>
      </c>
      <c r="K802" s="14">
        <v>13066</v>
      </c>
      <c r="L802" s="14">
        <v>14895.3</v>
      </c>
      <c r="M802" s="14">
        <v>16153.2</v>
      </c>
      <c r="N802" s="14">
        <v>16095.4</v>
      </c>
      <c r="O802" s="14">
        <v>15954</v>
      </c>
      <c r="P802" s="14">
        <v>16703.5</v>
      </c>
      <c r="Q802" s="14">
        <v>16670</v>
      </c>
      <c r="R802" s="14">
        <v>17789.599999999999</v>
      </c>
      <c r="S802" s="14">
        <v>22921.9</v>
      </c>
      <c r="T802" s="14">
        <v>22655.1</v>
      </c>
      <c r="U802" s="14">
        <v>19924.7</v>
      </c>
      <c r="V802" s="14">
        <v>21311.9</v>
      </c>
      <c r="W802" s="14">
        <v>21770.400000000001</v>
      </c>
      <c r="X802" s="14">
        <v>22845.599999999999</v>
      </c>
      <c r="Y802" s="14">
        <v>22869.5</v>
      </c>
      <c r="Z802" s="14">
        <v>22408.2</v>
      </c>
      <c r="AA802" s="14"/>
      <c r="AB802" s="14"/>
      <c r="AC802" s="15">
        <f>IFERROR(Z802/G802-1,"")</f>
        <v>1.0768524954817185</v>
      </c>
      <c r="AD802" s="15">
        <f>IFERROR((Z802/G802)^(1/19)-1,"")</f>
        <v>3.9215368415687069E-2</v>
      </c>
    </row>
    <row r="803" spans="1:30">
      <c r="A803" s="45" t="s">
        <v>381</v>
      </c>
      <c r="B803" s="45" t="s">
        <v>382</v>
      </c>
      <c r="C803" s="45" t="s">
        <v>498</v>
      </c>
      <c r="D803" s="45" t="s">
        <v>495</v>
      </c>
      <c r="E803" s="45" t="s">
        <v>499</v>
      </c>
      <c r="F803" s="45" t="s">
        <v>500</v>
      </c>
      <c r="G803" s="14">
        <v>553.5</v>
      </c>
      <c r="H803" s="14">
        <v>399.7</v>
      </c>
      <c r="I803" s="14">
        <v>479.8</v>
      </c>
      <c r="J803" s="14">
        <v>494.9</v>
      </c>
      <c r="K803" s="14">
        <v>448</v>
      </c>
      <c r="L803" s="14">
        <v>458</v>
      </c>
      <c r="M803" s="14">
        <v>452.4</v>
      </c>
      <c r="N803" s="14">
        <v>459.7</v>
      </c>
      <c r="O803" s="14">
        <v>413</v>
      </c>
      <c r="P803" s="14">
        <v>475.4</v>
      </c>
      <c r="Q803" s="14">
        <v>435.3</v>
      </c>
      <c r="R803" s="14">
        <v>376.3</v>
      </c>
      <c r="S803" s="14">
        <v>377</v>
      </c>
      <c r="T803" s="14">
        <v>377.2</v>
      </c>
      <c r="U803" s="14">
        <v>551.29999999999995</v>
      </c>
      <c r="V803" s="14">
        <v>687.8</v>
      </c>
      <c r="W803" s="14">
        <v>574.5</v>
      </c>
      <c r="X803" s="14">
        <v>509.1</v>
      </c>
      <c r="Y803" s="14">
        <v>372</v>
      </c>
      <c r="Z803" s="14">
        <v>451.9</v>
      </c>
      <c r="AA803" s="14"/>
      <c r="AB803" s="14"/>
      <c r="AC803" s="15">
        <f>IFERROR(Z803/G803-1,"")</f>
        <v>-0.18355916892502266</v>
      </c>
      <c r="AD803" s="15">
        <f>IFERROR((Z803/G803)^(1/19)-1,"")</f>
        <v>-1.0616966093512592E-2</v>
      </c>
    </row>
    <row r="804" spans="1:30">
      <c r="A804" s="45" t="s">
        <v>381</v>
      </c>
      <c r="B804" s="45" t="s">
        <v>382</v>
      </c>
      <c r="C804" s="45" t="s">
        <v>498</v>
      </c>
      <c r="D804" s="45" t="s">
        <v>496</v>
      </c>
      <c r="E804" s="45" t="s">
        <v>499</v>
      </c>
      <c r="F804" s="45" t="s">
        <v>500</v>
      </c>
      <c r="G804" s="14">
        <v>2052.4</v>
      </c>
      <c r="H804" s="14">
        <v>2101.4</v>
      </c>
      <c r="I804" s="14">
        <v>2465.6999999999998</v>
      </c>
      <c r="J804" s="14">
        <v>2488.6</v>
      </c>
      <c r="K804" s="14">
        <v>2633.4</v>
      </c>
      <c r="L804" s="14">
        <v>2761</v>
      </c>
      <c r="M804" s="14">
        <v>2631.8</v>
      </c>
      <c r="N804" s="14">
        <v>2712.8</v>
      </c>
      <c r="O804" s="14">
        <v>2932</v>
      </c>
      <c r="P804" s="14">
        <v>3100.1</v>
      </c>
      <c r="Q804" s="14">
        <v>3385.1</v>
      </c>
      <c r="R804" s="14">
        <v>3542.6</v>
      </c>
      <c r="S804" s="14">
        <v>3366.8</v>
      </c>
      <c r="T804" s="14">
        <v>4312.3</v>
      </c>
      <c r="U804" s="14">
        <v>4922.8</v>
      </c>
      <c r="V804" s="14">
        <v>4877.6000000000004</v>
      </c>
      <c r="W804" s="14">
        <v>5247.6</v>
      </c>
      <c r="X804" s="14">
        <v>5898.5</v>
      </c>
      <c r="Y804" s="14">
        <v>6265.5</v>
      </c>
      <c r="Z804" s="14">
        <v>6147.4</v>
      </c>
      <c r="AA804" s="14"/>
      <c r="AB804" s="14"/>
      <c r="AC804" s="15">
        <f>IFERROR(Z804/G804-1,"")</f>
        <v>1.9952251023192358</v>
      </c>
      <c r="AD804" s="15">
        <f>IFERROR((Z804/G804)^(1/19)-1,"")</f>
        <v>5.9437241111441663E-2</v>
      </c>
    </row>
    <row r="805" spans="1:30">
      <c r="A805" s="45" t="s">
        <v>381</v>
      </c>
      <c r="B805" s="45" t="s">
        <v>382</v>
      </c>
      <c r="C805" s="45" t="s">
        <v>498</v>
      </c>
      <c r="D805" s="45" t="s">
        <v>497</v>
      </c>
      <c r="E805" s="45" t="s">
        <v>499</v>
      </c>
      <c r="F805" s="45" t="s">
        <v>500</v>
      </c>
      <c r="G805" s="14">
        <v>6589.7</v>
      </c>
      <c r="H805" s="14">
        <v>6429.3</v>
      </c>
      <c r="I805" s="14">
        <v>6972.6</v>
      </c>
      <c r="J805" s="14">
        <v>7613.2</v>
      </c>
      <c r="K805" s="14">
        <v>8227.2000000000007</v>
      </c>
      <c r="L805" s="14">
        <v>9711.7999999999993</v>
      </c>
      <c r="M805" s="14">
        <v>10011</v>
      </c>
      <c r="N805" s="14">
        <v>10483.5</v>
      </c>
      <c r="O805" s="14">
        <v>10363</v>
      </c>
      <c r="P805" s="14">
        <v>10897.5</v>
      </c>
      <c r="Q805" s="14">
        <v>11063.7</v>
      </c>
      <c r="R805" s="14">
        <v>12207.1</v>
      </c>
      <c r="S805" s="14">
        <v>12463.8</v>
      </c>
      <c r="T805" s="14">
        <v>12919.6</v>
      </c>
      <c r="U805" s="14">
        <v>13166</v>
      </c>
      <c r="V805" s="14">
        <v>14028.8</v>
      </c>
      <c r="W805" s="14">
        <v>13863</v>
      </c>
      <c r="X805" s="14">
        <v>14808.1</v>
      </c>
      <c r="Y805" s="14">
        <v>14232.9</v>
      </c>
      <c r="Z805" s="14">
        <v>13692.9</v>
      </c>
      <c r="AA805" s="14"/>
      <c r="AB805" s="14"/>
      <c r="AC805" s="15">
        <f>IFERROR(Z805/G805-1,"")</f>
        <v>1.0779246399684355</v>
      </c>
      <c r="AD805" s="15">
        <f>IFERROR((Z805/G805)^(1/19)-1,"")</f>
        <v>3.9243597282661913E-2</v>
      </c>
    </row>
    <row r="806" spans="1:30">
      <c r="A806" s="45" t="s">
        <v>381</v>
      </c>
      <c r="B806" s="45" t="s">
        <v>382</v>
      </c>
      <c r="C806" s="45" t="s">
        <v>498</v>
      </c>
      <c r="D806" s="45" t="s">
        <v>501</v>
      </c>
      <c r="E806" s="45" t="s">
        <v>499</v>
      </c>
      <c r="F806" s="45" t="s">
        <v>500</v>
      </c>
      <c r="G806" s="14">
        <v>1307.8</v>
      </c>
      <c r="H806" s="14">
        <v>1395.5</v>
      </c>
      <c r="I806" s="14">
        <v>1366.9</v>
      </c>
      <c r="J806" s="14">
        <v>1095.9000000000001</v>
      </c>
      <c r="K806" s="14">
        <v>1213.9000000000001</v>
      </c>
      <c r="L806" s="14">
        <v>1206.2</v>
      </c>
      <c r="M806" s="14">
        <v>2116.1999999999998</v>
      </c>
      <c r="N806" s="14">
        <v>1699</v>
      </c>
      <c r="O806" s="14">
        <v>1397</v>
      </c>
      <c r="P806" s="14">
        <v>1387.6</v>
      </c>
      <c r="Q806" s="14">
        <v>951.9</v>
      </c>
      <c r="R806" s="14">
        <v>826.6</v>
      </c>
      <c r="S806" s="14">
        <v>4271.8999999999996</v>
      </c>
      <c r="T806" s="14">
        <v>2984.6</v>
      </c>
      <c r="U806" s="14">
        <v>649</v>
      </c>
      <c r="V806" s="14">
        <v>1125.9000000000001</v>
      </c>
      <c r="W806" s="14">
        <v>1454.6</v>
      </c>
      <c r="X806" s="14">
        <v>913</v>
      </c>
      <c r="Y806" s="14">
        <v>1047.5</v>
      </c>
      <c r="Z806" s="14">
        <v>1038.5999999999999</v>
      </c>
      <c r="AA806" s="14"/>
      <c r="AB806" s="14"/>
      <c r="AC806" s="15">
        <f>IFERROR(Z806/G806-1,"")</f>
        <v>-0.20584187184584801</v>
      </c>
      <c r="AD806" s="15">
        <f>IFERROR((Z806/G806)^(1/19)-1,"")</f>
        <v>-1.2056867657156523E-2</v>
      </c>
    </row>
    <row r="807" spans="1:30">
      <c r="A807" s="45" t="s">
        <v>309</v>
      </c>
      <c r="B807" s="45" t="s">
        <v>310</v>
      </c>
      <c r="C807" s="45" t="s">
        <v>490</v>
      </c>
      <c r="D807" s="45" t="s">
        <v>491</v>
      </c>
      <c r="E807" s="45" t="s">
        <v>492</v>
      </c>
      <c r="F807" s="45" t="s">
        <v>493</v>
      </c>
      <c r="G807" s="14">
        <v>15968</v>
      </c>
      <c r="H807" s="14">
        <v>16872</v>
      </c>
      <c r="I807" s="14">
        <v>20438</v>
      </c>
      <c r="J807" s="14">
        <v>21777</v>
      </c>
      <c r="K807" s="14">
        <v>25252</v>
      </c>
      <c r="L807" s="14">
        <v>28675</v>
      </c>
      <c r="M807" s="14">
        <v>35270</v>
      </c>
      <c r="N807" s="14">
        <v>36458</v>
      </c>
      <c r="O807" s="14">
        <v>37734</v>
      </c>
      <c r="P807" s="14">
        <v>42862</v>
      </c>
      <c r="Q807" s="14">
        <v>46423</v>
      </c>
      <c r="R807" s="14">
        <v>50471</v>
      </c>
      <c r="S807" s="14">
        <v>53371</v>
      </c>
      <c r="T807" s="14">
        <v>58609</v>
      </c>
      <c r="U807" s="14">
        <v>59265</v>
      </c>
      <c r="V807" s="14">
        <v>62169</v>
      </c>
      <c r="W807" s="14">
        <v>68752</v>
      </c>
      <c r="X807" s="14">
        <v>74778</v>
      </c>
      <c r="Y807" s="14">
        <v>77832</v>
      </c>
      <c r="Z807" s="14">
        <v>82889</v>
      </c>
      <c r="AA807" s="14">
        <v>92508</v>
      </c>
      <c r="AB807" s="14">
        <v>101177</v>
      </c>
    </row>
    <row r="808" spans="1:30">
      <c r="A808" s="45" t="s">
        <v>309</v>
      </c>
      <c r="B808" s="45" t="s">
        <v>310</v>
      </c>
      <c r="C808" s="45" t="s">
        <v>490</v>
      </c>
      <c r="D808" s="45" t="s">
        <v>494</v>
      </c>
      <c r="E808" s="45" t="s">
        <v>492</v>
      </c>
      <c r="F808" s="45" t="s">
        <v>493</v>
      </c>
      <c r="G808" s="14">
        <v>15453</v>
      </c>
      <c r="H808" s="14">
        <v>16422</v>
      </c>
      <c r="I808" s="14">
        <v>19817</v>
      </c>
      <c r="J808" s="14">
        <v>21042</v>
      </c>
      <c r="K808" s="14">
        <v>23937</v>
      </c>
      <c r="L808" s="14">
        <v>26899</v>
      </c>
      <c r="M808" s="14">
        <v>33338</v>
      </c>
      <c r="N808" s="14">
        <v>34784</v>
      </c>
      <c r="O808" s="14">
        <v>35632</v>
      </c>
      <c r="P808" s="14">
        <v>40359</v>
      </c>
      <c r="Q808" s="14">
        <v>43589</v>
      </c>
      <c r="R808" s="14">
        <v>47569</v>
      </c>
      <c r="S808" s="14">
        <v>50103</v>
      </c>
      <c r="T808" s="14">
        <v>55247</v>
      </c>
      <c r="U808" s="14">
        <v>57521</v>
      </c>
      <c r="V808" s="14">
        <v>60470</v>
      </c>
      <c r="W808" s="14">
        <v>66005</v>
      </c>
      <c r="X808" s="14">
        <v>71772</v>
      </c>
      <c r="Y808" s="14">
        <v>75018</v>
      </c>
      <c r="Z808" s="14">
        <v>78943</v>
      </c>
      <c r="AA808" s="14"/>
      <c r="AB808" s="14"/>
    </row>
    <row r="809" spans="1:30">
      <c r="A809" s="45" t="s">
        <v>309</v>
      </c>
      <c r="B809" s="45" t="s">
        <v>310</v>
      </c>
      <c r="C809" s="45" t="s">
        <v>490</v>
      </c>
      <c r="D809" s="45" t="s">
        <v>495</v>
      </c>
      <c r="E809" s="45" t="s">
        <v>492</v>
      </c>
      <c r="F809" s="45" t="s">
        <v>493</v>
      </c>
      <c r="G809" s="14">
        <v>840</v>
      </c>
      <c r="H809" s="14">
        <v>549</v>
      </c>
      <c r="I809" s="14">
        <v>795</v>
      </c>
      <c r="J809" s="14">
        <v>789</v>
      </c>
      <c r="K809" s="14">
        <v>869</v>
      </c>
      <c r="L809" s="14">
        <v>1010</v>
      </c>
      <c r="M809" s="14">
        <v>4071</v>
      </c>
      <c r="N809" s="14">
        <v>3019</v>
      </c>
      <c r="O809" s="14">
        <v>1086</v>
      </c>
      <c r="P809" s="14">
        <v>1179</v>
      </c>
      <c r="Q809" s="14">
        <v>1501</v>
      </c>
      <c r="R809" s="14">
        <v>1468</v>
      </c>
      <c r="S809" s="14">
        <v>1499</v>
      </c>
      <c r="T809" s="14">
        <v>1857</v>
      </c>
      <c r="U809" s="14">
        <v>1359</v>
      </c>
      <c r="V809" s="14">
        <v>1311</v>
      </c>
      <c r="W809" s="14">
        <v>1752</v>
      </c>
      <c r="X809" s="14">
        <v>2313</v>
      </c>
      <c r="Y809" s="14">
        <v>2199</v>
      </c>
      <c r="Z809" s="14">
        <v>2720</v>
      </c>
      <c r="AA809" s="14"/>
      <c r="AB809" s="14"/>
    </row>
    <row r="810" spans="1:30">
      <c r="A810" s="45" t="s">
        <v>309</v>
      </c>
      <c r="B810" s="45" t="s">
        <v>310</v>
      </c>
      <c r="C810" s="45" t="s">
        <v>490</v>
      </c>
      <c r="D810" s="45" t="s">
        <v>496</v>
      </c>
      <c r="E810" s="45" t="s">
        <v>492</v>
      </c>
      <c r="F810" s="45" t="s">
        <v>493</v>
      </c>
      <c r="G810" s="14">
        <v>3352</v>
      </c>
      <c r="H810" s="14">
        <v>3268</v>
      </c>
      <c r="I810" s="14">
        <v>4167</v>
      </c>
      <c r="J810" s="14">
        <v>4301</v>
      </c>
      <c r="K810" s="14">
        <v>5118</v>
      </c>
      <c r="L810" s="14">
        <v>5917</v>
      </c>
      <c r="M810" s="14">
        <v>6446</v>
      </c>
      <c r="N810" s="14">
        <v>6635</v>
      </c>
      <c r="O810" s="14">
        <v>7358</v>
      </c>
      <c r="P810" s="14">
        <v>8393</v>
      </c>
      <c r="Q810" s="14">
        <v>10385</v>
      </c>
      <c r="R810" s="14">
        <v>10884</v>
      </c>
      <c r="S810" s="14">
        <v>10350</v>
      </c>
      <c r="T810" s="14">
        <v>13015</v>
      </c>
      <c r="U810" s="14">
        <v>13776</v>
      </c>
      <c r="V810" s="14">
        <v>13954</v>
      </c>
      <c r="W810" s="14">
        <v>17641</v>
      </c>
      <c r="X810" s="14">
        <v>19980</v>
      </c>
      <c r="Y810" s="14">
        <v>19668</v>
      </c>
      <c r="Z810" s="14">
        <v>19383</v>
      </c>
      <c r="AA810" s="14"/>
      <c r="AB810" s="14"/>
    </row>
    <row r="811" spans="1:30">
      <c r="A811" s="45" t="s">
        <v>309</v>
      </c>
      <c r="B811" s="45" t="s">
        <v>310</v>
      </c>
      <c r="C811" s="45" t="s">
        <v>490</v>
      </c>
      <c r="D811" s="45" t="s">
        <v>497</v>
      </c>
      <c r="E811" s="45" t="s">
        <v>492</v>
      </c>
      <c r="F811" s="45" t="s">
        <v>493</v>
      </c>
      <c r="G811" s="14">
        <v>9016</v>
      </c>
      <c r="H811" s="14">
        <v>9394</v>
      </c>
      <c r="I811" s="14">
        <v>10960</v>
      </c>
      <c r="J811" s="14">
        <v>12775</v>
      </c>
      <c r="K811" s="14">
        <v>14089</v>
      </c>
      <c r="L811" s="14">
        <v>16801</v>
      </c>
      <c r="M811" s="14">
        <v>18504</v>
      </c>
      <c r="N811" s="14">
        <v>20963</v>
      </c>
      <c r="O811" s="14">
        <v>23320</v>
      </c>
      <c r="P811" s="14">
        <v>26365</v>
      </c>
      <c r="Q811" s="14">
        <v>28323</v>
      </c>
      <c r="R811" s="14">
        <v>31459</v>
      </c>
      <c r="S811" s="14">
        <v>33409</v>
      </c>
      <c r="T811" s="14">
        <v>36319</v>
      </c>
      <c r="U811" s="14">
        <v>38150</v>
      </c>
      <c r="V811" s="14">
        <v>40427</v>
      </c>
      <c r="W811" s="14">
        <v>40967</v>
      </c>
      <c r="X811" s="14">
        <v>44052</v>
      </c>
      <c r="Y811" s="14">
        <v>45899</v>
      </c>
      <c r="Z811" s="14">
        <v>47215</v>
      </c>
      <c r="AA811" s="14"/>
      <c r="AB811" s="14"/>
    </row>
    <row r="812" spans="1:30">
      <c r="A812" s="45" t="s">
        <v>309</v>
      </c>
      <c r="B812" s="45" t="s">
        <v>310</v>
      </c>
      <c r="C812" s="45" t="s">
        <v>498</v>
      </c>
      <c r="D812" s="45" t="s">
        <v>491</v>
      </c>
      <c r="E812" s="45" t="s">
        <v>499</v>
      </c>
      <c r="F812" s="45" t="s">
        <v>500</v>
      </c>
      <c r="G812" s="14">
        <v>30334.799999999999</v>
      </c>
      <c r="H812" s="14">
        <v>28093</v>
      </c>
      <c r="I812" s="14">
        <v>31583.7</v>
      </c>
      <c r="J812" s="14">
        <v>31324.7</v>
      </c>
      <c r="K812" s="14">
        <v>34019.1</v>
      </c>
      <c r="L812" s="14">
        <v>36292.6</v>
      </c>
      <c r="M812" s="14">
        <v>41037.9</v>
      </c>
      <c r="N812" s="14">
        <v>39529</v>
      </c>
      <c r="O812" s="14">
        <v>37734</v>
      </c>
      <c r="P812" s="14">
        <v>39570.300000000003</v>
      </c>
      <c r="Q812" s="14">
        <v>39704.1</v>
      </c>
      <c r="R812" s="14">
        <v>40152.9</v>
      </c>
      <c r="S812" s="14">
        <v>39370.699999999997</v>
      </c>
      <c r="T812" s="14">
        <v>40193.599999999999</v>
      </c>
      <c r="U812" s="14">
        <v>37596.800000000003</v>
      </c>
      <c r="V812" s="14">
        <v>38042.300000000003</v>
      </c>
      <c r="W812" s="14">
        <v>40261.4</v>
      </c>
      <c r="X812" s="14">
        <v>42015.4</v>
      </c>
      <c r="Y812" s="14">
        <v>41073</v>
      </c>
      <c r="Z812" s="14">
        <v>38693.199999999997</v>
      </c>
      <c r="AA812" s="14"/>
      <c r="AB812" s="14"/>
      <c r="AC812" s="15">
        <f>IFERROR(Z812/G812-1,"")</f>
        <v>0.2755383256194206</v>
      </c>
      <c r="AD812" s="15">
        <f>IFERROR((Z812/G812)^(1/19)-1,"")</f>
        <v>1.28912429934529E-2</v>
      </c>
    </row>
    <row r="813" spans="1:30">
      <c r="A813" s="45" t="s">
        <v>309</v>
      </c>
      <c r="B813" s="45" t="s">
        <v>310</v>
      </c>
      <c r="C813" s="45" t="s">
        <v>498</v>
      </c>
      <c r="D813" s="45" t="s">
        <v>495</v>
      </c>
      <c r="E813" s="45" t="s">
        <v>499</v>
      </c>
      <c r="F813" s="45" t="s">
        <v>500</v>
      </c>
      <c r="G813" s="14">
        <v>1595.4</v>
      </c>
      <c r="H813" s="14">
        <v>914.5</v>
      </c>
      <c r="I813" s="14">
        <v>1228.8</v>
      </c>
      <c r="J813" s="14">
        <v>1135.0999999999999</v>
      </c>
      <c r="K813" s="14">
        <v>1170.8</v>
      </c>
      <c r="L813" s="14">
        <v>1278.4000000000001</v>
      </c>
      <c r="M813" s="14">
        <v>4736.7</v>
      </c>
      <c r="N813" s="14">
        <v>3273.3</v>
      </c>
      <c r="O813" s="14">
        <v>1086</v>
      </c>
      <c r="P813" s="14">
        <v>1088.5</v>
      </c>
      <c r="Q813" s="14">
        <v>1283.8</v>
      </c>
      <c r="R813" s="14">
        <v>1167.9000000000001</v>
      </c>
      <c r="S813" s="14">
        <v>1105.8</v>
      </c>
      <c r="T813" s="14">
        <v>1273.5</v>
      </c>
      <c r="U813" s="14">
        <v>862.1</v>
      </c>
      <c r="V813" s="14">
        <v>802.2</v>
      </c>
      <c r="W813" s="14">
        <v>1026</v>
      </c>
      <c r="X813" s="14">
        <v>1299.5999999999999</v>
      </c>
      <c r="Y813" s="14">
        <v>1160.4000000000001</v>
      </c>
      <c r="Z813" s="14">
        <v>1269.7</v>
      </c>
      <c r="AA813" s="14"/>
      <c r="AB813" s="14"/>
      <c r="AC813" s="15">
        <f>IFERROR(Z813/G813-1,"")</f>
        <v>-0.20414942961012916</v>
      </c>
      <c r="AD813" s="15">
        <f>IFERROR((Z813/G813)^(1/19)-1,"")</f>
        <v>-1.1946167766908711E-2</v>
      </c>
    </row>
    <row r="814" spans="1:30">
      <c r="A814" s="45" t="s">
        <v>309</v>
      </c>
      <c r="B814" s="45" t="s">
        <v>310</v>
      </c>
      <c r="C814" s="45" t="s">
        <v>498</v>
      </c>
      <c r="D814" s="45" t="s">
        <v>496</v>
      </c>
      <c r="E814" s="45" t="s">
        <v>499</v>
      </c>
      <c r="F814" s="45" t="s">
        <v>500</v>
      </c>
      <c r="G814" s="14">
        <v>6368.4</v>
      </c>
      <c r="H814" s="14">
        <v>5442</v>
      </c>
      <c r="I814" s="14">
        <v>6439.2</v>
      </c>
      <c r="J814" s="14">
        <v>6187</v>
      </c>
      <c r="K814" s="14">
        <v>6895.4</v>
      </c>
      <c r="L814" s="14">
        <v>7489.1</v>
      </c>
      <c r="M814" s="14">
        <v>7500.6</v>
      </c>
      <c r="N814" s="14">
        <v>7193.9</v>
      </c>
      <c r="O814" s="14">
        <v>7358</v>
      </c>
      <c r="P814" s="14">
        <v>7748.4</v>
      </c>
      <c r="Q814" s="14">
        <v>8882</v>
      </c>
      <c r="R814" s="14">
        <v>8658.9</v>
      </c>
      <c r="S814" s="14">
        <v>7635</v>
      </c>
      <c r="T814" s="14">
        <v>8925.6</v>
      </c>
      <c r="U814" s="14">
        <v>8739.2999999999993</v>
      </c>
      <c r="V814" s="14">
        <v>8538.7000000000007</v>
      </c>
      <c r="W814" s="14">
        <v>10330.6</v>
      </c>
      <c r="X814" s="14">
        <v>11226.1</v>
      </c>
      <c r="Y814" s="14">
        <v>10379.1</v>
      </c>
      <c r="Z814" s="14">
        <v>9048.1</v>
      </c>
      <c r="AA814" s="14"/>
      <c r="AB814" s="14"/>
      <c r="AC814" s="15">
        <f>IFERROR(Z814/G814-1,"")</f>
        <v>0.42078072985365256</v>
      </c>
      <c r="AD814" s="15">
        <f>IFERROR((Z814/G814)^(1/19)-1,"")</f>
        <v>1.8656451109945182E-2</v>
      </c>
    </row>
    <row r="815" spans="1:30">
      <c r="A815" s="45" t="s">
        <v>309</v>
      </c>
      <c r="B815" s="45" t="s">
        <v>310</v>
      </c>
      <c r="C815" s="45" t="s">
        <v>498</v>
      </c>
      <c r="D815" s="45" t="s">
        <v>497</v>
      </c>
      <c r="E815" s="45" t="s">
        <v>499</v>
      </c>
      <c r="F815" s="45" t="s">
        <v>500</v>
      </c>
      <c r="G815" s="14">
        <v>17128.8</v>
      </c>
      <c r="H815" s="14">
        <v>15642.9</v>
      </c>
      <c r="I815" s="14">
        <v>16937.099999999999</v>
      </c>
      <c r="J815" s="14">
        <v>18375.900000000001</v>
      </c>
      <c r="K815" s="14">
        <v>18980.8</v>
      </c>
      <c r="L815" s="14">
        <v>21264.7</v>
      </c>
      <c r="M815" s="14">
        <v>21530.3</v>
      </c>
      <c r="N815" s="14">
        <v>22728.799999999999</v>
      </c>
      <c r="O815" s="14">
        <v>23320</v>
      </c>
      <c r="P815" s="14">
        <v>24340.2</v>
      </c>
      <c r="Q815" s="14">
        <v>24223.7</v>
      </c>
      <c r="R815" s="14">
        <v>25027.599999999999</v>
      </c>
      <c r="S815" s="14">
        <v>24645.200000000001</v>
      </c>
      <c r="T815" s="14">
        <v>24907.3</v>
      </c>
      <c r="U815" s="14">
        <v>24201.8</v>
      </c>
      <c r="V815" s="14">
        <v>24738</v>
      </c>
      <c r="W815" s="14">
        <v>23990.400000000001</v>
      </c>
      <c r="X815" s="14">
        <v>24751.5</v>
      </c>
      <c r="Y815" s="14">
        <v>24221.5</v>
      </c>
      <c r="Z815" s="14">
        <v>22040.799999999999</v>
      </c>
      <c r="AA815" s="14"/>
      <c r="AB815" s="14"/>
      <c r="AC815" s="15">
        <f>IFERROR(Z815/G815-1,"")</f>
        <v>0.286768483489795</v>
      </c>
      <c r="AD815" s="15">
        <f>IFERROR((Z815/G815)^(1/19)-1,"")</f>
        <v>1.3358651818871747E-2</v>
      </c>
    </row>
    <row r="816" spans="1:30">
      <c r="A816" s="45" t="s">
        <v>309</v>
      </c>
      <c r="B816" s="45" t="s">
        <v>310</v>
      </c>
      <c r="C816" s="45" t="s">
        <v>498</v>
      </c>
      <c r="D816" s="45" t="s">
        <v>501</v>
      </c>
      <c r="E816" s="45" t="s">
        <v>499</v>
      </c>
      <c r="F816" s="45" t="s">
        <v>500</v>
      </c>
      <c r="G816" s="14">
        <v>4264.3</v>
      </c>
      <c r="H816" s="14">
        <v>5344.2</v>
      </c>
      <c r="I816" s="14">
        <v>6018.2</v>
      </c>
      <c r="J816" s="14">
        <v>4569.3</v>
      </c>
      <c r="K816" s="14">
        <v>5199.8</v>
      </c>
      <c r="L816" s="14">
        <v>4012.4</v>
      </c>
      <c r="M816" s="14">
        <v>5021.8999999999996</v>
      </c>
      <c r="N816" s="14">
        <v>4519.1000000000004</v>
      </c>
      <c r="O816" s="14">
        <v>3868</v>
      </c>
      <c r="P816" s="14">
        <v>4082.4</v>
      </c>
      <c r="Q816" s="14">
        <v>2890.8</v>
      </c>
      <c r="R816" s="14">
        <v>2990.5</v>
      </c>
      <c r="S816" s="14">
        <v>3574.8</v>
      </c>
      <c r="T816" s="14">
        <v>2780.9</v>
      </c>
      <c r="U816" s="14">
        <v>2687.9</v>
      </c>
      <c r="V816" s="14">
        <v>2923.7</v>
      </c>
      <c r="W816" s="14">
        <v>3305.7</v>
      </c>
      <c r="X816" s="14">
        <v>3049.3</v>
      </c>
      <c r="Y816" s="14">
        <v>3827</v>
      </c>
      <c r="Z816" s="14">
        <v>4493</v>
      </c>
      <c r="AA816" s="14"/>
      <c r="AB816" s="14"/>
      <c r="AC816" s="15">
        <f>IFERROR(Z816/G816-1,"")</f>
        <v>5.3631311117885661E-2</v>
      </c>
      <c r="AD816" s="15">
        <f>IFERROR((Z816/G816)^(1/19)-1,"")</f>
        <v>2.7533936038122153E-3</v>
      </c>
    </row>
    <row r="817" spans="1:30">
      <c r="A817" s="45" t="s">
        <v>277</v>
      </c>
      <c r="B817" s="45" t="s">
        <v>278</v>
      </c>
      <c r="C817" s="45" t="s">
        <v>490</v>
      </c>
      <c r="D817" s="45" t="s">
        <v>491</v>
      </c>
      <c r="E817" s="45" t="s">
        <v>492</v>
      </c>
      <c r="F817" s="45" t="s">
        <v>493</v>
      </c>
      <c r="G817" s="14">
        <v>17654</v>
      </c>
      <c r="H817" s="14">
        <v>19333</v>
      </c>
      <c r="I817" s="14">
        <v>24861</v>
      </c>
      <c r="J817" s="14">
        <v>26742</v>
      </c>
      <c r="K817" s="14">
        <v>26555</v>
      </c>
      <c r="L817" s="14">
        <v>30448</v>
      </c>
      <c r="M817" s="14">
        <v>32268</v>
      </c>
      <c r="N817" s="14">
        <v>36160</v>
      </c>
      <c r="O817" s="14">
        <v>40542</v>
      </c>
      <c r="P817" s="14">
        <v>45393</v>
      </c>
      <c r="Q817" s="14">
        <v>50746</v>
      </c>
      <c r="R817" s="14">
        <v>56771</v>
      </c>
      <c r="S817" s="14">
        <v>62352</v>
      </c>
      <c r="T817" s="14">
        <v>67913</v>
      </c>
      <c r="U817" s="14">
        <v>73978</v>
      </c>
      <c r="V817" s="14">
        <v>81840</v>
      </c>
      <c r="W817" s="14">
        <v>89712</v>
      </c>
      <c r="X817" s="14">
        <v>97546</v>
      </c>
      <c r="Y817" s="14">
        <v>98323</v>
      </c>
      <c r="Z817" s="14">
        <v>108194</v>
      </c>
      <c r="AA817" s="14">
        <v>125503</v>
      </c>
      <c r="AB817" s="14">
        <v>130557</v>
      </c>
    </row>
    <row r="818" spans="1:30">
      <c r="A818" s="45" t="s">
        <v>277</v>
      </c>
      <c r="B818" s="45" t="s">
        <v>278</v>
      </c>
      <c r="C818" s="45" t="s">
        <v>490</v>
      </c>
      <c r="D818" s="45" t="s">
        <v>494</v>
      </c>
      <c r="E818" s="45" t="s">
        <v>492</v>
      </c>
      <c r="F818" s="45" t="s">
        <v>493</v>
      </c>
      <c r="G818" s="14">
        <v>16782</v>
      </c>
      <c r="H818" s="14">
        <v>18487</v>
      </c>
      <c r="I818" s="14">
        <v>23180</v>
      </c>
      <c r="J818" s="14">
        <v>25602</v>
      </c>
      <c r="K818" s="14">
        <v>25120</v>
      </c>
      <c r="L818" s="14">
        <v>28858</v>
      </c>
      <c r="M818" s="14">
        <v>30800</v>
      </c>
      <c r="N818" s="14">
        <v>34656</v>
      </c>
      <c r="O818" s="14">
        <v>38447</v>
      </c>
      <c r="P818" s="14">
        <v>43108</v>
      </c>
      <c r="Q818" s="14">
        <v>48219</v>
      </c>
      <c r="R818" s="14">
        <v>54083</v>
      </c>
      <c r="S818" s="14">
        <v>59102</v>
      </c>
      <c r="T818" s="14">
        <v>64193</v>
      </c>
      <c r="U818" s="14">
        <v>69812</v>
      </c>
      <c r="V818" s="14">
        <v>77558</v>
      </c>
      <c r="W818" s="14">
        <v>82445</v>
      </c>
      <c r="X818" s="14">
        <v>89953</v>
      </c>
      <c r="Y818" s="14">
        <v>90447</v>
      </c>
      <c r="Z818" s="14">
        <v>99245</v>
      </c>
      <c r="AA818" s="14"/>
      <c r="AB818" s="14"/>
    </row>
    <row r="819" spans="1:30">
      <c r="A819" s="45" t="s">
        <v>277</v>
      </c>
      <c r="B819" s="45" t="s">
        <v>278</v>
      </c>
      <c r="C819" s="45" t="s">
        <v>490</v>
      </c>
      <c r="D819" s="45" t="s">
        <v>495</v>
      </c>
      <c r="E819" s="45" t="s">
        <v>492</v>
      </c>
      <c r="F819" s="45" t="s">
        <v>493</v>
      </c>
      <c r="G819" s="14">
        <v>1162</v>
      </c>
      <c r="H819" s="14">
        <v>953</v>
      </c>
      <c r="I819" s="14">
        <v>1251</v>
      </c>
      <c r="J819" s="14">
        <v>3388</v>
      </c>
      <c r="K819" s="14">
        <v>1173</v>
      </c>
      <c r="L819" s="14">
        <v>1306</v>
      </c>
      <c r="M819" s="14">
        <v>1197</v>
      </c>
      <c r="N819" s="14">
        <v>1380</v>
      </c>
      <c r="O819" s="14">
        <v>1311</v>
      </c>
      <c r="P819" s="14">
        <v>1669</v>
      </c>
      <c r="Q819" s="14">
        <v>1985</v>
      </c>
      <c r="R819" s="14">
        <v>2272</v>
      </c>
      <c r="S819" s="14">
        <v>2202</v>
      </c>
      <c r="T819" s="14">
        <v>2865</v>
      </c>
      <c r="U819" s="14">
        <v>2808</v>
      </c>
      <c r="V819" s="14">
        <v>4160</v>
      </c>
      <c r="W819" s="14">
        <v>3920</v>
      </c>
      <c r="X819" s="14">
        <v>3961</v>
      </c>
      <c r="Y819" s="14">
        <v>3906</v>
      </c>
      <c r="Z819" s="14">
        <v>4241</v>
      </c>
      <c r="AA819" s="14"/>
      <c r="AB819" s="14"/>
    </row>
    <row r="820" spans="1:30">
      <c r="A820" s="45" t="s">
        <v>277</v>
      </c>
      <c r="B820" s="45" t="s">
        <v>278</v>
      </c>
      <c r="C820" s="45" t="s">
        <v>490</v>
      </c>
      <c r="D820" s="45" t="s">
        <v>496</v>
      </c>
      <c r="E820" s="45" t="s">
        <v>492</v>
      </c>
      <c r="F820" s="45" t="s">
        <v>493</v>
      </c>
      <c r="G820" s="14">
        <v>5671</v>
      </c>
      <c r="H820" s="14">
        <v>6272</v>
      </c>
      <c r="I820" s="14">
        <v>9840</v>
      </c>
      <c r="J820" s="14">
        <v>8492</v>
      </c>
      <c r="K820" s="14">
        <v>8893</v>
      </c>
      <c r="L820" s="14">
        <v>9207</v>
      </c>
      <c r="M820" s="14">
        <v>8701</v>
      </c>
      <c r="N820" s="14">
        <v>10036</v>
      </c>
      <c r="O820" s="14">
        <v>13073</v>
      </c>
      <c r="P820" s="14">
        <v>14471</v>
      </c>
      <c r="Q820" s="14">
        <v>18107</v>
      </c>
      <c r="R820" s="14">
        <v>19582</v>
      </c>
      <c r="S820" s="14">
        <v>21035</v>
      </c>
      <c r="T820" s="14">
        <v>24074</v>
      </c>
      <c r="U820" s="14">
        <v>26818</v>
      </c>
      <c r="V820" s="14">
        <v>29867</v>
      </c>
      <c r="W820" s="14">
        <v>34935</v>
      </c>
      <c r="X820" s="14">
        <v>38978</v>
      </c>
      <c r="Y820" s="14">
        <v>37355</v>
      </c>
      <c r="Z820" s="14">
        <v>40504</v>
      </c>
      <c r="AA820" s="14"/>
      <c r="AB820" s="14"/>
    </row>
    <row r="821" spans="1:30">
      <c r="A821" s="45" t="s">
        <v>277</v>
      </c>
      <c r="B821" s="45" t="s">
        <v>278</v>
      </c>
      <c r="C821" s="45" t="s">
        <v>490</v>
      </c>
      <c r="D821" s="45" t="s">
        <v>497</v>
      </c>
      <c r="E821" s="45" t="s">
        <v>492</v>
      </c>
      <c r="F821" s="45" t="s">
        <v>493</v>
      </c>
      <c r="G821" s="14">
        <v>8501</v>
      </c>
      <c r="H821" s="14">
        <v>9468</v>
      </c>
      <c r="I821" s="14">
        <v>10272</v>
      </c>
      <c r="J821" s="14">
        <v>12272</v>
      </c>
      <c r="K821" s="14">
        <v>13119</v>
      </c>
      <c r="L821" s="14">
        <v>16652</v>
      </c>
      <c r="M821" s="14">
        <v>18436</v>
      </c>
      <c r="N821" s="14">
        <v>20961</v>
      </c>
      <c r="O821" s="14">
        <v>22530</v>
      </c>
      <c r="P821" s="14">
        <v>25131</v>
      </c>
      <c r="Q821" s="14">
        <v>27099</v>
      </c>
      <c r="R821" s="14">
        <v>31076</v>
      </c>
      <c r="S821" s="14">
        <v>34218</v>
      </c>
      <c r="T821" s="14">
        <v>36044</v>
      </c>
      <c r="U821" s="14">
        <v>39048</v>
      </c>
      <c r="V821" s="14">
        <v>42484</v>
      </c>
      <c r="W821" s="14">
        <v>41897</v>
      </c>
      <c r="X821" s="14">
        <v>45753</v>
      </c>
      <c r="Y821" s="14">
        <v>47529</v>
      </c>
      <c r="Z821" s="14">
        <v>52392</v>
      </c>
      <c r="AA821" s="14"/>
      <c r="AB821" s="14"/>
    </row>
    <row r="822" spans="1:30">
      <c r="A822" s="45" t="s">
        <v>277</v>
      </c>
      <c r="B822" s="45" t="s">
        <v>278</v>
      </c>
      <c r="C822" s="45" t="s">
        <v>498</v>
      </c>
      <c r="D822" s="45" t="s">
        <v>491</v>
      </c>
      <c r="E822" s="45" t="s">
        <v>499</v>
      </c>
      <c r="F822" s="45" t="s">
        <v>500</v>
      </c>
      <c r="G822" s="14">
        <v>33538.300000000003</v>
      </c>
      <c r="H822" s="14">
        <v>32191.7</v>
      </c>
      <c r="I822" s="14">
        <v>38418.699999999997</v>
      </c>
      <c r="J822" s="14">
        <v>38466.9</v>
      </c>
      <c r="K822" s="14">
        <v>35773.699999999997</v>
      </c>
      <c r="L822" s="14">
        <v>38537.300000000003</v>
      </c>
      <c r="M822" s="14">
        <v>37544.6</v>
      </c>
      <c r="N822" s="14">
        <v>39205.9</v>
      </c>
      <c r="O822" s="14">
        <v>40542</v>
      </c>
      <c r="P822" s="14">
        <v>41906.9</v>
      </c>
      <c r="Q822" s="14">
        <v>43401.4</v>
      </c>
      <c r="R822" s="14">
        <v>45165</v>
      </c>
      <c r="S822" s="14">
        <v>45995.8</v>
      </c>
      <c r="T822" s="14">
        <v>46574.2</v>
      </c>
      <c r="U822" s="14">
        <v>46930.5</v>
      </c>
      <c r="V822" s="14">
        <v>50079.4</v>
      </c>
      <c r="W822" s="14">
        <v>52535.7</v>
      </c>
      <c r="X822" s="14">
        <v>54808.1</v>
      </c>
      <c r="Y822" s="14">
        <v>51886.3</v>
      </c>
      <c r="Z822" s="14">
        <v>50505.7</v>
      </c>
      <c r="AA822" s="14"/>
      <c r="AB822" s="14"/>
      <c r="AC822" s="15">
        <f>IFERROR(Z822/G822-1,"")</f>
        <v>0.50591115232435735</v>
      </c>
      <c r="AD822" s="15">
        <f>IFERROR((Z822/G822)^(1/19)-1,"")</f>
        <v>2.1781088886686728E-2</v>
      </c>
    </row>
    <row r="823" spans="1:30">
      <c r="A823" s="45" t="s">
        <v>277</v>
      </c>
      <c r="B823" s="45" t="s">
        <v>278</v>
      </c>
      <c r="C823" s="45" t="s">
        <v>498</v>
      </c>
      <c r="D823" s="45" t="s">
        <v>495</v>
      </c>
      <c r="E823" s="45" t="s">
        <v>499</v>
      </c>
      <c r="F823" s="45" t="s">
        <v>500</v>
      </c>
      <c r="G823" s="14">
        <v>2206.6</v>
      </c>
      <c r="H823" s="14">
        <v>1587.5</v>
      </c>
      <c r="I823" s="14">
        <v>1933.3</v>
      </c>
      <c r="J823" s="14">
        <v>4873.7</v>
      </c>
      <c r="K823" s="14">
        <v>1580.5</v>
      </c>
      <c r="L823" s="14">
        <v>1652.6</v>
      </c>
      <c r="M823" s="14">
        <v>1393</v>
      </c>
      <c r="N823" s="14">
        <v>1496.2</v>
      </c>
      <c r="O823" s="14">
        <v>1311</v>
      </c>
      <c r="P823" s="14">
        <v>1540.8</v>
      </c>
      <c r="Q823" s="14">
        <v>1697.7</v>
      </c>
      <c r="R823" s="14">
        <v>1807.5</v>
      </c>
      <c r="S823" s="14">
        <v>1624.4</v>
      </c>
      <c r="T823" s="14">
        <v>1964.8</v>
      </c>
      <c r="U823" s="14">
        <v>1781.4</v>
      </c>
      <c r="V823" s="14">
        <v>2545.6</v>
      </c>
      <c r="W823" s="14">
        <v>2295.6</v>
      </c>
      <c r="X823" s="14">
        <v>2225.6</v>
      </c>
      <c r="Y823" s="14">
        <v>2061.1999999999998</v>
      </c>
      <c r="Z823" s="14">
        <v>1979.7</v>
      </c>
      <c r="AA823" s="14"/>
      <c r="AB823" s="14"/>
      <c r="AC823" s="15">
        <f>IFERROR(Z823/G823-1,"")</f>
        <v>-0.10282787999637444</v>
      </c>
      <c r="AD823" s="15">
        <f>IFERROR((Z823/G823)^(1/19)-1,"")</f>
        <v>-5.6946474249661705E-3</v>
      </c>
    </row>
    <row r="824" spans="1:30">
      <c r="A824" s="45" t="s">
        <v>277</v>
      </c>
      <c r="B824" s="45" t="s">
        <v>278</v>
      </c>
      <c r="C824" s="45" t="s">
        <v>498</v>
      </c>
      <c r="D824" s="45" t="s">
        <v>496</v>
      </c>
      <c r="E824" s="45" t="s">
        <v>499</v>
      </c>
      <c r="F824" s="45" t="s">
        <v>500</v>
      </c>
      <c r="G824" s="14">
        <v>10774.1</v>
      </c>
      <c r="H824" s="14">
        <v>10443.4</v>
      </c>
      <c r="I824" s="14">
        <v>15205.2</v>
      </c>
      <c r="J824" s="14">
        <v>12215.6</v>
      </c>
      <c r="K824" s="14">
        <v>11980.5</v>
      </c>
      <c r="L824" s="14">
        <v>11652.7</v>
      </c>
      <c r="M824" s="14">
        <v>10123.4</v>
      </c>
      <c r="N824" s="14">
        <v>10881.4</v>
      </c>
      <c r="O824" s="14">
        <v>13073</v>
      </c>
      <c r="P824" s="14">
        <v>13359.7</v>
      </c>
      <c r="Q824" s="14">
        <v>15486.3</v>
      </c>
      <c r="R824" s="14">
        <v>15578.7</v>
      </c>
      <c r="S824" s="14">
        <v>15517.1</v>
      </c>
      <c r="T824" s="14">
        <v>16509.8</v>
      </c>
      <c r="U824" s="14">
        <v>17012.900000000001</v>
      </c>
      <c r="V824" s="14">
        <v>18276.2</v>
      </c>
      <c r="W824" s="14">
        <v>20458.099999999999</v>
      </c>
      <c r="X824" s="14">
        <v>21900.5</v>
      </c>
      <c r="Y824" s="14">
        <v>19712.7</v>
      </c>
      <c r="Z824" s="14">
        <v>18908</v>
      </c>
      <c r="AA824" s="14"/>
      <c r="AB824" s="14"/>
      <c r="AC824" s="15">
        <f>IFERROR(Z824/G824-1,"")</f>
        <v>0.75494936932087131</v>
      </c>
      <c r="AD824" s="15">
        <f>IFERROR((Z824/G824)^(1/19)-1,"")</f>
        <v>3.0044603463533326E-2</v>
      </c>
    </row>
    <row r="825" spans="1:30">
      <c r="A825" s="45" t="s">
        <v>277</v>
      </c>
      <c r="B825" s="45" t="s">
        <v>278</v>
      </c>
      <c r="C825" s="45" t="s">
        <v>498</v>
      </c>
      <c r="D825" s="45" t="s">
        <v>497</v>
      </c>
      <c r="E825" s="45" t="s">
        <v>499</v>
      </c>
      <c r="F825" s="45" t="s">
        <v>500</v>
      </c>
      <c r="G825" s="14">
        <v>16150.1</v>
      </c>
      <c r="H825" s="14">
        <v>15765.2</v>
      </c>
      <c r="I825" s="14">
        <v>15874</v>
      </c>
      <c r="J825" s="14">
        <v>17652.7</v>
      </c>
      <c r="K825" s="14">
        <v>17673.8</v>
      </c>
      <c r="L825" s="14">
        <v>21075.7</v>
      </c>
      <c r="M825" s="14">
        <v>21450.400000000001</v>
      </c>
      <c r="N825" s="14">
        <v>22726.6</v>
      </c>
      <c r="O825" s="14">
        <v>22530</v>
      </c>
      <c r="P825" s="14">
        <v>23201</v>
      </c>
      <c r="Q825" s="14">
        <v>23176.9</v>
      </c>
      <c r="R825" s="14">
        <v>24722.9</v>
      </c>
      <c r="S825" s="14">
        <v>25241.9</v>
      </c>
      <c r="T825" s="14">
        <v>24718.7</v>
      </c>
      <c r="U825" s="14">
        <v>24771.4</v>
      </c>
      <c r="V825" s="14">
        <v>25996.7</v>
      </c>
      <c r="W825" s="14">
        <v>24535</v>
      </c>
      <c r="X825" s="14">
        <v>25707.200000000001</v>
      </c>
      <c r="Y825" s="14">
        <v>25081.7</v>
      </c>
      <c r="Z825" s="14">
        <v>24457.4</v>
      </c>
      <c r="AA825" s="14"/>
      <c r="AB825" s="14"/>
      <c r="AC825" s="15">
        <f>IFERROR(Z825/G825-1,"")</f>
        <v>0.51438071590887979</v>
      </c>
      <c r="AD825" s="15">
        <f>IFERROR((Z825/G825)^(1/19)-1,"")</f>
        <v>2.2082744639818408E-2</v>
      </c>
    </row>
    <row r="826" spans="1:30">
      <c r="A826" s="45" t="s">
        <v>277</v>
      </c>
      <c r="B826" s="45" t="s">
        <v>278</v>
      </c>
      <c r="C826" s="45" t="s">
        <v>498</v>
      </c>
      <c r="D826" s="45" t="s">
        <v>501</v>
      </c>
      <c r="E826" s="45" t="s">
        <v>499</v>
      </c>
      <c r="F826" s="45" t="s">
        <v>500</v>
      </c>
      <c r="G826" s="14">
        <v>2751.6</v>
      </c>
      <c r="H826" s="14">
        <v>2987.6</v>
      </c>
      <c r="I826" s="14">
        <v>2808.3</v>
      </c>
      <c r="J826" s="14">
        <v>2085</v>
      </c>
      <c r="K826" s="14">
        <v>2606.1</v>
      </c>
      <c r="L826" s="14">
        <v>2143.8000000000002</v>
      </c>
      <c r="M826" s="14">
        <v>2869.3</v>
      </c>
      <c r="N826" s="14">
        <v>2472.1</v>
      </c>
      <c r="O826" s="14">
        <v>1533</v>
      </c>
      <c r="P826" s="14">
        <v>1695.9</v>
      </c>
      <c r="Q826" s="14">
        <v>878.4</v>
      </c>
      <c r="R826" s="14">
        <v>917.3</v>
      </c>
      <c r="S826" s="14">
        <v>1215</v>
      </c>
      <c r="T826" s="14">
        <v>829.8</v>
      </c>
      <c r="U826" s="14">
        <v>722.6</v>
      </c>
      <c r="V826" s="14">
        <v>640.70000000000005</v>
      </c>
      <c r="W826" s="14">
        <v>991.4</v>
      </c>
      <c r="X826" s="14">
        <v>708.5</v>
      </c>
      <c r="Y826" s="14">
        <v>874.4</v>
      </c>
      <c r="Z826" s="14">
        <v>984</v>
      </c>
      <c r="AA826" s="14"/>
      <c r="AB826" s="14"/>
      <c r="AC826" s="15">
        <f>IFERROR(Z826/G826-1,"")</f>
        <v>-0.64238988225032712</v>
      </c>
      <c r="AD826" s="15">
        <f>IFERROR((Z826/G826)^(1/19)-1,"")</f>
        <v>-5.2683171150143648E-2</v>
      </c>
    </row>
    <row r="827" spans="1:30">
      <c r="A827" s="45" t="s">
        <v>243</v>
      </c>
      <c r="B827" s="45" t="s">
        <v>244</v>
      </c>
      <c r="C827" s="45" t="s">
        <v>490</v>
      </c>
      <c r="D827" s="45" t="s">
        <v>491</v>
      </c>
      <c r="E827" s="45" t="s">
        <v>492</v>
      </c>
      <c r="F827" s="45" t="s">
        <v>493</v>
      </c>
      <c r="G827" s="14">
        <v>25100</v>
      </c>
      <c r="H827" s="14">
        <v>30805</v>
      </c>
      <c r="I827" s="14">
        <v>30382</v>
      </c>
      <c r="J827" s="14">
        <v>32410</v>
      </c>
      <c r="K827" s="14">
        <v>39286</v>
      </c>
      <c r="L827" s="14">
        <v>42470</v>
      </c>
      <c r="M827" s="14">
        <v>48283</v>
      </c>
      <c r="N827" s="14">
        <v>50310</v>
      </c>
      <c r="O827" s="14">
        <v>55460</v>
      </c>
      <c r="P827" s="14">
        <v>60722</v>
      </c>
      <c r="Q827" s="14">
        <v>67050</v>
      </c>
      <c r="R827" s="14">
        <v>81277</v>
      </c>
      <c r="S827" s="14">
        <v>87939</v>
      </c>
      <c r="T827" s="14">
        <v>97872</v>
      </c>
      <c r="U827" s="14">
        <v>102851</v>
      </c>
      <c r="V827" s="14">
        <v>109024</v>
      </c>
      <c r="W827" s="14">
        <v>119604</v>
      </c>
      <c r="X827" s="14">
        <v>124979</v>
      </c>
      <c r="Y827" s="14">
        <v>133773</v>
      </c>
      <c r="Z827" s="14">
        <v>134892</v>
      </c>
      <c r="AA827" s="14">
        <v>145542</v>
      </c>
      <c r="AB827" s="14">
        <v>165454</v>
      </c>
    </row>
    <row r="828" spans="1:30">
      <c r="A828" s="45" t="s">
        <v>243</v>
      </c>
      <c r="B828" s="45" t="s">
        <v>244</v>
      </c>
      <c r="C828" s="45" t="s">
        <v>490</v>
      </c>
      <c r="D828" s="45" t="s">
        <v>494</v>
      </c>
      <c r="E828" s="45" t="s">
        <v>492</v>
      </c>
      <c r="F828" s="45" t="s">
        <v>493</v>
      </c>
      <c r="G828" s="14">
        <v>19911</v>
      </c>
      <c r="H828" s="14">
        <v>24339</v>
      </c>
      <c r="I828" s="14">
        <v>28188</v>
      </c>
      <c r="J828" s="14">
        <v>30744</v>
      </c>
      <c r="K828" s="14">
        <v>36547</v>
      </c>
      <c r="L828" s="14">
        <v>39104</v>
      </c>
      <c r="M828" s="14">
        <v>44948</v>
      </c>
      <c r="N828" s="14">
        <v>46738</v>
      </c>
      <c r="O828" s="14">
        <v>51542</v>
      </c>
      <c r="P828" s="14">
        <v>57018</v>
      </c>
      <c r="Q828" s="14">
        <v>62521</v>
      </c>
      <c r="R828" s="14">
        <v>75340</v>
      </c>
      <c r="S828" s="14">
        <v>82055</v>
      </c>
      <c r="T828" s="14">
        <v>91276</v>
      </c>
      <c r="U828" s="14">
        <v>98511</v>
      </c>
      <c r="V828" s="14">
        <v>104533</v>
      </c>
      <c r="W828" s="14">
        <v>114633</v>
      </c>
      <c r="X828" s="14">
        <v>119815</v>
      </c>
      <c r="Y828" s="14">
        <v>127914</v>
      </c>
      <c r="Z828" s="14">
        <v>127113</v>
      </c>
      <c r="AA828" s="14"/>
      <c r="AB828" s="14"/>
    </row>
    <row r="829" spans="1:30">
      <c r="A829" s="45" t="s">
        <v>243</v>
      </c>
      <c r="B829" s="45" t="s">
        <v>244</v>
      </c>
      <c r="C829" s="45" t="s">
        <v>490</v>
      </c>
      <c r="D829" s="45" t="s">
        <v>495</v>
      </c>
      <c r="E829" s="45" t="s">
        <v>492</v>
      </c>
      <c r="F829" s="45" t="s">
        <v>493</v>
      </c>
      <c r="G829" s="14">
        <v>1349</v>
      </c>
      <c r="H829" s="14">
        <v>1269</v>
      </c>
      <c r="I829" s="14">
        <v>1664</v>
      </c>
      <c r="J829" s="14">
        <v>1657</v>
      </c>
      <c r="K829" s="14">
        <v>1792</v>
      </c>
      <c r="L829" s="14">
        <v>1881</v>
      </c>
      <c r="M829" s="14">
        <v>3757</v>
      </c>
      <c r="N829" s="14">
        <v>2299</v>
      </c>
      <c r="O829" s="14">
        <v>1743</v>
      </c>
      <c r="P829" s="14">
        <v>2309</v>
      </c>
      <c r="Q829" s="14">
        <v>2632</v>
      </c>
      <c r="R829" s="14">
        <v>4174</v>
      </c>
      <c r="S829" s="14">
        <v>4443</v>
      </c>
      <c r="T829" s="14">
        <v>2740</v>
      </c>
      <c r="U829" s="14">
        <v>3472</v>
      </c>
      <c r="V829" s="14">
        <v>4585</v>
      </c>
      <c r="W829" s="14">
        <v>6071</v>
      </c>
      <c r="X829" s="14">
        <v>6140</v>
      </c>
      <c r="Y829" s="14">
        <v>6352</v>
      </c>
      <c r="Z829" s="14">
        <v>5242</v>
      </c>
      <c r="AA829" s="14"/>
      <c r="AB829" s="14"/>
    </row>
    <row r="830" spans="1:30">
      <c r="A830" s="45" t="s">
        <v>243</v>
      </c>
      <c r="B830" s="45" t="s">
        <v>244</v>
      </c>
      <c r="C830" s="45" t="s">
        <v>490</v>
      </c>
      <c r="D830" s="45" t="s">
        <v>496</v>
      </c>
      <c r="E830" s="45" t="s">
        <v>492</v>
      </c>
      <c r="F830" s="45" t="s">
        <v>493</v>
      </c>
      <c r="G830" s="14">
        <v>5241</v>
      </c>
      <c r="H830" s="14">
        <v>6312</v>
      </c>
      <c r="I830" s="14">
        <v>7966</v>
      </c>
      <c r="J830" s="14">
        <v>8362</v>
      </c>
      <c r="K830" s="14">
        <v>10212</v>
      </c>
      <c r="L830" s="14">
        <v>10749</v>
      </c>
      <c r="M830" s="14">
        <v>10658</v>
      </c>
      <c r="N830" s="14">
        <v>11102</v>
      </c>
      <c r="O830" s="14">
        <v>12386</v>
      </c>
      <c r="P830" s="14">
        <v>13810</v>
      </c>
      <c r="Q830" s="14">
        <v>17239</v>
      </c>
      <c r="R830" s="14">
        <v>20855</v>
      </c>
      <c r="S830" s="14">
        <v>23710</v>
      </c>
      <c r="T830" s="14">
        <v>27095</v>
      </c>
      <c r="U830" s="14">
        <v>29240</v>
      </c>
      <c r="V830" s="14">
        <v>30126</v>
      </c>
      <c r="W830" s="14">
        <v>29619</v>
      </c>
      <c r="X830" s="14">
        <v>29117</v>
      </c>
      <c r="Y830" s="14">
        <v>30890</v>
      </c>
      <c r="Z830" s="14">
        <v>32076</v>
      </c>
      <c r="AA830" s="14"/>
      <c r="AB830" s="14"/>
    </row>
    <row r="831" spans="1:30">
      <c r="A831" s="45" t="s">
        <v>243</v>
      </c>
      <c r="B831" s="45" t="s">
        <v>244</v>
      </c>
      <c r="C831" s="45" t="s">
        <v>490</v>
      </c>
      <c r="D831" s="45" t="s">
        <v>497</v>
      </c>
      <c r="E831" s="45" t="s">
        <v>492</v>
      </c>
      <c r="F831" s="45" t="s">
        <v>493</v>
      </c>
      <c r="G831" s="14">
        <v>10306</v>
      </c>
      <c r="H831" s="14">
        <v>11179</v>
      </c>
      <c r="I831" s="14">
        <v>12991</v>
      </c>
      <c r="J831" s="14">
        <v>14946</v>
      </c>
      <c r="K831" s="14">
        <v>17671</v>
      </c>
      <c r="L831" s="14">
        <v>20924</v>
      </c>
      <c r="M831" s="14">
        <v>23710</v>
      </c>
      <c r="N831" s="14">
        <v>25462</v>
      </c>
      <c r="O831" s="14">
        <v>29613</v>
      </c>
      <c r="P831" s="14">
        <v>33886</v>
      </c>
      <c r="Q831" s="14">
        <v>37508</v>
      </c>
      <c r="R831" s="14">
        <v>43768</v>
      </c>
      <c r="S831" s="14">
        <v>47149</v>
      </c>
      <c r="T831" s="14">
        <v>54165</v>
      </c>
      <c r="U831" s="14">
        <v>56551</v>
      </c>
      <c r="V831" s="14">
        <v>55525</v>
      </c>
      <c r="W831" s="14">
        <v>64582</v>
      </c>
      <c r="X831" s="14">
        <v>69568</v>
      </c>
      <c r="Y831" s="14">
        <v>73478</v>
      </c>
      <c r="Z831" s="14">
        <v>74779</v>
      </c>
      <c r="AA831" s="14"/>
      <c r="AB831" s="14"/>
    </row>
    <row r="832" spans="1:30">
      <c r="A832" s="45" t="s">
        <v>243</v>
      </c>
      <c r="B832" s="45" t="s">
        <v>244</v>
      </c>
      <c r="C832" s="45" t="s">
        <v>498</v>
      </c>
      <c r="D832" s="45" t="s">
        <v>491</v>
      </c>
      <c r="E832" s="45" t="s">
        <v>499</v>
      </c>
      <c r="F832" s="45" t="s">
        <v>500</v>
      </c>
      <c r="G832" s="14">
        <v>47683.7</v>
      </c>
      <c r="H832" s="14">
        <v>51294.400000000001</v>
      </c>
      <c r="I832" s="14">
        <v>46950.5</v>
      </c>
      <c r="J832" s="14">
        <v>46619.5</v>
      </c>
      <c r="K832" s="14">
        <v>52924.1</v>
      </c>
      <c r="L832" s="14">
        <v>53753.2</v>
      </c>
      <c r="M832" s="14">
        <v>56178.2</v>
      </c>
      <c r="N832" s="14">
        <v>54547.8</v>
      </c>
      <c r="O832" s="14">
        <v>55460</v>
      </c>
      <c r="P832" s="14">
        <v>56058.7</v>
      </c>
      <c r="Q832" s="14">
        <v>57345.7</v>
      </c>
      <c r="R832" s="14">
        <v>64661.1</v>
      </c>
      <c r="S832" s="14">
        <v>64870.9</v>
      </c>
      <c r="T832" s="14">
        <v>67119.8</v>
      </c>
      <c r="U832" s="14">
        <v>65247</v>
      </c>
      <c r="V832" s="14">
        <v>66713.8</v>
      </c>
      <c r="W832" s="14">
        <v>70040.600000000006</v>
      </c>
      <c r="X832" s="14">
        <v>70221.8</v>
      </c>
      <c r="Y832" s="14">
        <v>70593.7</v>
      </c>
      <c r="Z832" s="14">
        <v>62968.6</v>
      </c>
      <c r="AA832" s="14"/>
      <c r="AB832" s="14"/>
      <c r="AC832" s="15">
        <f>IFERROR(Z832/G832-1,"")</f>
        <v>0.32054769239803127</v>
      </c>
      <c r="AD832" s="15">
        <f>IFERROR((Z832/G832)^(1/19)-1,"")</f>
        <v>1.4741631606288941E-2</v>
      </c>
    </row>
    <row r="833" spans="1:30">
      <c r="A833" s="45" t="s">
        <v>243</v>
      </c>
      <c r="B833" s="45" t="s">
        <v>244</v>
      </c>
      <c r="C833" s="45" t="s">
        <v>498</v>
      </c>
      <c r="D833" s="45" t="s">
        <v>495</v>
      </c>
      <c r="E833" s="45" t="s">
        <v>499</v>
      </c>
      <c r="F833" s="45" t="s">
        <v>500</v>
      </c>
      <c r="G833" s="14">
        <v>2562.5</v>
      </c>
      <c r="H833" s="14">
        <v>2113.8000000000002</v>
      </c>
      <c r="I833" s="14">
        <v>2571.4</v>
      </c>
      <c r="J833" s="14">
        <v>2383.8000000000002</v>
      </c>
      <c r="K833" s="14">
        <v>2414.5</v>
      </c>
      <c r="L833" s="14">
        <v>2381.1999999999998</v>
      </c>
      <c r="M833" s="14">
        <v>4370.8999999999996</v>
      </c>
      <c r="N833" s="14">
        <v>2492.6999999999998</v>
      </c>
      <c r="O833" s="14">
        <v>1743</v>
      </c>
      <c r="P833" s="14">
        <v>2131.6999999999998</v>
      </c>
      <c r="Q833" s="14">
        <v>2251.1</v>
      </c>
      <c r="R833" s="14">
        <v>3320.7</v>
      </c>
      <c r="S833" s="14">
        <v>3277.5</v>
      </c>
      <c r="T833" s="14">
        <v>1879.1</v>
      </c>
      <c r="U833" s="14">
        <v>2202.6</v>
      </c>
      <c r="V833" s="14">
        <v>2805.6</v>
      </c>
      <c r="W833" s="14">
        <v>3555.2</v>
      </c>
      <c r="X833" s="14">
        <v>3449.9</v>
      </c>
      <c r="Y833" s="14">
        <v>3352</v>
      </c>
      <c r="Z833" s="14">
        <v>2447</v>
      </c>
      <c r="AA833" s="14"/>
      <c r="AB833" s="14"/>
      <c r="AC833" s="15">
        <f>IFERROR(Z833/G833-1,"")</f>
        <v>-4.5073170731707357E-2</v>
      </c>
      <c r="AD833" s="15">
        <f>IFERROR((Z833/G833)^(1/19)-1,"")</f>
        <v>-2.4244541470409553E-3</v>
      </c>
    </row>
    <row r="834" spans="1:30">
      <c r="A834" s="45" t="s">
        <v>243</v>
      </c>
      <c r="B834" s="45" t="s">
        <v>244</v>
      </c>
      <c r="C834" s="45" t="s">
        <v>498</v>
      </c>
      <c r="D834" s="45" t="s">
        <v>496</v>
      </c>
      <c r="E834" s="45" t="s">
        <v>499</v>
      </c>
      <c r="F834" s="45" t="s">
        <v>500</v>
      </c>
      <c r="G834" s="14">
        <v>9957.5</v>
      </c>
      <c r="H834" s="14">
        <v>10509.8</v>
      </c>
      <c r="I834" s="14">
        <v>12310.5</v>
      </c>
      <c r="J834" s="14">
        <v>12027.8</v>
      </c>
      <c r="K834" s="14">
        <v>13757.9</v>
      </c>
      <c r="L834" s="14">
        <v>13604.9</v>
      </c>
      <c r="M834" s="14">
        <v>12400.4</v>
      </c>
      <c r="N834" s="14">
        <v>12037.2</v>
      </c>
      <c r="O834" s="14">
        <v>12386</v>
      </c>
      <c r="P834" s="14">
        <v>12749.4</v>
      </c>
      <c r="Q834" s="14">
        <v>14744</v>
      </c>
      <c r="R834" s="14">
        <v>16591.5</v>
      </c>
      <c r="S834" s="14">
        <v>17490.400000000001</v>
      </c>
      <c r="T834" s="14">
        <v>18581.5</v>
      </c>
      <c r="U834" s="14">
        <v>18549.400000000001</v>
      </c>
      <c r="V834" s="14">
        <v>18434.599999999999</v>
      </c>
      <c r="W834" s="14">
        <v>17345</v>
      </c>
      <c r="X834" s="14">
        <v>16359.9</v>
      </c>
      <c r="Y834" s="14">
        <v>16301.1</v>
      </c>
      <c r="Z834" s="14">
        <v>14973.8</v>
      </c>
      <c r="AA834" s="14"/>
      <c r="AB834" s="14"/>
      <c r="AC834" s="15">
        <f>IFERROR(Z834/G834-1,"")</f>
        <v>0.50377102686417263</v>
      </c>
      <c r="AD834" s="15">
        <f>IFERROR((Z834/G834)^(1/19)-1,"")</f>
        <v>2.1704610860310058E-2</v>
      </c>
    </row>
    <row r="835" spans="1:30">
      <c r="A835" s="45" t="s">
        <v>243</v>
      </c>
      <c r="B835" s="45" t="s">
        <v>244</v>
      </c>
      <c r="C835" s="45" t="s">
        <v>498</v>
      </c>
      <c r="D835" s="45" t="s">
        <v>497</v>
      </c>
      <c r="E835" s="45" t="s">
        <v>499</v>
      </c>
      <c r="F835" s="45" t="s">
        <v>500</v>
      </c>
      <c r="G835" s="14">
        <v>19578</v>
      </c>
      <c r="H835" s="14">
        <v>18614.7</v>
      </c>
      <c r="I835" s="14">
        <v>20075</v>
      </c>
      <c r="J835" s="14">
        <v>21498.7</v>
      </c>
      <c r="K835" s="14">
        <v>23805.200000000001</v>
      </c>
      <c r="L835" s="14">
        <v>26482.5</v>
      </c>
      <c r="M835" s="14">
        <v>27587.7</v>
      </c>
      <c r="N835" s="14">
        <v>27606.799999999999</v>
      </c>
      <c r="O835" s="14">
        <v>29613</v>
      </c>
      <c r="P835" s="14">
        <v>31283.599999999999</v>
      </c>
      <c r="Q835" s="14">
        <v>32079.4</v>
      </c>
      <c r="R835" s="14">
        <v>34820.199999999997</v>
      </c>
      <c r="S835" s="14">
        <v>34780.9</v>
      </c>
      <c r="T835" s="14">
        <v>37145.9</v>
      </c>
      <c r="U835" s="14">
        <v>35875.1</v>
      </c>
      <c r="V835" s="14">
        <v>33976.800000000003</v>
      </c>
      <c r="W835" s="14">
        <v>37819.5</v>
      </c>
      <c r="X835" s="14">
        <v>39088.1</v>
      </c>
      <c r="Y835" s="14">
        <v>38775.300000000003</v>
      </c>
      <c r="Z835" s="14">
        <v>34907.800000000003</v>
      </c>
      <c r="AA835" s="14"/>
      <c r="AB835" s="14"/>
      <c r="AC835" s="15">
        <f>IFERROR(Z835/G835-1,"")</f>
        <v>0.78301154356931257</v>
      </c>
      <c r="AD835" s="15">
        <f>IFERROR((Z835/G835)^(1/19)-1,"")</f>
        <v>3.0904985108915151E-2</v>
      </c>
    </row>
    <row r="836" spans="1:30">
      <c r="A836" s="45" t="s">
        <v>243</v>
      </c>
      <c r="B836" s="45" t="s">
        <v>244</v>
      </c>
      <c r="C836" s="45" t="s">
        <v>498</v>
      </c>
      <c r="D836" s="45" t="s">
        <v>501</v>
      </c>
      <c r="E836" s="45" t="s">
        <v>499</v>
      </c>
      <c r="F836" s="45" t="s">
        <v>500</v>
      </c>
      <c r="G836" s="14">
        <v>5728.3</v>
      </c>
      <c r="H836" s="14">
        <v>9288.6</v>
      </c>
      <c r="I836" s="14">
        <v>8602.7000000000007</v>
      </c>
      <c r="J836" s="14">
        <v>8312.4</v>
      </c>
      <c r="K836" s="14">
        <v>9257.6</v>
      </c>
      <c r="L836" s="14">
        <v>7024.5</v>
      </c>
      <c r="M836" s="14">
        <v>7939.3</v>
      </c>
      <c r="N836" s="14">
        <v>8539.4</v>
      </c>
      <c r="O836" s="14">
        <v>7800</v>
      </c>
      <c r="P836" s="14">
        <v>6473.5</v>
      </c>
      <c r="Q836" s="14">
        <v>4397.8</v>
      </c>
      <c r="R836" s="14">
        <v>5204.6000000000004</v>
      </c>
      <c r="S836" s="14">
        <v>4980.8</v>
      </c>
      <c r="T836" s="14">
        <v>4989.8</v>
      </c>
      <c r="U836" s="14">
        <v>5866.8</v>
      </c>
      <c r="V836" s="14">
        <v>8748.6</v>
      </c>
      <c r="W836" s="14">
        <v>8410.4</v>
      </c>
      <c r="X836" s="14">
        <v>8422.4</v>
      </c>
      <c r="Y836" s="14">
        <v>9073.5</v>
      </c>
      <c r="Z836" s="14">
        <v>7009.6</v>
      </c>
      <c r="AA836" s="14"/>
      <c r="AB836" s="14"/>
      <c r="AC836" s="15">
        <f>IFERROR(Z836/G836-1,"")</f>
        <v>0.22367892743047668</v>
      </c>
      <c r="AD836" s="15">
        <f>IFERROR((Z836/G836)^(1/19)-1,"")</f>
        <v>1.0680945485383786E-2</v>
      </c>
    </row>
    <row r="837" spans="1:30">
      <c r="A837" s="45" t="s">
        <v>357</v>
      </c>
      <c r="B837" s="45" t="s">
        <v>358</v>
      </c>
      <c r="C837" s="45" t="s">
        <v>490</v>
      </c>
      <c r="D837" s="45" t="s">
        <v>491</v>
      </c>
      <c r="E837" s="45" t="s">
        <v>492</v>
      </c>
      <c r="F837" s="45" t="s">
        <v>493</v>
      </c>
      <c r="G837" s="14">
        <v>8060</v>
      </c>
      <c r="H837" s="14">
        <v>8755</v>
      </c>
      <c r="I837" s="14">
        <v>9875</v>
      </c>
      <c r="J837" s="14">
        <v>10978</v>
      </c>
      <c r="K837" s="14">
        <v>13201</v>
      </c>
      <c r="L837" s="14">
        <v>15289</v>
      </c>
      <c r="M837" s="14">
        <v>16391</v>
      </c>
      <c r="N837" s="14">
        <v>17023</v>
      </c>
      <c r="O837" s="14">
        <v>21149</v>
      </c>
      <c r="P837" s="14">
        <v>43317</v>
      </c>
      <c r="Q837" s="14">
        <v>48743</v>
      </c>
      <c r="R837" s="14">
        <v>56734</v>
      </c>
      <c r="S837" s="14">
        <v>65286</v>
      </c>
      <c r="T837" s="14">
        <v>65679</v>
      </c>
      <c r="U837" s="14">
        <v>62647</v>
      </c>
      <c r="V837" s="14">
        <v>76814</v>
      </c>
      <c r="W837" s="14">
        <v>56230</v>
      </c>
      <c r="X837" s="14">
        <v>59270</v>
      </c>
      <c r="Y837" s="14">
        <v>55808</v>
      </c>
      <c r="Z837" s="14">
        <v>55529</v>
      </c>
      <c r="AA837" s="14">
        <v>59493</v>
      </c>
      <c r="AB837" s="14">
        <v>65325</v>
      </c>
    </row>
    <row r="838" spans="1:30">
      <c r="A838" s="45" t="s">
        <v>357</v>
      </c>
      <c r="B838" s="45" t="s">
        <v>358</v>
      </c>
      <c r="C838" s="45" t="s">
        <v>490</v>
      </c>
      <c r="D838" s="45" t="s">
        <v>494</v>
      </c>
      <c r="E838" s="45" t="s">
        <v>492</v>
      </c>
      <c r="F838" s="45" t="s">
        <v>493</v>
      </c>
      <c r="G838" s="14">
        <v>7767</v>
      </c>
      <c r="H838" s="14">
        <v>8446</v>
      </c>
      <c r="I838" s="14">
        <v>9480</v>
      </c>
      <c r="J838" s="14">
        <v>10544</v>
      </c>
      <c r="K838" s="14">
        <v>12488</v>
      </c>
      <c r="L838" s="14">
        <v>14272</v>
      </c>
      <c r="M838" s="14">
        <v>15257</v>
      </c>
      <c r="N838" s="14">
        <v>15762</v>
      </c>
      <c r="O838" s="14">
        <v>19351</v>
      </c>
      <c r="P838" s="14">
        <v>38877</v>
      </c>
      <c r="Q838" s="14">
        <v>43829</v>
      </c>
      <c r="R838" s="14">
        <v>51028</v>
      </c>
      <c r="S838" s="14">
        <v>58770</v>
      </c>
      <c r="T838" s="14">
        <v>57871</v>
      </c>
      <c r="U838" s="14">
        <v>54796</v>
      </c>
      <c r="V838" s="14">
        <v>66917</v>
      </c>
      <c r="W838" s="14">
        <v>50829</v>
      </c>
      <c r="X838" s="14">
        <v>54143</v>
      </c>
      <c r="Y838" s="14">
        <v>51470</v>
      </c>
      <c r="Z838" s="14">
        <v>51547</v>
      </c>
      <c r="AA838" s="14"/>
      <c r="AB838" s="14"/>
    </row>
    <row r="839" spans="1:30">
      <c r="A839" s="45" t="s">
        <v>357</v>
      </c>
      <c r="B839" s="45" t="s">
        <v>358</v>
      </c>
      <c r="C839" s="45" t="s">
        <v>490</v>
      </c>
      <c r="D839" s="45" t="s">
        <v>495</v>
      </c>
      <c r="E839" s="45" t="s">
        <v>492</v>
      </c>
      <c r="F839" s="45" t="s">
        <v>493</v>
      </c>
      <c r="G839" s="14">
        <v>696</v>
      </c>
      <c r="H839" s="14">
        <v>539</v>
      </c>
      <c r="I839" s="14">
        <v>672</v>
      </c>
      <c r="J839" s="14">
        <v>616</v>
      </c>
      <c r="K839" s="14">
        <v>962</v>
      </c>
      <c r="L839" s="14">
        <v>1273</v>
      </c>
      <c r="M839" s="14">
        <v>953</v>
      </c>
      <c r="N839" s="14">
        <v>702</v>
      </c>
      <c r="O839" s="14">
        <v>840</v>
      </c>
      <c r="P839" s="14">
        <v>3007</v>
      </c>
      <c r="Q839" s="14">
        <v>3741</v>
      </c>
      <c r="R839" s="14">
        <v>4770</v>
      </c>
      <c r="S839" s="14">
        <v>6389</v>
      </c>
      <c r="T839" s="14">
        <v>5170</v>
      </c>
      <c r="U839" s="14">
        <v>6145</v>
      </c>
      <c r="V839" s="14">
        <v>5125</v>
      </c>
      <c r="W839" s="14">
        <v>5906</v>
      </c>
      <c r="X839" s="14">
        <v>6408</v>
      </c>
      <c r="Y839" s="14">
        <v>2096</v>
      </c>
      <c r="Z839" s="14">
        <v>2024</v>
      </c>
      <c r="AA839" s="14"/>
      <c r="AB839" s="14"/>
    </row>
    <row r="840" spans="1:30">
      <c r="A840" s="45" t="s">
        <v>357</v>
      </c>
      <c r="B840" s="45" t="s">
        <v>358</v>
      </c>
      <c r="C840" s="45" t="s">
        <v>490</v>
      </c>
      <c r="D840" s="45" t="s">
        <v>496</v>
      </c>
      <c r="E840" s="45" t="s">
        <v>492</v>
      </c>
      <c r="F840" s="45" t="s">
        <v>493</v>
      </c>
      <c r="G840" s="14">
        <v>1482</v>
      </c>
      <c r="H840" s="14">
        <v>1628</v>
      </c>
      <c r="I840" s="14">
        <v>2043</v>
      </c>
      <c r="J840" s="14">
        <v>2189</v>
      </c>
      <c r="K840" s="14">
        <v>2555</v>
      </c>
      <c r="L840" s="14">
        <v>2949</v>
      </c>
      <c r="M840" s="14">
        <v>2985</v>
      </c>
      <c r="N840" s="14">
        <v>3303</v>
      </c>
      <c r="O840" s="14">
        <v>4135</v>
      </c>
      <c r="P840" s="14">
        <v>19294</v>
      </c>
      <c r="Q840" s="14">
        <v>23331</v>
      </c>
      <c r="R840" s="14">
        <v>26597</v>
      </c>
      <c r="S840" s="14">
        <v>32000</v>
      </c>
      <c r="T840" s="14">
        <v>31050</v>
      </c>
      <c r="U840" s="14">
        <v>26994</v>
      </c>
      <c r="V840" s="14">
        <v>37501</v>
      </c>
      <c r="W840" s="14">
        <v>19904</v>
      </c>
      <c r="X840" s="14">
        <v>20469</v>
      </c>
      <c r="Y840" s="14">
        <v>19245</v>
      </c>
      <c r="Z840" s="14">
        <v>16792</v>
      </c>
      <c r="AA840" s="14"/>
      <c r="AB840" s="14"/>
    </row>
    <row r="841" spans="1:30">
      <c r="A841" s="45" t="s">
        <v>357</v>
      </c>
      <c r="B841" s="45" t="s">
        <v>358</v>
      </c>
      <c r="C841" s="45" t="s">
        <v>490</v>
      </c>
      <c r="D841" s="45" t="s">
        <v>497</v>
      </c>
      <c r="E841" s="45" t="s">
        <v>492</v>
      </c>
      <c r="F841" s="45" t="s">
        <v>493</v>
      </c>
      <c r="G841" s="14">
        <v>5116</v>
      </c>
      <c r="H841" s="14">
        <v>5629</v>
      </c>
      <c r="I841" s="14">
        <v>6202</v>
      </c>
      <c r="J841" s="14">
        <v>7165</v>
      </c>
      <c r="K841" s="14">
        <v>8272</v>
      </c>
      <c r="L841" s="14">
        <v>9350</v>
      </c>
      <c r="M841" s="14">
        <v>10374</v>
      </c>
      <c r="N841" s="14">
        <v>10555</v>
      </c>
      <c r="O841" s="14">
        <v>13144</v>
      </c>
      <c r="P841" s="14">
        <v>14928</v>
      </c>
      <c r="Q841" s="14">
        <v>15346</v>
      </c>
      <c r="R841" s="14">
        <v>18037</v>
      </c>
      <c r="S841" s="14">
        <v>18829</v>
      </c>
      <c r="T841" s="14">
        <v>19607</v>
      </c>
      <c r="U841" s="14">
        <v>19864</v>
      </c>
      <c r="V841" s="14">
        <v>22455</v>
      </c>
      <c r="W841" s="14">
        <v>22950</v>
      </c>
      <c r="X841" s="14">
        <v>24859</v>
      </c>
      <c r="Y841" s="14">
        <v>27113</v>
      </c>
      <c r="Z841" s="14">
        <v>29496</v>
      </c>
      <c r="AA841" s="14"/>
      <c r="AB841" s="14"/>
    </row>
    <row r="842" spans="1:30">
      <c r="A842" s="45" t="s">
        <v>357</v>
      </c>
      <c r="B842" s="45" t="s">
        <v>358</v>
      </c>
      <c r="C842" s="45" t="s">
        <v>498</v>
      </c>
      <c r="D842" s="45" t="s">
        <v>491</v>
      </c>
      <c r="E842" s="45" t="s">
        <v>499</v>
      </c>
      <c r="F842" s="45" t="s">
        <v>500</v>
      </c>
      <c r="G842" s="14">
        <v>15312.2</v>
      </c>
      <c r="H842" s="14">
        <v>14578.6</v>
      </c>
      <c r="I842" s="14">
        <v>15259.9</v>
      </c>
      <c r="J842" s="14">
        <v>15791.5</v>
      </c>
      <c r="K842" s="14">
        <v>17783.900000000001</v>
      </c>
      <c r="L842" s="14">
        <v>19350.3</v>
      </c>
      <c r="M842" s="14">
        <v>19071.3</v>
      </c>
      <c r="N842" s="14">
        <v>18456.900000000001</v>
      </c>
      <c r="O842" s="14">
        <v>21149</v>
      </c>
      <c r="P842" s="14">
        <v>39990.400000000001</v>
      </c>
      <c r="Q842" s="14">
        <v>41688.300000000003</v>
      </c>
      <c r="R842" s="14">
        <v>45135.5</v>
      </c>
      <c r="S842" s="14">
        <v>48160.2</v>
      </c>
      <c r="T842" s="14">
        <v>45042.1</v>
      </c>
      <c r="U842" s="14">
        <v>39742.300000000003</v>
      </c>
      <c r="V842" s="14">
        <v>47003.9</v>
      </c>
      <c r="W842" s="14">
        <v>32928.5</v>
      </c>
      <c r="X842" s="14">
        <v>33302</v>
      </c>
      <c r="Y842" s="14">
        <v>29450.6</v>
      </c>
      <c r="Z842" s="14">
        <v>25921.3</v>
      </c>
      <c r="AA842" s="14"/>
      <c r="AB842" s="14"/>
      <c r="AC842" s="15">
        <f>IFERROR(Z842/G842-1,"")</f>
        <v>0.69285275793158374</v>
      </c>
      <c r="AD842" s="15">
        <f>IFERROR((Z842/G842)^(1/19)-1,"")</f>
        <v>2.8093441582005552E-2</v>
      </c>
    </row>
    <row r="843" spans="1:30">
      <c r="A843" s="45" t="s">
        <v>357</v>
      </c>
      <c r="B843" s="45" t="s">
        <v>358</v>
      </c>
      <c r="C843" s="45" t="s">
        <v>498</v>
      </c>
      <c r="D843" s="45" t="s">
        <v>495</v>
      </c>
      <c r="E843" s="45" t="s">
        <v>499</v>
      </c>
      <c r="F843" s="45" t="s">
        <v>500</v>
      </c>
      <c r="G843" s="14">
        <v>1322.3</v>
      </c>
      <c r="H843" s="14">
        <v>897.4</v>
      </c>
      <c r="I843" s="14">
        <v>1038</v>
      </c>
      <c r="J843" s="14">
        <v>886.1</v>
      </c>
      <c r="K843" s="14">
        <v>1296</v>
      </c>
      <c r="L843" s="14">
        <v>1611.7</v>
      </c>
      <c r="M843" s="14">
        <v>1108.4000000000001</v>
      </c>
      <c r="N843" s="14">
        <v>761.1</v>
      </c>
      <c r="O843" s="14">
        <v>840</v>
      </c>
      <c r="P843" s="14">
        <v>2776.1</v>
      </c>
      <c r="Q843" s="14">
        <v>3199.6</v>
      </c>
      <c r="R843" s="14">
        <v>3794.8</v>
      </c>
      <c r="S843" s="14">
        <v>4713</v>
      </c>
      <c r="T843" s="14">
        <v>3545.5</v>
      </c>
      <c r="U843" s="14">
        <v>3898.3</v>
      </c>
      <c r="V843" s="14">
        <v>3136.1</v>
      </c>
      <c r="W843" s="14">
        <v>3458.6</v>
      </c>
      <c r="X843" s="14">
        <v>3600.5</v>
      </c>
      <c r="Y843" s="14">
        <v>1106.0999999999999</v>
      </c>
      <c r="Z843" s="14">
        <v>944.8</v>
      </c>
      <c r="AA843" s="14"/>
      <c r="AB843" s="14"/>
      <c r="AC843" s="15">
        <f>IFERROR(Z843/G843-1,"")</f>
        <v>-0.28548740830371322</v>
      </c>
      <c r="AD843" s="15">
        <f>IFERROR((Z843/G843)^(1/19)-1,"")</f>
        <v>-1.753675976409319E-2</v>
      </c>
    </row>
    <row r="844" spans="1:30">
      <c r="A844" s="45" t="s">
        <v>357</v>
      </c>
      <c r="B844" s="45" t="s">
        <v>358</v>
      </c>
      <c r="C844" s="45" t="s">
        <v>498</v>
      </c>
      <c r="D844" s="45" t="s">
        <v>496</v>
      </c>
      <c r="E844" s="45" t="s">
        <v>499</v>
      </c>
      <c r="F844" s="45" t="s">
        <v>500</v>
      </c>
      <c r="G844" s="14">
        <v>2815.1</v>
      </c>
      <c r="H844" s="14">
        <v>2710.3</v>
      </c>
      <c r="I844" s="14">
        <v>3157.2</v>
      </c>
      <c r="J844" s="14">
        <v>3149.1</v>
      </c>
      <c r="K844" s="14">
        <v>3442.2</v>
      </c>
      <c r="L844" s="14">
        <v>3732.1</v>
      </c>
      <c r="M844" s="14">
        <v>3472.8</v>
      </c>
      <c r="N844" s="14">
        <v>3581.2</v>
      </c>
      <c r="O844" s="14">
        <v>4135</v>
      </c>
      <c r="P844" s="14">
        <v>17812.3</v>
      </c>
      <c r="Q844" s="14">
        <v>19954.2</v>
      </c>
      <c r="R844" s="14">
        <v>21159.599999999999</v>
      </c>
      <c r="S844" s="14">
        <v>23605.8</v>
      </c>
      <c r="T844" s="14">
        <v>21293.8</v>
      </c>
      <c r="U844" s="14">
        <v>17124.599999999999</v>
      </c>
      <c r="V844" s="14">
        <v>22947.5</v>
      </c>
      <c r="W844" s="14">
        <v>11655.9</v>
      </c>
      <c r="X844" s="14">
        <v>11500.9</v>
      </c>
      <c r="Y844" s="14">
        <v>10155.799999999999</v>
      </c>
      <c r="Z844" s="14">
        <v>7838.6</v>
      </c>
      <c r="AA844" s="14"/>
      <c r="AB844" s="14"/>
      <c r="AC844" s="15">
        <f>IFERROR(Z844/G844-1,"")</f>
        <v>1.7844836773116408</v>
      </c>
      <c r="AD844" s="15">
        <f>IFERROR((Z844/G844)^(1/19)-1,"")</f>
        <v>5.5376973881127611E-2</v>
      </c>
    </row>
    <row r="845" spans="1:30">
      <c r="A845" s="45" t="s">
        <v>357</v>
      </c>
      <c r="B845" s="45" t="s">
        <v>358</v>
      </c>
      <c r="C845" s="45" t="s">
        <v>498</v>
      </c>
      <c r="D845" s="45" t="s">
        <v>497</v>
      </c>
      <c r="E845" s="45" t="s">
        <v>499</v>
      </c>
      <c r="F845" s="45" t="s">
        <v>500</v>
      </c>
      <c r="G845" s="14">
        <v>9718.7999999999993</v>
      </c>
      <c r="H845" s="14">
        <v>9373.2000000000007</v>
      </c>
      <c r="I845" s="14">
        <v>9584.6</v>
      </c>
      <c r="J845" s="14">
        <v>10306.9</v>
      </c>
      <c r="K845" s="14">
        <v>11143.5</v>
      </c>
      <c r="L845" s="14">
        <v>11834.3</v>
      </c>
      <c r="M845" s="14">
        <v>12070.8</v>
      </c>
      <c r="N845" s="14">
        <v>11444.1</v>
      </c>
      <c r="O845" s="14">
        <v>13144</v>
      </c>
      <c r="P845" s="14">
        <v>13781.6</v>
      </c>
      <c r="Q845" s="14">
        <v>13124.9</v>
      </c>
      <c r="R845" s="14">
        <v>14349.6</v>
      </c>
      <c r="S845" s="14">
        <v>13889.8</v>
      </c>
      <c r="T845" s="14">
        <v>13446.3</v>
      </c>
      <c r="U845" s="14">
        <v>12601.4</v>
      </c>
      <c r="V845" s="14">
        <v>13740.6</v>
      </c>
      <c r="W845" s="14">
        <v>13439.6</v>
      </c>
      <c r="X845" s="14">
        <v>13967.5</v>
      </c>
      <c r="Y845" s="14">
        <v>14307.9</v>
      </c>
      <c r="Z845" s="14">
        <v>13768.9</v>
      </c>
      <c r="AA845" s="14"/>
      <c r="AB845" s="14"/>
      <c r="AC845" s="15">
        <f>IFERROR(Z845/G845-1,"")</f>
        <v>0.41672840268345901</v>
      </c>
      <c r="AD845" s="15">
        <f>IFERROR((Z845/G845)^(1/19)-1,"")</f>
        <v>1.8503328606766622E-2</v>
      </c>
    </row>
    <row r="846" spans="1:30">
      <c r="A846" s="45" t="s">
        <v>357</v>
      </c>
      <c r="B846" s="45" t="s">
        <v>358</v>
      </c>
      <c r="C846" s="45" t="s">
        <v>498</v>
      </c>
      <c r="D846" s="45" t="s">
        <v>501</v>
      </c>
      <c r="E846" s="45" t="s">
        <v>499</v>
      </c>
      <c r="F846" s="45" t="s">
        <v>500</v>
      </c>
      <c r="G846" s="14">
        <v>898.8</v>
      </c>
      <c r="H846" s="14">
        <v>1083.4000000000001</v>
      </c>
      <c r="I846" s="14">
        <v>870.4</v>
      </c>
      <c r="J846" s="14">
        <v>825.2</v>
      </c>
      <c r="K846" s="14">
        <v>941.5</v>
      </c>
      <c r="L846" s="14">
        <v>885.1</v>
      </c>
      <c r="M846" s="14">
        <v>1099.7</v>
      </c>
      <c r="N846" s="14">
        <v>1303.2</v>
      </c>
      <c r="O846" s="14">
        <v>1233</v>
      </c>
      <c r="P846" s="14">
        <v>1522.4</v>
      </c>
      <c r="Q846" s="14">
        <v>1206.8</v>
      </c>
      <c r="R846" s="14">
        <v>1292.8</v>
      </c>
      <c r="S846" s="14">
        <v>1145.5999999999999</v>
      </c>
      <c r="T846" s="14">
        <v>1402.4</v>
      </c>
      <c r="U846" s="14">
        <v>1137.5</v>
      </c>
      <c r="V846" s="14">
        <v>1123.5</v>
      </c>
      <c r="W846" s="14">
        <v>1211.5999999999999</v>
      </c>
      <c r="X846" s="14">
        <v>1352.4</v>
      </c>
      <c r="Y846" s="14">
        <v>1591.6</v>
      </c>
      <c r="Z846" s="14">
        <v>1510.1</v>
      </c>
      <c r="AA846" s="14"/>
      <c r="AB846" s="14"/>
      <c r="AC846" s="15">
        <f>IFERROR(Z846/G846-1,"")</f>
        <v>0.68012906097018244</v>
      </c>
      <c r="AD846" s="15">
        <f>IFERROR((Z846/G846)^(1/19)-1,"")</f>
        <v>2.7685287505684997E-2</v>
      </c>
    </row>
    <row r="847" spans="1:30">
      <c r="A847" s="45" t="s">
        <v>249</v>
      </c>
      <c r="B847" s="45" t="s">
        <v>250</v>
      </c>
      <c r="C847" s="45" t="s">
        <v>490</v>
      </c>
      <c r="D847" s="45" t="s">
        <v>491</v>
      </c>
      <c r="E847" s="45" t="s">
        <v>492</v>
      </c>
      <c r="F847" s="45" t="s">
        <v>493</v>
      </c>
      <c r="G847" s="14">
        <v>19328</v>
      </c>
      <c r="H847" s="14">
        <v>20520</v>
      </c>
      <c r="I847" s="14">
        <v>23781</v>
      </c>
      <c r="J847" s="14">
        <v>27692</v>
      </c>
      <c r="K847" s="14">
        <v>32333</v>
      </c>
      <c r="L847" s="14">
        <v>37392</v>
      </c>
      <c r="M847" s="14">
        <v>41336</v>
      </c>
      <c r="N847" s="14">
        <v>45930</v>
      </c>
      <c r="O847" s="14">
        <v>45629</v>
      </c>
      <c r="P847" s="14">
        <v>52271</v>
      </c>
      <c r="Q847" s="14">
        <v>58357</v>
      </c>
      <c r="R847" s="14">
        <v>66715</v>
      </c>
      <c r="S847" s="14">
        <v>71478</v>
      </c>
      <c r="T847" s="14">
        <v>80179</v>
      </c>
      <c r="U847" s="14">
        <v>83206</v>
      </c>
      <c r="V847" s="14">
        <v>88586</v>
      </c>
      <c r="W847" s="14">
        <v>101487</v>
      </c>
      <c r="X847" s="14">
        <v>113364</v>
      </c>
      <c r="Y847" s="14">
        <v>123406</v>
      </c>
      <c r="Z847" s="14">
        <v>130282</v>
      </c>
      <c r="AA847" s="14">
        <v>151806</v>
      </c>
      <c r="AB847" s="14">
        <v>158962</v>
      </c>
    </row>
    <row r="848" spans="1:30">
      <c r="A848" s="45" t="s">
        <v>249</v>
      </c>
      <c r="B848" s="45" t="s">
        <v>250</v>
      </c>
      <c r="C848" s="45" t="s">
        <v>490</v>
      </c>
      <c r="D848" s="45" t="s">
        <v>494</v>
      </c>
      <c r="E848" s="45" t="s">
        <v>492</v>
      </c>
      <c r="F848" s="45" t="s">
        <v>493</v>
      </c>
      <c r="G848" s="14">
        <v>18875</v>
      </c>
      <c r="H848" s="14">
        <v>20066</v>
      </c>
      <c r="I848" s="14">
        <v>23196</v>
      </c>
      <c r="J848" s="14">
        <v>26959</v>
      </c>
      <c r="K848" s="14">
        <v>31246</v>
      </c>
      <c r="L848" s="14">
        <v>35767</v>
      </c>
      <c r="M848" s="14">
        <v>39591</v>
      </c>
      <c r="N848" s="14">
        <v>44067</v>
      </c>
      <c r="O848" s="14">
        <v>43236</v>
      </c>
      <c r="P848" s="14">
        <v>49575</v>
      </c>
      <c r="Q848" s="14">
        <v>55200</v>
      </c>
      <c r="R848" s="14">
        <v>63302</v>
      </c>
      <c r="S848" s="14">
        <v>67943</v>
      </c>
      <c r="T848" s="14">
        <v>75568</v>
      </c>
      <c r="U848" s="14">
        <v>80099</v>
      </c>
      <c r="V848" s="14">
        <v>85159</v>
      </c>
      <c r="W848" s="14">
        <v>94570</v>
      </c>
      <c r="X848" s="14">
        <v>105483</v>
      </c>
      <c r="Y848" s="14">
        <v>113024</v>
      </c>
      <c r="Z848" s="14">
        <v>119450</v>
      </c>
      <c r="AA848" s="14"/>
      <c r="AB848" s="14"/>
    </row>
    <row r="849" spans="1:30">
      <c r="A849" s="45" t="s">
        <v>249</v>
      </c>
      <c r="B849" s="45" t="s">
        <v>250</v>
      </c>
      <c r="C849" s="45" t="s">
        <v>490</v>
      </c>
      <c r="D849" s="45" t="s">
        <v>495</v>
      </c>
      <c r="E849" s="45" t="s">
        <v>492</v>
      </c>
      <c r="F849" s="45" t="s">
        <v>493</v>
      </c>
      <c r="G849" s="14">
        <v>1274</v>
      </c>
      <c r="H849" s="14">
        <v>840</v>
      </c>
      <c r="I849" s="14">
        <v>1146</v>
      </c>
      <c r="J849" s="14">
        <v>1045</v>
      </c>
      <c r="K849" s="14">
        <v>1246</v>
      </c>
      <c r="L849" s="14">
        <v>1405</v>
      </c>
      <c r="M849" s="14">
        <v>1422</v>
      </c>
      <c r="N849" s="14">
        <v>1633</v>
      </c>
      <c r="O849" s="14">
        <v>1513</v>
      </c>
      <c r="P849" s="14">
        <v>1588</v>
      </c>
      <c r="Q849" s="14">
        <v>1945</v>
      </c>
      <c r="R849" s="14">
        <v>1974</v>
      </c>
      <c r="S849" s="14">
        <v>2029</v>
      </c>
      <c r="T849" s="14">
        <v>2477</v>
      </c>
      <c r="U849" s="14">
        <v>3017</v>
      </c>
      <c r="V849" s="14">
        <v>3136</v>
      </c>
      <c r="W849" s="14">
        <v>3443</v>
      </c>
      <c r="X849" s="14">
        <v>3903</v>
      </c>
      <c r="Y849" s="14">
        <v>4053</v>
      </c>
      <c r="Z849" s="14">
        <v>4756</v>
      </c>
      <c r="AA849" s="14"/>
      <c r="AB849" s="14"/>
    </row>
    <row r="850" spans="1:30">
      <c r="A850" s="45" t="s">
        <v>249</v>
      </c>
      <c r="B850" s="45" t="s">
        <v>250</v>
      </c>
      <c r="C850" s="45" t="s">
        <v>490</v>
      </c>
      <c r="D850" s="45" t="s">
        <v>496</v>
      </c>
      <c r="E850" s="45" t="s">
        <v>492</v>
      </c>
      <c r="F850" s="45" t="s">
        <v>493</v>
      </c>
      <c r="G850" s="14">
        <v>3200</v>
      </c>
      <c r="H850" s="14">
        <v>3447</v>
      </c>
      <c r="I850" s="14">
        <v>4134</v>
      </c>
      <c r="J850" s="14">
        <v>4606</v>
      </c>
      <c r="K850" s="14">
        <v>5238</v>
      </c>
      <c r="L850" s="14">
        <v>6224</v>
      </c>
      <c r="M850" s="14">
        <v>6360</v>
      </c>
      <c r="N850" s="14">
        <v>7846</v>
      </c>
      <c r="O850" s="14">
        <v>8333</v>
      </c>
      <c r="P850" s="14">
        <v>9163</v>
      </c>
      <c r="Q850" s="14">
        <v>11311</v>
      </c>
      <c r="R850" s="14">
        <v>13037</v>
      </c>
      <c r="S850" s="14">
        <v>14627</v>
      </c>
      <c r="T850" s="14">
        <v>17816</v>
      </c>
      <c r="U850" s="14">
        <v>18189</v>
      </c>
      <c r="V850" s="14">
        <v>20014</v>
      </c>
      <c r="W850" s="14">
        <v>27279</v>
      </c>
      <c r="X850" s="14">
        <v>34013</v>
      </c>
      <c r="Y850" s="14">
        <v>39420</v>
      </c>
      <c r="Z850" s="14">
        <v>42404</v>
      </c>
      <c r="AA850" s="14"/>
      <c r="AB850" s="14"/>
    </row>
    <row r="851" spans="1:30">
      <c r="A851" s="45" t="s">
        <v>249</v>
      </c>
      <c r="B851" s="45" t="s">
        <v>250</v>
      </c>
      <c r="C851" s="45" t="s">
        <v>490</v>
      </c>
      <c r="D851" s="45" t="s">
        <v>497</v>
      </c>
      <c r="E851" s="45" t="s">
        <v>492</v>
      </c>
      <c r="F851" s="45" t="s">
        <v>493</v>
      </c>
      <c r="G851" s="14">
        <v>13592</v>
      </c>
      <c r="H851" s="14">
        <v>14475</v>
      </c>
      <c r="I851" s="14">
        <v>16109</v>
      </c>
      <c r="J851" s="14">
        <v>19454</v>
      </c>
      <c r="K851" s="14">
        <v>22460</v>
      </c>
      <c r="L851" s="14">
        <v>25681</v>
      </c>
      <c r="M851" s="14">
        <v>28563</v>
      </c>
      <c r="N851" s="14">
        <v>31209</v>
      </c>
      <c r="O851" s="14">
        <v>30181</v>
      </c>
      <c r="P851" s="14">
        <v>35138</v>
      </c>
      <c r="Q851" s="14">
        <v>38695</v>
      </c>
      <c r="R851" s="14">
        <v>44129</v>
      </c>
      <c r="S851" s="14">
        <v>47281</v>
      </c>
      <c r="T851" s="14">
        <v>50941</v>
      </c>
      <c r="U851" s="14">
        <v>53798</v>
      </c>
      <c r="V851" s="14">
        <v>55607</v>
      </c>
      <c r="W851" s="14">
        <v>57150</v>
      </c>
      <c r="X851" s="14">
        <v>62009</v>
      </c>
      <c r="Y851" s="14">
        <v>65012</v>
      </c>
      <c r="Z851" s="14">
        <v>67507</v>
      </c>
      <c r="AA851" s="14"/>
      <c r="AB851" s="14"/>
    </row>
    <row r="852" spans="1:30">
      <c r="A852" s="45" t="s">
        <v>249</v>
      </c>
      <c r="B852" s="45" t="s">
        <v>250</v>
      </c>
      <c r="C852" s="45" t="s">
        <v>498</v>
      </c>
      <c r="D852" s="45" t="s">
        <v>491</v>
      </c>
      <c r="E852" s="45" t="s">
        <v>499</v>
      </c>
      <c r="F852" s="45" t="s">
        <v>500</v>
      </c>
      <c r="G852" s="14">
        <v>36718.6</v>
      </c>
      <c r="H852" s="14">
        <v>34168.199999999997</v>
      </c>
      <c r="I852" s="14">
        <v>36749.300000000003</v>
      </c>
      <c r="J852" s="14">
        <v>39833.300000000003</v>
      </c>
      <c r="K852" s="14">
        <v>43558.1</v>
      </c>
      <c r="L852" s="14">
        <v>47325.599999999999</v>
      </c>
      <c r="M852" s="14">
        <v>48095.4</v>
      </c>
      <c r="N852" s="14">
        <v>49798.8</v>
      </c>
      <c r="O852" s="14">
        <v>45629</v>
      </c>
      <c r="P852" s="14">
        <v>48256.7</v>
      </c>
      <c r="Q852" s="14">
        <v>49910.8</v>
      </c>
      <c r="R852" s="14">
        <v>53076</v>
      </c>
      <c r="S852" s="14">
        <v>52727.9</v>
      </c>
      <c r="T852" s="14">
        <v>54986.1</v>
      </c>
      <c r="U852" s="14">
        <v>52784.6</v>
      </c>
      <c r="V852" s="14">
        <v>54207.4</v>
      </c>
      <c r="W852" s="14">
        <v>59431.199999999997</v>
      </c>
      <c r="X852" s="14">
        <v>63695.7</v>
      </c>
      <c r="Y852" s="14">
        <v>65122.9</v>
      </c>
      <c r="Z852" s="14">
        <v>60816.6</v>
      </c>
      <c r="AA852" s="14"/>
      <c r="AB852" s="14"/>
      <c r="AC852" s="15">
        <f>IFERROR(Z852/G852-1,"")</f>
        <v>0.6562886384557145</v>
      </c>
      <c r="AD852" s="15">
        <f>IFERROR((Z852/G852)^(1/19)-1,"")</f>
        <v>2.6912581771487476E-2</v>
      </c>
    </row>
    <row r="853" spans="1:30">
      <c r="A853" s="45" t="s">
        <v>249</v>
      </c>
      <c r="B853" s="45" t="s">
        <v>250</v>
      </c>
      <c r="C853" s="45" t="s">
        <v>498</v>
      </c>
      <c r="D853" s="45" t="s">
        <v>495</v>
      </c>
      <c r="E853" s="45" t="s">
        <v>499</v>
      </c>
      <c r="F853" s="45" t="s">
        <v>500</v>
      </c>
      <c r="G853" s="14">
        <v>2419.6</v>
      </c>
      <c r="H853" s="14">
        <v>1397.9</v>
      </c>
      <c r="I853" s="14">
        <v>1771.5</v>
      </c>
      <c r="J853" s="14">
        <v>1503.7</v>
      </c>
      <c r="K853" s="14">
        <v>1678.5</v>
      </c>
      <c r="L853" s="14">
        <v>1778.2</v>
      </c>
      <c r="M853" s="14">
        <v>1654.4</v>
      </c>
      <c r="N853" s="14">
        <v>1770.6</v>
      </c>
      <c r="O853" s="14">
        <v>1513</v>
      </c>
      <c r="P853" s="14">
        <v>1466</v>
      </c>
      <c r="Q853" s="14">
        <v>1663.5</v>
      </c>
      <c r="R853" s="14">
        <v>1570.4</v>
      </c>
      <c r="S853" s="14">
        <v>1496.8</v>
      </c>
      <c r="T853" s="14">
        <v>1698.7</v>
      </c>
      <c r="U853" s="14">
        <v>1913.9</v>
      </c>
      <c r="V853" s="14">
        <v>1919</v>
      </c>
      <c r="W853" s="14">
        <v>2016.2</v>
      </c>
      <c r="X853" s="14">
        <v>2193</v>
      </c>
      <c r="Y853" s="14">
        <v>2138.8000000000002</v>
      </c>
      <c r="Z853" s="14">
        <v>2220.1</v>
      </c>
      <c r="AA853" s="14"/>
      <c r="AB853" s="14"/>
      <c r="AC853" s="15">
        <f>IFERROR(Z853/G853-1,"")</f>
        <v>-8.2451644899983467E-2</v>
      </c>
      <c r="AD853" s="15">
        <f>IFERROR((Z853/G853)^(1/19)-1,"")</f>
        <v>-4.5187070116727845E-3</v>
      </c>
    </row>
    <row r="854" spans="1:30">
      <c r="A854" s="45" t="s">
        <v>249</v>
      </c>
      <c r="B854" s="45" t="s">
        <v>250</v>
      </c>
      <c r="C854" s="45" t="s">
        <v>498</v>
      </c>
      <c r="D854" s="45" t="s">
        <v>496</v>
      </c>
      <c r="E854" s="45" t="s">
        <v>499</v>
      </c>
      <c r="F854" s="45" t="s">
        <v>500</v>
      </c>
      <c r="G854" s="14">
        <v>6079.5</v>
      </c>
      <c r="H854" s="14">
        <v>5739.6</v>
      </c>
      <c r="I854" s="14">
        <v>6387.9</v>
      </c>
      <c r="J854" s="14">
        <v>6625.2</v>
      </c>
      <c r="K854" s="14">
        <v>7056.9</v>
      </c>
      <c r="L854" s="14">
        <v>7877.3</v>
      </c>
      <c r="M854" s="14">
        <v>7400</v>
      </c>
      <c r="N854" s="14">
        <v>8506.9</v>
      </c>
      <c r="O854" s="14">
        <v>8333</v>
      </c>
      <c r="P854" s="14">
        <v>8459.2999999999993</v>
      </c>
      <c r="Q854" s="14">
        <v>9673.9</v>
      </c>
      <c r="R854" s="14">
        <v>10371.799999999999</v>
      </c>
      <c r="S854" s="14">
        <v>10790</v>
      </c>
      <c r="T854" s="14">
        <v>12218.1</v>
      </c>
      <c r="U854" s="14">
        <v>11538.8</v>
      </c>
      <c r="V854" s="14">
        <v>12246.9</v>
      </c>
      <c r="W854" s="14">
        <v>15974.7</v>
      </c>
      <c r="X854" s="14">
        <v>19110.900000000001</v>
      </c>
      <c r="Y854" s="14">
        <v>20802.400000000001</v>
      </c>
      <c r="Z854" s="14">
        <v>19794.5</v>
      </c>
      <c r="AA854" s="14"/>
      <c r="AB854" s="14"/>
      <c r="AC854" s="15">
        <f>IFERROR(Z854/G854-1,"")</f>
        <v>2.2559421005016862</v>
      </c>
      <c r="AD854" s="15">
        <f>IFERROR((Z854/G854)^(1/19)-1,"")</f>
        <v>6.4101322158263807E-2</v>
      </c>
    </row>
    <row r="855" spans="1:30">
      <c r="A855" s="45" t="s">
        <v>249</v>
      </c>
      <c r="B855" s="45" t="s">
        <v>250</v>
      </c>
      <c r="C855" s="45" t="s">
        <v>498</v>
      </c>
      <c r="D855" s="45" t="s">
        <v>497</v>
      </c>
      <c r="E855" s="45" t="s">
        <v>499</v>
      </c>
      <c r="F855" s="45" t="s">
        <v>500</v>
      </c>
      <c r="G855" s="14">
        <v>25821.3</v>
      </c>
      <c r="H855" s="14">
        <v>24102.1</v>
      </c>
      <c r="I855" s="14">
        <v>24893.200000000001</v>
      </c>
      <c r="J855" s="14">
        <v>27983.1</v>
      </c>
      <c r="K855" s="14">
        <v>30258</v>
      </c>
      <c r="L855" s="14">
        <v>32503.4</v>
      </c>
      <c r="M855" s="14">
        <v>33233.300000000003</v>
      </c>
      <c r="N855" s="14">
        <v>33837.800000000003</v>
      </c>
      <c r="O855" s="14">
        <v>30181</v>
      </c>
      <c r="P855" s="14">
        <v>32439.5</v>
      </c>
      <c r="Q855" s="14">
        <v>33094.6</v>
      </c>
      <c r="R855" s="14">
        <v>35107.4</v>
      </c>
      <c r="S855" s="14">
        <v>34878.300000000003</v>
      </c>
      <c r="T855" s="14">
        <v>34934.9</v>
      </c>
      <c r="U855" s="14">
        <v>34128.6</v>
      </c>
      <c r="V855" s="14">
        <v>34026.9</v>
      </c>
      <c r="W855" s="14">
        <v>33467.300000000003</v>
      </c>
      <c r="X855" s="14">
        <v>34840.9</v>
      </c>
      <c r="Y855" s="14">
        <v>34307.699999999997</v>
      </c>
      <c r="Z855" s="14">
        <v>31513.7</v>
      </c>
      <c r="AA855" s="14"/>
      <c r="AB855" s="14"/>
      <c r="AC855" s="15">
        <f>IFERROR(Z855/G855-1,"")</f>
        <v>0.22045365647740445</v>
      </c>
      <c r="AD855" s="15">
        <f>IFERROR((Z855/G855)^(1/19)-1,"")</f>
        <v>1.0540566529874118E-2</v>
      </c>
    </row>
    <row r="856" spans="1:30">
      <c r="A856" s="45" t="s">
        <v>249</v>
      </c>
      <c r="B856" s="45" t="s">
        <v>250</v>
      </c>
      <c r="C856" s="45" t="s">
        <v>498</v>
      </c>
      <c r="D856" s="45" t="s">
        <v>501</v>
      </c>
      <c r="E856" s="45" t="s">
        <v>499</v>
      </c>
      <c r="F856" s="45" t="s">
        <v>500</v>
      </c>
      <c r="G856" s="14">
        <v>1538.1</v>
      </c>
      <c r="H856" s="14">
        <v>2172.9</v>
      </c>
      <c r="I856" s="14">
        <v>2792.6</v>
      </c>
      <c r="J856" s="14">
        <v>2666.3</v>
      </c>
      <c r="K856" s="14">
        <v>3099.7</v>
      </c>
      <c r="L856" s="14">
        <v>3110.8</v>
      </c>
      <c r="M856" s="14">
        <v>3777.4</v>
      </c>
      <c r="N856" s="14">
        <v>3663.6</v>
      </c>
      <c r="O856" s="14">
        <v>3209</v>
      </c>
      <c r="P856" s="14">
        <v>3402.9</v>
      </c>
      <c r="Q856" s="14">
        <v>2778.8</v>
      </c>
      <c r="R856" s="14">
        <v>3311.1</v>
      </c>
      <c r="S856" s="14">
        <v>2955.1</v>
      </c>
      <c r="T856" s="14">
        <v>2971.5</v>
      </c>
      <c r="U856" s="14">
        <v>3232.2</v>
      </c>
      <c r="V856" s="14">
        <v>3916.9</v>
      </c>
      <c r="W856" s="14">
        <v>3921.8</v>
      </c>
      <c r="X856" s="14">
        <v>3122.9</v>
      </c>
      <c r="Y856" s="14">
        <v>2394.8000000000002</v>
      </c>
      <c r="Z856" s="14">
        <v>2233.1999999999998</v>
      </c>
      <c r="AA856" s="14"/>
      <c r="AB856" s="14"/>
      <c r="AC856" s="15">
        <f>IFERROR(Z856/G856-1,"")</f>
        <v>0.45192120148234838</v>
      </c>
      <c r="AD856" s="15">
        <f>IFERROR((Z856/G856)^(1/19)-1,"")</f>
        <v>1.9819515017202916E-2</v>
      </c>
    </row>
    <row r="857" spans="1:30">
      <c r="A857" s="45" t="s">
        <v>183</v>
      </c>
      <c r="B857" s="45" t="s">
        <v>184</v>
      </c>
      <c r="C857" s="45" t="s">
        <v>490</v>
      </c>
      <c r="D857" s="45" t="s">
        <v>491</v>
      </c>
      <c r="E857" s="45" t="s">
        <v>492</v>
      </c>
      <c r="F857" s="45" t="s">
        <v>493</v>
      </c>
      <c r="G857" s="14">
        <v>36283</v>
      </c>
      <c r="H857" s="14">
        <v>41228</v>
      </c>
      <c r="I857" s="14">
        <v>49710</v>
      </c>
      <c r="J857" s="14">
        <v>54353</v>
      </c>
      <c r="K857" s="14">
        <v>61806</v>
      </c>
      <c r="L857" s="14">
        <v>67080</v>
      </c>
      <c r="M857" s="14">
        <v>76761</v>
      </c>
      <c r="N857" s="14">
        <v>88429</v>
      </c>
      <c r="O857" s="14">
        <v>100880</v>
      </c>
      <c r="P857" s="14">
        <v>110994</v>
      </c>
      <c r="Q857" s="14">
        <v>129888</v>
      </c>
      <c r="R857" s="14">
        <v>150232</v>
      </c>
      <c r="S857" s="14">
        <v>162869</v>
      </c>
      <c r="T857" s="14">
        <v>179894</v>
      </c>
      <c r="U857" s="14">
        <v>191985</v>
      </c>
      <c r="V857" s="14">
        <v>208380</v>
      </c>
      <c r="W857" s="14">
        <v>228137</v>
      </c>
      <c r="X857" s="14">
        <v>242830</v>
      </c>
      <c r="Y857" s="14">
        <v>248770</v>
      </c>
      <c r="Z857" s="14">
        <v>271451</v>
      </c>
      <c r="AA857" s="14">
        <v>325278</v>
      </c>
      <c r="AB857" s="14">
        <v>348751</v>
      </c>
    </row>
    <row r="858" spans="1:30">
      <c r="A858" s="45" t="s">
        <v>183</v>
      </c>
      <c r="B858" s="45" t="s">
        <v>184</v>
      </c>
      <c r="C858" s="45" t="s">
        <v>490</v>
      </c>
      <c r="D858" s="45" t="s">
        <v>494</v>
      </c>
      <c r="E858" s="45" t="s">
        <v>492</v>
      </c>
      <c r="F858" s="45" t="s">
        <v>493</v>
      </c>
      <c r="G858" s="14">
        <v>34667</v>
      </c>
      <c r="H858" s="14">
        <v>39435</v>
      </c>
      <c r="I858" s="14">
        <v>47394</v>
      </c>
      <c r="J858" s="14">
        <v>51682</v>
      </c>
      <c r="K858" s="14">
        <v>57648</v>
      </c>
      <c r="L858" s="14">
        <v>62633</v>
      </c>
      <c r="M858" s="14">
        <v>71653</v>
      </c>
      <c r="N858" s="14">
        <v>82938</v>
      </c>
      <c r="O858" s="14">
        <v>93634</v>
      </c>
      <c r="P858" s="14">
        <v>103674</v>
      </c>
      <c r="Q858" s="14">
        <v>119501</v>
      </c>
      <c r="R858" s="14">
        <v>139840</v>
      </c>
      <c r="S858" s="14">
        <v>151130</v>
      </c>
      <c r="T858" s="14">
        <v>166066</v>
      </c>
      <c r="U858" s="14">
        <v>180358</v>
      </c>
      <c r="V858" s="14">
        <v>196823</v>
      </c>
      <c r="W858" s="14">
        <v>213690</v>
      </c>
      <c r="X858" s="14">
        <v>229200</v>
      </c>
      <c r="Y858" s="14">
        <v>234177</v>
      </c>
      <c r="Z858" s="14">
        <v>252958</v>
      </c>
      <c r="AA858" s="14"/>
      <c r="AB858" s="14"/>
    </row>
    <row r="859" spans="1:30">
      <c r="A859" s="45" t="s">
        <v>183</v>
      </c>
      <c r="B859" s="45" t="s">
        <v>184</v>
      </c>
      <c r="C859" s="45" t="s">
        <v>490</v>
      </c>
      <c r="D859" s="45" t="s">
        <v>495</v>
      </c>
      <c r="E859" s="45" t="s">
        <v>492</v>
      </c>
      <c r="F859" s="45" t="s">
        <v>493</v>
      </c>
      <c r="G859" s="14">
        <v>2984</v>
      </c>
      <c r="H859" s="14">
        <v>2508</v>
      </c>
      <c r="I859" s="14">
        <v>4709</v>
      </c>
      <c r="J859" s="14">
        <v>4007</v>
      </c>
      <c r="K859" s="14">
        <v>4545</v>
      </c>
      <c r="L859" s="14">
        <v>4051</v>
      </c>
      <c r="M859" s="14">
        <v>5686</v>
      </c>
      <c r="N859" s="14">
        <v>6095</v>
      </c>
      <c r="O859" s="14">
        <v>8287</v>
      </c>
      <c r="P859" s="14">
        <v>7973</v>
      </c>
      <c r="Q859" s="14">
        <v>11547</v>
      </c>
      <c r="R859" s="14">
        <v>11221</v>
      </c>
      <c r="S859" s="14">
        <v>12477</v>
      </c>
      <c r="T859" s="14">
        <v>13957</v>
      </c>
      <c r="U859" s="14">
        <v>15123</v>
      </c>
      <c r="V859" s="14">
        <v>16665</v>
      </c>
      <c r="W859" s="14">
        <v>22499</v>
      </c>
      <c r="X859" s="14">
        <v>24985</v>
      </c>
      <c r="Y859" s="14">
        <v>22438</v>
      </c>
      <c r="Z859" s="14">
        <v>23674</v>
      </c>
      <c r="AA859" s="14"/>
      <c r="AB859" s="14"/>
    </row>
    <row r="860" spans="1:30">
      <c r="A860" s="45" t="s">
        <v>183</v>
      </c>
      <c r="B860" s="45" t="s">
        <v>184</v>
      </c>
      <c r="C860" s="45" t="s">
        <v>490</v>
      </c>
      <c r="D860" s="45" t="s">
        <v>496</v>
      </c>
      <c r="E860" s="45" t="s">
        <v>492</v>
      </c>
      <c r="F860" s="45" t="s">
        <v>493</v>
      </c>
      <c r="G860" s="14">
        <v>7758</v>
      </c>
      <c r="H860" s="14">
        <v>8758</v>
      </c>
      <c r="I860" s="14">
        <v>10170</v>
      </c>
      <c r="J860" s="14">
        <v>10523</v>
      </c>
      <c r="K860" s="14">
        <v>11066</v>
      </c>
      <c r="L860" s="14">
        <v>12061</v>
      </c>
      <c r="M860" s="14">
        <v>12329</v>
      </c>
      <c r="N860" s="14">
        <v>15074</v>
      </c>
      <c r="O860" s="14">
        <v>18975</v>
      </c>
      <c r="P860" s="14">
        <v>20994</v>
      </c>
      <c r="Q860" s="14">
        <v>30181</v>
      </c>
      <c r="R860" s="14">
        <v>36040</v>
      </c>
      <c r="S860" s="14">
        <v>37877</v>
      </c>
      <c r="T860" s="14">
        <v>43790</v>
      </c>
      <c r="U860" s="14">
        <v>48928</v>
      </c>
      <c r="V860" s="14">
        <v>53701</v>
      </c>
      <c r="W860" s="14">
        <v>64334</v>
      </c>
      <c r="X860" s="14">
        <v>68104</v>
      </c>
      <c r="Y860" s="14">
        <v>70066</v>
      </c>
      <c r="Z860" s="14">
        <v>78453</v>
      </c>
      <c r="AA860" s="14"/>
      <c r="AB860" s="14"/>
    </row>
    <row r="861" spans="1:30">
      <c r="A861" s="45" t="s">
        <v>183</v>
      </c>
      <c r="B861" s="45" t="s">
        <v>184</v>
      </c>
      <c r="C861" s="45" t="s">
        <v>490</v>
      </c>
      <c r="D861" s="45" t="s">
        <v>497</v>
      </c>
      <c r="E861" s="45" t="s">
        <v>492</v>
      </c>
      <c r="F861" s="45" t="s">
        <v>493</v>
      </c>
      <c r="G861" s="14">
        <v>21031</v>
      </c>
      <c r="H861" s="14">
        <v>23491</v>
      </c>
      <c r="I861" s="14">
        <v>26740</v>
      </c>
      <c r="J861" s="14">
        <v>31151</v>
      </c>
      <c r="K861" s="14">
        <v>35574</v>
      </c>
      <c r="L861" s="14">
        <v>40813</v>
      </c>
      <c r="M861" s="14">
        <v>46321</v>
      </c>
      <c r="N861" s="14">
        <v>53655</v>
      </c>
      <c r="O861" s="14">
        <v>59526</v>
      </c>
      <c r="P861" s="14">
        <v>67038</v>
      </c>
      <c r="Q861" s="14">
        <v>71173</v>
      </c>
      <c r="R861" s="14">
        <v>85768</v>
      </c>
      <c r="S861" s="14">
        <v>93307</v>
      </c>
      <c r="T861" s="14">
        <v>98650</v>
      </c>
      <c r="U861" s="14">
        <v>105768</v>
      </c>
      <c r="V861" s="14">
        <v>114062</v>
      </c>
      <c r="W861" s="14">
        <v>114380</v>
      </c>
      <c r="X861" s="14">
        <v>125480</v>
      </c>
      <c r="Y861" s="14">
        <v>128582</v>
      </c>
      <c r="Z861" s="14">
        <v>136183</v>
      </c>
      <c r="AA861" s="14"/>
      <c r="AB861" s="14"/>
    </row>
    <row r="862" spans="1:30">
      <c r="A862" s="45" t="s">
        <v>183</v>
      </c>
      <c r="B862" s="45" t="s">
        <v>184</v>
      </c>
      <c r="C862" s="45" t="s">
        <v>498</v>
      </c>
      <c r="D862" s="45" t="s">
        <v>491</v>
      </c>
      <c r="E862" s="45" t="s">
        <v>499</v>
      </c>
      <c r="F862" s="45" t="s">
        <v>500</v>
      </c>
      <c r="G862" s="14">
        <v>68929.2</v>
      </c>
      <c r="H862" s="14">
        <v>68648.899999999994</v>
      </c>
      <c r="I862" s="14">
        <v>76817.100000000006</v>
      </c>
      <c r="J862" s="14">
        <v>78183.5</v>
      </c>
      <c r="K862" s="14">
        <v>83263.399999999994</v>
      </c>
      <c r="L862" s="14">
        <v>84901.2</v>
      </c>
      <c r="M862" s="14">
        <v>89313.3</v>
      </c>
      <c r="N862" s="14">
        <v>95877.7</v>
      </c>
      <c r="O862" s="14">
        <v>100880</v>
      </c>
      <c r="P862" s="14">
        <v>102469.9</v>
      </c>
      <c r="Q862" s="14">
        <v>111089</v>
      </c>
      <c r="R862" s="14">
        <v>119519.2</v>
      </c>
      <c r="S862" s="14">
        <v>120145.3</v>
      </c>
      <c r="T862" s="14">
        <v>123369.9</v>
      </c>
      <c r="U862" s="14">
        <v>121792.2</v>
      </c>
      <c r="V862" s="14">
        <v>127511.5</v>
      </c>
      <c r="W862" s="14">
        <v>133597.9</v>
      </c>
      <c r="X862" s="14">
        <v>136438.70000000001</v>
      </c>
      <c r="Y862" s="14">
        <v>131279.1</v>
      </c>
      <c r="Z862" s="14">
        <v>126715.3</v>
      </c>
      <c r="AA862" s="14"/>
      <c r="AB862" s="14"/>
      <c r="AC862" s="15">
        <f>IFERROR(Z862/G862-1,"")</f>
        <v>0.83833991980176781</v>
      </c>
      <c r="AD862" s="15">
        <f>IFERROR((Z862/G862)^(1/19)-1,"")</f>
        <v>3.2564401515260633E-2</v>
      </c>
    </row>
    <row r="863" spans="1:30">
      <c r="A863" s="45" t="s">
        <v>183</v>
      </c>
      <c r="B863" s="45" t="s">
        <v>184</v>
      </c>
      <c r="C863" s="45" t="s">
        <v>498</v>
      </c>
      <c r="D863" s="45" t="s">
        <v>495</v>
      </c>
      <c r="E863" s="45" t="s">
        <v>499</v>
      </c>
      <c r="F863" s="45" t="s">
        <v>500</v>
      </c>
      <c r="G863" s="14">
        <v>5668.5</v>
      </c>
      <c r="H863" s="14">
        <v>4176.3999999999996</v>
      </c>
      <c r="I863" s="14">
        <v>7277.2</v>
      </c>
      <c r="J863" s="14">
        <v>5763.9</v>
      </c>
      <c r="K863" s="14">
        <v>6122.7</v>
      </c>
      <c r="L863" s="14">
        <v>5127.5</v>
      </c>
      <c r="M863" s="14">
        <v>6616.1</v>
      </c>
      <c r="N863" s="14">
        <v>6608.4</v>
      </c>
      <c r="O863" s="14">
        <v>8287</v>
      </c>
      <c r="P863" s="14">
        <v>7360.7</v>
      </c>
      <c r="Q863" s="14">
        <v>9875.7999999999993</v>
      </c>
      <c r="R863" s="14">
        <v>8927</v>
      </c>
      <c r="S863" s="14">
        <v>9204</v>
      </c>
      <c r="T863" s="14">
        <v>9571.6</v>
      </c>
      <c r="U863" s="14">
        <v>9593.7999999999993</v>
      </c>
      <c r="V863" s="14">
        <v>10197.6</v>
      </c>
      <c r="W863" s="14">
        <v>13175.5</v>
      </c>
      <c r="X863" s="14">
        <v>14038.3</v>
      </c>
      <c r="Y863" s="14">
        <v>11840.8</v>
      </c>
      <c r="Z863" s="14">
        <v>11051.2</v>
      </c>
      <c r="AA863" s="14"/>
      <c r="AB863" s="14"/>
      <c r="AC863" s="15">
        <f>IFERROR(Z863/G863-1,"")</f>
        <v>0.94958101790597182</v>
      </c>
      <c r="AD863" s="15">
        <f>IFERROR((Z863/G863)^(1/19)-1,"")</f>
        <v>3.5762224612089888E-2</v>
      </c>
    </row>
    <row r="864" spans="1:30">
      <c r="A864" s="45" t="s">
        <v>183</v>
      </c>
      <c r="B864" s="45" t="s">
        <v>184</v>
      </c>
      <c r="C864" s="45" t="s">
        <v>498</v>
      </c>
      <c r="D864" s="45" t="s">
        <v>496</v>
      </c>
      <c r="E864" s="45" t="s">
        <v>499</v>
      </c>
      <c r="F864" s="45" t="s">
        <v>500</v>
      </c>
      <c r="G864" s="14">
        <v>14737.6</v>
      </c>
      <c r="H864" s="14">
        <v>14582.7</v>
      </c>
      <c r="I864" s="14">
        <v>15715.5</v>
      </c>
      <c r="J864" s="14">
        <v>15135.9</v>
      </c>
      <c r="K864" s="14">
        <v>14908.3</v>
      </c>
      <c r="L864" s="14">
        <v>15264.6</v>
      </c>
      <c r="M864" s="14">
        <v>14345.5</v>
      </c>
      <c r="N864" s="14">
        <v>16343.7</v>
      </c>
      <c r="O864" s="14">
        <v>18975</v>
      </c>
      <c r="P864" s="14">
        <v>19381.7</v>
      </c>
      <c r="Q864" s="14">
        <v>25812.799999999999</v>
      </c>
      <c r="R864" s="14">
        <v>28672.1</v>
      </c>
      <c r="S864" s="14">
        <v>27941.1</v>
      </c>
      <c r="T864" s="14">
        <v>30030.799999999999</v>
      </c>
      <c r="U864" s="14">
        <v>31039.1</v>
      </c>
      <c r="V864" s="14">
        <v>32860.6</v>
      </c>
      <c r="W864" s="14">
        <v>37674.199999999997</v>
      </c>
      <c r="X864" s="14">
        <v>38265.5</v>
      </c>
      <c r="Y864" s="14">
        <v>36974.699999999997</v>
      </c>
      <c r="Z864" s="14">
        <v>36622.9</v>
      </c>
      <c r="AA864" s="14"/>
      <c r="AB864" s="14"/>
      <c r="AC864" s="15">
        <f>IFERROR(Z864/G864-1,"")</f>
        <v>1.4849975572684833</v>
      </c>
      <c r="AD864" s="15">
        <f>IFERROR((Z864/G864)^(1/19)-1,"")</f>
        <v>4.9075222494572079E-2</v>
      </c>
    </row>
    <row r="865" spans="1:30">
      <c r="A865" s="45" t="s">
        <v>183</v>
      </c>
      <c r="B865" s="45" t="s">
        <v>184</v>
      </c>
      <c r="C865" s="45" t="s">
        <v>498</v>
      </c>
      <c r="D865" s="45" t="s">
        <v>497</v>
      </c>
      <c r="E865" s="45" t="s">
        <v>499</v>
      </c>
      <c r="F865" s="45" t="s">
        <v>500</v>
      </c>
      <c r="G865" s="14">
        <v>39953.4</v>
      </c>
      <c r="H865" s="14">
        <v>39114.5</v>
      </c>
      <c r="I865" s="14">
        <v>41321.800000000003</v>
      </c>
      <c r="J865" s="14">
        <v>44808.9</v>
      </c>
      <c r="K865" s="14">
        <v>47923.7</v>
      </c>
      <c r="L865" s="14">
        <v>51655.4</v>
      </c>
      <c r="M865" s="14">
        <v>53896.1</v>
      </c>
      <c r="N865" s="14">
        <v>58174.5</v>
      </c>
      <c r="O865" s="14">
        <v>59526</v>
      </c>
      <c r="P865" s="14">
        <v>61889.7</v>
      </c>
      <c r="Q865" s="14">
        <v>60872</v>
      </c>
      <c r="R865" s="14">
        <v>68233.899999999994</v>
      </c>
      <c r="S865" s="14">
        <v>68830.7</v>
      </c>
      <c r="T865" s="14">
        <v>67653.399999999994</v>
      </c>
      <c r="U865" s="14">
        <v>67097.5</v>
      </c>
      <c r="V865" s="14">
        <v>69796.600000000006</v>
      </c>
      <c r="W865" s="14">
        <v>66981.399999999994</v>
      </c>
      <c r="X865" s="14">
        <v>70503.3</v>
      </c>
      <c r="Y865" s="14">
        <v>67854.399999999994</v>
      </c>
      <c r="Z865" s="14">
        <v>63572.6</v>
      </c>
      <c r="AA865" s="14"/>
      <c r="AB865" s="14"/>
      <c r="AC865" s="15">
        <f>IFERROR(Z865/G865-1,"")</f>
        <v>0.59116871154895434</v>
      </c>
      <c r="AD865" s="15">
        <f>IFERROR((Z865/G865)^(1/19)-1,"")</f>
        <v>2.4746971991713496E-2</v>
      </c>
    </row>
    <row r="866" spans="1:30">
      <c r="A866" s="45" t="s">
        <v>183</v>
      </c>
      <c r="B866" s="45" t="s">
        <v>184</v>
      </c>
      <c r="C866" s="45" t="s">
        <v>498</v>
      </c>
      <c r="D866" s="45" t="s">
        <v>501</v>
      </c>
      <c r="E866" s="45" t="s">
        <v>499</v>
      </c>
      <c r="F866" s="45" t="s">
        <v>500</v>
      </c>
      <c r="G866" s="14">
        <v>5498.8</v>
      </c>
      <c r="H866" s="14">
        <v>7790.3</v>
      </c>
      <c r="I866" s="14">
        <v>8924.7999999999993</v>
      </c>
      <c r="J866" s="14">
        <v>8631.7999999999993</v>
      </c>
      <c r="K866" s="14">
        <v>8707.1</v>
      </c>
      <c r="L866" s="14">
        <v>7225.6</v>
      </c>
      <c r="M866" s="14">
        <v>8512.4</v>
      </c>
      <c r="N866" s="14">
        <v>8797.5</v>
      </c>
      <c r="O866" s="14">
        <v>6846</v>
      </c>
      <c r="P866" s="14">
        <v>7079.1</v>
      </c>
      <c r="Q866" s="14">
        <v>5644.8</v>
      </c>
      <c r="R866" s="14">
        <v>5417.8</v>
      </c>
      <c r="S866" s="14">
        <v>5509.7</v>
      </c>
      <c r="T866" s="14">
        <v>6631.6</v>
      </c>
      <c r="U866" s="14">
        <v>6685.8</v>
      </c>
      <c r="V866" s="14">
        <v>7584.7</v>
      </c>
      <c r="W866" s="14">
        <v>7306</v>
      </c>
      <c r="X866" s="14">
        <v>5973.2</v>
      </c>
      <c r="Y866" s="14">
        <v>6907.8</v>
      </c>
      <c r="Z866" s="14">
        <v>6837.8</v>
      </c>
      <c r="AA866" s="14"/>
      <c r="AB866" s="14"/>
      <c r="AC866" s="15">
        <f>IFERROR(Z866/G866-1,"")</f>
        <v>0.24350767440168752</v>
      </c>
      <c r="AD866" s="15">
        <f>IFERROR((Z866/G866)^(1/19)-1,"")</f>
        <v>1.1536360403485046E-2</v>
      </c>
    </row>
    <row r="867" spans="1:30">
      <c r="A867" s="45" t="s">
        <v>429</v>
      </c>
      <c r="B867" s="45" t="s">
        <v>430</v>
      </c>
      <c r="C867" s="45" t="s">
        <v>490</v>
      </c>
      <c r="D867" s="45" t="s">
        <v>491</v>
      </c>
      <c r="E867" s="45" t="s">
        <v>492</v>
      </c>
      <c r="F867" s="45" t="s">
        <v>493</v>
      </c>
      <c r="G867" s="14">
        <v>14399</v>
      </c>
      <c r="H867" s="14">
        <v>19422</v>
      </c>
      <c r="I867" s="14">
        <v>29354</v>
      </c>
      <c r="J867" s="14">
        <v>34131</v>
      </c>
      <c r="K867" s="14">
        <v>19675</v>
      </c>
      <c r="L867" s="14">
        <v>24033</v>
      </c>
      <c r="M867" s="14">
        <v>25970</v>
      </c>
      <c r="N867" s="14">
        <v>23882</v>
      </c>
      <c r="O867" s="14">
        <v>12354</v>
      </c>
      <c r="P867" s="14">
        <v>14599</v>
      </c>
      <c r="Q867" s="14">
        <v>14778</v>
      </c>
      <c r="R867" s="14">
        <v>17856</v>
      </c>
      <c r="S867" s="14">
        <v>19700</v>
      </c>
      <c r="T867" s="14">
        <v>19369</v>
      </c>
      <c r="U867" s="14">
        <v>18787</v>
      </c>
      <c r="V867" s="14">
        <v>21960</v>
      </c>
      <c r="W867" s="14">
        <v>25310</v>
      </c>
      <c r="X867" s="14">
        <v>26195</v>
      </c>
      <c r="Y867" s="14">
        <v>28497</v>
      </c>
      <c r="Z867" s="14">
        <v>32366</v>
      </c>
      <c r="AA867" s="14">
        <v>37849</v>
      </c>
      <c r="AB867" s="14">
        <v>45922</v>
      </c>
    </row>
    <row r="868" spans="1:30">
      <c r="A868" s="45" t="s">
        <v>429</v>
      </c>
      <c r="B868" s="45" t="s">
        <v>430</v>
      </c>
      <c r="C868" s="45" t="s">
        <v>490</v>
      </c>
      <c r="D868" s="45" t="s">
        <v>494</v>
      </c>
      <c r="E868" s="45" t="s">
        <v>492</v>
      </c>
      <c r="F868" s="45" t="s">
        <v>493</v>
      </c>
      <c r="G868" s="14">
        <v>12028</v>
      </c>
      <c r="H868" s="14">
        <v>16447</v>
      </c>
      <c r="I868" s="14">
        <v>24369</v>
      </c>
      <c r="J868" s="14">
        <v>29014</v>
      </c>
      <c r="K868" s="14">
        <v>17324</v>
      </c>
      <c r="L868" s="14">
        <v>21380</v>
      </c>
      <c r="M868" s="14">
        <v>22715</v>
      </c>
      <c r="N868" s="14">
        <v>21520</v>
      </c>
      <c r="O868" s="14">
        <v>11808</v>
      </c>
      <c r="P868" s="14">
        <v>13838</v>
      </c>
      <c r="Q868" s="14">
        <v>14211</v>
      </c>
      <c r="R868" s="14">
        <v>17230</v>
      </c>
      <c r="S868" s="14">
        <v>19130</v>
      </c>
      <c r="T868" s="14">
        <v>18602</v>
      </c>
      <c r="U868" s="14">
        <v>18376</v>
      </c>
      <c r="V868" s="14">
        <v>21557</v>
      </c>
      <c r="W868" s="14">
        <v>24698</v>
      </c>
      <c r="X868" s="14">
        <v>25568</v>
      </c>
      <c r="Y868" s="14">
        <v>27786</v>
      </c>
      <c r="Z868" s="14">
        <v>31374</v>
      </c>
      <c r="AA868" s="14"/>
      <c r="AB868" s="14"/>
    </row>
    <row r="869" spans="1:30">
      <c r="A869" s="45" t="s">
        <v>429</v>
      </c>
      <c r="B869" s="45" t="s">
        <v>430</v>
      </c>
      <c r="C869" s="45" t="s">
        <v>490</v>
      </c>
      <c r="D869" s="45" t="s">
        <v>495</v>
      </c>
      <c r="E869" s="45" t="s">
        <v>492</v>
      </c>
      <c r="F869" s="45" t="s">
        <v>493</v>
      </c>
      <c r="G869" s="14">
        <v>820</v>
      </c>
      <c r="H869" s="14">
        <v>504</v>
      </c>
      <c r="I869" s="14">
        <v>992</v>
      </c>
      <c r="J869" s="14">
        <v>1311</v>
      </c>
      <c r="K869" s="14">
        <v>572</v>
      </c>
      <c r="L869" s="14">
        <v>868</v>
      </c>
      <c r="M869" s="14">
        <v>819</v>
      </c>
      <c r="N869" s="14">
        <v>750</v>
      </c>
      <c r="O869" s="14">
        <v>444</v>
      </c>
      <c r="P869" s="14">
        <v>489</v>
      </c>
      <c r="Q869" s="14">
        <v>630</v>
      </c>
      <c r="R869" s="14">
        <v>806</v>
      </c>
      <c r="S869" s="14">
        <v>2535</v>
      </c>
      <c r="T869" s="14">
        <v>726</v>
      </c>
      <c r="U869" s="14">
        <v>635</v>
      </c>
      <c r="V869" s="14">
        <v>670</v>
      </c>
      <c r="W869" s="14">
        <v>686</v>
      </c>
      <c r="X869" s="14">
        <v>773</v>
      </c>
      <c r="Y869" s="14">
        <v>808</v>
      </c>
      <c r="Z869" s="14">
        <v>987</v>
      </c>
      <c r="AA869" s="14"/>
      <c r="AB869" s="14"/>
    </row>
    <row r="870" spans="1:30">
      <c r="A870" s="45" t="s">
        <v>429</v>
      </c>
      <c r="B870" s="45" t="s">
        <v>430</v>
      </c>
      <c r="C870" s="45" t="s">
        <v>490</v>
      </c>
      <c r="D870" s="45" t="s">
        <v>496</v>
      </c>
      <c r="E870" s="45" t="s">
        <v>492</v>
      </c>
      <c r="F870" s="45" t="s">
        <v>493</v>
      </c>
      <c r="G870" s="14">
        <v>6829</v>
      </c>
      <c r="H870" s="14">
        <v>9949</v>
      </c>
      <c r="I870" s="14">
        <v>17527</v>
      </c>
      <c r="J870" s="14">
        <v>21360</v>
      </c>
      <c r="K870" s="14">
        <v>10349</v>
      </c>
      <c r="L870" s="14">
        <v>13204</v>
      </c>
      <c r="M870" s="14">
        <v>13587</v>
      </c>
      <c r="N870" s="14">
        <v>11157</v>
      </c>
      <c r="O870" s="14">
        <v>2184</v>
      </c>
      <c r="P870" s="14">
        <v>2610</v>
      </c>
      <c r="Q870" s="14">
        <v>2527</v>
      </c>
      <c r="R870" s="14">
        <v>3103</v>
      </c>
      <c r="S870" s="14">
        <v>3116</v>
      </c>
      <c r="T870" s="14">
        <v>3477</v>
      </c>
      <c r="U870" s="14">
        <v>3749</v>
      </c>
      <c r="V870" s="14">
        <v>4340</v>
      </c>
      <c r="W870" s="14">
        <v>6544</v>
      </c>
      <c r="X870" s="14">
        <v>5863</v>
      </c>
      <c r="Y870" s="14">
        <v>6360</v>
      </c>
      <c r="Z870" s="14">
        <v>8061</v>
      </c>
      <c r="AA870" s="14"/>
      <c r="AB870" s="14"/>
    </row>
    <row r="871" spans="1:30">
      <c r="A871" s="45" t="s">
        <v>429</v>
      </c>
      <c r="B871" s="45" t="s">
        <v>430</v>
      </c>
      <c r="C871" s="45" t="s">
        <v>490</v>
      </c>
      <c r="D871" s="45" t="s">
        <v>497</v>
      </c>
      <c r="E871" s="45" t="s">
        <v>492</v>
      </c>
      <c r="F871" s="45" t="s">
        <v>493</v>
      </c>
      <c r="G871" s="14">
        <v>3752</v>
      </c>
      <c r="H871" s="14">
        <v>4414</v>
      </c>
      <c r="I871" s="14">
        <v>4319</v>
      </c>
      <c r="J871" s="14">
        <v>5258</v>
      </c>
      <c r="K871" s="14">
        <v>5781</v>
      </c>
      <c r="L871" s="14">
        <v>6610</v>
      </c>
      <c r="M871" s="14">
        <v>6886</v>
      </c>
      <c r="N871" s="14">
        <v>8385</v>
      </c>
      <c r="O871" s="14">
        <v>8488</v>
      </c>
      <c r="P871" s="14">
        <v>9442</v>
      </c>
      <c r="Q871" s="14">
        <v>10575</v>
      </c>
      <c r="R871" s="14">
        <v>12703</v>
      </c>
      <c r="S871" s="14">
        <v>12944</v>
      </c>
      <c r="T871" s="14">
        <v>13710</v>
      </c>
      <c r="U871" s="14">
        <v>13191</v>
      </c>
      <c r="V871" s="14">
        <v>15725</v>
      </c>
      <c r="W871" s="14">
        <v>16522</v>
      </c>
      <c r="X871" s="14">
        <v>17727</v>
      </c>
      <c r="Y871" s="14">
        <v>18382</v>
      </c>
      <c r="Z871" s="14">
        <v>21099</v>
      </c>
      <c r="AA871" s="14"/>
      <c r="AB871" s="14"/>
    </row>
    <row r="872" spans="1:30">
      <c r="A872" s="45" t="s">
        <v>429</v>
      </c>
      <c r="B872" s="45" t="s">
        <v>430</v>
      </c>
      <c r="C872" s="45" t="s">
        <v>498</v>
      </c>
      <c r="D872" s="45" t="s">
        <v>491</v>
      </c>
      <c r="E872" s="45" t="s">
        <v>499</v>
      </c>
      <c r="F872" s="45" t="s">
        <v>500</v>
      </c>
      <c r="G872" s="14">
        <v>27353.9</v>
      </c>
      <c r="H872" s="14">
        <v>32339.7</v>
      </c>
      <c r="I872" s="14">
        <v>45361.599999999999</v>
      </c>
      <c r="J872" s="14">
        <v>49094.9</v>
      </c>
      <c r="K872" s="14">
        <v>26505.7</v>
      </c>
      <c r="L872" s="14">
        <v>30418.3</v>
      </c>
      <c r="M872" s="14">
        <v>30216.3</v>
      </c>
      <c r="N872" s="14">
        <v>25893.7</v>
      </c>
      <c r="O872" s="14">
        <v>12354</v>
      </c>
      <c r="P872" s="14">
        <v>13477.8</v>
      </c>
      <c r="Q872" s="14">
        <v>12639.1</v>
      </c>
      <c r="R872" s="14">
        <v>14205.6</v>
      </c>
      <c r="S872" s="14">
        <v>14532.3</v>
      </c>
      <c r="T872" s="14">
        <v>13283.1</v>
      </c>
      <c r="U872" s="14">
        <v>11918.2</v>
      </c>
      <c r="V872" s="14">
        <v>13437.7</v>
      </c>
      <c r="W872" s="14">
        <v>14821.6</v>
      </c>
      <c r="X872" s="14">
        <v>14718.2</v>
      </c>
      <c r="Y872" s="14">
        <v>15038.2</v>
      </c>
      <c r="Z872" s="14">
        <v>15108.7</v>
      </c>
      <c r="AA872" s="14"/>
      <c r="AB872" s="14"/>
      <c r="AC872" s="15">
        <f>IFERROR(Z872/G872-1,"")</f>
        <v>-0.44765828638695027</v>
      </c>
      <c r="AD872" s="15">
        <f>IFERROR((Z872/G872)^(1/19)-1,"")</f>
        <v>-3.0758520774169962E-2</v>
      </c>
    </row>
    <row r="873" spans="1:30">
      <c r="A873" s="45" t="s">
        <v>429</v>
      </c>
      <c r="B873" s="45" t="s">
        <v>430</v>
      </c>
      <c r="C873" s="45" t="s">
        <v>498</v>
      </c>
      <c r="D873" s="45" t="s">
        <v>495</v>
      </c>
      <c r="E873" s="45" t="s">
        <v>499</v>
      </c>
      <c r="F873" s="45" t="s">
        <v>500</v>
      </c>
      <c r="G873" s="14">
        <v>1558.5</v>
      </c>
      <c r="H873" s="14">
        <v>839</v>
      </c>
      <c r="I873" s="14">
        <v>1533.2</v>
      </c>
      <c r="J873" s="14">
        <v>1885.4</v>
      </c>
      <c r="K873" s="14">
        <v>771.1</v>
      </c>
      <c r="L873" s="14">
        <v>1098.4000000000001</v>
      </c>
      <c r="M873" s="14">
        <v>953.2</v>
      </c>
      <c r="N873" s="14">
        <v>813.2</v>
      </c>
      <c r="O873" s="14">
        <v>444</v>
      </c>
      <c r="P873" s="14">
        <v>451.4</v>
      </c>
      <c r="Q873" s="14">
        <v>538.79999999999995</v>
      </c>
      <c r="R873" s="14">
        <v>641.20000000000005</v>
      </c>
      <c r="S873" s="14">
        <v>1870</v>
      </c>
      <c r="T873" s="14">
        <v>497.9</v>
      </c>
      <c r="U873" s="14">
        <v>402.8</v>
      </c>
      <c r="V873" s="14">
        <v>410</v>
      </c>
      <c r="W873" s="14">
        <v>401.7</v>
      </c>
      <c r="X873" s="14">
        <v>434.3</v>
      </c>
      <c r="Y873" s="14">
        <v>426.4</v>
      </c>
      <c r="Z873" s="14">
        <v>460.7</v>
      </c>
      <c r="AA873" s="14"/>
      <c r="AB873" s="14"/>
      <c r="AC873" s="15">
        <f>IFERROR(Z873/G873-1,"")</f>
        <v>-0.70439525184472251</v>
      </c>
      <c r="AD873" s="15">
        <f>IFERROR((Z873/G873)^(1/19)-1,"")</f>
        <v>-6.2129867363980074E-2</v>
      </c>
    </row>
    <row r="874" spans="1:30">
      <c r="A874" s="45" t="s">
        <v>429</v>
      </c>
      <c r="B874" s="45" t="s">
        <v>430</v>
      </c>
      <c r="C874" s="45" t="s">
        <v>498</v>
      </c>
      <c r="D874" s="45" t="s">
        <v>496</v>
      </c>
      <c r="E874" s="45" t="s">
        <v>499</v>
      </c>
      <c r="F874" s="45" t="s">
        <v>500</v>
      </c>
      <c r="G874" s="14">
        <v>12973.6</v>
      </c>
      <c r="H874" s="14">
        <v>16566.5</v>
      </c>
      <c r="I874" s="14">
        <v>27084.1</v>
      </c>
      <c r="J874" s="14">
        <v>30724.3</v>
      </c>
      <c r="K874" s="14">
        <v>13941.3</v>
      </c>
      <c r="L874" s="14">
        <v>16712.400000000001</v>
      </c>
      <c r="M874" s="14">
        <v>15809</v>
      </c>
      <c r="N874" s="14">
        <v>12096.8</v>
      </c>
      <c r="O874" s="14">
        <v>2184</v>
      </c>
      <c r="P874" s="14">
        <v>2409.6</v>
      </c>
      <c r="Q874" s="14">
        <v>2161.3000000000002</v>
      </c>
      <c r="R874" s="14">
        <v>2468.6</v>
      </c>
      <c r="S874" s="14">
        <v>2298.6</v>
      </c>
      <c r="T874" s="14">
        <v>2384.5</v>
      </c>
      <c r="U874" s="14">
        <v>2378.3000000000002</v>
      </c>
      <c r="V874" s="14">
        <v>2655.7</v>
      </c>
      <c r="W874" s="14">
        <v>3832.2</v>
      </c>
      <c r="X874" s="14">
        <v>3294.2</v>
      </c>
      <c r="Y874" s="14">
        <v>3356.3</v>
      </c>
      <c r="Z874" s="14">
        <v>3763.4</v>
      </c>
      <c r="AA874" s="14"/>
      <c r="AB874" s="14"/>
      <c r="AC874" s="15">
        <f>IFERROR(Z874/G874-1,"")</f>
        <v>-0.70991860393414319</v>
      </c>
      <c r="AD874" s="15">
        <f>IFERROR((Z874/G874)^(1/19)-1,"")</f>
        <v>-6.3060448415896864E-2</v>
      </c>
    </row>
    <row r="875" spans="1:30">
      <c r="A875" s="45" t="s">
        <v>429</v>
      </c>
      <c r="B875" s="45" t="s">
        <v>430</v>
      </c>
      <c r="C875" s="45" t="s">
        <v>498</v>
      </c>
      <c r="D875" s="45" t="s">
        <v>497</v>
      </c>
      <c r="E875" s="45" t="s">
        <v>499</v>
      </c>
      <c r="F875" s="45" t="s">
        <v>500</v>
      </c>
      <c r="G875" s="14">
        <v>7128</v>
      </c>
      <c r="H875" s="14">
        <v>7349.5</v>
      </c>
      <c r="I875" s="14">
        <v>6674.4</v>
      </c>
      <c r="J875" s="14">
        <v>7562.9</v>
      </c>
      <c r="K875" s="14">
        <v>7788.1</v>
      </c>
      <c r="L875" s="14">
        <v>8366.4</v>
      </c>
      <c r="M875" s="14">
        <v>8012.2</v>
      </c>
      <c r="N875" s="14">
        <v>9091.2999999999993</v>
      </c>
      <c r="O875" s="14">
        <v>8488</v>
      </c>
      <c r="P875" s="14">
        <v>8716.9</v>
      </c>
      <c r="Q875" s="14">
        <v>9044.5</v>
      </c>
      <c r="R875" s="14">
        <v>10106</v>
      </c>
      <c r="S875" s="14">
        <v>9548.5</v>
      </c>
      <c r="T875" s="14">
        <v>9402.2000000000007</v>
      </c>
      <c r="U875" s="14">
        <v>8368.2000000000007</v>
      </c>
      <c r="V875" s="14">
        <v>9622.4</v>
      </c>
      <c r="W875" s="14">
        <v>9675.2999999999993</v>
      </c>
      <c r="X875" s="14">
        <v>9960.2999999999993</v>
      </c>
      <c r="Y875" s="14">
        <v>9700.4</v>
      </c>
      <c r="Z875" s="14">
        <v>9849.6</v>
      </c>
      <c r="AA875" s="14"/>
      <c r="AB875" s="14"/>
      <c r="AC875" s="15">
        <f>IFERROR(Z875/G875-1,"")</f>
        <v>0.38181818181818183</v>
      </c>
      <c r="AD875" s="15">
        <f>IFERROR((Z875/G875)^(1/19)-1,"")</f>
        <v>1.716674443720434E-2</v>
      </c>
    </row>
    <row r="876" spans="1:30">
      <c r="A876" s="45" t="s">
        <v>429</v>
      </c>
      <c r="B876" s="45" t="s">
        <v>430</v>
      </c>
      <c r="C876" s="45" t="s">
        <v>498</v>
      </c>
      <c r="D876" s="45" t="s">
        <v>501</v>
      </c>
      <c r="E876" s="45" t="s">
        <v>499</v>
      </c>
      <c r="F876" s="45" t="s">
        <v>500</v>
      </c>
      <c r="G876" s="14">
        <v>1190.2</v>
      </c>
      <c r="H876" s="14">
        <v>2631.3</v>
      </c>
      <c r="I876" s="14">
        <v>2365.5</v>
      </c>
      <c r="J876" s="14">
        <v>1562.2</v>
      </c>
      <c r="K876" s="14">
        <v>838.3</v>
      </c>
      <c r="L876" s="14">
        <v>882.5</v>
      </c>
      <c r="M876" s="14">
        <v>1655.7</v>
      </c>
      <c r="N876" s="14">
        <v>1330.4</v>
      </c>
      <c r="O876" s="14">
        <v>691</v>
      </c>
      <c r="P876" s="14">
        <v>1196.5</v>
      </c>
      <c r="Q876" s="14">
        <v>409.7</v>
      </c>
      <c r="R876" s="14">
        <v>492.5</v>
      </c>
      <c r="S876" s="14">
        <v>393.9</v>
      </c>
      <c r="T876" s="14">
        <v>472.5</v>
      </c>
      <c r="U876" s="14">
        <v>508.1</v>
      </c>
      <c r="V876" s="14">
        <v>503</v>
      </c>
      <c r="W876" s="14">
        <v>554</v>
      </c>
      <c r="X876" s="14">
        <v>676.5</v>
      </c>
      <c r="Y876" s="14">
        <v>1180</v>
      </c>
      <c r="Z876" s="14">
        <v>572.79999999999995</v>
      </c>
      <c r="AA876" s="14"/>
      <c r="AB876" s="14"/>
      <c r="AC876" s="15">
        <f>IFERROR(Z876/G876-1,"")</f>
        <v>-0.51873634683246517</v>
      </c>
      <c r="AD876" s="15">
        <f>IFERROR((Z876/G876)^(1/19)-1,"")</f>
        <v>-3.7760193415630972E-2</v>
      </c>
    </row>
    <row r="877" spans="1:30">
      <c r="A877" s="45" t="s">
        <v>103</v>
      </c>
      <c r="B877" s="45" t="s">
        <v>104</v>
      </c>
      <c r="C877" s="45" t="s">
        <v>490</v>
      </c>
      <c r="D877" s="45" t="s">
        <v>491</v>
      </c>
      <c r="E877" s="45" t="s">
        <v>492</v>
      </c>
      <c r="F877" s="45" t="s">
        <v>493</v>
      </c>
      <c r="G877" s="14">
        <v>1507930</v>
      </c>
      <c r="H877" s="14">
        <v>1737995</v>
      </c>
      <c r="I877" s="14">
        <v>2252427</v>
      </c>
      <c r="J877" s="14">
        <v>2565540</v>
      </c>
      <c r="K877" s="14">
        <v>2772713</v>
      </c>
      <c r="L877" s="14">
        <v>3081337</v>
      </c>
      <c r="M877" s="14">
        <v>3600000</v>
      </c>
      <c r="N877" s="14">
        <v>3650550</v>
      </c>
      <c r="O877" s="14">
        <v>4438424</v>
      </c>
      <c r="P877" s="14">
        <v>5083833</v>
      </c>
      <c r="Q877" s="14">
        <v>5721302</v>
      </c>
      <c r="R877" s="14">
        <v>6151752</v>
      </c>
      <c r="S877" s="14">
        <v>6229278</v>
      </c>
      <c r="T877" s="14">
        <v>5994319</v>
      </c>
      <c r="U877" s="14">
        <v>5818423</v>
      </c>
      <c r="V877" s="14">
        <v>6167477</v>
      </c>
      <c r="W877" s="14">
        <v>6734570</v>
      </c>
      <c r="X877" s="14">
        <v>7305492</v>
      </c>
      <c r="Y877" s="14">
        <v>7201163</v>
      </c>
      <c r="Z877" s="14">
        <v>8071719</v>
      </c>
      <c r="AA877" s="14">
        <v>9582885</v>
      </c>
      <c r="AB877" s="14">
        <v>10323666</v>
      </c>
    </row>
    <row r="878" spans="1:30">
      <c r="A878" s="45" t="s">
        <v>103</v>
      </c>
      <c r="B878" s="45" t="s">
        <v>104</v>
      </c>
      <c r="C878" s="45" t="s">
        <v>490</v>
      </c>
      <c r="D878" s="45" t="s">
        <v>494</v>
      </c>
      <c r="E878" s="45" t="s">
        <v>492</v>
      </c>
      <c r="F878" s="45" t="s">
        <v>493</v>
      </c>
      <c r="G878" s="14">
        <v>1354250</v>
      </c>
      <c r="H878" s="14">
        <v>1544222</v>
      </c>
      <c r="I878" s="14">
        <v>2014819</v>
      </c>
      <c r="J878" s="14">
        <v>2321199</v>
      </c>
      <c r="K878" s="14">
        <v>2509675</v>
      </c>
      <c r="L878" s="14">
        <v>2794471</v>
      </c>
      <c r="M878" s="14">
        <v>3258380</v>
      </c>
      <c r="N878" s="14">
        <v>3247025</v>
      </c>
      <c r="O878" s="14">
        <v>3975889</v>
      </c>
      <c r="P878" s="14">
        <v>4543922</v>
      </c>
      <c r="Q878" s="14">
        <v>5145765</v>
      </c>
      <c r="R878" s="14">
        <v>5547450</v>
      </c>
      <c r="S878" s="14">
        <v>5613719</v>
      </c>
      <c r="T878" s="14">
        <v>5352322</v>
      </c>
      <c r="U878" s="14">
        <v>5132461</v>
      </c>
      <c r="V878" s="14">
        <v>5434932</v>
      </c>
      <c r="W878" s="14">
        <v>5909686</v>
      </c>
      <c r="X878" s="14">
        <v>6428973</v>
      </c>
      <c r="Y878" s="14">
        <v>6257745</v>
      </c>
      <c r="Z878" s="14">
        <v>6898438</v>
      </c>
      <c r="AA878" s="14"/>
      <c r="AB878" s="14"/>
    </row>
    <row r="879" spans="1:30">
      <c r="A879" s="45" t="s">
        <v>103</v>
      </c>
      <c r="B879" s="45" t="s">
        <v>104</v>
      </c>
      <c r="C879" s="45" t="s">
        <v>490</v>
      </c>
      <c r="D879" s="45" t="s">
        <v>495</v>
      </c>
      <c r="E879" s="45" t="s">
        <v>492</v>
      </c>
      <c r="F879" s="45" t="s">
        <v>493</v>
      </c>
      <c r="G879" s="14">
        <v>578829</v>
      </c>
      <c r="H879" s="14">
        <v>624062</v>
      </c>
      <c r="I879" s="14">
        <v>863052</v>
      </c>
      <c r="J879" s="14">
        <v>1076965</v>
      </c>
      <c r="K879" s="14">
        <v>1087553</v>
      </c>
      <c r="L879" s="14">
        <v>1121358</v>
      </c>
      <c r="M879" s="14">
        <v>1426646</v>
      </c>
      <c r="N879" s="14">
        <v>1005839</v>
      </c>
      <c r="O879" s="14">
        <v>1388216</v>
      </c>
      <c r="P879" s="14">
        <v>1657176</v>
      </c>
      <c r="Q879" s="14">
        <v>1897486</v>
      </c>
      <c r="R879" s="14">
        <v>1965780</v>
      </c>
      <c r="S879" s="14">
        <v>1729182</v>
      </c>
      <c r="T879" s="14">
        <v>1384182</v>
      </c>
      <c r="U879" s="14">
        <v>968461</v>
      </c>
      <c r="V879" s="14">
        <v>952808</v>
      </c>
      <c r="W879" s="14">
        <v>1199290</v>
      </c>
      <c r="X879" s="14">
        <v>1250600</v>
      </c>
      <c r="Y879" s="14">
        <v>1098818</v>
      </c>
      <c r="Z879" s="14">
        <v>1285190</v>
      </c>
      <c r="AA879" s="14"/>
      <c r="AB879" s="14"/>
    </row>
    <row r="880" spans="1:30">
      <c r="A880" s="45" t="s">
        <v>103</v>
      </c>
      <c r="B880" s="45" t="s">
        <v>104</v>
      </c>
      <c r="C880" s="45" t="s">
        <v>490</v>
      </c>
      <c r="D880" s="45" t="s">
        <v>496</v>
      </c>
      <c r="E880" s="45" t="s">
        <v>492</v>
      </c>
      <c r="F880" s="45" t="s">
        <v>493</v>
      </c>
      <c r="G880" s="14">
        <v>485164</v>
      </c>
      <c r="H880" s="14">
        <v>593387</v>
      </c>
      <c r="I880" s="14">
        <v>789696</v>
      </c>
      <c r="J880" s="14">
        <v>832008</v>
      </c>
      <c r="K880" s="14">
        <v>925966</v>
      </c>
      <c r="L880" s="14">
        <v>1105607</v>
      </c>
      <c r="M880" s="14">
        <v>1209454</v>
      </c>
      <c r="N880" s="14">
        <v>1504071</v>
      </c>
      <c r="O880" s="14">
        <v>1769550</v>
      </c>
      <c r="P880" s="14">
        <v>1944461</v>
      </c>
      <c r="Q880" s="14">
        <v>2240225</v>
      </c>
      <c r="R880" s="14">
        <v>2411941</v>
      </c>
      <c r="S880" s="14">
        <v>2646876</v>
      </c>
      <c r="T880" s="14">
        <v>2646832</v>
      </c>
      <c r="U880" s="14">
        <v>2798739</v>
      </c>
      <c r="V880" s="14">
        <v>3011786</v>
      </c>
      <c r="W880" s="14">
        <v>3173896</v>
      </c>
      <c r="X880" s="14">
        <v>3478543</v>
      </c>
      <c r="Y880" s="14">
        <v>3382850</v>
      </c>
      <c r="Z880" s="14">
        <v>3766138</v>
      </c>
      <c r="AA880" s="14"/>
      <c r="AB880" s="14"/>
    </row>
    <row r="881" spans="1:30">
      <c r="A881" s="45" t="s">
        <v>103</v>
      </c>
      <c r="B881" s="45" t="s">
        <v>104</v>
      </c>
      <c r="C881" s="45" t="s">
        <v>490</v>
      </c>
      <c r="D881" s="45" t="s">
        <v>497</v>
      </c>
      <c r="E881" s="45" t="s">
        <v>492</v>
      </c>
      <c r="F881" s="45" t="s">
        <v>493</v>
      </c>
      <c r="G881" s="14">
        <v>255777</v>
      </c>
      <c r="H881" s="14">
        <v>279469</v>
      </c>
      <c r="I881" s="14">
        <v>315063</v>
      </c>
      <c r="J881" s="14">
        <v>368840</v>
      </c>
      <c r="K881" s="14">
        <v>419829</v>
      </c>
      <c r="L881" s="14">
        <v>506129</v>
      </c>
      <c r="M881" s="14">
        <v>567797</v>
      </c>
      <c r="N881" s="14">
        <v>630558</v>
      </c>
      <c r="O881" s="14">
        <v>720042</v>
      </c>
      <c r="P881" s="14">
        <v>823516</v>
      </c>
      <c r="Q881" s="14">
        <v>878829</v>
      </c>
      <c r="R881" s="14">
        <v>1028326</v>
      </c>
      <c r="S881" s="14">
        <v>1104403</v>
      </c>
      <c r="T881" s="14">
        <v>1180039</v>
      </c>
      <c r="U881" s="14">
        <v>1225900</v>
      </c>
      <c r="V881" s="14">
        <v>1326883</v>
      </c>
      <c r="W881" s="14">
        <v>1358309</v>
      </c>
      <c r="X881" s="14">
        <v>1492957</v>
      </c>
      <c r="Y881" s="14">
        <v>1550248</v>
      </c>
      <c r="Z881" s="14">
        <v>1662885</v>
      </c>
      <c r="AA881" s="14"/>
      <c r="AB881" s="14"/>
    </row>
    <row r="882" spans="1:30">
      <c r="A882" s="45" t="s">
        <v>103</v>
      </c>
      <c r="B882" s="45" t="s">
        <v>104</v>
      </c>
      <c r="C882" s="45" t="s">
        <v>498</v>
      </c>
      <c r="D882" s="45" t="s">
        <v>491</v>
      </c>
      <c r="E882" s="45" t="s">
        <v>499</v>
      </c>
      <c r="F882" s="45" t="s">
        <v>500</v>
      </c>
      <c r="G882" s="14">
        <v>2864683.6</v>
      </c>
      <c r="H882" s="14">
        <v>2893960.7</v>
      </c>
      <c r="I882" s="14">
        <v>3480721.1</v>
      </c>
      <c r="J882" s="14">
        <v>3690342.8</v>
      </c>
      <c r="K882" s="14">
        <v>3735306.6</v>
      </c>
      <c r="L882" s="14">
        <v>3899954.9</v>
      </c>
      <c r="M882" s="14">
        <v>4188703.4</v>
      </c>
      <c r="N882" s="14">
        <v>3958048.2</v>
      </c>
      <c r="O882" s="14">
        <v>4438424</v>
      </c>
      <c r="P882" s="14">
        <v>4693407.5999999996</v>
      </c>
      <c r="Q882" s="14">
        <v>4893244</v>
      </c>
      <c r="R882" s="14">
        <v>4894112.0999999996</v>
      </c>
      <c r="S882" s="14">
        <v>4595215.8</v>
      </c>
      <c r="T882" s="14">
        <v>4110856.5</v>
      </c>
      <c r="U882" s="14">
        <v>3691115.1</v>
      </c>
      <c r="V882" s="14">
        <v>3773991.6</v>
      </c>
      <c r="W882" s="14">
        <v>3943790.6</v>
      </c>
      <c r="X882" s="14">
        <v>4104730.3</v>
      </c>
      <c r="Y882" s="14">
        <v>3800146.6</v>
      </c>
      <c r="Z882" s="14">
        <v>3767937.3</v>
      </c>
      <c r="AA882" s="14"/>
      <c r="AB882" s="14"/>
      <c r="AC882" s="15">
        <f>IFERROR(Z882/G882-1,"")</f>
        <v>0.3153066188531255</v>
      </c>
      <c r="AD882" s="15">
        <f>IFERROR((Z882/G882)^(1/19)-1,"")</f>
        <v>1.4529265185100559E-2</v>
      </c>
    </row>
    <row r="883" spans="1:30">
      <c r="A883" s="45" t="s">
        <v>103</v>
      </c>
      <c r="B883" s="45" t="s">
        <v>104</v>
      </c>
      <c r="C883" s="45" t="s">
        <v>498</v>
      </c>
      <c r="D883" s="45" t="s">
        <v>495</v>
      </c>
      <c r="E883" s="45" t="s">
        <v>499</v>
      </c>
      <c r="F883" s="45" t="s">
        <v>500</v>
      </c>
      <c r="G883" s="14">
        <v>1099627.8</v>
      </c>
      <c r="H883" s="14">
        <v>1039134.2</v>
      </c>
      <c r="I883" s="14">
        <v>1333692.2</v>
      </c>
      <c r="J883" s="14">
        <v>1549135.2</v>
      </c>
      <c r="K883" s="14">
        <v>1465114.5</v>
      </c>
      <c r="L883" s="14">
        <v>1419268.5</v>
      </c>
      <c r="M883" s="14">
        <v>1659942.9</v>
      </c>
      <c r="N883" s="14">
        <v>1090564.2</v>
      </c>
      <c r="O883" s="14">
        <v>1388216</v>
      </c>
      <c r="P883" s="14">
        <v>1529909.1</v>
      </c>
      <c r="Q883" s="14">
        <v>1622858.2</v>
      </c>
      <c r="R883" s="14">
        <v>1563903.7</v>
      </c>
      <c r="S883" s="14">
        <v>1275583.5</v>
      </c>
      <c r="T883" s="14">
        <v>949261.1</v>
      </c>
      <c r="U883" s="14">
        <v>614376.30000000005</v>
      </c>
      <c r="V883" s="14">
        <v>583040.6</v>
      </c>
      <c r="W883" s="14">
        <v>702308.9</v>
      </c>
      <c r="X883" s="14">
        <v>702673.5</v>
      </c>
      <c r="Y883" s="14">
        <v>579860.4</v>
      </c>
      <c r="Z883" s="14">
        <v>599936.1</v>
      </c>
      <c r="AA883" s="14"/>
      <c r="AB883" s="14"/>
      <c r="AC883" s="15">
        <f>IFERROR(Z883/G883-1,"")</f>
        <v>-0.45441894066337718</v>
      </c>
      <c r="AD883" s="15">
        <f>IFERROR((Z883/G883)^(1/19)-1,"")</f>
        <v>-3.1386564767215797E-2</v>
      </c>
    </row>
    <row r="884" spans="1:30">
      <c r="A884" s="45" t="s">
        <v>103</v>
      </c>
      <c r="B884" s="45" t="s">
        <v>104</v>
      </c>
      <c r="C884" s="45" t="s">
        <v>498</v>
      </c>
      <c r="D884" s="45" t="s">
        <v>496</v>
      </c>
      <c r="E884" s="45" t="s">
        <v>499</v>
      </c>
      <c r="F884" s="45" t="s">
        <v>500</v>
      </c>
      <c r="G884" s="14">
        <v>921687.6</v>
      </c>
      <c r="H884" s="14">
        <v>988057.4</v>
      </c>
      <c r="I884" s="14">
        <v>1220333.2</v>
      </c>
      <c r="J884" s="14">
        <v>1196782.8</v>
      </c>
      <c r="K884" s="14">
        <v>1247430.1000000001</v>
      </c>
      <c r="L884" s="14">
        <v>1399333.3</v>
      </c>
      <c r="M884" s="14">
        <v>1407234.3</v>
      </c>
      <c r="N884" s="14">
        <v>1630764</v>
      </c>
      <c r="O884" s="14">
        <v>1769550</v>
      </c>
      <c r="P884" s="14">
        <v>1795131.3</v>
      </c>
      <c r="Q884" s="14">
        <v>1915991.8</v>
      </c>
      <c r="R884" s="14">
        <v>1918853.3</v>
      </c>
      <c r="S884" s="14">
        <v>1952548.3</v>
      </c>
      <c r="T884" s="14">
        <v>1815176.4</v>
      </c>
      <c r="U884" s="14">
        <v>1775475.5</v>
      </c>
      <c r="V884" s="14">
        <v>1842966.8</v>
      </c>
      <c r="W884" s="14">
        <v>1858645.9</v>
      </c>
      <c r="X884" s="14">
        <v>1954485.9</v>
      </c>
      <c r="Y884" s="14">
        <v>1785173.6</v>
      </c>
      <c r="Z884" s="14">
        <v>1758065.3</v>
      </c>
      <c r="AA884" s="14"/>
      <c r="AB884" s="14"/>
      <c r="AC884" s="15">
        <f>IFERROR(Z884/G884-1,"")</f>
        <v>0.90744163206709105</v>
      </c>
      <c r="AD884" s="15">
        <f>IFERROR((Z884/G884)^(1/19)-1,"")</f>
        <v>3.4571695439449712E-2</v>
      </c>
    </row>
    <row r="885" spans="1:30">
      <c r="A885" s="45" t="s">
        <v>103</v>
      </c>
      <c r="B885" s="45" t="s">
        <v>104</v>
      </c>
      <c r="C885" s="45" t="s">
        <v>498</v>
      </c>
      <c r="D885" s="45" t="s">
        <v>497</v>
      </c>
      <c r="E885" s="45" t="s">
        <v>499</v>
      </c>
      <c r="F885" s="45" t="s">
        <v>500</v>
      </c>
      <c r="G885" s="14">
        <v>485911.1</v>
      </c>
      <c r="H885" s="14">
        <v>465348.6</v>
      </c>
      <c r="I885" s="14">
        <v>486872.5</v>
      </c>
      <c r="J885" s="14">
        <v>530549.9</v>
      </c>
      <c r="K885" s="14">
        <v>565579.30000000005</v>
      </c>
      <c r="L885" s="14">
        <v>640592.30000000005</v>
      </c>
      <c r="M885" s="14">
        <v>660647.9</v>
      </c>
      <c r="N885" s="14">
        <v>683672</v>
      </c>
      <c r="O885" s="14">
        <v>720042</v>
      </c>
      <c r="P885" s="14">
        <v>760272.1</v>
      </c>
      <c r="Q885" s="14">
        <v>751633.9</v>
      </c>
      <c r="R885" s="14">
        <v>818099.1</v>
      </c>
      <c r="S885" s="14">
        <v>814696.4</v>
      </c>
      <c r="T885" s="14">
        <v>809261.4</v>
      </c>
      <c r="U885" s="14">
        <v>777691.5</v>
      </c>
      <c r="V885" s="14">
        <v>811943.9</v>
      </c>
      <c r="W885" s="14">
        <v>795431.1</v>
      </c>
      <c r="X885" s="14">
        <v>838846.4</v>
      </c>
      <c r="Y885" s="14">
        <v>818085.9</v>
      </c>
      <c r="Z885" s="14">
        <v>776262.2</v>
      </c>
      <c r="AA885" s="14"/>
      <c r="AB885" s="14"/>
      <c r="AC885" s="15">
        <f>IFERROR(Z885/G885-1,"")</f>
        <v>0.59753954993001801</v>
      </c>
      <c r="AD885" s="15">
        <f>IFERROR((Z885/G885)^(1/19)-1,"")</f>
        <v>2.4962508620630208E-2</v>
      </c>
    </row>
    <row r="886" spans="1:30">
      <c r="A886" s="45" t="s">
        <v>103</v>
      </c>
      <c r="B886" s="45" t="s">
        <v>104</v>
      </c>
      <c r="C886" s="45" t="s">
        <v>498</v>
      </c>
      <c r="D886" s="45" t="s">
        <v>501</v>
      </c>
      <c r="E886" s="45" t="s">
        <v>499</v>
      </c>
      <c r="F886" s="45" t="s">
        <v>500</v>
      </c>
      <c r="G886" s="14">
        <v>65504.800000000003</v>
      </c>
      <c r="H886" s="14">
        <v>78765</v>
      </c>
      <c r="I886" s="14">
        <v>72642.899999999994</v>
      </c>
      <c r="J886" s="14">
        <v>62407.5</v>
      </c>
      <c r="K886" s="14">
        <v>102826.5</v>
      </c>
      <c r="L886" s="14">
        <v>77682.5</v>
      </c>
      <c r="M886" s="14">
        <v>63393.5</v>
      </c>
      <c r="N886" s="14">
        <v>115532.7</v>
      </c>
      <c r="O886" s="14">
        <v>98080</v>
      </c>
      <c r="P886" s="14">
        <v>109647.8</v>
      </c>
      <c r="Q886" s="14">
        <v>110522</v>
      </c>
      <c r="R886" s="14">
        <v>112495.1</v>
      </c>
      <c r="S886" s="14">
        <v>98301.1</v>
      </c>
      <c r="T886" s="14">
        <v>96881.2</v>
      </c>
      <c r="U886" s="14">
        <v>88407.8</v>
      </c>
      <c r="V886" s="14">
        <v>87782.1</v>
      </c>
      <c r="W886" s="14">
        <v>104349.3</v>
      </c>
      <c r="X886" s="14">
        <v>116235.5</v>
      </c>
      <c r="Y886" s="14">
        <v>119172.9</v>
      </c>
      <c r="Z886" s="14">
        <v>85997.6</v>
      </c>
      <c r="AA886" s="14"/>
      <c r="AB886" s="14"/>
      <c r="AC886" s="15">
        <f>IFERROR(Z886/G886-1,"")</f>
        <v>0.31284424958171009</v>
      </c>
      <c r="AD886" s="15">
        <f>IFERROR((Z886/G886)^(1/19)-1,"")</f>
        <v>1.4429213921926864E-2</v>
      </c>
    </row>
    <row r="887" spans="1:30">
      <c r="A887" s="45" t="s">
        <v>101</v>
      </c>
      <c r="B887" s="45" t="s">
        <v>102</v>
      </c>
      <c r="C887" s="45" t="s">
        <v>490</v>
      </c>
      <c r="D887" s="45" t="s">
        <v>491</v>
      </c>
      <c r="E887" s="45" t="s">
        <v>492</v>
      </c>
      <c r="F887" s="45" t="s">
        <v>493</v>
      </c>
      <c r="G887" s="14">
        <v>4925784</v>
      </c>
      <c r="H887" s="14">
        <v>5162219</v>
      </c>
      <c r="I887" s="14">
        <v>5890449</v>
      </c>
      <c r="J887" s="14">
        <v>6762765</v>
      </c>
      <c r="K887" s="14">
        <v>7790190</v>
      </c>
      <c r="L887" s="14">
        <v>9203925</v>
      </c>
      <c r="M887" s="14">
        <v>9895552</v>
      </c>
      <c r="N887" s="14">
        <v>11708550</v>
      </c>
      <c r="O887" s="14">
        <v>12918972</v>
      </c>
      <c r="P887" s="14">
        <v>14701974</v>
      </c>
      <c r="Q887" s="14">
        <v>16542636</v>
      </c>
      <c r="R887" s="14">
        <v>18465101</v>
      </c>
      <c r="S887" s="14">
        <v>19100605</v>
      </c>
      <c r="T887" s="14">
        <v>20591133</v>
      </c>
      <c r="U887" s="14">
        <v>21861053</v>
      </c>
      <c r="V887" s="14">
        <v>23458658</v>
      </c>
      <c r="W887" s="14">
        <v>23372340</v>
      </c>
      <c r="X887" s="14">
        <v>24139377</v>
      </c>
      <c r="Y887" s="14">
        <v>22675071</v>
      </c>
      <c r="Z887" s="14">
        <v>24186139</v>
      </c>
      <c r="AA887" s="14">
        <v>27497422</v>
      </c>
      <c r="AB887" s="14">
        <v>31162043</v>
      </c>
    </row>
    <row r="888" spans="1:30">
      <c r="A888" s="45" t="s">
        <v>101</v>
      </c>
      <c r="B888" s="45" t="s">
        <v>102</v>
      </c>
      <c r="C888" s="45" t="s">
        <v>490</v>
      </c>
      <c r="D888" s="45" t="s">
        <v>494</v>
      </c>
      <c r="E888" s="45" t="s">
        <v>492</v>
      </c>
      <c r="F888" s="45" t="s">
        <v>493</v>
      </c>
      <c r="G888" s="14">
        <v>4182179</v>
      </c>
      <c r="H888" s="14">
        <v>4348420</v>
      </c>
      <c r="I888" s="14">
        <v>4966794</v>
      </c>
      <c r="J888" s="14">
        <v>5690088</v>
      </c>
      <c r="K888" s="14">
        <v>6588496</v>
      </c>
      <c r="L888" s="14">
        <v>7954796</v>
      </c>
      <c r="M888" s="14">
        <v>8420163</v>
      </c>
      <c r="N888" s="14">
        <v>10143834</v>
      </c>
      <c r="O888" s="14">
        <v>11221667</v>
      </c>
      <c r="P888" s="14">
        <v>12788620</v>
      </c>
      <c r="Q888" s="14">
        <v>14491322</v>
      </c>
      <c r="R888" s="14">
        <v>16244550</v>
      </c>
      <c r="S888" s="14">
        <v>16879340</v>
      </c>
      <c r="T888" s="14">
        <v>18151059</v>
      </c>
      <c r="U888" s="14">
        <v>18937853</v>
      </c>
      <c r="V888" s="14">
        <v>20296908</v>
      </c>
      <c r="W888" s="14">
        <v>20107582</v>
      </c>
      <c r="X888" s="14">
        <v>20958389</v>
      </c>
      <c r="Y888" s="14">
        <v>19581037</v>
      </c>
      <c r="Z888" s="14">
        <v>20775502</v>
      </c>
      <c r="AA888" s="14"/>
      <c r="AB888" s="14"/>
    </row>
    <row r="889" spans="1:30">
      <c r="A889" s="45" t="s">
        <v>101</v>
      </c>
      <c r="B889" s="45" t="s">
        <v>102</v>
      </c>
      <c r="C889" s="45" t="s">
        <v>490</v>
      </c>
      <c r="D889" s="45" t="s">
        <v>495</v>
      </c>
      <c r="E889" s="45" t="s">
        <v>492</v>
      </c>
      <c r="F889" s="45" t="s">
        <v>493</v>
      </c>
      <c r="G889" s="14">
        <v>904831</v>
      </c>
      <c r="H889" s="14">
        <v>615552</v>
      </c>
      <c r="I889" s="14">
        <v>879714</v>
      </c>
      <c r="J889" s="14">
        <v>947320</v>
      </c>
      <c r="K889" s="14">
        <v>1000035</v>
      </c>
      <c r="L889" s="14">
        <v>1539004</v>
      </c>
      <c r="M889" s="14">
        <v>1434614</v>
      </c>
      <c r="N889" s="14">
        <v>1705726</v>
      </c>
      <c r="O889" s="14">
        <v>1851697</v>
      </c>
      <c r="P889" s="14">
        <v>2338121</v>
      </c>
      <c r="Q889" s="14">
        <v>2654537</v>
      </c>
      <c r="R889" s="14">
        <v>2979331</v>
      </c>
      <c r="S889" s="14">
        <v>2914685</v>
      </c>
      <c r="T889" s="14">
        <v>3016913</v>
      </c>
      <c r="U889" s="14">
        <v>2927398</v>
      </c>
      <c r="V889" s="14">
        <v>2920256</v>
      </c>
      <c r="W889" s="14">
        <v>2904889</v>
      </c>
      <c r="X889" s="14">
        <v>2789384</v>
      </c>
      <c r="Y889" s="14">
        <v>2650476</v>
      </c>
      <c r="Z889" s="14">
        <v>2556518</v>
      </c>
      <c r="AA889" s="14"/>
      <c r="AB889" s="14"/>
    </row>
    <row r="890" spans="1:30">
      <c r="A890" s="45" t="s">
        <v>101</v>
      </c>
      <c r="B890" s="45" t="s">
        <v>102</v>
      </c>
      <c r="C890" s="45" t="s">
        <v>490</v>
      </c>
      <c r="D890" s="45" t="s">
        <v>496</v>
      </c>
      <c r="E890" s="45" t="s">
        <v>492</v>
      </c>
      <c r="F890" s="45" t="s">
        <v>493</v>
      </c>
      <c r="G890" s="14">
        <v>2417206</v>
      </c>
      <c r="H890" s="14">
        <v>2781832</v>
      </c>
      <c r="I890" s="14">
        <v>3029278</v>
      </c>
      <c r="J890" s="14">
        <v>3525172</v>
      </c>
      <c r="K890" s="14">
        <v>4195778</v>
      </c>
      <c r="L890" s="14">
        <v>4789703</v>
      </c>
      <c r="M890" s="14">
        <v>5170293</v>
      </c>
      <c r="N890" s="14">
        <v>6340771</v>
      </c>
      <c r="O890" s="14">
        <v>7051965</v>
      </c>
      <c r="P890" s="14">
        <v>7818260</v>
      </c>
      <c r="Q890" s="14">
        <v>9033245</v>
      </c>
      <c r="R890" s="14">
        <v>10122367</v>
      </c>
      <c r="S890" s="14">
        <v>10553275</v>
      </c>
      <c r="T890" s="14">
        <v>11508437</v>
      </c>
      <c r="U890" s="14">
        <v>12140656</v>
      </c>
      <c r="V890" s="14">
        <v>13157014</v>
      </c>
      <c r="W890" s="14">
        <v>12893735</v>
      </c>
      <c r="X890" s="14">
        <v>13620093</v>
      </c>
      <c r="Y890" s="14">
        <v>12191042</v>
      </c>
      <c r="Z890" s="14">
        <v>13347894</v>
      </c>
      <c r="AA890" s="14"/>
      <c r="AB890" s="14"/>
    </row>
    <row r="891" spans="1:30">
      <c r="A891" s="45" t="s">
        <v>101</v>
      </c>
      <c r="B891" s="45" t="s">
        <v>102</v>
      </c>
      <c r="C891" s="45" t="s">
        <v>490</v>
      </c>
      <c r="D891" s="45" t="s">
        <v>497</v>
      </c>
      <c r="E891" s="45" t="s">
        <v>492</v>
      </c>
      <c r="F891" s="45" t="s">
        <v>493</v>
      </c>
      <c r="G891" s="14">
        <v>851892</v>
      </c>
      <c r="H891" s="14">
        <v>936281</v>
      </c>
      <c r="I891" s="14">
        <v>1042992</v>
      </c>
      <c r="J891" s="14">
        <v>1201545</v>
      </c>
      <c r="K891" s="14">
        <v>1382006</v>
      </c>
      <c r="L891" s="14">
        <v>1619284</v>
      </c>
      <c r="M891" s="14">
        <v>1808406</v>
      </c>
      <c r="N891" s="14">
        <v>2086952</v>
      </c>
      <c r="O891" s="14">
        <v>2306696</v>
      </c>
      <c r="P891" s="14">
        <v>2620968</v>
      </c>
      <c r="Q891" s="14">
        <v>2790257</v>
      </c>
      <c r="R891" s="14">
        <v>3126281</v>
      </c>
      <c r="S891" s="14">
        <v>3397135</v>
      </c>
      <c r="T891" s="14">
        <v>3610420</v>
      </c>
      <c r="U891" s="14">
        <v>3852716</v>
      </c>
      <c r="V891" s="14">
        <v>4200153</v>
      </c>
      <c r="W891" s="14">
        <v>4287182</v>
      </c>
      <c r="X891" s="14">
        <v>4526097</v>
      </c>
      <c r="Y891" s="14">
        <v>4720366</v>
      </c>
      <c r="Z891" s="14">
        <v>4851091</v>
      </c>
      <c r="AA891" s="14"/>
      <c r="AB891" s="14"/>
    </row>
    <row r="892" spans="1:30">
      <c r="A892" s="45" t="s">
        <v>101</v>
      </c>
      <c r="B892" s="45" t="s">
        <v>102</v>
      </c>
      <c r="C892" s="45" t="s">
        <v>498</v>
      </c>
      <c r="D892" s="45" t="s">
        <v>491</v>
      </c>
      <c r="E892" s="45" t="s">
        <v>499</v>
      </c>
      <c r="F892" s="45" t="s">
        <v>500</v>
      </c>
      <c r="G892" s="14">
        <v>9357737.4000000004</v>
      </c>
      <c r="H892" s="14">
        <v>8595684.4000000004</v>
      </c>
      <c r="I892" s="14">
        <v>9102628.1999999993</v>
      </c>
      <c r="J892" s="14">
        <v>9727746.1999999993</v>
      </c>
      <c r="K892" s="14">
        <v>10494683.699999999</v>
      </c>
      <c r="L892" s="14">
        <v>11649127.6</v>
      </c>
      <c r="M892" s="14">
        <v>11513758</v>
      </c>
      <c r="N892" s="14">
        <v>12694800.800000001</v>
      </c>
      <c r="O892" s="14">
        <v>12918972</v>
      </c>
      <c r="P892" s="14">
        <v>13572899.800000001</v>
      </c>
      <c r="Q892" s="14">
        <v>14148379.9</v>
      </c>
      <c r="R892" s="14">
        <v>14690168.6</v>
      </c>
      <c r="S892" s="14">
        <v>14090140.300000001</v>
      </c>
      <c r="T892" s="14">
        <v>14121236</v>
      </c>
      <c r="U892" s="14">
        <v>13868304.6</v>
      </c>
      <c r="V892" s="14">
        <v>14354780.6</v>
      </c>
      <c r="W892" s="14">
        <v>13686934</v>
      </c>
      <c r="X892" s="14">
        <v>13563170.4</v>
      </c>
      <c r="Y892" s="14">
        <v>11965927.5</v>
      </c>
      <c r="Z892" s="14">
        <v>11290266</v>
      </c>
      <c r="AA892" s="14"/>
      <c r="AB892" s="14"/>
      <c r="AC892" s="15">
        <f>IFERROR(Z892/G892-1,"")</f>
        <v>0.20651665219842563</v>
      </c>
      <c r="AD892" s="15">
        <f>IFERROR((Z892/G892)^(1/19)-1,"")</f>
        <v>9.929893647273591E-3</v>
      </c>
    </row>
    <row r="893" spans="1:30">
      <c r="A893" s="45" t="s">
        <v>101</v>
      </c>
      <c r="B893" s="45" t="s">
        <v>102</v>
      </c>
      <c r="C893" s="45" t="s">
        <v>498</v>
      </c>
      <c r="D893" s="45" t="s">
        <v>495</v>
      </c>
      <c r="E893" s="45" t="s">
        <v>499</v>
      </c>
      <c r="F893" s="45" t="s">
        <v>500</v>
      </c>
      <c r="G893" s="14">
        <v>1718948</v>
      </c>
      <c r="H893" s="14">
        <v>1024964.7</v>
      </c>
      <c r="I893" s="14">
        <v>1359440.1</v>
      </c>
      <c r="J893" s="14">
        <v>1362651.4</v>
      </c>
      <c r="K893" s="14">
        <v>1347213.6</v>
      </c>
      <c r="L893" s="14">
        <v>1947870.5</v>
      </c>
      <c r="M893" s="14">
        <v>1669214.1</v>
      </c>
      <c r="N893" s="14">
        <v>1849405.1</v>
      </c>
      <c r="O893" s="14">
        <v>1851697</v>
      </c>
      <c r="P893" s="14">
        <v>2158559.2999999998</v>
      </c>
      <c r="Q893" s="14">
        <v>2270339.4</v>
      </c>
      <c r="R893" s="14">
        <v>2370248.2999999998</v>
      </c>
      <c r="S893" s="14">
        <v>2150105.7000000002</v>
      </c>
      <c r="T893" s="14">
        <v>2068975.1</v>
      </c>
      <c r="U893" s="14">
        <v>1857094.8</v>
      </c>
      <c r="V893" s="14">
        <v>1786957.9</v>
      </c>
      <c r="W893" s="14">
        <v>1701114.4</v>
      </c>
      <c r="X893" s="14">
        <v>1567268.7</v>
      </c>
      <c r="Y893" s="14">
        <v>1398690.4</v>
      </c>
      <c r="Z893" s="14">
        <v>1193402.2</v>
      </c>
      <c r="AA893" s="14"/>
      <c r="AB893" s="14"/>
      <c r="AC893" s="15">
        <f>IFERROR(Z893/G893-1,"")</f>
        <v>-0.3057368809294988</v>
      </c>
      <c r="AD893" s="15">
        <f>IFERROR((Z893/G893)^(1/19)-1,"")</f>
        <v>-1.9022236813427962E-2</v>
      </c>
    </row>
    <row r="894" spans="1:30">
      <c r="A894" s="45" t="s">
        <v>101</v>
      </c>
      <c r="B894" s="45" t="s">
        <v>102</v>
      </c>
      <c r="C894" s="45" t="s">
        <v>498</v>
      </c>
      <c r="D894" s="45" t="s">
        <v>496</v>
      </c>
      <c r="E894" s="45" t="s">
        <v>499</v>
      </c>
      <c r="F894" s="45" t="s">
        <v>500</v>
      </c>
      <c r="G894" s="14">
        <v>4592077.2</v>
      </c>
      <c r="H894" s="14">
        <v>4632067.8</v>
      </c>
      <c r="I894" s="14">
        <v>4681204.5</v>
      </c>
      <c r="J894" s="14">
        <v>5070703.3</v>
      </c>
      <c r="K894" s="14">
        <v>5652411.0999999996</v>
      </c>
      <c r="L894" s="14">
        <v>6062181.7000000002</v>
      </c>
      <c r="M894" s="14">
        <v>6015783.5999999996</v>
      </c>
      <c r="N894" s="14">
        <v>6874875.5999999996</v>
      </c>
      <c r="O894" s="14">
        <v>7051965</v>
      </c>
      <c r="P894" s="14">
        <v>7217837.5</v>
      </c>
      <c r="Q894" s="14">
        <v>7725841.4000000004</v>
      </c>
      <c r="R894" s="14">
        <v>8052990.2000000002</v>
      </c>
      <c r="S894" s="14">
        <v>7784943.2000000002</v>
      </c>
      <c r="T894" s="14">
        <v>7892395</v>
      </c>
      <c r="U894" s="14">
        <v>7701839.2000000002</v>
      </c>
      <c r="V894" s="14">
        <v>8051016.7999999998</v>
      </c>
      <c r="W894" s="14">
        <v>7550621.7999999998</v>
      </c>
      <c r="X894" s="14">
        <v>7652709.5999999996</v>
      </c>
      <c r="Y894" s="14">
        <v>6433370.0999999996</v>
      </c>
      <c r="Z894" s="14">
        <v>6230906.7999999998</v>
      </c>
      <c r="AA894" s="14"/>
      <c r="AB894" s="14"/>
      <c r="AC894" s="15">
        <f>IFERROR(Z894/G894-1,"")</f>
        <v>0.35688197924895504</v>
      </c>
      <c r="AD894" s="15">
        <f>IFERROR((Z894/G894)^(1/19)-1,"")</f>
        <v>1.619229733398253E-2</v>
      </c>
    </row>
    <row r="895" spans="1:30">
      <c r="A895" s="45" t="s">
        <v>101</v>
      </c>
      <c r="B895" s="45" t="s">
        <v>102</v>
      </c>
      <c r="C895" s="45" t="s">
        <v>498</v>
      </c>
      <c r="D895" s="45" t="s">
        <v>497</v>
      </c>
      <c r="E895" s="45" t="s">
        <v>499</v>
      </c>
      <c r="F895" s="45" t="s">
        <v>500</v>
      </c>
      <c r="G895" s="14">
        <v>1618377.7</v>
      </c>
      <c r="H895" s="14">
        <v>1559015</v>
      </c>
      <c r="I895" s="14">
        <v>1611756.5</v>
      </c>
      <c r="J895" s="14">
        <v>1728335.6</v>
      </c>
      <c r="K895" s="14">
        <v>1861792.1</v>
      </c>
      <c r="L895" s="14">
        <v>2049478.9</v>
      </c>
      <c r="M895" s="14">
        <v>2104132.2000000002</v>
      </c>
      <c r="N895" s="14">
        <v>2262743</v>
      </c>
      <c r="O895" s="14">
        <v>2306696</v>
      </c>
      <c r="P895" s="14">
        <v>2419684.2999999998</v>
      </c>
      <c r="Q895" s="14">
        <v>2386416.2999999998</v>
      </c>
      <c r="R895" s="14">
        <v>2487156.5</v>
      </c>
      <c r="S895" s="14">
        <v>2505999.6</v>
      </c>
      <c r="T895" s="14">
        <v>2475997.5</v>
      </c>
      <c r="U895" s="14">
        <v>2444101.7999999998</v>
      </c>
      <c r="V895" s="14">
        <v>2570150.2000000002</v>
      </c>
      <c r="W895" s="14">
        <v>2510590.6</v>
      </c>
      <c r="X895" s="14">
        <v>2543074.1</v>
      </c>
      <c r="Y895" s="14">
        <v>2490998</v>
      </c>
      <c r="Z895" s="14">
        <v>2264567.6</v>
      </c>
      <c r="AA895" s="14"/>
      <c r="AB895" s="14"/>
      <c r="AC895" s="15">
        <f>IFERROR(Z895/G895-1,"")</f>
        <v>0.39928250370726204</v>
      </c>
      <c r="AD895" s="15">
        <f>IFERROR((Z895/G895)^(1/19)-1,"")</f>
        <v>1.7839338174062913E-2</v>
      </c>
    </row>
    <row r="896" spans="1:30">
      <c r="A896" s="45" t="s">
        <v>101</v>
      </c>
      <c r="B896" s="45" t="s">
        <v>102</v>
      </c>
      <c r="C896" s="45" t="s">
        <v>498</v>
      </c>
      <c r="D896" s="45" t="s">
        <v>501</v>
      </c>
      <c r="E896" s="45" t="s">
        <v>499</v>
      </c>
      <c r="F896" s="45" t="s">
        <v>500</v>
      </c>
      <c r="G896" s="14">
        <v>15674</v>
      </c>
      <c r="H896" s="14">
        <v>24568.799999999999</v>
      </c>
      <c r="I896" s="14">
        <v>22885.1</v>
      </c>
      <c r="J896" s="14">
        <v>23087.7</v>
      </c>
      <c r="K896" s="14">
        <v>14384.7</v>
      </c>
      <c r="L896" s="14">
        <v>8612.7999999999993</v>
      </c>
      <c r="M896" s="14">
        <v>7970.4</v>
      </c>
      <c r="N896" s="14">
        <v>11259.8</v>
      </c>
      <c r="O896" s="14">
        <v>11310</v>
      </c>
      <c r="P896" s="14">
        <v>10406.299999999999</v>
      </c>
      <c r="Q896" s="14">
        <v>11361.4</v>
      </c>
      <c r="R896" s="14">
        <v>13182.5</v>
      </c>
      <c r="S896" s="14">
        <v>10507.5</v>
      </c>
      <c r="T896" s="14">
        <v>10485.1</v>
      </c>
      <c r="U896" s="14">
        <v>10837.2</v>
      </c>
      <c r="V896" s="14">
        <v>11923.2</v>
      </c>
      <c r="W896" s="14">
        <v>12752.7</v>
      </c>
      <c r="X896" s="14">
        <v>12819</v>
      </c>
      <c r="Y896" s="14">
        <v>10106.799999999999</v>
      </c>
      <c r="Z896" s="14">
        <v>9335.2000000000007</v>
      </c>
      <c r="AA896" s="14"/>
      <c r="AB896" s="14"/>
      <c r="AC896" s="15">
        <f>IFERROR(Z896/G896-1,"")</f>
        <v>-0.40441495470205435</v>
      </c>
      <c r="AD896" s="15">
        <f>IFERROR((Z896/G896)^(1/19)-1,"")</f>
        <v>-2.6905683460570318E-2</v>
      </c>
    </row>
    <row r="897" spans="1:30">
      <c r="A897" s="45" t="s">
        <v>159</v>
      </c>
      <c r="B897" s="45" t="s">
        <v>160</v>
      </c>
      <c r="C897" s="45" t="s">
        <v>490</v>
      </c>
      <c r="D897" s="45" t="s">
        <v>491</v>
      </c>
      <c r="E897" s="45" t="s">
        <v>492</v>
      </c>
      <c r="F897" s="45" t="s">
        <v>493</v>
      </c>
      <c r="G897" s="14">
        <v>59786</v>
      </c>
      <c r="H897" s="14">
        <v>74100</v>
      </c>
      <c r="I897" s="14">
        <v>78504</v>
      </c>
      <c r="J897" s="14">
        <v>88487</v>
      </c>
      <c r="K897" s="14">
        <v>115458</v>
      </c>
      <c r="L897" s="14">
        <v>121787</v>
      </c>
      <c r="M897" s="14">
        <v>127699</v>
      </c>
      <c r="N897" s="14">
        <v>149874</v>
      </c>
      <c r="O897" s="14">
        <v>168641</v>
      </c>
      <c r="P897" s="14">
        <v>186459</v>
      </c>
      <c r="Q897" s="14">
        <v>220382</v>
      </c>
      <c r="R897" s="14">
        <v>268034</v>
      </c>
      <c r="S897" s="14">
        <v>295976</v>
      </c>
      <c r="T897" s="14">
        <v>329124</v>
      </c>
      <c r="U897" s="14">
        <v>338527</v>
      </c>
      <c r="V897" s="14">
        <v>356995</v>
      </c>
      <c r="W897" s="14">
        <v>430498</v>
      </c>
      <c r="X897" s="14">
        <v>434224</v>
      </c>
      <c r="Y897" s="14">
        <v>441616</v>
      </c>
      <c r="Z897" s="14">
        <v>474716</v>
      </c>
      <c r="AA897" s="14">
        <v>573065</v>
      </c>
      <c r="AB897" s="14">
        <v>573358</v>
      </c>
    </row>
    <row r="898" spans="1:30">
      <c r="A898" s="45" t="s">
        <v>159</v>
      </c>
      <c r="B898" s="45" t="s">
        <v>160</v>
      </c>
      <c r="C898" s="45" t="s">
        <v>490</v>
      </c>
      <c r="D898" s="45" t="s">
        <v>494</v>
      </c>
      <c r="E898" s="45" t="s">
        <v>492</v>
      </c>
      <c r="F898" s="45" t="s">
        <v>493</v>
      </c>
      <c r="G898" s="14">
        <v>56503</v>
      </c>
      <c r="H898" s="14">
        <v>70854</v>
      </c>
      <c r="I898" s="14">
        <v>75299</v>
      </c>
      <c r="J898" s="14">
        <v>84490</v>
      </c>
      <c r="K898" s="14">
        <v>105724</v>
      </c>
      <c r="L898" s="14">
        <v>108972</v>
      </c>
      <c r="M898" s="14">
        <v>116241</v>
      </c>
      <c r="N898" s="14">
        <v>137869</v>
      </c>
      <c r="O898" s="14">
        <v>151257</v>
      </c>
      <c r="P898" s="14">
        <v>168580</v>
      </c>
      <c r="Q898" s="14">
        <v>192739</v>
      </c>
      <c r="R898" s="14">
        <v>235068</v>
      </c>
      <c r="S898" s="14">
        <v>262772</v>
      </c>
      <c r="T898" s="14">
        <v>288685</v>
      </c>
      <c r="U898" s="14">
        <v>322768</v>
      </c>
      <c r="V898" s="14">
        <v>342802</v>
      </c>
      <c r="W898" s="14">
        <v>410605</v>
      </c>
      <c r="X898" s="14">
        <v>412543</v>
      </c>
      <c r="Y898" s="14">
        <v>421096</v>
      </c>
      <c r="Z898" s="14">
        <v>441738</v>
      </c>
      <c r="AA898" s="14"/>
      <c r="AB898" s="14"/>
    </row>
    <row r="899" spans="1:30">
      <c r="A899" s="45" t="s">
        <v>159</v>
      </c>
      <c r="B899" s="45" t="s">
        <v>160</v>
      </c>
      <c r="C899" s="45" t="s">
        <v>490</v>
      </c>
      <c r="D899" s="45" t="s">
        <v>495</v>
      </c>
      <c r="E899" s="45" t="s">
        <v>492</v>
      </c>
      <c r="F899" s="45" t="s">
        <v>493</v>
      </c>
      <c r="G899" s="14">
        <v>4352</v>
      </c>
      <c r="H899" s="14">
        <v>4782</v>
      </c>
      <c r="I899" s="14">
        <v>5571</v>
      </c>
      <c r="J899" s="14">
        <v>8870</v>
      </c>
      <c r="K899" s="14">
        <v>10389</v>
      </c>
      <c r="L899" s="14">
        <v>11187</v>
      </c>
      <c r="M899" s="14">
        <v>10297</v>
      </c>
      <c r="N899" s="14">
        <v>10777</v>
      </c>
      <c r="O899" s="14">
        <v>13157</v>
      </c>
      <c r="P899" s="14">
        <v>14193</v>
      </c>
      <c r="Q899" s="14">
        <v>17202</v>
      </c>
      <c r="R899" s="14">
        <v>24389</v>
      </c>
      <c r="S899" s="14">
        <v>38883</v>
      </c>
      <c r="T899" s="14">
        <v>34749</v>
      </c>
      <c r="U899" s="14">
        <v>40694</v>
      </c>
      <c r="V899" s="14">
        <v>39356</v>
      </c>
      <c r="W899" s="14">
        <v>39983</v>
      </c>
      <c r="X899" s="14">
        <v>20661</v>
      </c>
      <c r="Y899" s="14">
        <v>23013</v>
      </c>
      <c r="Z899" s="14">
        <v>24345</v>
      </c>
      <c r="AA899" s="14"/>
      <c r="AB899" s="14"/>
    </row>
    <row r="900" spans="1:30">
      <c r="A900" s="45" t="s">
        <v>159</v>
      </c>
      <c r="B900" s="45" t="s">
        <v>160</v>
      </c>
      <c r="C900" s="45" t="s">
        <v>490</v>
      </c>
      <c r="D900" s="45" t="s">
        <v>496</v>
      </c>
      <c r="E900" s="45" t="s">
        <v>492</v>
      </c>
      <c r="F900" s="45" t="s">
        <v>493</v>
      </c>
      <c r="G900" s="14">
        <v>14454</v>
      </c>
      <c r="H900" s="14">
        <v>16970</v>
      </c>
      <c r="I900" s="14">
        <v>16895</v>
      </c>
      <c r="J900" s="14">
        <v>18749</v>
      </c>
      <c r="K900" s="14">
        <v>22375</v>
      </c>
      <c r="L900" s="14">
        <v>25099</v>
      </c>
      <c r="M900" s="14">
        <v>25064</v>
      </c>
      <c r="N900" s="14">
        <v>30167</v>
      </c>
      <c r="O900" s="14">
        <v>34343</v>
      </c>
      <c r="P900" s="14">
        <v>42100</v>
      </c>
      <c r="Q900" s="14">
        <v>49455</v>
      </c>
      <c r="R900" s="14">
        <v>60059</v>
      </c>
      <c r="S900" s="14">
        <v>62226</v>
      </c>
      <c r="T900" s="14">
        <v>72656</v>
      </c>
      <c r="U900" s="14">
        <v>78437</v>
      </c>
      <c r="V900" s="14">
        <v>78406</v>
      </c>
      <c r="W900" s="14">
        <v>94835</v>
      </c>
      <c r="X900" s="14">
        <v>105738</v>
      </c>
      <c r="Y900" s="14">
        <v>108844</v>
      </c>
      <c r="Z900" s="14">
        <v>119029</v>
      </c>
      <c r="AA900" s="14"/>
      <c r="AB900" s="14"/>
    </row>
    <row r="901" spans="1:30">
      <c r="A901" s="45" t="s">
        <v>159</v>
      </c>
      <c r="B901" s="45" t="s">
        <v>160</v>
      </c>
      <c r="C901" s="45" t="s">
        <v>490</v>
      </c>
      <c r="D901" s="45" t="s">
        <v>497</v>
      </c>
      <c r="E901" s="45" t="s">
        <v>492</v>
      </c>
      <c r="F901" s="45" t="s">
        <v>493</v>
      </c>
      <c r="G901" s="14">
        <v>21507</v>
      </c>
      <c r="H901" s="14">
        <v>23463</v>
      </c>
      <c r="I901" s="14">
        <v>26132</v>
      </c>
      <c r="J901" s="14">
        <v>32918</v>
      </c>
      <c r="K901" s="14">
        <v>38909</v>
      </c>
      <c r="L901" s="14">
        <v>46362</v>
      </c>
      <c r="M901" s="14">
        <v>52871</v>
      </c>
      <c r="N901" s="14">
        <v>60145</v>
      </c>
      <c r="O901" s="14">
        <v>66997</v>
      </c>
      <c r="P901" s="14">
        <v>76479</v>
      </c>
      <c r="Q901" s="14">
        <v>84482</v>
      </c>
      <c r="R901" s="14">
        <v>97187</v>
      </c>
      <c r="S901" s="14">
        <v>105774</v>
      </c>
      <c r="T901" s="14">
        <v>116385</v>
      </c>
      <c r="U901" s="14">
        <v>123388</v>
      </c>
      <c r="V901" s="14">
        <v>131138</v>
      </c>
      <c r="W901" s="14">
        <v>135837</v>
      </c>
      <c r="X901" s="14">
        <v>159221</v>
      </c>
      <c r="Y901" s="14">
        <v>165404</v>
      </c>
      <c r="Z901" s="14">
        <v>175294</v>
      </c>
      <c r="AA901" s="14"/>
      <c r="AB901" s="14"/>
    </row>
    <row r="902" spans="1:30">
      <c r="A902" s="45" t="s">
        <v>159</v>
      </c>
      <c r="B902" s="45" t="s">
        <v>160</v>
      </c>
      <c r="C902" s="45" t="s">
        <v>498</v>
      </c>
      <c r="D902" s="45" t="s">
        <v>491</v>
      </c>
      <c r="E902" s="45" t="s">
        <v>499</v>
      </c>
      <c r="F902" s="45" t="s">
        <v>500</v>
      </c>
      <c r="G902" s="14">
        <v>113578</v>
      </c>
      <c r="H902" s="14">
        <v>123385.1</v>
      </c>
      <c r="I902" s="14">
        <v>121313.4</v>
      </c>
      <c r="J902" s="14">
        <v>127282.1</v>
      </c>
      <c r="K902" s="14">
        <v>155541.79999999999</v>
      </c>
      <c r="L902" s="14">
        <v>154142.6</v>
      </c>
      <c r="M902" s="14">
        <v>148581.4</v>
      </c>
      <c r="N902" s="14">
        <v>162498.4</v>
      </c>
      <c r="O902" s="14">
        <v>168641</v>
      </c>
      <c r="P902" s="14">
        <v>172139.4</v>
      </c>
      <c r="Q902" s="14">
        <v>188485.6</v>
      </c>
      <c r="R902" s="14">
        <v>213238.2</v>
      </c>
      <c r="S902" s="14">
        <v>218335.7</v>
      </c>
      <c r="T902" s="14">
        <v>225710.6</v>
      </c>
      <c r="U902" s="14">
        <v>214756.1</v>
      </c>
      <c r="V902" s="14">
        <v>218451.8</v>
      </c>
      <c r="W902" s="14">
        <v>252101.3</v>
      </c>
      <c r="X902" s="14">
        <v>243977.1</v>
      </c>
      <c r="Y902" s="14">
        <v>233046.5</v>
      </c>
      <c r="Z902" s="14">
        <v>221600.9</v>
      </c>
      <c r="AA902" s="14"/>
      <c r="AB902" s="14"/>
      <c r="AC902" s="15">
        <f>IFERROR(Z902/G902-1,"")</f>
        <v>0.95108999982390952</v>
      </c>
      <c r="AD902" s="15">
        <f>IFERROR((Z902/G902)^(1/19)-1,"")</f>
        <v>3.5804403006041596E-2</v>
      </c>
    </row>
    <row r="903" spans="1:30">
      <c r="A903" s="45" t="s">
        <v>159</v>
      </c>
      <c r="B903" s="45" t="s">
        <v>160</v>
      </c>
      <c r="C903" s="45" t="s">
        <v>498</v>
      </c>
      <c r="D903" s="45" t="s">
        <v>495</v>
      </c>
      <c r="E903" s="45" t="s">
        <v>499</v>
      </c>
      <c r="F903" s="45" t="s">
        <v>500</v>
      </c>
      <c r="G903" s="14">
        <v>8268</v>
      </c>
      <c r="H903" s="14">
        <v>7963.3</v>
      </c>
      <c r="I903" s="14">
        <v>8609.5</v>
      </c>
      <c r="J903" s="14">
        <v>12758.5</v>
      </c>
      <c r="K903" s="14">
        <v>13995.8</v>
      </c>
      <c r="L903" s="14">
        <v>14159</v>
      </c>
      <c r="M903" s="14">
        <v>11981.3</v>
      </c>
      <c r="N903" s="14">
        <v>11684.8</v>
      </c>
      <c r="O903" s="14">
        <v>13157</v>
      </c>
      <c r="P903" s="14">
        <v>13103</v>
      </c>
      <c r="Q903" s="14">
        <v>14712.3</v>
      </c>
      <c r="R903" s="14">
        <v>19403</v>
      </c>
      <c r="S903" s="14">
        <v>28683.200000000001</v>
      </c>
      <c r="T903" s="14">
        <v>23830.6</v>
      </c>
      <c r="U903" s="14">
        <v>25815.599999999999</v>
      </c>
      <c r="V903" s="14">
        <v>24082.7</v>
      </c>
      <c r="W903" s="14">
        <v>23414.2</v>
      </c>
      <c r="X903" s="14">
        <v>11608.8</v>
      </c>
      <c r="Y903" s="14">
        <v>12144.3</v>
      </c>
      <c r="Z903" s="14">
        <v>11364.4</v>
      </c>
      <c r="AA903" s="14"/>
      <c r="AB903" s="14"/>
      <c r="AC903" s="15">
        <f>IFERROR(Z903/G903-1,"")</f>
        <v>0.37450411223996127</v>
      </c>
      <c r="AD903" s="15">
        <f>IFERROR((Z903/G903)^(1/19)-1,"")</f>
        <v>1.6882666174297789E-2</v>
      </c>
    </row>
    <row r="904" spans="1:30">
      <c r="A904" s="45" t="s">
        <v>159</v>
      </c>
      <c r="B904" s="45" t="s">
        <v>160</v>
      </c>
      <c r="C904" s="45" t="s">
        <v>498</v>
      </c>
      <c r="D904" s="45" t="s">
        <v>496</v>
      </c>
      <c r="E904" s="45" t="s">
        <v>499</v>
      </c>
      <c r="F904" s="45" t="s">
        <v>500</v>
      </c>
      <c r="G904" s="14">
        <v>27458.400000000001</v>
      </c>
      <c r="H904" s="14">
        <v>28257.7</v>
      </c>
      <c r="I904" s="14">
        <v>26108.7</v>
      </c>
      <c r="J904" s="14">
        <v>26969.200000000001</v>
      </c>
      <c r="K904" s="14">
        <v>30142.799999999999</v>
      </c>
      <c r="L904" s="14">
        <v>31767.1</v>
      </c>
      <c r="M904" s="14">
        <v>29162.2</v>
      </c>
      <c r="N904" s="14">
        <v>32708.1</v>
      </c>
      <c r="O904" s="14">
        <v>34343</v>
      </c>
      <c r="P904" s="14">
        <v>38866.800000000003</v>
      </c>
      <c r="Q904" s="14">
        <v>42297.3</v>
      </c>
      <c r="R904" s="14">
        <v>47780.800000000003</v>
      </c>
      <c r="S904" s="14">
        <v>45902.9</v>
      </c>
      <c r="T904" s="14">
        <v>49826.9</v>
      </c>
      <c r="U904" s="14">
        <v>49759.199999999997</v>
      </c>
      <c r="V904" s="14">
        <v>47978.1</v>
      </c>
      <c r="W904" s="14">
        <v>55535.7</v>
      </c>
      <c r="X904" s="14">
        <v>59410.9</v>
      </c>
      <c r="Y904" s="14">
        <v>57438.400000000001</v>
      </c>
      <c r="Z904" s="14">
        <v>55564.1</v>
      </c>
      <c r="AA904" s="14"/>
      <c r="AB904" s="14"/>
      <c r="AC904" s="15">
        <f>IFERROR(Z904/G904-1,"")</f>
        <v>1.0235738426128251</v>
      </c>
      <c r="AD904" s="15">
        <f>IFERROR((Z904/G904)^(1/19)-1,"")</f>
        <v>3.7794893277807828E-2</v>
      </c>
    </row>
    <row r="905" spans="1:30">
      <c r="A905" s="45" t="s">
        <v>159</v>
      </c>
      <c r="B905" s="45" t="s">
        <v>160</v>
      </c>
      <c r="C905" s="45" t="s">
        <v>498</v>
      </c>
      <c r="D905" s="45" t="s">
        <v>497</v>
      </c>
      <c r="E905" s="45" t="s">
        <v>499</v>
      </c>
      <c r="F905" s="45" t="s">
        <v>500</v>
      </c>
      <c r="G905" s="14">
        <v>40856.9</v>
      </c>
      <c r="H905" s="14">
        <v>39068</v>
      </c>
      <c r="I905" s="14">
        <v>40381.699999999997</v>
      </c>
      <c r="J905" s="14">
        <v>47350.3</v>
      </c>
      <c r="K905" s="14">
        <v>52416.3</v>
      </c>
      <c r="L905" s="14">
        <v>58679.199999999997</v>
      </c>
      <c r="M905" s="14">
        <v>61516.6</v>
      </c>
      <c r="N905" s="14">
        <v>65211.199999999997</v>
      </c>
      <c r="O905" s="14">
        <v>66997</v>
      </c>
      <c r="P905" s="14">
        <v>70605.600000000006</v>
      </c>
      <c r="Q905" s="14">
        <v>72254.7</v>
      </c>
      <c r="R905" s="14">
        <v>77318.5</v>
      </c>
      <c r="S905" s="14">
        <v>78027.399999999994</v>
      </c>
      <c r="T905" s="14">
        <v>79815.899999999994</v>
      </c>
      <c r="U905" s="14">
        <v>78275.399999999994</v>
      </c>
      <c r="V905" s="14">
        <v>80245.7</v>
      </c>
      <c r="W905" s="14">
        <v>79546.7</v>
      </c>
      <c r="X905" s="14">
        <v>89461.4</v>
      </c>
      <c r="Y905" s="14">
        <v>87285.8</v>
      </c>
      <c r="Z905" s="14">
        <v>81830.899999999994</v>
      </c>
      <c r="AA905" s="14"/>
      <c r="AB905" s="14"/>
      <c r="AC905" s="15">
        <f>IFERROR(Z905/G905-1,"")</f>
        <v>1.0028661009523483</v>
      </c>
      <c r="AD905" s="15">
        <f>IFERROR((Z905/G905)^(1/19)-1,"")</f>
        <v>3.7233217475167946E-2</v>
      </c>
    </row>
    <row r="906" spans="1:30">
      <c r="A906" s="45" t="s">
        <v>159</v>
      </c>
      <c r="B906" s="45" t="s">
        <v>160</v>
      </c>
      <c r="C906" s="45" t="s">
        <v>498</v>
      </c>
      <c r="D906" s="45" t="s">
        <v>501</v>
      </c>
      <c r="E906" s="45" t="s">
        <v>499</v>
      </c>
      <c r="F906" s="45" t="s">
        <v>500</v>
      </c>
      <c r="G906" s="14">
        <v>30757.3</v>
      </c>
      <c r="H906" s="14">
        <v>42690.2</v>
      </c>
      <c r="I906" s="14">
        <v>41261.800000000003</v>
      </c>
      <c r="J906" s="14">
        <v>34454.9</v>
      </c>
      <c r="K906" s="14">
        <v>45872.3</v>
      </c>
      <c r="L906" s="14">
        <v>33317.5</v>
      </c>
      <c r="M906" s="14">
        <v>32589.1</v>
      </c>
      <c r="N906" s="14">
        <v>39878.1</v>
      </c>
      <c r="O906" s="14">
        <v>36760</v>
      </c>
      <c r="P906" s="14">
        <v>33058</v>
      </c>
      <c r="Q906" s="14">
        <v>35580</v>
      </c>
      <c r="R906" s="14">
        <v>42509.4</v>
      </c>
      <c r="S906" s="14">
        <v>41229</v>
      </c>
      <c r="T906" s="14">
        <v>44504.5</v>
      </c>
      <c r="U906" s="14">
        <v>50908.7</v>
      </c>
      <c r="V906" s="14">
        <v>57460.3</v>
      </c>
      <c r="W906" s="14">
        <v>81954.7</v>
      </c>
      <c r="X906" s="14">
        <v>71315.199999999997</v>
      </c>
      <c r="Y906" s="14">
        <v>65349.3</v>
      </c>
      <c r="Z906" s="14">
        <v>57450</v>
      </c>
      <c r="AA906" s="14"/>
      <c r="AB906" s="14"/>
      <c r="AC906" s="15">
        <f>IFERROR(Z906/G906-1,"")</f>
        <v>0.86784925855000283</v>
      </c>
      <c r="AD906" s="15">
        <f>IFERROR((Z906/G906)^(1/19)-1,"")</f>
        <v>3.3430199614273848E-2</v>
      </c>
    </row>
    <row r="907" spans="1:30">
      <c r="A907" s="45" t="s">
        <v>151</v>
      </c>
      <c r="B907" s="45" t="s">
        <v>152</v>
      </c>
      <c r="C907" s="45" t="s">
        <v>490</v>
      </c>
      <c r="D907" s="45" t="s">
        <v>491</v>
      </c>
      <c r="E907" s="45" t="s">
        <v>492</v>
      </c>
      <c r="F907" s="45" t="s">
        <v>493</v>
      </c>
      <c r="G907" s="14">
        <v>75846</v>
      </c>
      <c r="H907" s="14">
        <v>90216</v>
      </c>
      <c r="I907" s="14">
        <v>100693</v>
      </c>
      <c r="J907" s="14">
        <v>110825</v>
      </c>
      <c r="K907" s="14">
        <v>128067</v>
      </c>
      <c r="L907" s="14">
        <v>151884</v>
      </c>
      <c r="M907" s="14">
        <v>168855</v>
      </c>
      <c r="N907" s="14">
        <v>209323</v>
      </c>
      <c r="O907" s="14">
        <v>247259</v>
      </c>
      <c r="P907" s="14">
        <v>251480</v>
      </c>
      <c r="Q907" s="14">
        <v>291204</v>
      </c>
      <c r="R907" s="14">
        <v>325213</v>
      </c>
      <c r="S907" s="14">
        <v>358996</v>
      </c>
      <c r="T907" s="14">
        <v>411902</v>
      </c>
      <c r="U907" s="14">
        <v>446884</v>
      </c>
      <c r="V907" s="14">
        <v>462046</v>
      </c>
      <c r="W907" s="14">
        <v>456380</v>
      </c>
      <c r="X907" s="14">
        <v>474435</v>
      </c>
      <c r="Y907" s="14">
        <v>535376</v>
      </c>
      <c r="Z907" s="14">
        <v>560495</v>
      </c>
      <c r="AA907" s="14">
        <v>631950</v>
      </c>
      <c r="AB907" s="14">
        <v>629221</v>
      </c>
    </row>
    <row r="908" spans="1:30">
      <c r="A908" s="45" t="s">
        <v>151</v>
      </c>
      <c r="B908" s="45" t="s">
        <v>152</v>
      </c>
      <c r="C908" s="45" t="s">
        <v>490</v>
      </c>
      <c r="D908" s="45" t="s">
        <v>494</v>
      </c>
      <c r="E908" s="45" t="s">
        <v>492</v>
      </c>
      <c r="F908" s="45" t="s">
        <v>493</v>
      </c>
      <c r="G908" s="14">
        <v>70211</v>
      </c>
      <c r="H908" s="14">
        <v>82369</v>
      </c>
      <c r="I908" s="14">
        <v>92706</v>
      </c>
      <c r="J908" s="14">
        <v>102108</v>
      </c>
      <c r="K908" s="14">
        <v>118019</v>
      </c>
      <c r="L908" s="14">
        <v>139623</v>
      </c>
      <c r="M908" s="14">
        <v>155183</v>
      </c>
      <c r="N908" s="14">
        <v>193124</v>
      </c>
      <c r="O908" s="14">
        <v>223036</v>
      </c>
      <c r="P908" s="14">
        <v>228841</v>
      </c>
      <c r="Q908" s="14">
        <v>263565</v>
      </c>
      <c r="R908" s="14">
        <v>297568</v>
      </c>
      <c r="S908" s="14">
        <v>326861</v>
      </c>
      <c r="T908" s="14">
        <v>369254</v>
      </c>
      <c r="U908" s="14">
        <v>405286</v>
      </c>
      <c r="V908" s="14">
        <v>413229</v>
      </c>
      <c r="W908" s="14">
        <v>404223</v>
      </c>
      <c r="X908" s="14">
        <v>423566</v>
      </c>
      <c r="Y908" s="14">
        <v>474003</v>
      </c>
      <c r="Z908" s="14">
        <v>492626</v>
      </c>
      <c r="AA908" s="14"/>
      <c r="AB908" s="14"/>
    </row>
    <row r="909" spans="1:30">
      <c r="A909" s="45" t="s">
        <v>151</v>
      </c>
      <c r="B909" s="45" t="s">
        <v>152</v>
      </c>
      <c r="C909" s="45" t="s">
        <v>490</v>
      </c>
      <c r="D909" s="45" t="s">
        <v>495</v>
      </c>
      <c r="E909" s="45" t="s">
        <v>492</v>
      </c>
      <c r="F909" s="45" t="s">
        <v>493</v>
      </c>
      <c r="G909" s="14">
        <v>6307</v>
      </c>
      <c r="H909" s="14">
        <v>5067</v>
      </c>
      <c r="I909" s="14">
        <v>6112</v>
      </c>
      <c r="J909" s="14">
        <v>6973</v>
      </c>
      <c r="K909" s="14">
        <v>6989</v>
      </c>
      <c r="L909" s="14">
        <v>7649</v>
      </c>
      <c r="M909" s="14">
        <v>10016</v>
      </c>
      <c r="N909" s="14">
        <v>16365</v>
      </c>
      <c r="O909" s="14">
        <v>14888</v>
      </c>
      <c r="P909" s="14">
        <v>17139</v>
      </c>
      <c r="Q909" s="14">
        <v>18631</v>
      </c>
      <c r="R909" s="14">
        <v>40317</v>
      </c>
      <c r="S909" s="14">
        <v>35958</v>
      </c>
      <c r="T909" s="14">
        <v>36184</v>
      </c>
      <c r="U909" s="14">
        <v>54599</v>
      </c>
      <c r="V909" s="14">
        <v>20799</v>
      </c>
      <c r="W909" s="14">
        <v>13266</v>
      </c>
      <c r="X909" s="14">
        <v>14959</v>
      </c>
      <c r="Y909" s="14">
        <v>30690</v>
      </c>
      <c r="Z909" s="14">
        <v>28436</v>
      </c>
      <c r="AA909" s="14"/>
      <c r="AB909" s="14"/>
    </row>
    <row r="910" spans="1:30">
      <c r="A910" s="45" t="s">
        <v>151</v>
      </c>
      <c r="B910" s="45" t="s">
        <v>152</v>
      </c>
      <c r="C910" s="45" t="s">
        <v>490</v>
      </c>
      <c r="D910" s="45" t="s">
        <v>496</v>
      </c>
      <c r="E910" s="45" t="s">
        <v>492</v>
      </c>
      <c r="F910" s="45" t="s">
        <v>493</v>
      </c>
      <c r="G910" s="14">
        <v>25023</v>
      </c>
      <c r="H910" s="14">
        <v>31725</v>
      </c>
      <c r="I910" s="14">
        <v>35335</v>
      </c>
      <c r="J910" s="14">
        <v>38794</v>
      </c>
      <c r="K910" s="14">
        <v>46304</v>
      </c>
      <c r="L910" s="14">
        <v>56284</v>
      </c>
      <c r="M910" s="14">
        <v>58139</v>
      </c>
      <c r="N910" s="14">
        <v>80864</v>
      </c>
      <c r="O910" s="14">
        <v>102637</v>
      </c>
      <c r="P910" s="14">
        <v>95114</v>
      </c>
      <c r="Q910" s="14">
        <v>121783</v>
      </c>
      <c r="R910" s="14">
        <v>116353</v>
      </c>
      <c r="S910" s="14">
        <v>137491</v>
      </c>
      <c r="T910" s="14">
        <v>163320</v>
      </c>
      <c r="U910" s="14">
        <v>165407</v>
      </c>
      <c r="V910" s="14">
        <v>198097</v>
      </c>
      <c r="W910" s="14">
        <v>187685</v>
      </c>
      <c r="X910" s="14">
        <v>193689</v>
      </c>
      <c r="Y910" s="14">
        <v>217608</v>
      </c>
      <c r="Z910" s="14">
        <v>234694</v>
      </c>
      <c r="AA910" s="14"/>
      <c r="AB910" s="14"/>
    </row>
    <row r="911" spans="1:30">
      <c r="A911" s="45" t="s">
        <v>151</v>
      </c>
      <c r="B911" s="45" t="s">
        <v>152</v>
      </c>
      <c r="C911" s="45" t="s">
        <v>490</v>
      </c>
      <c r="D911" s="45" t="s">
        <v>497</v>
      </c>
      <c r="E911" s="45" t="s">
        <v>492</v>
      </c>
      <c r="F911" s="45" t="s">
        <v>493</v>
      </c>
      <c r="G911" s="14">
        <v>36178</v>
      </c>
      <c r="H911" s="14">
        <v>39523</v>
      </c>
      <c r="I911" s="14">
        <v>45889</v>
      </c>
      <c r="J911" s="14">
        <v>51299</v>
      </c>
      <c r="K911" s="14">
        <v>59171</v>
      </c>
      <c r="L911" s="14">
        <v>69408</v>
      </c>
      <c r="M911" s="14">
        <v>78485</v>
      </c>
      <c r="N911" s="14">
        <v>86850</v>
      </c>
      <c r="O911" s="14">
        <v>96694</v>
      </c>
      <c r="P911" s="14">
        <v>106493</v>
      </c>
      <c r="Q911" s="14">
        <v>114512</v>
      </c>
      <c r="R911" s="14">
        <v>130200</v>
      </c>
      <c r="S911" s="14">
        <v>142766</v>
      </c>
      <c r="T911" s="14">
        <v>155368</v>
      </c>
      <c r="U911" s="14">
        <v>167972</v>
      </c>
      <c r="V911" s="14">
        <v>174251</v>
      </c>
      <c r="W911" s="14">
        <v>179218</v>
      </c>
      <c r="X911" s="14">
        <v>195569</v>
      </c>
      <c r="Y911" s="14">
        <v>205830</v>
      </c>
      <c r="Z911" s="14">
        <v>212905</v>
      </c>
      <c r="AA911" s="14"/>
      <c r="AB911" s="14"/>
    </row>
    <row r="912" spans="1:30">
      <c r="A912" s="45" t="s">
        <v>151</v>
      </c>
      <c r="B912" s="45" t="s">
        <v>152</v>
      </c>
      <c r="C912" s="45" t="s">
        <v>498</v>
      </c>
      <c r="D912" s="45" t="s">
        <v>491</v>
      </c>
      <c r="E912" s="45" t="s">
        <v>499</v>
      </c>
      <c r="F912" s="45" t="s">
        <v>500</v>
      </c>
      <c r="G912" s="14">
        <v>144088</v>
      </c>
      <c r="H912" s="14">
        <v>150220</v>
      </c>
      <c r="I912" s="14">
        <v>155602.20000000001</v>
      </c>
      <c r="J912" s="14">
        <v>159413.5</v>
      </c>
      <c r="K912" s="14">
        <v>172527.2</v>
      </c>
      <c r="L912" s="14">
        <v>192234.8</v>
      </c>
      <c r="M912" s="14">
        <v>196467.8</v>
      </c>
      <c r="N912" s="14">
        <v>226955</v>
      </c>
      <c r="O912" s="14">
        <v>247259</v>
      </c>
      <c r="P912" s="14">
        <v>232167</v>
      </c>
      <c r="Q912" s="14">
        <v>249057.3</v>
      </c>
      <c r="R912" s="14">
        <v>258727.7</v>
      </c>
      <c r="S912" s="14">
        <v>264824.3</v>
      </c>
      <c r="T912" s="14">
        <v>282479.09999999998</v>
      </c>
      <c r="U912" s="14">
        <v>283496.09999999998</v>
      </c>
      <c r="V912" s="14">
        <v>282734.40000000002</v>
      </c>
      <c r="W912" s="14">
        <v>267257.90000000002</v>
      </c>
      <c r="X912" s="14">
        <v>266570.40000000002</v>
      </c>
      <c r="Y912" s="14">
        <v>282524.79999999999</v>
      </c>
      <c r="Z912" s="14">
        <v>261643.2</v>
      </c>
      <c r="AA912" s="14"/>
      <c r="AB912" s="14"/>
      <c r="AC912" s="15">
        <f>IFERROR(Z912/G912-1,"")</f>
        <v>0.81585697629226583</v>
      </c>
      <c r="AD912" s="15">
        <f>IFERROR((Z912/G912)^(1/19)-1,"")</f>
        <v>3.1895873487843618E-2</v>
      </c>
    </row>
    <row r="913" spans="1:30">
      <c r="A913" s="45" t="s">
        <v>151</v>
      </c>
      <c r="B913" s="45" t="s">
        <v>152</v>
      </c>
      <c r="C913" s="45" t="s">
        <v>498</v>
      </c>
      <c r="D913" s="45" t="s">
        <v>495</v>
      </c>
      <c r="E913" s="45" t="s">
        <v>499</v>
      </c>
      <c r="F913" s="45" t="s">
        <v>500</v>
      </c>
      <c r="G913" s="14">
        <v>11981.1</v>
      </c>
      <c r="H913" s="14">
        <v>8437.7999999999993</v>
      </c>
      <c r="I913" s="14">
        <v>9444.9</v>
      </c>
      <c r="J913" s="14">
        <v>10030.5</v>
      </c>
      <c r="K913" s="14">
        <v>9415.4</v>
      </c>
      <c r="L913" s="14">
        <v>9681.4</v>
      </c>
      <c r="M913" s="14">
        <v>11654</v>
      </c>
      <c r="N913" s="14">
        <v>17743.5</v>
      </c>
      <c r="O913" s="14">
        <v>14888</v>
      </c>
      <c r="P913" s="14">
        <v>15822.8</v>
      </c>
      <c r="Q913" s="14">
        <v>15934.5</v>
      </c>
      <c r="R913" s="14">
        <v>32074.799999999999</v>
      </c>
      <c r="S913" s="14">
        <v>26525.5</v>
      </c>
      <c r="T913" s="14">
        <v>24814.7</v>
      </c>
      <c r="U913" s="14">
        <v>34636.699999999997</v>
      </c>
      <c r="V913" s="14">
        <v>12727.3</v>
      </c>
      <c r="W913" s="14">
        <v>7768.6</v>
      </c>
      <c r="X913" s="14">
        <v>8405</v>
      </c>
      <c r="Y913" s="14">
        <v>16195.5</v>
      </c>
      <c r="Z913" s="14">
        <v>13274.1</v>
      </c>
      <c r="AA913" s="14"/>
      <c r="AB913" s="14"/>
      <c r="AC913" s="15">
        <f>IFERROR(Z913/G913-1,"")</f>
        <v>0.10791997395898534</v>
      </c>
      <c r="AD913" s="15">
        <f>IFERROR((Z913/G913)^(1/19)-1,"")</f>
        <v>5.4084870298314325E-3</v>
      </c>
    </row>
    <row r="914" spans="1:30">
      <c r="A914" s="45" t="s">
        <v>151</v>
      </c>
      <c r="B914" s="45" t="s">
        <v>152</v>
      </c>
      <c r="C914" s="45" t="s">
        <v>498</v>
      </c>
      <c r="D914" s="45" t="s">
        <v>496</v>
      </c>
      <c r="E914" s="45" t="s">
        <v>499</v>
      </c>
      <c r="F914" s="45" t="s">
        <v>500</v>
      </c>
      <c r="G914" s="14">
        <v>47537.1</v>
      </c>
      <c r="H914" s="14">
        <v>52826.6</v>
      </c>
      <c r="I914" s="14">
        <v>54603.3</v>
      </c>
      <c r="J914" s="14">
        <v>55802.3</v>
      </c>
      <c r="K914" s="14">
        <v>62379.4</v>
      </c>
      <c r="L914" s="14">
        <v>71236.7</v>
      </c>
      <c r="M914" s="14">
        <v>67646.3</v>
      </c>
      <c r="N914" s="14">
        <v>87675.4</v>
      </c>
      <c r="O914" s="14">
        <v>102637</v>
      </c>
      <c r="P914" s="14">
        <v>87809.5</v>
      </c>
      <c r="Q914" s="14">
        <v>104157</v>
      </c>
      <c r="R914" s="14">
        <v>92566.3</v>
      </c>
      <c r="S914" s="14">
        <v>101424.4</v>
      </c>
      <c r="T914" s="14">
        <v>112003.6</v>
      </c>
      <c r="U914" s="14">
        <v>104931.6</v>
      </c>
      <c r="V914" s="14">
        <v>121219.2</v>
      </c>
      <c r="W914" s="14">
        <v>109909.1</v>
      </c>
      <c r="X914" s="14">
        <v>108827.9</v>
      </c>
      <c r="Y914" s="14">
        <v>114834.5</v>
      </c>
      <c r="Z914" s="14">
        <v>109557.8</v>
      </c>
      <c r="AA914" s="14"/>
      <c r="AB914" s="14"/>
      <c r="AC914" s="15">
        <f>IFERROR(Z914/G914-1,"")</f>
        <v>1.3046799236806623</v>
      </c>
      <c r="AD914" s="15">
        <f>IFERROR((Z914/G914)^(1/19)-1,"")</f>
        <v>4.492415677029804E-2</v>
      </c>
    </row>
    <row r="915" spans="1:30">
      <c r="A915" s="45" t="s">
        <v>151</v>
      </c>
      <c r="B915" s="45" t="s">
        <v>152</v>
      </c>
      <c r="C915" s="45" t="s">
        <v>498</v>
      </c>
      <c r="D915" s="45" t="s">
        <v>497</v>
      </c>
      <c r="E915" s="45" t="s">
        <v>499</v>
      </c>
      <c r="F915" s="45" t="s">
        <v>500</v>
      </c>
      <c r="G915" s="14">
        <v>68729.7</v>
      </c>
      <c r="H915" s="14">
        <v>65811</v>
      </c>
      <c r="I915" s="14">
        <v>70912.899999999994</v>
      </c>
      <c r="J915" s="14">
        <v>73789.899999999994</v>
      </c>
      <c r="K915" s="14">
        <v>79712.7</v>
      </c>
      <c r="L915" s="14">
        <v>87847.9</v>
      </c>
      <c r="M915" s="14">
        <v>91319.3</v>
      </c>
      <c r="N915" s="14">
        <v>94165.7</v>
      </c>
      <c r="O915" s="14">
        <v>96694</v>
      </c>
      <c r="P915" s="14">
        <v>98314.6</v>
      </c>
      <c r="Q915" s="14">
        <v>97938.4</v>
      </c>
      <c r="R915" s="14">
        <v>103582.39999999999</v>
      </c>
      <c r="S915" s="14">
        <v>105315.7</v>
      </c>
      <c r="T915" s="14">
        <v>106550.1</v>
      </c>
      <c r="U915" s="14">
        <v>106558.8</v>
      </c>
      <c r="V915" s="14">
        <v>106627.4</v>
      </c>
      <c r="W915" s="14">
        <v>104950.8</v>
      </c>
      <c r="X915" s="14">
        <v>109884.2</v>
      </c>
      <c r="Y915" s="14">
        <v>108619.1</v>
      </c>
      <c r="Z915" s="14">
        <v>99387.9</v>
      </c>
      <c r="AA915" s="14"/>
      <c r="AB915" s="14"/>
      <c r="AC915" s="15">
        <f>IFERROR(Z915/G915-1,"")</f>
        <v>0.4460691666048302</v>
      </c>
      <c r="AD915" s="15">
        <f>IFERROR((Z915/G915)^(1/19)-1,"")</f>
        <v>1.9602762517427763E-2</v>
      </c>
    </row>
    <row r="916" spans="1:30">
      <c r="A916" s="45" t="s">
        <v>151</v>
      </c>
      <c r="B916" s="45" t="s">
        <v>152</v>
      </c>
      <c r="C916" s="45" t="s">
        <v>498</v>
      </c>
      <c r="D916" s="45" t="s">
        <v>501</v>
      </c>
      <c r="E916" s="45" t="s">
        <v>499</v>
      </c>
      <c r="F916" s="45" t="s">
        <v>500</v>
      </c>
      <c r="G916" s="14">
        <v>5135.2</v>
      </c>
      <c r="H916" s="14">
        <v>10079.1</v>
      </c>
      <c r="I916" s="14">
        <v>8300.1</v>
      </c>
      <c r="J916" s="14">
        <v>7251.9</v>
      </c>
      <c r="K916" s="14">
        <v>7483.4</v>
      </c>
      <c r="L916" s="14">
        <v>7950.1</v>
      </c>
      <c r="M916" s="14">
        <v>9940.4</v>
      </c>
      <c r="N916" s="14">
        <v>9806.9</v>
      </c>
      <c r="O916" s="14">
        <v>8817</v>
      </c>
      <c r="P916" s="14">
        <v>9319.7000000000007</v>
      </c>
      <c r="Q916" s="14">
        <v>7388.7</v>
      </c>
      <c r="R916" s="14">
        <v>8510.9</v>
      </c>
      <c r="S916" s="14">
        <v>7853.3</v>
      </c>
      <c r="T916" s="14">
        <v>9863.7000000000007</v>
      </c>
      <c r="U916" s="14">
        <v>10979.9</v>
      </c>
      <c r="V916" s="14">
        <v>12288.5</v>
      </c>
      <c r="W916" s="14">
        <v>14086.1</v>
      </c>
      <c r="X916" s="14">
        <v>10871.6</v>
      </c>
      <c r="Y916" s="14">
        <v>10488.3</v>
      </c>
      <c r="Z916" s="14">
        <v>7744.8</v>
      </c>
      <c r="AA916" s="14"/>
      <c r="AB916" s="14"/>
      <c r="AC916" s="15">
        <f>IFERROR(Z916/G916-1,"")</f>
        <v>0.50817884405670677</v>
      </c>
      <c r="AD916" s="15">
        <f>IFERROR((Z916/G916)^(1/19)-1,"")</f>
        <v>2.1862013258277191E-2</v>
      </c>
    </row>
    <row r="917" spans="1:30">
      <c r="A917" s="45" t="s">
        <v>383</v>
      </c>
      <c r="B917" s="45" t="s">
        <v>384</v>
      </c>
      <c r="C917" s="45" t="s">
        <v>490</v>
      </c>
      <c r="D917" s="45" t="s">
        <v>491</v>
      </c>
      <c r="E917" s="45" t="s">
        <v>492</v>
      </c>
      <c r="F917" s="45" t="s">
        <v>493</v>
      </c>
      <c r="G917" s="14">
        <v>8102</v>
      </c>
      <c r="H917" s="14">
        <v>8972</v>
      </c>
      <c r="I917" s="14">
        <v>9689</v>
      </c>
      <c r="J917" s="14">
        <v>11341</v>
      </c>
      <c r="K917" s="14">
        <v>13174</v>
      </c>
      <c r="L917" s="14">
        <v>15245</v>
      </c>
      <c r="M917" s="14">
        <v>17276</v>
      </c>
      <c r="N917" s="14">
        <v>20256</v>
      </c>
      <c r="O917" s="14">
        <v>21594</v>
      </c>
      <c r="P917" s="14">
        <v>26265</v>
      </c>
      <c r="Q917" s="14">
        <v>26325</v>
      </c>
      <c r="R917" s="14">
        <v>30728</v>
      </c>
      <c r="S917" s="14">
        <v>32638</v>
      </c>
      <c r="T917" s="14">
        <v>33558</v>
      </c>
      <c r="U917" s="14">
        <v>33690</v>
      </c>
      <c r="V917" s="14">
        <v>34520</v>
      </c>
      <c r="W917" s="14">
        <v>37918</v>
      </c>
      <c r="X917" s="14">
        <v>49447</v>
      </c>
      <c r="Y917" s="14">
        <v>50337</v>
      </c>
      <c r="Z917" s="14">
        <v>47532</v>
      </c>
      <c r="AA917" s="14">
        <v>48871</v>
      </c>
      <c r="AB917" s="14">
        <v>58972</v>
      </c>
    </row>
    <row r="918" spans="1:30">
      <c r="A918" s="45" t="s">
        <v>383</v>
      </c>
      <c r="B918" s="45" t="s">
        <v>384</v>
      </c>
      <c r="C918" s="45" t="s">
        <v>490</v>
      </c>
      <c r="D918" s="45" t="s">
        <v>494</v>
      </c>
      <c r="E918" s="45" t="s">
        <v>492</v>
      </c>
      <c r="F918" s="45" t="s">
        <v>493</v>
      </c>
      <c r="G918" s="14">
        <v>7890</v>
      </c>
      <c r="H918" s="14">
        <v>8755</v>
      </c>
      <c r="I918" s="14">
        <v>9422</v>
      </c>
      <c r="J918" s="14">
        <v>11003</v>
      </c>
      <c r="K918" s="14">
        <v>12675</v>
      </c>
      <c r="L918" s="14">
        <v>14671</v>
      </c>
      <c r="M918" s="14">
        <v>16590</v>
      </c>
      <c r="N918" s="14">
        <v>19530</v>
      </c>
      <c r="O918" s="14">
        <v>20674</v>
      </c>
      <c r="P918" s="14">
        <v>24872</v>
      </c>
      <c r="Q918" s="14">
        <v>25082</v>
      </c>
      <c r="R918" s="14">
        <v>29381</v>
      </c>
      <c r="S918" s="14">
        <v>31136</v>
      </c>
      <c r="T918" s="14">
        <v>31870</v>
      </c>
      <c r="U918" s="14">
        <v>32733</v>
      </c>
      <c r="V918" s="14">
        <v>33491</v>
      </c>
      <c r="W918" s="14">
        <v>36534</v>
      </c>
      <c r="X918" s="14">
        <v>47960</v>
      </c>
      <c r="Y918" s="14">
        <v>48816</v>
      </c>
      <c r="Z918" s="14">
        <v>45635</v>
      </c>
      <c r="AA918" s="14"/>
      <c r="AB918" s="14"/>
    </row>
    <row r="919" spans="1:30">
      <c r="A919" s="45" t="s">
        <v>383</v>
      </c>
      <c r="B919" s="45" t="s">
        <v>384</v>
      </c>
      <c r="C919" s="45" t="s">
        <v>490</v>
      </c>
      <c r="D919" s="45" t="s">
        <v>495</v>
      </c>
      <c r="E919" s="45" t="s">
        <v>492</v>
      </c>
      <c r="F919" s="45" t="s">
        <v>493</v>
      </c>
      <c r="G919" s="14">
        <v>399</v>
      </c>
      <c r="H919" s="14">
        <v>333</v>
      </c>
      <c r="I919" s="14">
        <v>389</v>
      </c>
      <c r="J919" s="14">
        <v>434</v>
      </c>
      <c r="K919" s="14">
        <v>840</v>
      </c>
      <c r="L919" s="14">
        <v>827</v>
      </c>
      <c r="M919" s="14">
        <v>993</v>
      </c>
      <c r="N919" s="14">
        <v>2418</v>
      </c>
      <c r="O919" s="14">
        <v>2561</v>
      </c>
      <c r="P919" s="14">
        <v>3542</v>
      </c>
      <c r="Q919" s="14">
        <v>3132</v>
      </c>
      <c r="R919" s="14">
        <v>3819</v>
      </c>
      <c r="S919" s="14">
        <v>3890</v>
      </c>
      <c r="T919" s="14">
        <v>3556</v>
      </c>
      <c r="U919" s="14">
        <v>3653</v>
      </c>
      <c r="V919" s="14">
        <v>1426</v>
      </c>
      <c r="W919" s="14">
        <v>1504</v>
      </c>
      <c r="X919" s="14">
        <v>7728</v>
      </c>
      <c r="Y919" s="14">
        <v>7533</v>
      </c>
      <c r="Z919" s="14">
        <v>5355</v>
      </c>
      <c r="AA919" s="14"/>
      <c r="AB919" s="14"/>
    </row>
    <row r="920" spans="1:30">
      <c r="A920" s="45" t="s">
        <v>383</v>
      </c>
      <c r="B920" s="45" t="s">
        <v>384</v>
      </c>
      <c r="C920" s="45" t="s">
        <v>490</v>
      </c>
      <c r="D920" s="45" t="s">
        <v>496</v>
      </c>
      <c r="E920" s="45" t="s">
        <v>492</v>
      </c>
      <c r="F920" s="45" t="s">
        <v>493</v>
      </c>
      <c r="G920" s="14">
        <v>1561</v>
      </c>
      <c r="H920" s="14">
        <v>1788</v>
      </c>
      <c r="I920" s="14">
        <v>2044</v>
      </c>
      <c r="J920" s="14">
        <v>2367</v>
      </c>
      <c r="K920" s="14">
        <v>2660</v>
      </c>
      <c r="L920" s="14">
        <v>2992</v>
      </c>
      <c r="M920" s="14">
        <v>3092</v>
      </c>
      <c r="N920" s="14">
        <v>3458</v>
      </c>
      <c r="O920" s="14">
        <v>3984</v>
      </c>
      <c r="P920" s="14">
        <v>4571</v>
      </c>
      <c r="Q920" s="14">
        <v>5162</v>
      </c>
      <c r="R920" s="14">
        <v>5965</v>
      </c>
      <c r="S920" s="14">
        <v>6297</v>
      </c>
      <c r="T920" s="14">
        <v>6913</v>
      </c>
      <c r="U920" s="14">
        <v>7001</v>
      </c>
      <c r="V920" s="14">
        <v>7622</v>
      </c>
      <c r="W920" s="14">
        <v>9167</v>
      </c>
      <c r="X920" s="14">
        <v>10876</v>
      </c>
      <c r="Y920" s="14">
        <v>10888</v>
      </c>
      <c r="Z920" s="14">
        <v>10288</v>
      </c>
      <c r="AA920" s="14"/>
      <c r="AB920" s="14"/>
    </row>
    <row r="921" spans="1:30">
      <c r="A921" s="45" t="s">
        <v>383</v>
      </c>
      <c r="B921" s="45" t="s">
        <v>384</v>
      </c>
      <c r="C921" s="45" t="s">
        <v>490</v>
      </c>
      <c r="D921" s="45" t="s">
        <v>497</v>
      </c>
      <c r="E921" s="45" t="s">
        <v>492</v>
      </c>
      <c r="F921" s="45" t="s">
        <v>493</v>
      </c>
      <c r="G921" s="14">
        <v>5300</v>
      </c>
      <c r="H921" s="14">
        <v>5811</v>
      </c>
      <c r="I921" s="14">
        <v>6286</v>
      </c>
      <c r="J921" s="14">
        <v>7479</v>
      </c>
      <c r="K921" s="14">
        <v>8446</v>
      </c>
      <c r="L921" s="14">
        <v>10198</v>
      </c>
      <c r="M921" s="14">
        <v>11723</v>
      </c>
      <c r="N921" s="14">
        <v>12576</v>
      </c>
      <c r="O921" s="14">
        <v>13090</v>
      </c>
      <c r="P921" s="14">
        <v>14598</v>
      </c>
      <c r="Q921" s="14">
        <v>15491</v>
      </c>
      <c r="R921" s="14">
        <v>18226</v>
      </c>
      <c r="S921" s="14">
        <v>19539</v>
      </c>
      <c r="T921" s="14">
        <v>19830</v>
      </c>
      <c r="U921" s="14">
        <v>20505</v>
      </c>
      <c r="V921" s="14">
        <v>22696</v>
      </c>
      <c r="W921" s="14">
        <v>23251</v>
      </c>
      <c r="X921" s="14">
        <v>26217</v>
      </c>
      <c r="Y921" s="14">
        <v>26576</v>
      </c>
      <c r="Z921" s="14">
        <v>26708</v>
      </c>
      <c r="AA921" s="14"/>
      <c r="AB921" s="14"/>
    </row>
    <row r="922" spans="1:30">
      <c r="A922" s="45" t="s">
        <v>383</v>
      </c>
      <c r="B922" s="45" t="s">
        <v>384</v>
      </c>
      <c r="C922" s="45" t="s">
        <v>498</v>
      </c>
      <c r="D922" s="45" t="s">
        <v>491</v>
      </c>
      <c r="E922" s="45" t="s">
        <v>499</v>
      </c>
      <c r="F922" s="45" t="s">
        <v>500</v>
      </c>
      <c r="G922" s="14">
        <v>15391.2</v>
      </c>
      <c r="H922" s="14">
        <v>14939.1</v>
      </c>
      <c r="I922" s="14">
        <v>14973.3</v>
      </c>
      <c r="J922" s="14">
        <v>16313.1</v>
      </c>
      <c r="K922" s="14">
        <v>17747.5</v>
      </c>
      <c r="L922" s="14">
        <v>19295.2</v>
      </c>
      <c r="M922" s="14">
        <v>20101.7</v>
      </c>
      <c r="N922" s="14">
        <v>21962.2</v>
      </c>
      <c r="O922" s="14">
        <v>21594</v>
      </c>
      <c r="P922" s="14">
        <v>24247.9</v>
      </c>
      <c r="Q922" s="14">
        <v>22514.9</v>
      </c>
      <c r="R922" s="14">
        <v>24446.1</v>
      </c>
      <c r="S922" s="14">
        <v>24076.400000000001</v>
      </c>
      <c r="T922" s="14">
        <v>23013.8</v>
      </c>
      <c r="U922" s="14">
        <v>21372.400000000001</v>
      </c>
      <c r="V922" s="14">
        <v>21123.4</v>
      </c>
      <c r="W922" s="14">
        <v>22204.9</v>
      </c>
      <c r="X922" s="14">
        <v>27782.7</v>
      </c>
      <c r="Y922" s="14">
        <v>26563.5</v>
      </c>
      <c r="Z922" s="14">
        <v>22188.3</v>
      </c>
      <c r="AA922" s="14"/>
      <c r="AB922" s="14"/>
      <c r="AC922" s="15">
        <f>IFERROR(Z922/G922-1,"")</f>
        <v>0.44162248557617323</v>
      </c>
      <c r="AD922" s="15">
        <f>IFERROR((Z922/G922)^(1/19)-1,"")</f>
        <v>1.9437506339446964E-2</v>
      </c>
    </row>
    <row r="923" spans="1:30">
      <c r="A923" s="45" t="s">
        <v>383</v>
      </c>
      <c r="B923" s="45" t="s">
        <v>384</v>
      </c>
      <c r="C923" s="45" t="s">
        <v>498</v>
      </c>
      <c r="D923" s="45" t="s">
        <v>495</v>
      </c>
      <c r="E923" s="45" t="s">
        <v>499</v>
      </c>
      <c r="F923" s="45" t="s">
        <v>500</v>
      </c>
      <c r="G923" s="14">
        <v>757.9</v>
      </c>
      <c r="H923" s="14">
        <v>554.6</v>
      </c>
      <c r="I923" s="14">
        <v>600.6</v>
      </c>
      <c r="J923" s="14">
        <v>624.79999999999995</v>
      </c>
      <c r="K923" s="14">
        <v>1131.9000000000001</v>
      </c>
      <c r="L923" s="14">
        <v>1046.8</v>
      </c>
      <c r="M923" s="14">
        <v>1155.0999999999999</v>
      </c>
      <c r="N923" s="14">
        <v>2621.7</v>
      </c>
      <c r="O923" s="14">
        <v>2561</v>
      </c>
      <c r="P923" s="14">
        <v>3270</v>
      </c>
      <c r="Q923" s="14">
        <v>2678.7</v>
      </c>
      <c r="R923" s="14">
        <v>3038.3</v>
      </c>
      <c r="S923" s="14">
        <v>2869.6</v>
      </c>
      <c r="T923" s="14">
        <v>2438.6999999999998</v>
      </c>
      <c r="U923" s="14">
        <v>2317.4</v>
      </c>
      <c r="V923" s="14">
        <v>872.6</v>
      </c>
      <c r="W923" s="14">
        <v>880.7</v>
      </c>
      <c r="X923" s="14">
        <v>4342.1000000000004</v>
      </c>
      <c r="Y923" s="14">
        <v>3975.3</v>
      </c>
      <c r="Z923" s="14">
        <v>2499.8000000000002</v>
      </c>
      <c r="AA923" s="14"/>
      <c r="AB923" s="14"/>
      <c r="AC923" s="15">
        <f>IFERROR(Z923/G923-1,"")</f>
        <v>2.2983243171922418</v>
      </c>
      <c r="AD923" s="15">
        <f>IFERROR((Z923/G923)^(1/19)-1,"")</f>
        <v>6.4825879603835457E-2</v>
      </c>
    </row>
    <row r="924" spans="1:30">
      <c r="A924" s="45" t="s">
        <v>383</v>
      </c>
      <c r="B924" s="45" t="s">
        <v>384</v>
      </c>
      <c r="C924" s="45" t="s">
        <v>498</v>
      </c>
      <c r="D924" s="45" t="s">
        <v>496</v>
      </c>
      <c r="E924" s="45" t="s">
        <v>499</v>
      </c>
      <c r="F924" s="45" t="s">
        <v>500</v>
      </c>
      <c r="G924" s="14">
        <v>2965.4</v>
      </c>
      <c r="H924" s="14">
        <v>2978</v>
      </c>
      <c r="I924" s="14">
        <v>3159.3</v>
      </c>
      <c r="J924" s="14">
        <v>3404.5</v>
      </c>
      <c r="K924" s="14">
        <v>3583.2</v>
      </c>
      <c r="L924" s="14">
        <v>3786.6</v>
      </c>
      <c r="M924" s="14">
        <v>3598.1</v>
      </c>
      <c r="N924" s="14">
        <v>3749.3</v>
      </c>
      <c r="O924" s="14">
        <v>3984</v>
      </c>
      <c r="P924" s="14">
        <v>4220</v>
      </c>
      <c r="Q924" s="14">
        <v>4414.8999999999996</v>
      </c>
      <c r="R924" s="14">
        <v>4745.5</v>
      </c>
      <c r="S924" s="14">
        <v>4645.2</v>
      </c>
      <c r="T924" s="14">
        <v>4740.8999999999996</v>
      </c>
      <c r="U924" s="14">
        <v>4441.3</v>
      </c>
      <c r="V924" s="14">
        <v>4664</v>
      </c>
      <c r="W924" s="14">
        <v>5368.2</v>
      </c>
      <c r="X924" s="14">
        <v>6110.9</v>
      </c>
      <c r="Y924" s="14">
        <v>5745.7</v>
      </c>
      <c r="Z924" s="14">
        <v>4802.5</v>
      </c>
      <c r="AA924" s="14"/>
      <c r="AB924" s="14"/>
      <c r="AC924" s="15">
        <f>IFERROR(Z924/G924-1,"")</f>
        <v>0.61951170162541302</v>
      </c>
      <c r="AD924" s="15">
        <f>IFERROR((Z924/G924)^(1/19)-1,"")</f>
        <v>2.5699668794259889E-2</v>
      </c>
    </row>
    <row r="925" spans="1:30">
      <c r="A925" s="45" t="s">
        <v>383</v>
      </c>
      <c r="B925" s="45" t="s">
        <v>384</v>
      </c>
      <c r="C925" s="45" t="s">
        <v>498</v>
      </c>
      <c r="D925" s="45" t="s">
        <v>497</v>
      </c>
      <c r="E925" s="45" t="s">
        <v>499</v>
      </c>
      <c r="F925" s="45" t="s">
        <v>500</v>
      </c>
      <c r="G925" s="14">
        <v>10068.9</v>
      </c>
      <c r="H925" s="14">
        <v>9675.6</v>
      </c>
      <c r="I925" s="14">
        <v>9713.6</v>
      </c>
      <c r="J925" s="14">
        <v>10757.8</v>
      </c>
      <c r="K925" s="14">
        <v>11378.7</v>
      </c>
      <c r="L925" s="14">
        <v>12906.9</v>
      </c>
      <c r="M925" s="14">
        <v>13640.4</v>
      </c>
      <c r="N925" s="14">
        <v>13635.3</v>
      </c>
      <c r="O925" s="14">
        <v>13090</v>
      </c>
      <c r="P925" s="14">
        <v>13476.9</v>
      </c>
      <c r="Q925" s="14">
        <v>13248.9</v>
      </c>
      <c r="R925" s="14">
        <v>14499.9</v>
      </c>
      <c r="S925" s="14">
        <v>14413.5</v>
      </c>
      <c r="T925" s="14">
        <v>13599.3</v>
      </c>
      <c r="U925" s="14">
        <v>13008</v>
      </c>
      <c r="V925" s="14">
        <v>13888.1</v>
      </c>
      <c r="W925" s="14">
        <v>13615.9</v>
      </c>
      <c r="X925" s="14">
        <v>14730.5</v>
      </c>
      <c r="Y925" s="14">
        <v>14024.5</v>
      </c>
      <c r="Z925" s="14">
        <v>12467.5</v>
      </c>
      <c r="AA925" s="14"/>
      <c r="AB925" s="14"/>
      <c r="AC925" s="15">
        <f>IFERROR(Z925/G925-1,"")</f>
        <v>0.23821867334068281</v>
      </c>
      <c r="AD925" s="15">
        <f>IFERROR((Z925/G925)^(1/19)-1,"")</f>
        <v>1.1309462961101913E-2</v>
      </c>
    </row>
    <row r="926" spans="1:30">
      <c r="A926" s="45" t="s">
        <v>383</v>
      </c>
      <c r="B926" s="45" t="s">
        <v>384</v>
      </c>
      <c r="C926" s="45" t="s">
        <v>498</v>
      </c>
      <c r="D926" s="45" t="s">
        <v>501</v>
      </c>
      <c r="E926" s="45" t="s">
        <v>499</v>
      </c>
      <c r="F926" s="45" t="s">
        <v>500</v>
      </c>
      <c r="G926" s="14">
        <v>1197.5999999999999</v>
      </c>
      <c r="H926" s="14">
        <v>1370.6</v>
      </c>
      <c r="I926" s="14">
        <v>1085.9000000000001</v>
      </c>
      <c r="J926" s="14">
        <v>1040.0999999999999</v>
      </c>
      <c r="K926" s="14">
        <v>981.6</v>
      </c>
      <c r="L926" s="14">
        <v>828.1</v>
      </c>
      <c r="M926" s="14">
        <v>909.8</v>
      </c>
      <c r="N926" s="14">
        <v>1169.9000000000001</v>
      </c>
      <c r="O926" s="14">
        <v>1039</v>
      </c>
      <c r="P926" s="14">
        <v>1995</v>
      </c>
      <c r="Q926" s="14">
        <v>1108.4000000000001</v>
      </c>
      <c r="R926" s="14">
        <v>1090.7</v>
      </c>
      <c r="S926" s="14">
        <v>1040.9000000000001</v>
      </c>
      <c r="T926" s="14">
        <v>1076.7</v>
      </c>
      <c r="U926" s="14">
        <v>997.9</v>
      </c>
      <c r="V926" s="14">
        <v>1069</v>
      </c>
      <c r="W926" s="14">
        <v>1530.2</v>
      </c>
      <c r="X926" s="14">
        <v>1764.3</v>
      </c>
      <c r="Y926" s="14">
        <v>2015.3</v>
      </c>
      <c r="Z926" s="14">
        <v>1533.5</v>
      </c>
      <c r="AA926" s="14"/>
      <c r="AB926" s="14"/>
      <c r="AC926" s="15">
        <f>IFERROR(Z926/G926-1,"")</f>
        <v>0.28047762191048764</v>
      </c>
      <c r="AD926" s="15">
        <f>IFERROR((Z926/G926)^(1/19)-1,"")</f>
        <v>1.3097299077746705E-2</v>
      </c>
    </row>
    <row r="927" spans="1:30">
      <c r="A927" s="45" t="s">
        <v>343</v>
      </c>
      <c r="B927" s="45" t="s">
        <v>344</v>
      </c>
      <c r="C927" s="45" t="s">
        <v>490</v>
      </c>
      <c r="D927" s="45" t="s">
        <v>491</v>
      </c>
      <c r="E927" s="45" t="s">
        <v>492</v>
      </c>
      <c r="F927" s="45" t="s">
        <v>493</v>
      </c>
      <c r="G927" s="14">
        <v>19317</v>
      </c>
      <c r="H927" s="14">
        <v>17293</v>
      </c>
      <c r="I927" s="14">
        <v>20717</v>
      </c>
      <c r="J927" s="14">
        <v>21479</v>
      </c>
      <c r="K927" s="14">
        <v>22055</v>
      </c>
      <c r="L927" s="14">
        <v>30614</v>
      </c>
      <c r="M927" s="14">
        <v>23633</v>
      </c>
      <c r="N927" s="14">
        <v>23085</v>
      </c>
      <c r="O927" s="14">
        <v>23515</v>
      </c>
      <c r="P927" s="14">
        <v>29368</v>
      </c>
      <c r="Q927" s="14">
        <v>31565</v>
      </c>
      <c r="R927" s="14">
        <v>35116</v>
      </c>
      <c r="S927" s="14">
        <v>39058</v>
      </c>
      <c r="T927" s="14">
        <v>41756</v>
      </c>
      <c r="U927" s="14">
        <v>43195</v>
      </c>
      <c r="V927" s="14">
        <v>47201</v>
      </c>
      <c r="W927" s="14">
        <v>49475</v>
      </c>
      <c r="X927" s="14">
        <v>53932</v>
      </c>
      <c r="Y927" s="14">
        <v>54573</v>
      </c>
      <c r="Z927" s="14">
        <v>61703</v>
      </c>
      <c r="AA927" s="14">
        <v>72852</v>
      </c>
      <c r="AB927" s="14">
        <v>80889</v>
      </c>
    </row>
    <row r="928" spans="1:30">
      <c r="A928" s="45" t="s">
        <v>343</v>
      </c>
      <c r="B928" s="45" t="s">
        <v>344</v>
      </c>
      <c r="C928" s="45" t="s">
        <v>490</v>
      </c>
      <c r="D928" s="45" t="s">
        <v>494</v>
      </c>
      <c r="E928" s="45" t="s">
        <v>492</v>
      </c>
      <c r="F928" s="45" t="s">
        <v>493</v>
      </c>
      <c r="G928" s="14">
        <v>18370</v>
      </c>
      <c r="H928" s="14">
        <v>16533</v>
      </c>
      <c r="I928" s="14">
        <v>20031</v>
      </c>
      <c r="J928" s="14">
        <v>20695</v>
      </c>
      <c r="K928" s="14">
        <v>21039</v>
      </c>
      <c r="L928" s="14">
        <v>29161</v>
      </c>
      <c r="M928" s="14">
        <v>22411</v>
      </c>
      <c r="N928" s="14">
        <v>21944</v>
      </c>
      <c r="O928" s="14">
        <v>22019</v>
      </c>
      <c r="P928" s="14">
        <v>27317</v>
      </c>
      <c r="Q928" s="14">
        <v>29306</v>
      </c>
      <c r="R928" s="14">
        <v>32643</v>
      </c>
      <c r="S928" s="14">
        <v>36105</v>
      </c>
      <c r="T928" s="14">
        <v>38184</v>
      </c>
      <c r="U928" s="14">
        <v>41136</v>
      </c>
      <c r="V928" s="14">
        <v>45073</v>
      </c>
      <c r="W928" s="14">
        <v>46712</v>
      </c>
      <c r="X928" s="14">
        <v>51040</v>
      </c>
      <c r="Y928" s="14">
        <v>51766</v>
      </c>
      <c r="Z928" s="14">
        <v>57856</v>
      </c>
      <c r="AA928" s="14"/>
      <c r="AB928" s="14"/>
    </row>
    <row r="929" spans="1:30">
      <c r="A929" s="45" t="s">
        <v>343</v>
      </c>
      <c r="B929" s="45" t="s">
        <v>344</v>
      </c>
      <c r="C929" s="45" t="s">
        <v>490</v>
      </c>
      <c r="D929" s="45" t="s">
        <v>495</v>
      </c>
      <c r="E929" s="45" t="s">
        <v>492</v>
      </c>
      <c r="F929" s="45" t="s">
        <v>493</v>
      </c>
      <c r="G929" s="14">
        <v>7274</v>
      </c>
      <c r="H929" s="14">
        <v>5190</v>
      </c>
      <c r="I929" s="14">
        <v>8046</v>
      </c>
      <c r="J929" s="14">
        <v>6776</v>
      </c>
      <c r="K929" s="14">
        <v>5553</v>
      </c>
      <c r="L929" s="14">
        <v>10606</v>
      </c>
      <c r="M929" s="14">
        <v>3785</v>
      </c>
      <c r="N929" s="14">
        <v>1093</v>
      </c>
      <c r="O929" s="14">
        <v>1177</v>
      </c>
      <c r="P929" s="14">
        <v>1862</v>
      </c>
      <c r="Q929" s="14">
        <v>2146</v>
      </c>
      <c r="R929" s="14">
        <v>2281</v>
      </c>
      <c r="S929" s="14">
        <v>3257</v>
      </c>
      <c r="T929" s="14">
        <v>3092</v>
      </c>
      <c r="U929" s="14">
        <v>4173</v>
      </c>
      <c r="V929" s="14">
        <v>5846</v>
      </c>
      <c r="W929" s="14">
        <v>4569</v>
      </c>
      <c r="X929" s="14">
        <v>3917</v>
      </c>
      <c r="Y929" s="14">
        <v>3348</v>
      </c>
      <c r="Z929" s="14">
        <v>3206</v>
      </c>
      <c r="AA929" s="14"/>
      <c r="AB929" s="14"/>
    </row>
    <row r="930" spans="1:30">
      <c r="A930" s="45" t="s">
        <v>343</v>
      </c>
      <c r="B930" s="45" t="s">
        <v>344</v>
      </c>
      <c r="C930" s="45" t="s">
        <v>490</v>
      </c>
      <c r="D930" s="45" t="s">
        <v>496</v>
      </c>
      <c r="E930" s="45" t="s">
        <v>492</v>
      </c>
      <c r="F930" s="45" t="s">
        <v>493</v>
      </c>
      <c r="G930" s="14">
        <v>3851</v>
      </c>
      <c r="H930" s="14">
        <v>3188</v>
      </c>
      <c r="I930" s="14">
        <v>3730</v>
      </c>
      <c r="J930" s="14">
        <v>4191</v>
      </c>
      <c r="K930" s="14">
        <v>4341</v>
      </c>
      <c r="L930" s="14">
        <v>6035</v>
      </c>
      <c r="M930" s="14">
        <v>4532</v>
      </c>
      <c r="N930" s="14">
        <v>4671</v>
      </c>
      <c r="O930" s="14">
        <v>5027</v>
      </c>
      <c r="P930" s="14">
        <v>6479</v>
      </c>
      <c r="Q930" s="14">
        <v>7533</v>
      </c>
      <c r="R930" s="14">
        <v>7936</v>
      </c>
      <c r="S930" s="14">
        <v>7787</v>
      </c>
      <c r="T930" s="14">
        <v>8949</v>
      </c>
      <c r="U930" s="14">
        <v>9934</v>
      </c>
      <c r="V930" s="14">
        <v>10804</v>
      </c>
      <c r="W930" s="14">
        <v>12778</v>
      </c>
      <c r="X930" s="14">
        <v>14547</v>
      </c>
      <c r="Y930" s="14">
        <v>14269</v>
      </c>
      <c r="Z930" s="14">
        <v>15374</v>
      </c>
      <c r="AA930" s="14"/>
      <c r="AB930" s="14"/>
    </row>
    <row r="931" spans="1:30">
      <c r="A931" s="45" t="s">
        <v>343</v>
      </c>
      <c r="B931" s="45" t="s">
        <v>344</v>
      </c>
      <c r="C931" s="45" t="s">
        <v>490</v>
      </c>
      <c r="D931" s="45" t="s">
        <v>497</v>
      </c>
      <c r="E931" s="45" t="s">
        <v>492</v>
      </c>
      <c r="F931" s="45" t="s">
        <v>493</v>
      </c>
      <c r="G931" s="14">
        <v>6310</v>
      </c>
      <c r="H931" s="14">
        <v>6889</v>
      </c>
      <c r="I931" s="14">
        <v>6937</v>
      </c>
      <c r="J931" s="14">
        <v>8129</v>
      </c>
      <c r="K931" s="14">
        <v>9178</v>
      </c>
      <c r="L931" s="14">
        <v>11089</v>
      </c>
      <c r="M931" s="14">
        <v>12298</v>
      </c>
      <c r="N931" s="14">
        <v>14111</v>
      </c>
      <c r="O931" s="14">
        <v>14056</v>
      </c>
      <c r="P931" s="14">
        <v>16450</v>
      </c>
      <c r="Q931" s="14">
        <v>17549</v>
      </c>
      <c r="R931" s="14">
        <v>19836</v>
      </c>
      <c r="S931" s="14">
        <v>21838</v>
      </c>
      <c r="T931" s="14">
        <v>22124</v>
      </c>
      <c r="U931" s="14">
        <v>23342</v>
      </c>
      <c r="V931" s="14">
        <v>24674</v>
      </c>
      <c r="W931" s="14">
        <v>25067</v>
      </c>
      <c r="X931" s="14">
        <v>27938</v>
      </c>
      <c r="Y931" s="14">
        <v>28247</v>
      </c>
      <c r="Z931" s="14">
        <v>30523</v>
      </c>
      <c r="AA931" s="14"/>
      <c r="AB931" s="14"/>
    </row>
    <row r="932" spans="1:30">
      <c r="A932" s="45" t="s">
        <v>343</v>
      </c>
      <c r="B932" s="45" t="s">
        <v>344</v>
      </c>
      <c r="C932" s="45" t="s">
        <v>498</v>
      </c>
      <c r="D932" s="45" t="s">
        <v>491</v>
      </c>
      <c r="E932" s="45" t="s">
        <v>499</v>
      </c>
      <c r="F932" s="45" t="s">
        <v>500</v>
      </c>
      <c r="G932" s="14">
        <v>36697.699999999997</v>
      </c>
      <c r="H932" s="14">
        <v>28794.7</v>
      </c>
      <c r="I932" s="14">
        <v>32014.400000000001</v>
      </c>
      <c r="J932" s="14">
        <v>30895.7</v>
      </c>
      <c r="K932" s="14">
        <v>29711.3</v>
      </c>
      <c r="L932" s="14">
        <v>38747.1</v>
      </c>
      <c r="M932" s="14">
        <v>27497.3</v>
      </c>
      <c r="N932" s="14">
        <v>25029.5</v>
      </c>
      <c r="O932" s="14">
        <v>23515</v>
      </c>
      <c r="P932" s="14">
        <v>27112.6</v>
      </c>
      <c r="Q932" s="14">
        <v>26996.5</v>
      </c>
      <c r="R932" s="14">
        <v>27937</v>
      </c>
      <c r="S932" s="14">
        <v>28812.3</v>
      </c>
      <c r="T932" s="14">
        <v>28635.9</v>
      </c>
      <c r="U932" s="14">
        <v>27402.2</v>
      </c>
      <c r="V932" s="14">
        <v>28883.200000000001</v>
      </c>
      <c r="W932" s="14">
        <v>28972.799999999999</v>
      </c>
      <c r="X932" s="14">
        <v>30302.7</v>
      </c>
      <c r="Y932" s="14">
        <v>28798.9</v>
      </c>
      <c r="Z932" s="14">
        <v>28803.4</v>
      </c>
      <c r="AA932" s="14"/>
      <c r="AB932" s="14"/>
      <c r="AC932" s="15">
        <f>IFERROR(Z932/G932-1,"")</f>
        <v>-0.21511702368268304</v>
      </c>
      <c r="AD932" s="15">
        <f>IFERROR((Z932/G932)^(1/19)-1,"")</f>
        <v>-1.2667537776968052E-2</v>
      </c>
    </row>
    <row r="933" spans="1:30">
      <c r="A933" s="45" t="s">
        <v>343</v>
      </c>
      <c r="B933" s="45" t="s">
        <v>344</v>
      </c>
      <c r="C933" s="45" t="s">
        <v>498</v>
      </c>
      <c r="D933" s="45" t="s">
        <v>495</v>
      </c>
      <c r="E933" s="45" t="s">
        <v>499</v>
      </c>
      <c r="F933" s="45" t="s">
        <v>500</v>
      </c>
      <c r="G933" s="14">
        <v>13819.6</v>
      </c>
      <c r="H933" s="14">
        <v>8641.4</v>
      </c>
      <c r="I933" s="14">
        <v>12434.1</v>
      </c>
      <c r="J933" s="14">
        <v>9746.9</v>
      </c>
      <c r="K933" s="14">
        <v>7481.2</v>
      </c>
      <c r="L933" s="14">
        <v>13424</v>
      </c>
      <c r="M933" s="14">
        <v>4403.5</v>
      </c>
      <c r="N933" s="14">
        <v>1185.0999999999999</v>
      </c>
      <c r="O933" s="14">
        <v>1177</v>
      </c>
      <c r="P933" s="14">
        <v>1719</v>
      </c>
      <c r="Q933" s="14">
        <v>1835.4</v>
      </c>
      <c r="R933" s="14">
        <v>1814.7</v>
      </c>
      <c r="S933" s="14">
        <v>2402.6</v>
      </c>
      <c r="T933" s="14">
        <v>2120.5</v>
      </c>
      <c r="U933" s="14">
        <v>2647.3</v>
      </c>
      <c r="V933" s="14">
        <v>3577.3</v>
      </c>
      <c r="W933" s="14">
        <v>2675.6</v>
      </c>
      <c r="X933" s="14">
        <v>2200.8000000000002</v>
      </c>
      <c r="Y933" s="14">
        <v>1766.8</v>
      </c>
      <c r="Z933" s="14">
        <v>1496.6</v>
      </c>
      <c r="AA933" s="14"/>
      <c r="AB933" s="14"/>
      <c r="AC933" s="15">
        <f>IFERROR(Z933/G933-1,"")</f>
        <v>-0.89170453558713714</v>
      </c>
      <c r="AD933" s="15">
        <f>IFERROR((Z933/G933)^(1/19)-1,"")</f>
        <v>-0.11040975049941015</v>
      </c>
    </row>
    <row r="934" spans="1:30">
      <c r="A934" s="45" t="s">
        <v>343</v>
      </c>
      <c r="B934" s="45" t="s">
        <v>344</v>
      </c>
      <c r="C934" s="45" t="s">
        <v>498</v>
      </c>
      <c r="D934" s="45" t="s">
        <v>496</v>
      </c>
      <c r="E934" s="45" t="s">
        <v>499</v>
      </c>
      <c r="F934" s="45" t="s">
        <v>500</v>
      </c>
      <c r="G934" s="14">
        <v>7315.3</v>
      </c>
      <c r="H934" s="14">
        <v>5308.3</v>
      </c>
      <c r="I934" s="14">
        <v>5763.9</v>
      </c>
      <c r="J934" s="14">
        <v>6028.1</v>
      </c>
      <c r="K934" s="14">
        <v>5848.7</v>
      </c>
      <c r="L934" s="14">
        <v>7637.8</v>
      </c>
      <c r="M934" s="14">
        <v>5273.7</v>
      </c>
      <c r="N934" s="14">
        <v>5064.5</v>
      </c>
      <c r="O934" s="14">
        <v>5027</v>
      </c>
      <c r="P934" s="14">
        <v>5981.4</v>
      </c>
      <c r="Q934" s="14">
        <v>6442.7</v>
      </c>
      <c r="R934" s="14">
        <v>6313.6</v>
      </c>
      <c r="S934" s="14">
        <v>5744.3</v>
      </c>
      <c r="T934" s="14">
        <v>6137.2</v>
      </c>
      <c r="U934" s="14">
        <v>6302</v>
      </c>
      <c r="V934" s="14">
        <v>6611.2</v>
      </c>
      <c r="W934" s="14">
        <v>7482.8</v>
      </c>
      <c r="X934" s="14">
        <v>8173.5</v>
      </c>
      <c r="Y934" s="14">
        <v>7529.9</v>
      </c>
      <c r="Z934" s="14">
        <v>7177.2</v>
      </c>
      <c r="AA934" s="14"/>
      <c r="AB934" s="14"/>
      <c r="AC934" s="15">
        <f>IFERROR(Z934/G934-1,"")</f>
        <v>-1.8878241493855419E-2</v>
      </c>
      <c r="AD934" s="15">
        <f>IFERROR((Z934/G934)^(1/19)-1,"")</f>
        <v>-1.0025870941540171E-3</v>
      </c>
    </row>
    <row r="935" spans="1:30">
      <c r="A935" s="45" t="s">
        <v>343</v>
      </c>
      <c r="B935" s="45" t="s">
        <v>344</v>
      </c>
      <c r="C935" s="45" t="s">
        <v>498</v>
      </c>
      <c r="D935" s="45" t="s">
        <v>497</v>
      </c>
      <c r="E935" s="45" t="s">
        <v>499</v>
      </c>
      <c r="F935" s="45" t="s">
        <v>500</v>
      </c>
      <c r="G935" s="14">
        <v>11988.2</v>
      </c>
      <c r="H935" s="14">
        <v>11471.8</v>
      </c>
      <c r="I935" s="14">
        <v>10719.4</v>
      </c>
      <c r="J935" s="14">
        <v>11693.2</v>
      </c>
      <c r="K935" s="14">
        <v>12364.3</v>
      </c>
      <c r="L935" s="14">
        <v>14035.2</v>
      </c>
      <c r="M935" s="14">
        <v>14309.2</v>
      </c>
      <c r="N935" s="14">
        <v>15299.6</v>
      </c>
      <c r="O935" s="14">
        <v>14056</v>
      </c>
      <c r="P935" s="14">
        <v>15186.7</v>
      </c>
      <c r="Q935" s="14">
        <v>15009.1</v>
      </c>
      <c r="R935" s="14">
        <v>15780.8</v>
      </c>
      <c r="S935" s="14">
        <v>16109.5</v>
      </c>
      <c r="T935" s="14">
        <v>15172.5</v>
      </c>
      <c r="U935" s="14">
        <v>14807.8</v>
      </c>
      <c r="V935" s="14">
        <v>15098.5</v>
      </c>
      <c r="W935" s="14">
        <v>14679.3</v>
      </c>
      <c r="X935" s="14">
        <v>15697.5</v>
      </c>
      <c r="Y935" s="14">
        <v>14906.3</v>
      </c>
      <c r="Z935" s="14">
        <v>14248.8</v>
      </c>
      <c r="AA935" s="14"/>
      <c r="AB935" s="14"/>
      <c r="AC935" s="15">
        <f>IFERROR(Z935/G935-1,"")</f>
        <v>0.18856875927995853</v>
      </c>
      <c r="AD935" s="15">
        <f>IFERROR((Z935/G935)^(1/19)-1,"")</f>
        <v>9.1335565691084142E-3</v>
      </c>
    </row>
    <row r="936" spans="1:30">
      <c r="A936" s="45" t="s">
        <v>343</v>
      </c>
      <c r="B936" s="45" t="s">
        <v>344</v>
      </c>
      <c r="C936" s="45" t="s">
        <v>498</v>
      </c>
      <c r="D936" s="45" t="s">
        <v>501</v>
      </c>
      <c r="E936" s="45" t="s">
        <v>499</v>
      </c>
      <c r="F936" s="45" t="s">
        <v>500</v>
      </c>
      <c r="G936" s="14">
        <v>1775.4</v>
      </c>
      <c r="H936" s="14">
        <v>2107.6</v>
      </c>
      <c r="I936" s="14">
        <v>2037.4</v>
      </c>
      <c r="J936" s="14">
        <v>2299.6999999999998</v>
      </c>
      <c r="K936" s="14">
        <v>2649.1</v>
      </c>
      <c r="L936" s="14">
        <v>1811.1</v>
      </c>
      <c r="M936" s="14">
        <v>2088.9</v>
      </c>
      <c r="N936" s="14">
        <v>2242.1999999999998</v>
      </c>
      <c r="O936" s="14">
        <v>1760</v>
      </c>
      <c r="P936" s="14">
        <v>2331.1</v>
      </c>
      <c r="Q936" s="14">
        <v>1777.2</v>
      </c>
      <c r="R936" s="14">
        <v>2060.5</v>
      </c>
      <c r="S936" s="14">
        <v>2376.8000000000002</v>
      </c>
      <c r="T936" s="14">
        <v>2756.2</v>
      </c>
      <c r="U936" s="14">
        <v>2339</v>
      </c>
      <c r="V936" s="14">
        <v>2294.1</v>
      </c>
      <c r="W936" s="14">
        <v>2516.3000000000002</v>
      </c>
      <c r="X936" s="14">
        <v>2605.4</v>
      </c>
      <c r="Y936" s="14">
        <v>3114</v>
      </c>
      <c r="Z936" s="14">
        <v>4086</v>
      </c>
      <c r="AA936" s="14"/>
      <c r="AB936" s="14"/>
      <c r="AC936" s="15">
        <f>IFERROR(Z936/G936-1,"")</f>
        <v>1.3014531936465019</v>
      </c>
      <c r="AD936" s="15">
        <f>IFERROR((Z936/G936)^(1/19)-1,"")</f>
        <v>4.4847106996264596E-2</v>
      </c>
    </row>
    <row r="937" spans="1:30">
      <c r="A937" s="45" t="s">
        <v>397</v>
      </c>
      <c r="B937" s="45" t="s">
        <v>398</v>
      </c>
      <c r="C937" s="45" t="s">
        <v>490</v>
      </c>
      <c r="D937" s="45" t="s">
        <v>491</v>
      </c>
      <c r="E937" s="45" t="s">
        <v>492</v>
      </c>
      <c r="F937" s="45" t="s">
        <v>493</v>
      </c>
      <c r="G937" s="14">
        <v>6573</v>
      </c>
      <c r="H937" s="14">
        <v>7839</v>
      </c>
      <c r="I937" s="14">
        <v>9392</v>
      </c>
      <c r="J937" s="14">
        <v>9746</v>
      </c>
      <c r="K937" s="14">
        <v>11107</v>
      </c>
      <c r="L937" s="14">
        <v>13717</v>
      </c>
      <c r="M937" s="14">
        <v>15470</v>
      </c>
      <c r="N937" s="14">
        <v>16388</v>
      </c>
      <c r="O937" s="14">
        <v>18006</v>
      </c>
      <c r="P937" s="14">
        <v>19927</v>
      </c>
      <c r="Q937" s="14">
        <v>20712</v>
      </c>
      <c r="R937" s="14">
        <v>26033</v>
      </c>
      <c r="S937" s="14">
        <v>28001</v>
      </c>
      <c r="T937" s="14">
        <v>29768</v>
      </c>
      <c r="U937" s="14">
        <v>29467</v>
      </c>
      <c r="V937" s="14">
        <v>33023</v>
      </c>
      <c r="W937" s="14">
        <v>33607</v>
      </c>
      <c r="X937" s="14">
        <v>37730</v>
      </c>
      <c r="Y937" s="14">
        <v>39913</v>
      </c>
      <c r="Z937" s="14">
        <v>43930</v>
      </c>
      <c r="AA937" s="14">
        <v>50385</v>
      </c>
      <c r="AB937" s="14">
        <v>56062</v>
      </c>
    </row>
    <row r="938" spans="1:30">
      <c r="A938" s="45" t="s">
        <v>397</v>
      </c>
      <c r="B938" s="45" t="s">
        <v>398</v>
      </c>
      <c r="C938" s="45" t="s">
        <v>490</v>
      </c>
      <c r="D938" s="45" t="s">
        <v>494</v>
      </c>
      <c r="E938" s="45" t="s">
        <v>492</v>
      </c>
      <c r="F938" s="45" t="s">
        <v>493</v>
      </c>
      <c r="G938" s="14">
        <v>6401</v>
      </c>
      <c r="H938" s="14">
        <v>7653</v>
      </c>
      <c r="I938" s="14">
        <v>9120</v>
      </c>
      <c r="J938" s="14">
        <v>9428</v>
      </c>
      <c r="K938" s="14">
        <v>10643</v>
      </c>
      <c r="L938" s="14">
        <v>13014</v>
      </c>
      <c r="M938" s="14">
        <v>14637</v>
      </c>
      <c r="N938" s="14">
        <v>15707</v>
      </c>
      <c r="O938" s="14">
        <v>17140</v>
      </c>
      <c r="P938" s="14">
        <v>19052</v>
      </c>
      <c r="Q938" s="14">
        <v>19721</v>
      </c>
      <c r="R938" s="14">
        <v>24902</v>
      </c>
      <c r="S938" s="14">
        <v>26756</v>
      </c>
      <c r="T938" s="14">
        <v>28589</v>
      </c>
      <c r="U938" s="14">
        <v>28661</v>
      </c>
      <c r="V938" s="14">
        <v>32154</v>
      </c>
      <c r="W938" s="14">
        <v>32627</v>
      </c>
      <c r="X938" s="14">
        <v>36588</v>
      </c>
      <c r="Y938" s="14">
        <v>38783</v>
      </c>
      <c r="Z938" s="14">
        <v>42517</v>
      </c>
      <c r="AA938" s="14"/>
      <c r="AB938" s="14"/>
    </row>
    <row r="939" spans="1:30">
      <c r="A939" s="45" t="s">
        <v>397</v>
      </c>
      <c r="B939" s="45" t="s">
        <v>398</v>
      </c>
      <c r="C939" s="45" t="s">
        <v>490</v>
      </c>
      <c r="D939" s="45" t="s">
        <v>495</v>
      </c>
      <c r="E939" s="45" t="s">
        <v>492</v>
      </c>
      <c r="F939" s="45" t="s">
        <v>493</v>
      </c>
      <c r="G939" s="14">
        <v>315</v>
      </c>
      <c r="H939" s="14">
        <v>245</v>
      </c>
      <c r="I939" s="14">
        <v>342</v>
      </c>
      <c r="J939" s="14">
        <v>357</v>
      </c>
      <c r="K939" s="14">
        <v>385</v>
      </c>
      <c r="L939" s="14">
        <v>458</v>
      </c>
      <c r="M939" s="14">
        <v>461</v>
      </c>
      <c r="N939" s="14">
        <v>501</v>
      </c>
      <c r="O939" s="14">
        <v>488</v>
      </c>
      <c r="P939" s="14">
        <v>537</v>
      </c>
      <c r="Q939" s="14">
        <v>629</v>
      </c>
      <c r="R939" s="14">
        <v>710</v>
      </c>
      <c r="S939" s="14">
        <v>680</v>
      </c>
      <c r="T939" s="14">
        <v>717</v>
      </c>
      <c r="U939" s="14">
        <v>597</v>
      </c>
      <c r="V939" s="14">
        <v>901</v>
      </c>
      <c r="W939" s="14">
        <v>661</v>
      </c>
      <c r="X939" s="14">
        <v>732</v>
      </c>
      <c r="Y939" s="14">
        <v>627</v>
      </c>
      <c r="Z939" s="14">
        <v>829</v>
      </c>
      <c r="AA939" s="14"/>
      <c r="AB939" s="14"/>
    </row>
    <row r="940" spans="1:30">
      <c r="A940" s="45" t="s">
        <v>397</v>
      </c>
      <c r="B940" s="45" t="s">
        <v>398</v>
      </c>
      <c r="C940" s="45" t="s">
        <v>490</v>
      </c>
      <c r="D940" s="45" t="s">
        <v>496</v>
      </c>
      <c r="E940" s="45" t="s">
        <v>492</v>
      </c>
      <c r="F940" s="45" t="s">
        <v>493</v>
      </c>
      <c r="G940" s="14">
        <v>1200</v>
      </c>
      <c r="H940" s="14">
        <v>1486</v>
      </c>
      <c r="I940" s="14">
        <v>1894</v>
      </c>
      <c r="J940" s="14">
        <v>1887</v>
      </c>
      <c r="K940" s="14">
        <v>2053</v>
      </c>
      <c r="L940" s="14">
        <v>2532</v>
      </c>
      <c r="M940" s="14">
        <v>2443</v>
      </c>
      <c r="N940" s="14">
        <v>2637</v>
      </c>
      <c r="O940" s="14">
        <v>3066</v>
      </c>
      <c r="P940" s="14">
        <v>3336</v>
      </c>
      <c r="Q940" s="14">
        <v>3821</v>
      </c>
      <c r="R940" s="14">
        <v>4997</v>
      </c>
      <c r="S940" s="14">
        <v>5500</v>
      </c>
      <c r="T940" s="14">
        <v>6062</v>
      </c>
      <c r="U940" s="14">
        <v>6277</v>
      </c>
      <c r="V940" s="14">
        <v>6853</v>
      </c>
      <c r="W940" s="14">
        <v>7275</v>
      </c>
      <c r="X940" s="14">
        <v>8399</v>
      </c>
      <c r="Y940" s="14">
        <v>8912</v>
      </c>
      <c r="Z940" s="14">
        <v>9234</v>
      </c>
      <c r="AA940" s="14"/>
      <c r="AB940" s="14"/>
    </row>
    <row r="941" spans="1:30">
      <c r="A941" s="45" t="s">
        <v>397</v>
      </c>
      <c r="B941" s="45" t="s">
        <v>398</v>
      </c>
      <c r="C941" s="45" t="s">
        <v>490</v>
      </c>
      <c r="D941" s="45" t="s">
        <v>497</v>
      </c>
      <c r="E941" s="45" t="s">
        <v>492</v>
      </c>
      <c r="F941" s="45" t="s">
        <v>493</v>
      </c>
      <c r="G941" s="14">
        <v>4197</v>
      </c>
      <c r="H941" s="14">
        <v>5102</v>
      </c>
      <c r="I941" s="14">
        <v>5830</v>
      </c>
      <c r="J941" s="14">
        <v>6352</v>
      </c>
      <c r="K941" s="14">
        <v>7210</v>
      </c>
      <c r="L941" s="14">
        <v>8963</v>
      </c>
      <c r="M941" s="14">
        <v>9895</v>
      </c>
      <c r="N941" s="14">
        <v>11031</v>
      </c>
      <c r="O941" s="14">
        <v>12192</v>
      </c>
      <c r="P941" s="14">
        <v>13769</v>
      </c>
      <c r="Q941" s="14">
        <v>14186</v>
      </c>
      <c r="R941" s="14">
        <v>17975</v>
      </c>
      <c r="S941" s="14">
        <v>19150</v>
      </c>
      <c r="T941" s="14">
        <v>20748</v>
      </c>
      <c r="U941" s="14">
        <v>20730</v>
      </c>
      <c r="V941" s="14">
        <v>23248</v>
      </c>
      <c r="W941" s="14">
        <v>22790</v>
      </c>
      <c r="X941" s="14">
        <v>24741</v>
      </c>
      <c r="Y941" s="14">
        <v>26568</v>
      </c>
      <c r="Z941" s="14">
        <v>29928</v>
      </c>
      <c r="AA941" s="14"/>
      <c r="AB941" s="14"/>
    </row>
    <row r="942" spans="1:30">
      <c r="A942" s="45" t="s">
        <v>397</v>
      </c>
      <c r="B942" s="45" t="s">
        <v>398</v>
      </c>
      <c r="C942" s="45" t="s">
        <v>498</v>
      </c>
      <c r="D942" s="45" t="s">
        <v>491</v>
      </c>
      <c r="E942" s="45" t="s">
        <v>499</v>
      </c>
      <c r="F942" s="45" t="s">
        <v>500</v>
      </c>
      <c r="G942" s="14">
        <v>12486.8</v>
      </c>
      <c r="H942" s="14">
        <v>13053.3</v>
      </c>
      <c r="I942" s="14">
        <v>14513</v>
      </c>
      <c r="J942" s="14">
        <v>14018.4</v>
      </c>
      <c r="K942" s="14">
        <v>14962.5</v>
      </c>
      <c r="L942" s="14">
        <v>17361.5</v>
      </c>
      <c r="M942" s="14">
        <v>17999.3</v>
      </c>
      <c r="N942" s="14">
        <v>17768.400000000001</v>
      </c>
      <c r="O942" s="14">
        <v>18006</v>
      </c>
      <c r="P942" s="14">
        <v>18396.7</v>
      </c>
      <c r="Q942" s="14">
        <v>17714.3</v>
      </c>
      <c r="R942" s="14">
        <v>20710.900000000001</v>
      </c>
      <c r="S942" s="14">
        <v>20655.8</v>
      </c>
      <c r="T942" s="14">
        <v>20414.7</v>
      </c>
      <c r="U942" s="14">
        <v>18693.400000000001</v>
      </c>
      <c r="V942" s="14">
        <v>20207.400000000001</v>
      </c>
      <c r="W942" s="14">
        <v>19680.400000000001</v>
      </c>
      <c r="X942" s="14">
        <v>21199.3</v>
      </c>
      <c r="Y942" s="14">
        <v>21062.6</v>
      </c>
      <c r="Z942" s="14">
        <v>20506.8</v>
      </c>
      <c r="AA942" s="14"/>
      <c r="AB942" s="14"/>
      <c r="AC942" s="15">
        <f>IFERROR(Z942/G942-1,"")</f>
        <v>0.64227824582759396</v>
      </c>
      <c r="AD942" s="15">
        <f>IFERROR((Z942/G942)^(1/19)-1,"")</f>
        <v>2.6453552468896913E-2</v>
      </c>
    </row>
    <row r="943" spans="1:30">
      <c r="A943" s="45" t="s">
        <v>397</v>
      </c>
      <c r="B943" s="45" t="s">
        <v>398</v>
      </c>
      <c r="C943" s="45" t="s">
        <v>498</v>
      </c>
      <c r="D943" s="45" t="s">
        <v>495</v>
      </c>
      <c r="E943" s="45" t="s">
        <v>499</v>
      </c>
      <c r="F943" s="45" t="s">
        <v>500</v>
      </c>
      <c r="G943" s="14">
        <v>598.70000000000005</v>
      </c>
      <c r="H943" s="14">
        <v>407.1</v>
      </c>
      <c r="I943" s="14">
        <v>528.70000000000005</v>
      </c>
      <c r="J943" s="14">
        <v>513.29999999999995</v>
      </c>
      <c r="K943" s="14">
        <v>518.79999999999995</v>
      </c>
      <c r="L943" s="14">
        <v>579.6</v>
      </c>
      <c r="M943" s="14">
        <v>536.5</v>
      </c>
      <c r="N943" s="14">
        <v>543.20000000000005</v>
      </c>
      <c r="O943" s="14">
        <v>488</v>
      </c>
      <c r="P943" s="14">
        <v>495.8</v>
      </c>
      <c r="Q943" s="14">
        <v>538</v>
      </c>
      <c r="R943" s="14">
        <v>564.9</v>
      </c>
      <c r="S943" s="14">
        <v>501.6</v>
      </c>
      <c r="T943" s="14">
        <v>491.7</v>
      </c>
      <c r="U943" s="14">
        <v>378.7</v>
      </c>
      <c r="V943" s="14">
        <v>551.29999999999995</v>
      </c>
      <c r="W943" s="14">
        <v>387.1</v>
      </c>
      <c r="X943" s="14">
        <v>411.3</v>
      </c>
      <c r="Y943" s="14">
        <v>330.9</v>
      </c>
      <c r="Z943" s="14">
        <v>387</v>
      </c>
      <c r="AA943" s="14"/>
      <c r="AB943" s="14"/>
      <c r="AC943" s="15">
        <f>IFERROR(Z943/G943-1,"")</f>
        <v>-0.353599465508602</v>
      </c>
      <c r="AD943" s="15">
        <f>IFERROR((Z943/G943)^(1/19)-1,"")</f>
        <v>-2.2703360043795251E-2</v>
      </c>
    </row>
    <row r="944" spans="1:30">
      <c r="A944" s="45" t="s">
        <v>397</v>
      </c>
      <c r="B944" s="45" t="s">
        <v>398</v>
      </c>
      <c r="C944" s="45" t="s">
        <v>498</v>
      </c>
      <c r="D944" s="45" t="s">
        <v>496</v>
      </c>
      <c r="E944" s="45" t="s">
        <v>499</v>
      </c>
      <c r="F944" s="45" t="s">
        <v>500</v>
      </c>
      <c r="G944" s="14">
        <v>2280.1999999999998</v>
      </c>
      <c r="H944" s="14">
        <v>2475.1</v>
      </c>
      <c r="I944" s="14">
        <v>2926.3</v>
      </c>
      <c r="J944" s="14">
        <v>2714.4</v>
      </c>
      <c r="K944" s="14">
        <v>2765.9</v>
      </c>
      <c r="L944" s="14">
        <v>3204.8</v>
      </c>
      <c r="M944" s="14">
        <v>2842.2</v>
      </c>
      <c r="N944" s="14">
        <v>2859.1</v>
      </c>
      <c r="O944" s="14">
        <v>3066</v>
      </c>
      <c r="P944" s="14">
        <v>3079.8</v>
      </c>
      <c r="Q944" s="14">
        <v>3268</v>
      </c>
      <c r="R944" s="14">
        <v>3975.4</v>
      </c>
      <c r="S944" s="14">
        <v>4057.2</v>
      </c>
      <c r="T944" s="14">
        <v>4157.3</v>
      </c>
      <c r="U944" s="14">
        <v>3982</v>
      </c>
      <c r="V944" s="14">
        <v>4193.5</v>
      </c>
      <c r="W944" s="14">
        <v>4260.3</v>
      </c>
      <c r="X944" s="14">
        <v>4719.1000000000004</v>
      </c>
      <c r="Y944" s="14">
        <v>4703</v>
      </c>
      <c r="Z944" s="14">
        <v>4310.5</v>
      </c>
      <c r="AA944" s="14"/>
      <c r="AB944" s="14"/>
      <c r="AC944" s="15">
        <f>IFERROR(Z944/G944-1,"")</f>
        <v>0.89040435049557076</v>
      </c>
      <c r="AD944" s="15">
        <f>IFERROR((Z944/G944)^(1/19)-1,"")</f>
        <v>3.4083267705247389E-2</v>
      </c>
    </row>
    <row r="945" spans="1:30">
      <c r="A945" s="45" t="s">
        <v>397</v>
      </c>
      <c r="B945" s="45" t="s">
        <v>398</v>
      </c>
      <c r="C945" s="45" t="s">
        <v>498</v>
      </c>
      <c r="D945" s="45" t="s">
        <v>497</v>
      </c>
      <c r="E945" s="45" t="s">
        <v>499</v>
      </c>
      <c r="F945" s="45" t="s">
        <v>500</v>
      </c>
      <c r="G945" s="14">
        <v>7973.9</v>
      </c>
      <c r="H945" s="14">
        <v>8495.9</v>
      </c>
      <c r="I945" s="14">
        <v>9009.2999999999993</v>
      </c>
      <c r="J945" s="14">
        <v>9136.7000000000007</v>
      </c>
      <c r="K945" s="14">
        <v>9713.6</v>
      </c>
      <c r="L945" s="14">
        <v>11344.7</v>
      </c>
      <c r="M945" s="14">
        <v>11513.4</v>
      </c>
      <c r="N945" s="14">
        <v>11960.2</v>
      </c>
      <c r="O945" s="14">
        <v>12192</v>
      </c>
      <c r="P945" s="14">
        <v>12711.6</v>
      </c>
      <c r="Q945" s="14">
        <v>12132.8</v>
      </c>
      <c r="R945" s="14">
        <v>14300.3</v>
      </c>
      <c r="S945" s="14">
        <v>14126.6</v>
      </c>
      <c r="T945" s="14">
        <v>14228.8</v>
      </c>
      <c r="U945" s="14">
        <v>13150.8</v>
      </c>
      <c r="V945" s="14">
        <v>14225.9</v>
      </c>
      <c r="W945" s="14">
        <v>13345.9</v>
      </c>
      <c r="X945" s="14">
        <v>13901.2</v>
      </c>
      <c r="Y945" s="14">
        <v>14020.3</v>
      </c>
      <c r="Z945" s="14">
        <v>13971.1</v>
      </c>
      <c r="AA945" s="14"/>
      <c r="AB945" s="14"/>
      <c r="AC945" s="15">
        <f>IFERROR(Z945/G945-1,"")</f>
        <v>0.75210373844668243</v>
      </c>
      <c r="AD945" s="15">
        <f>IFERROR((Z945/G945)^(1/19)-1,"")</f>
        <v>2.9956630302705234E-2</v>
      </c>
    </row>
    <row r="946" spans="1:30">
      <c r="A946" s="45" t="s">
        <v>397</v>
      </c>
      <c r="B946" s="45" t="s">
        <v>398</v>
      </c>
      <c r="C946" s="45" t="s">
        <v>498</v>
      </c>
      <c r="D946" s="45" t="s">
        <v>501</v>
      </c>
      <c r="E946" s="45" t="s">
        <v>499</v>
      </c>
      <c r="F946" s="45" t="s">
        <v>500</v>
      </c>
      <c r="G946" s="14">
        <v>1307.7</v>
      </c>
      <c r="H946" s="14">
        <v>1365.4</v>
      </c>
      <c r="I946" s="14">
        <v>1629.6</v>
      </c>
      <c r="J946" s="14">
        <v>1197.8</v>
      </c>
      <c r="K946" s="14">
        <v>1339.8</v>
      </c>
      <c r="L946" s="14">
        <v>1342.2</v>
      </c>
      <c r="M946" s="14">
        <v>2138.1</v>
      </c>
      <c r="N946" s="14">
        <v>1666.5</v>
      </c>
      <c r="O946" s="14">
        <v>1395</v>
      </c>
      <c r="P946" s="14">
        <v>1302.5999999999999</v>
      </c>
      <c r="Q946" s="14">
        <v>928.8</v>
      </c>
      <c r="R946" s="14">
        <v>970.6</v>
      </c>
      <c r="S946" s="14">
        <v>1051.9000000000001</v>
      </c>
      <c r="T946" s="14">
        <v>728.3</v>
      </c>
      <c r="U946" s="14">
        <v>671.2</v>
      </c>
      <c r="V946" s="14">
        <v>704.9</v>
      </c>
      <c r="W946" s="14">
        <v>1113.2</v>
      </c>
      <c r="X946" s="14">
        <v>1526</v>
      </c>
      <c r="Y946" s="14">
        <v>1412.2</v>
      </c>
      <c r="Z946" s="14">
        <v>1179.2</v>
      </c>
      <c r="AA946" s="14"/>
      <c r="AB946" s="14"/>
      <c r="AC946" s="15">
        <f>IFERROR(Z946/G946-1,"")</f>
        <v>-9.8264127858071371E-2</v>
      </c>
      <c r="AD946" s="15">
        <f>IFERROR((Z946/G946)^(1/19)-1,"")</f>
        <v>-5.4290840421811204E-3</v>
      </c>
    </row>
    <row r="947" spans="1:30">
      <c r="A947" s="45" t="s">
        <v>359</v>
      </c>
      <c r="B947" s="45" t="s">
        <v>360</v>
      </c>
      <c r="C947" s="45" t="s">
        <v>490</v>
      </c>
      <c r="D947" s="45" t="s">
        <v>491</v>
      </c>
      <c r="E947" s="45" t="s">
        <v>492</v>
      </c>
      <c r="F947" s="45" t="s">
        <v>493</v>
      </c>
      <c r="G947" s="14">
        <v>14444</v>
      </c>
      <c r="H947" s="14">
        <v>9056</v>
      </c>
      <c r="I947" s="14">
        <v>9811</v>
      </c>
      <c r="J947" s="14">
        <v>13049</v>
      </c>
      <c r="K947" s="14">
        <v>12697</v>
      </c>
      <c r="L947" s="14">
        <v>15450</v>
      </c>
      <c r="M947" s="14">
        <v>16943</v>
      </c>
      <c r="N947" s="14">
        <v>19000</v>
      </c>
      <c r="O947" s="14">
        <v>21104</v>
      </c>
      <c r="P947" s="14">
        <v>22545</v>
      </c>
      <c r="Q947" s="14">
        <v>24851</v>
      </c>
      <c r="R947" s="14">
        <v>32224</v>
      </c>
      <c r="S947" s="14">
        <v>31599</v>
      </c>
      <c r="T947" s="14">
        <v>32554</v>
      </c>
      <c r="U947" s="14">
        <v>34090</v>
      </c>
      <c r="V947" s="14">
        <v>40709</v>
      </c>
      <c r="W947" s="14">
        <v>42766</v>
      </c>
      <c r="X947" s="14">
        <v>47123</v>
      </c>
      <c r="Y947" s="14">
        <v>50964</v>
      </c>
      <c r="Z947" s="14">
        <v>55256</v>
      </c>
      <c r="AA947" s="14">
        <v>59380</v>
      </c>
      <c r="AB947" s="14">
        <v>62150</v>
      </c>
    </row>
    <row r="948" spans="1:30">
      <c r="A948" s="45" t="s">
        <v>359</v>
      </c>
      <c r="B948" s="45" t="s">
        <v>360</v>
      </c>
      <c r="C948" s="45" t="s">
        <v>490</v>
      </c>
      <c r="D948" s="45" t="s">
        <v>494</v>
      </c>
      <c r="E948" s="45" t="s">
        <v>492</v>
      </c>
      <c r="F948" s="45" t="s">
        <v>493</v>
      </c>
      <c r="G948" s="14">
        <v>13839</v>
      </c>
      <c r="H948" s="14">
        <v>8837</v>
      </c>
      <c r="I948" s="14">
        <v>9562</v>
      </c>
      <c r="J948" s="14">
        <v>12694</v>
      </c>
      <c r="K948" s="14">
        <v>12167</v>
      </c>
      <c r="L948" s="14">
        <v>14635</v>
      </c>
      <c r="M948" s="14">
        <v>16162</v>
      </c>
      <c r="N948" s="14">
        <v>18154</v>
      </c>
      <c r="O948" s="14">
        <v>19931</v>
      </c>
      <c r="P948" s="14">
        <v>21233</v>
      </c>
      <c r="Q948" s="14">
        <v>23034</v>
      </c>
      <c r="R948" s="14">
        <v>30207</v>
      </c>
      <c r="S948" s="14">
        <v>29716</v>
      </c>
      <c r="T948" s="14">
        <v>30246</v>
      </c>
      <c r="U948" s="14">
        <v>33087</v>
      </c>
      <c r="V948" s="14">
        <v>39612</v>
      </c>
      <c r="W948" s="14">
        <v>40794</v>
      </c>
      <c r="X948" s="14">
        <v>44722</v>
      </c>
      <c r="Y948" s="14">
        <v>48297</v>
      </c>
      <c r="Z948" s="14">
        <v>52273</v>
      </c>
      <c r="AA948" s="14"/>
      <c r="AB948" s="14"/>
    </row>
    <row r="949" spans="1:30">
      <c r="A949" s="45" t="s">
        <v>359</v>
      </c>
      <c r="B949" s="45" t="s">
        <v>360</v>
      </c>
      <c r="C949" s="45" t="s">
        <v>490</v>
      </c>
      <c r="D949" s="45" t="s">
        <v>495</v>
      </c>
      <c r="E949" s="45" t="s">
        <v>492</v>
      </c>
      <c r="F949" s="45" t="s">
        <v>493</v>
      </c>
      <c r="G949" s="14">
        <v>1657</v>
      </c>
      <c r="H949" s="14">
        <v>384</v>
      </c>
      <c r="I949" s="14">
        <v>562</v>
      </c>
      <c r="J949" s="14">
        <v>1347</v>
      </c>
      <c r="K949" s="14">
        <v>512</v>
      </c>
      <c r="L949" s="14">
        <v>821</v>
      </c>
      <c r="M949" s="14">
        <v>1580</v>
      </c>
      <c r="N949" s="14">
        <v>1417</v>
      </c>
      <c r="O949" s="14">
        <v>1804</v>
      </c>
      <c r="P949" s="14">
        <v>1116</v>
      </c>
      <c r="Q949" s="14">
        <v>1188</v>
      </c>
      <c r="R949" s="14">
        <v>5024</v>
      </c>
      <c r="S949" s="14">
        <v>4172</v>
      </c>
      <c r="T949" s="14">
        <v>1872</v>
      </c>
      <c r="U949" s="14">
        <v>2031</v>
      </c>
      <c r="V949" s="14">
        <v>4124</v>
      </c>
      <c r="W949" s="14">
        <v>1901</v>
      </c>
      <c r="X949" s="14">
        <v>1989</v>
      </c>
      <c r="Y949" s="14">
        <v>2318</v>
      </c>
      <c r="Z949" s="14">
        <v>2012</v>
      </c>
      <c r="AA949" s="14"/>
      <c r="AB949" s="14"/>
    </row>
    <row r="950" spans="1:30">
      <c r="A950" s="45" t="s">
        <v>359</v>
      </c>
      <c r="B950" s="45" t="s">
        <v>360</v>
      </c>
      <c r="C950" s="45" t="s">
        <v>490</v>
      </c>
      <c r="D950" s="45" t="s">
        <v>496</v>
      </c>
      <c r="E950" s="45" t="s">
        <v>492</v>
      </c>
      <c r="F950" s="45" t="s">
        <v>493</v>
      </c>
      <c r="G950" s="14">
        <v>1791</v>
      </c>
      <c r="H950" s="14">
        <v>1675</v>
      </c>
      <c r="I950" s="14">
        <v>1922</v>
      </c>
      <c r="J950" s="14">
        <v>2508</v>
      </c>
      <c r="K950" s="14">
        <v>2530</v>
      </c>
      <c r="L950" s="14">
        <v>3097</v>
      </c>
      <c r="M950" s="14">
        <v>3153</v>
      </c>
      <c r="N950" s="14">
        <v>3526</v>
      </c>
      <c r="O950" s="14">
        <v>3951</v>
      </c>
      <c r="P950" s="14">
        <v>4183</v>
      </c>
      <c r="Q950" s="14">
        <v>5168</v>
      </c>
      <c r="R950" s="14">
        <v>5994</v>
      </c>
      <c r="S950" s="14">
        <v>5605</v>
      </c>
      <c r="T950" s="14">
        <v>6768</v>
      </c>
      <c r="U950" s="14">
        <v>7537</v>
      </c>
      <c r="V950" s="14">
        <v>9062</v>
      </c>
      <c r="W950" s="14">
        <v>12036</v>
      </c>
      <c r="X950" s="14">
        <v>12834</v>
      </c>
      <c r="Y950" s="14">
        <v>12676</v>
      </c>
      <c r="Z950" s="14">
        <v>12992</v>
      </c>
      <c r="AA950" s="14"/>
      <c r="AB950" s="14"/>
    </row>
    <row r="951" spans="1:30">
      <c r="A951" s="45" t="s">
        <v>359</v>
      </c>
      <c r="B951" s="45" t="s">
        <v>360</v>
      </c>
      <c r="C951" s="45" t="s">
        <v>490</v>
      </c>
      <c r="D951" s="45" t="s">
        <v>497</v>
      </c>
      <c r="E951" s="45" t="s">
        <v>492</v>
      </c>
      <c r="F951" s="45" t="s">
        <v>493</v>
      </c>
      <c r="G951" s="14">
        <v>5479</v>
      </c>
      <c r="H951" s="14">
        <v>5201</v>
      </c>
      <c r="I951" s="14">
        <v>5571</v>
      </c>
      <c r="J951" s="14">
        <v>7334</v>
      </c>
      <c r="K951" s="14">
        <v>7699</v>
      </c>
      <c r="L951" s="14">
        <v>9390</v>
      </c>
      <c r="M951" s="14">
        <v>9956</v>
      </c>
      <c r="N951" s="14">
        <v>11286</v>
      </c>
      <c r="O951" s="14">
        <v>12248</v>
      </c>
      <c r="P951" s="14">
        <v>13654</v>
      </c>
      <c r="Q951" s="14">
        <v>14457</v>
      </c>
      <c r="R951" s="14">
        <v>16494</v>
      </c>
      <c r="S951" s="14">
        <v>17163</v>
      </c>
      <c r="T951" s="14">
        <v>18475</v>
      </c>
      <c r="U951" s="14">
        <v>20225</v>
      </c>
      <c r="V951" s="14">
        <v>22898</v>
      </c>
      <c r="W951" s="14">
        <v>23114</v>
      </c>
      <c r="X951" s="14">
        <v>24689</v>
      </c>
      <c r="Y951" s="14">
        <v>25460</v>
      </c>
      <c r="Z951" s="14">
        <v>27172</v>
      </c>
      <c r="AA951" s="14"/>
      <c r="AB951" s="14"/>
    </row>
    <row r="952" spans="1:30">
      <c r="A952" s="45" t="s">
        <v>359</v>
      </c>
      <c r="B952" s="45" t="s">
        <v>360</v>
      </c>
      <c r="C952" s="45" t="s">
        <v>498</v>
      </c>
      <c r="D952" s="45" t="s">
        <v>491</v>
      </c>
      <c r="E952" s="45" t="s">
        <v>499</v>
      </c>
      <c r="F952" s="45" t="s">
        <v>500</v>
      </c>
      <c r="G952" s="14">
        <v>27440.7</v>
      </c>
      <c r="H952" s="14">
        <v>15079.1</v>
      </c>
      <c r="I952" s="14">
        <v>15160.9</v>
      </c>
      <c r="J952" s="14">
        <v>18770.599999999999</v>
      </c>
      <c r="K952" s="14">
        <v>17104.900000000001</v>
      </c>
      <c r="L952" s="14">
        <v>19554.2</v>
      </c>
      <c r="M952" s="14">
        <v>19713.8</v>
      </c>
      <c r="N952" s="14">
        <v>20600.400000000001</v>
      </c>
      <c r="O952" s="14">
        <v>21104</v>
      </c>
      <c r="P952" s="14">
        <v>20813.599999999999</v>
      </c>
      <c r="Q952" s="14">
        <v>21254.3</v>
      </c>
      <c r="R952" s="14">
        <v>25636.3</v>
      </c>
      <c r="S952" s="14">
        <v>23310</v>
      </c>
      <c r="T952" s="14">
        <v>22325.3</v>
      </c>
      <c r="U952" s="14">
        <v>21626.2</v>
      </c>
      <c r="V952" s="14">
        <v>24910.6</v>
      </c>
      <c r="W952" s="14">
        <v>25043.9</v>
      </c>
      <c r="X952" s="14">
        <v>26477</v>
      </c>
      <c r="Y952" s="14">
        <v>26894.400000000001</v>
      </c>
      <c r="Z952" s="14">
        <v>25793.9</v>
      </c>
      <c r="AA952" s="14"/>
      <c r="AB952" s="14"/>
      <c r="AC952" s="15">
        <f>IFERROR(Z952/G952-1,"")</f>
        <v>-6.0013046314416174E-2</v>
      </c>
      <c r="AD952" s="15">
        <f>IFERROR((Z952/G952)^(1/19)-1,"")</f>
        <v>-3.252031331386851E-3</v>
      </c>
    </row>
    <row r="953" spans="1:30">
      <c r="A953" s="45" t="s">
        <v>359</v>
      </c>
      <c r="B953" s="45" t="s">
        <v>360</v>
      </c>
      <c r="C953" s="45" t="s">
        <v>498</v>
      </c>
      <c r="D953" s="45" t="s">
        <v>495</v>
      </c>
      <c r="E953" s="45" t="s">
        <v>499</v>
      </c>
      <c r="F953" s="45" t="s">
        <v>500</v>
      </c>
      <c r="G953" s="14">
        <v>3148.4</v>
      </c>
      <c r="H953" s="14">
        <v>640.1</v>
      </c>
      <c r="I953" s="14">
        <v>868.9</v>
      </c>
      <c r="J953" s="14">
        <v>1937.1</v>
      </c>
      <c r="K953" s="14">
        <v>689.1</v>
      </c>
      <c r="L953" s="14">
        <v>1038.5</v>
      </c>
      <c r="M953" s="14">
        <v>1838.6</v>
      </c>
      <c r="N953" s="14">
        <v>1536.4</v>
      </c>
      <c r="O953" s="14">
        <v>1804</v>
      </c>
      <c r="P953" s="14">
        <v>1030.3</v>
      </c>
      <c r="Q953" s="14">
        <v>1016.1</v>
      </c>
      <c r="R953" s="14">
        <v>3996.9</v>
      </c>
      <c r="S953" s="14">
        <v>3077.6</v>
      </c>
      <c r="T953" s="14">
        <v>1283.8</v>
      </c>
      <c r="U953" s="14">
        <v>1288.4000000000001</v>
      </c>
      <c r="V953" s="14">
        <v>2523.6</v>
      </c>
      <c r="W953" s="14">
        <v>1113.2</v>
      </c>
      <c r="X953" s="14">
        <v>1117.5999999999999</v>
      </c>
      <c r="Y953" s="14">
        <v>1223.2</v>
      </c>
      <c r="Z953" s="14">
        <v>939.2</v>
      </c>
      <c r="AA953" s="14"/>
      <c r="AB953" s="14"/>
      <c r="AC953" s="15">
        <f>IFERROR(Z953/G953-1,"")</f>
        <v>-0.70168974717316734</v>
      </c>
      <c r="AD953" s="15">
        <f>IFERROR((Z953/G953)^(1/19)-1,"")</f>
        <v>-6.168003548753842E-2</v>
      </c>
    </row>
    <row r="954" spans="1:30">
      <c r="A954" s="45" t="s">
        <v>359</v>
      </c>
      <c r="B954" s="45" t="s">
        <v>360</v>
      </c>
      <c r="C954" s="45" t="s">
        <v>498</v>
      </c>
      <c r="D954" s="45" t="s">
        <v>496</v>
      </c>
      <c r="E954" s="45" t="s">
        <v>499</v>
      </c>
      <c r="F954" s="45" t="s">
        <v>500</v>
      </c>
      <c r="G954" s="14">
        <v>3402.8</v>
      </c>
      <c r="H954" s="14">
        <v>2788.4</v>
      </c>
      <c r="I954" s="14">
        <v>2970.4</v>
      </c>
      <c r="J954" s="14">
        <v>3607.2</v>
      </c>
      <c r="K954" s="14">
        <v>3408.3</v>
      </c>
      <c r="L954" s="14">
        <v>3920.1</v>
      </c>
      <c r="M954" s="14">
        <v>3669</v>
      </c>
      <c r="N954" s="14">
        <v>3823</v>
      </c>
      <c r="O954" s="14">
        <v>3951</v>
      </c>
      <c r="P954" s="14">
        <v>3861.8</v>
      </c>
      <c r="Q954" s="14">
        <v>4420</v>
      </c>
      <c r="R954" s="14">
        <v>4768.6000000000004</v>
      </c>
      <c r="S954" s="14">
        <v>4134.7</v>
      </c>
      <c r="T954" s="14">
        <v>4641.3999999999996</v>
      </c>
      <c r="U954" s="14">
        <v>4781.3999999999996</v>
      </c>
      <c r="V954" s="14">
        <v>5545.2</v>
      </c>
      <c r="W954" s="14">
        <v>7048.3</v>
      </c>
      <c r="X954" s="14">
        <v>7211</v>
      </c>
      <c r="Y954" s="14">
        <v>6689.3</v>
      </c>
      <c r="Z954" s="14">
        <v>6065.2</v>
      </c>
      <c r="AA954" s="14"/>
      <c r="AB954" s="14"/>
      <c r="AC954" s="15">
        <f>IFERROR(Z954/G954-1,"")</f>
        <v>0.78241448219113652</v>
      </c>
      <c r="AD954" s="15">
        <f>IFERROR((Z954/G954)^(1/19)-1,"")</f>
        <v>3.0886813274968006E-2</v>
      </c>
    </row>
    <row r="955" spans="1:30">
      <c r="A955" s="45" t="s">
        <v>359</v>
      </c>
      <c r="B955" s="45" t="s">
        <v>360</v>
      </c>
      <c r="C955" s="45" t="s">
        <v>498</v>
      </c>
      <c r="D955" s="45" t="s">
        <v>497</v>
      </c>
      <c r="E955" s="45" t="s">
        <v>499</v>
      </c>
      <c r="F955" s="45" t="s">
        <v>500</v>
      </c>
      <c r="G955" s="14">
        <v>10409.4</v>
      </c>
      <c r="H955" s="14">
        <v>8661</v>
      </c>
      <c r="I955" s="14">
        <v>8608.2000000000007</v>
      </c>
      <c r="J955" s="14">
        <v>10549.5</v>
      </c>
      <c r="K955" s="14">
        <v>10371.700000000001</v>
      </c>
      <c r="L955" s="14">
        <v>11884.1</v>
      </c>
      <c r="M955" s="14">
        <v>11584.6</v>
      </c>
      <c r="N955" s="14">
        <v>12236.7</v>
      </c>
      <c r="O955" s="14">
        <v>12248</v>
      </c>
      <c r="P955" s="14">
        <v>12605.4</v>
      </c>
      <c r="Q955" s="14">
        <v>12364.6</v>
      </c>
      <c r="R955" s="14">
        <v>13122</v>
      </c>
      <c r="S955" s="14">
        <v>12660.8</v>
      </c>
      <c r="T955" s="14">
        <v>12670</v>
      </c>
      <c r="U955" s="14">
        <v>12830.4</v>
      </c>
      <c r="V955" s="14">
        <v>14011.7</v>
      </c>
      <c r="W955" s="14">
        <v>13535.6</v>
      </c>
      <c r="X955" s="14">
        <v>13872</v>
      </c>
      <c r="Y955" s="14">
        <v>13435.6</v>
      </c>
      <c r="Z955" s="14">
        <v>12684.6</v>
      </c>
      <c r="AA955" s="14"/>
      <c r="AB955" s="14"/>
      <c r="AC955" s="15">
        <f>IFERROR(Z955/G955-1,"")</f>
        <v>0.2185716756008993</v>
      </c>
      <c r="AD955" s="15">
        <f>IFERROR((Z955/G955)^(1/19)-1,"")</f>
        <v>1.0458491416524884E-2</v>
      </c>
    </row>
    <row r="956" spans="1:30">
      <c r="A956" s="45" t="s">
        <v>359</v>
      </c>
      <c r="B956" s="45" t="s">
        <v>360</v>
      </c>
      <c r="C956" s="45" t="s">
        <v>498</v>
      </c>
      <c r="D956" s="45" t="s">
        <v>501</v>
      </c>
      <c r="E956" s="45" t="s">
        <v>499</v>
      </c>
      <c r="F956" s="45" t="s">
        <v>500</v>
      </c>
      <c r="G956" s="14">
        <v>9330.9</v>
      </c>
      <c r="H956" s="14">
        <v>2625.2</v>
      </c>
      <c r="I956" s="14">
        <v>2329</v>
      </c>
      <c r="J956" s="14">
        <v>2165.6999999999998</v>
      </c>
      <c r="K956" s="14">
        <v>1922</v>
      </c>
      <c r="L956" s="14">
        <v>1679.8</v>
      </c>
      <c r="M956" s="14">
        <v>1712.7</v>
      </c>
      <c r="N956" s="14">
        <v>2088.1999999999998</v>
      </c>
      <c r="O956" s="14">
        <v>1929</v>
      </c>
      <c r="P956" s="14">
        <v>2104.9</v>
      </c>
      <c r="Q956" s="14">
        <v>1899.5</v>
      </c>
      <c r="R956" s="14">
        <v>2144.8000000000002</v>
      </c>
      <c r="S956" s="14">
        <v>2047.1</v>
      </c>
      <c r="T956" s="14">
        <v>2147.1999999999998</v>
      </c>
      <c r="U956" s="14">
        <v>2089.6999999999998</v>
      </c>
      <c r="V956" s="14">
        <v>2158.1999999999998</v>
      </c>
      <c r="W956" s="14">
        <v>2191.9</v>
      </c>
      <c r="X956" s="14">
        <v>2927.9</v>
      </c>
      <c r="Y956" s="14">
        <v>4138.8999999999996</v>
      </c>
      <c r="Z956" s="14">
        <v>4713.3999999999996</v>
      </c>
      <c r="AA956" s="14"/>
      <c r="AB956" s="14"/>
      <c r="AC956" s="15">
        <f>IFERROR(Z956/G956-1,"")</f>
        <v>-0.4948611602310603</v>
      </c>
      <c r="AD956" s="15">
        <f>IFERROR((Z956/G956)^(1/19)-1,"")</f>
        <v>-3.5304972150030256E-2</v>
      </c>
    </row>
    <row r="957" spans="1:30">
      <c r="A957" s="45" t="s">
        <v>145</v>
      </c>
      <c r="B957" s="45" t="s">
        <v>146</v>
      </c>
      <c r="C957" s="45" t="s">
        <v>490</v>
      </c>
      <c r="D957" s="45" t="s">
        <v>491</v>
      </c>
      <c r="E957" s="45" t="s">
        <v>492</v>
      </c>
      <c r="F957" s="45" t="s">
        <v>493</v>
      </c>
      <c r="G957" s="14">
        <v>9766</v>
      </c>
      <c r="H957" s="14">
        <v>10692</v>
      </c>
      <c r="I957" s="14">
        <v>12023</v>
      </c>
      <c r="J957" s="14">
        <v>12526</v>
      </c>
      <c r="K957" s="14">
        <v>13726</v>
      </c>
      <c r="L957" s="14">
        <v>18998</v>
      </c>
      <c r="M957" s="14">
        <v>21376</v>
      </c>
      <c r="N957" s="14">
        <v>22703</v>
      </c>
      <c r="O957" s="14">
        <v>20800</v>
      </c>
      <c r="P957" s="14">
        <v>101296</v>
      </c>
      <c r="Q957" s="14">
        <v>346137</v>
      </c>
      <c r="R957" s="14">
        <v>196674</v>
      </c>
      <c r="S957" s="14">
        <v>204263</v>
      </c>
      <c r="T957" s="14">
        <v>225963</v>
      </c>
      <c r="U957" s="14">
        <v>322451</v>
      </c>
      <c r="V957" s="14">
        <v>423165</v>
      </c>
      <c r="W957" s="14">
        <v>409064</v>
      </c>
      <c r="X957" s="14">
        <v>333657</v>
      </c>
      <c r="Y957" s="14">
        <v>401112</v>
      </c>
      <c r="Z957" s="14">
        <v>606239</v>
      </c>
      <c r="AA957" s="14">
        <v>510446</v>
      </c>
      <c r="AB957" s="14">
        <v>524974</v>
      </c>
    </row>
    <row r="958" spans="1:30">
      <c r="A958" s="45" t="s">
        <v>145</v>
      </c>
      <c r="B958" s="45" t="s">
        <v>146</v>
      </c>
      <c r="C958" s="45" t="s">
        <v>490</v>
      </c>
      <c r="D958" s="45" t="s">
        <v>494</v>
      </c>
      <c r="E958" s="45" t="s">
        <v>492</v>
      </c>
      <c r="F958" s="45" t="s">
        <v>493</v>
      </c>
      <c r="G958" s="14">
        <v>9289</v>
      </c>
      <c r="H958" s="14">
        <v>10169</v>
      </c>
      <c r="I958" s="14">
        <v>11469</v>
      </c>
      <c r="J958" s="14">
        <v>11998</v>
      </c>
      <c r="K958" s="14">
        <v>13043</v>
      </c>
      <c r="L958" s="14">
        <v>17407</v>
      </c>
      <c r="M958" s="14">
        <v>19605</v>
      </c>
      <c r="N958" s="14">
        <v>21336</v>
      </c>
      <c r="O958" s="14">
        <v>19892</v>
      </c>
      <c r="P958" s="14">
        <v>82794</v>
      </c>
      <c r="Q958" s="14">
        <v>330077</v>
      </c>
      <c r="R958" s="14">
        <v>184934</v>
      </c>
      <c r="S958" s="14">
        <v>196045</v>
      </c>
      <c r="T958" s="14">
        <v>217638</v>
      </c>
      <c r="U958" s="14">
        <v>314651</v>
      </c>
      <c r="V958" s="14">
        <v>407389</v>
      </c>
      <c r="W958" s="14">
        <v>400337</v>
      </c>
      <c r="X958" s="14">
        <v>325940</v>
      </c>
      <c r="Y958" s="14">
        <v>391315</v>
      </c>
      <c r="Z958" s="14">
        <v>595044</v>
      </c>
      <c r="AA958" s="14"/>
      <c r="AB958" s="14"/>
    </row>
    <row r="959" spans="1:30">
      <c r="A959" s="45" t="s">
        <v>145</v>
      </c>
      <c r="B959" s="45" t="s">
        <v>146</v>
      </c>
      <c r="C959" s="45" t="s">
        <v>490</v>
      </c>
      <c r="D959" s="45" t="s">
        <v>495</v>
      </c>
      <c r="E959" s="45" t="s">
        <v>492</v>
      </c>
      <c r="F959" s="45" t="s">
        <v>493</v>
      </c>
      <c r="G959" s="14">
        <v>499</v>
      </c>
      <c r="H959" s="14">
        <v>342</v>
      </c>
      <c r="I959" s="14">
        <v>456</v>
      </c>
      <c r="J959" s="14">
        <v>575</v>
      </c>
      <c r="K959" s="14">
        <v>607</v>
      </c>
      <c r="L959" s="14">
        <v>701</v>
      </c>
      <c r="M959" s="14">
        <v>657</v>
      </c>
      <c r="N959" s="14">
        <v>722</v>
      </c>
      <c r="O959" s="14">
        <v>591</v>
      </c>
      <c r="P959" s="14">
        <v>48295</v>
      </c>
      <c r="Q959" s="14">
        <v>295215</v>
      </c>
      <c r="R959" s="14">
        <v>142814</v>
      </c>
      <c r="S959" s="14">
        <v>157154</v>
      </c>
      <c r="T959" s="14">
        <v>173171</v>
      </c>
      <c r="U959" s="14">
        <v>266823</v>
      </c>
      <c r="V959" s="14">
        <v>347502</v>
      </c>
      <c r="W959" s="14">
        <v>345266</v>
      </c>
      <c r="X959" s="14">
        <v>268673</v>
      </c>
      <c r="Y959" s="14">
        <v>330493</v>
      </c>
      <c r="Z959" s="14">
        <v>528052</v>
      </c>
      <c r="AA959" s="14"/>
      <c r="AB959" s="14"/>
    </row>
    <row r="960" spans="1:30">
      <c r="A960" s="45" t="s">
        <v>145</v>
      </c>
      <c r="B960" s="45" t="s">
        <v>146</v>
      </c>
      <c r="C960" s="45" t="s">
        <v>490</v>
      </c>
      <c r="D960" s="45" t="s">
        <v>496</v>
      </c>
      <c r="E960" s="45" t="s">
        <v>492</v>
      </c>
      <c r="F960" s="45" t="s">
        <v>493</v>
      </c>
      <c r="G960" s="14">
        <v>2117</v>
      </c>
      <c r="H960" s="14">
        <v>1759</v>
      </c>
      <c r="I960" s="14">
        <v>1982</v>
      </c>
      <c r="J960" s="14">
        <v>2226</v>
      </c>
      <c r="K960" s="14">
        <v>2445</v>
      </c>
      <c r="L960" s="14">
        <v>2938</v>
      </c>
      <c r="M960" s="14">
        <v>3095</v>
      </c>
      <c r="N960" s="14">
        <v>3649</v>
      </c>
      <c r="O960" s="14">
        <v>3671</v>
      </c>
      <c r="P960" s="14">
        <v>16563</v>
      </c>
      <c r="Q960" s="14">
        <v>15410</v>
      </c>
      <c r="R960" s="14">
        <v>14103</v>
      </c>
      <c r="S960" s="14">
        <v>10792</v>
      </c>
      <c r="T960" s="14">
        <v>12882</v>
      </c>
      <c r="U960" s="14">
        <v>14265</v>
      </c>
      <c r="V960" s="14">
        <v>24802</v>
      </c>
      <c r="W960" s="14">
        <v>17868</v>
      </c>
      <c r="X960" s="14">
        <v>17875</v>
      </c>
      <c r="Y960" s="14">
        <v>19118</v>
      </c>
      <c r="Z960" s="14">
        <v>20688</v>
      </c>
      <c r="AA960" s="14"/>
      <c r="AB960" s="14"/>
    </row>
    <row r="961" spans="1:30">
      <c r="A961" s="45" t="s">
        <v>145</v>
      </c>
      <c r="B961" s="45" t="s">
        <v>146</v>
      </c>
      <c r="C961" s="45" t="s">
        <v>490</v>
      </c>
      <c r="D961" s="45" t="s">
        <v>497</v>
      </c>
      <c r="E961" s="45" t="s">
        <v>492</v>
      </c>
      <c r="F961" s="45" t="s">
        <v>493</v>
      </c>
      <c r="G961" s="14">
        <v>5343</v>
      </c>
      <c r="H961" s="14">
        <v>5977</v>
      </c>
      <c r="I961" s="14">
        <v>6409</v>
      </c>
      <c r="J961" s="14">
        <v>8221</v>
      </c>
      <c r="K961" s="14">
        <v>9146</v>
      </c>
      <c r="L961" s="14">
        <v>11299</v>
      </c>
      <c r="M961" s="14">
        <v>12312</v>
      </c>
      <c r="N961" s="14">
        <v>13848</v>
      </c>
      <c r="O961" s="14">
        <v>14884</v>
      </c>
      <c r="P961" s="14">
        <v>16701</v>
      </c>
      <c r="Q961" s="14">
        <v>18596</v>
      </c>
      <c r="R961" s="14">
        <v>26052</v>
      </c>
      <c r="S961" s="14">
        <v>25644</v>
      </c>
      <c r="T961" s="14">
        <v>27762</v>
      </c>
      <c r="U961" s="14">
        <v>29353</v>
      </c>
      <c r="V961" s="14">
        <v>32402</v>
      </c>
      <c r="W961" s="14">
        <v>33998</v>
      </c>
      <c r="X961" s="14">
        <v>35958</v>
      </c>
      <c r="Y961" s="14">
        <v>36392</v>
      </c>
      <c r="Z961" s="14">
        <v>40792</v>
      </c>
      <c r="AA961" s="14"/>
      <c r="AB961" s="14"/>
    </row>
    <row r="962" spans="1:30">
      <c r="A962" s="45" t="s">
        <v>145</v>
      </c>
      <c r="B962" s="45" t="s">
        <v>146</v>
      </c>
      <c r="C962" s="45" t="s">
        <v>498</v>
      </c>
      <c r="D962" s="45" t="s">
        <v>491</v>
      </c>
      <c r="E962" s="45" t="s">
        <v>499</v>
      </c>
      <c r="F962" s="45" t="s">
        <v>500</v>
      </c>
      <c r="G962" s="14">
        <v>18552.8</v>
      </c>
      <c r="H962" s="14">
        <v>17803.3</v>
      </c>
      <c r="I962" s="14">
        <v>18578.599999999999</v>
      </c>
      <c r="J962" s="14">
        <v>18017.900000000001</v>
      </c>
      <c r="K962" s="14">
        <v>18491.3</v>
      </c>
      <c r="L962" s="14">
        <v>24044.799999999999</v>
      </c>
      <c r="M962" s="14">
        <v>24871.7</v>
      </c>
      <c r="N962" s="14">
        <v>24615.4</v>
      </c>
      <c r="O962" s="14">
        <v>20800</v>
      </c>
      <c r="P962" s="14">
        <v>93516.7</v>
      </c>
      <c r="Q962" s="14">
        <v>296039.7</v>
      </c>
      <c r="R962" s="14">
        <v>156466.70000000001</v>
      </c>
      <c r="S962" s="14">
        <v>150680.79999999999</v>
      </c>
      <c r="T962" s="14">
        <v>154963.6</v>
      </c>
      <c r="U962" s="14">
        <v>204557.8</v>
      </c>
      <c r="V962" s="14">
        <v>258942.4</v>
      </c>
      <c r="W962" s="14">
        <v>239549.5</v>
      </c>
      <c r="X962" s="14">
        <v>187471.6</v>
      </c>
      <c r="Y962" s="14">
        <v>211672</v>
      </c>
      <c r="Z962" s="14">
        <v>282996.8</v>
      </c>
      <c r="AA962" s="14"/>
      <c r="AB962" s="14"/>
      <c r="AC962" s="15">
        <f>IFERROR(Z962/G962-1,"")</f>
        <v>14.2535897546462</v>
      </c>
      <c r="AD962" s="15">
        <f>IFERROR((Z962/G962)^(1/19)-1,"")</f>
        <v>0.15420443860613542</v>
      </c>
    </row>
    <row r="963" spans="1:30">
      <c r="A963" s="45" t="s">
        <v>145</v>
      </c>
      <c r="B963" s="45" t="s">
        <v>146</v>
      </c>
      <c r="C963" s="45" t="s">
        <v>498</v>
      </c>
      <c r="D963" s="45" t="s">
        <v>495</v>
      </c>
      <c r="E963" s="45" t="s">
        <v>499</v>
      </c>
      <c r="F963" s="45" t="s">
        <v>500</v>
      </c>
      <c r="G963" s="14">
        <v>948</v>
      </c>
      <c r="H963" s="14">
        <v>569.29999999999995</v>
      </c>
      <c r="I963" s="14">
        <v>704.7</v>
      </c>
      <c r="J963" s="14">
        <v>826.7</v>
      </c>
      <c r="K963" s="14">
        <v>817.7</v>
      </c>
      <c r="L963" s="14">
        <v>887.8</v>
      </c>
      <c r="M963" s="14">
        <v>764.2</v>
      </c>
      <c r="N963" s="14">
        <v>782.8</v>
      </c>
      <c r="O963" s="14">
        <v>591</v>
      </c>
      <c r="P963" s="14">
        <v>44586.1</v>
      </c>
      <c r="Q963" s="14">
        <v>252487.8</v>
      </c>
      <c r="R963" s="14">
        <v>113617.7</v>
      </c>
      <c r="S963" s="14">
        <v>115929.4</v>
      </c>
      <c r="T963" s="14">
        <v>118759.3</v>
      </c>
      <c r="U963" s="14">
        <v>169268.3</v>
      </c>
      <c r="V963" s="14">
        <v>212642.8</v>
      </c>
      <c r="W963" s="14">
        <v>202189.1</v>
      </c>
      <c r="X963" s="14">
        <v>150959.1</v>
      </c>
      <c r="Y963" s="14">
        <v>174405.4</v>
      </c>
      <c r="Z963" s="14">
        <v>246498.5</v>
      </c>
      <c r="AA963" s="14"/>
      <c r="AB963" s="14"/>
      <c r="AC963" s="15">
        <f>IFERROR(Z963/G963-1,"")</f>
        <v>259.01951476793249</v>
      </c>
      <c r="AD963" s="15">
        <f>IFERROR((Z963/G963)^(1/19)-1,"")</f>
        <v>0.34000239928661058</v>
      </c>
    </row>
    <row r="964" spans="1:30">
      <c r="A964" s="45" t="s">
        <v>145</v>
      </c>
      <c r="B964" s="45" t="s">
        <v>146</v>
      </c>
      <c r="C964" s="45" t="s">
        <v>498</v>
      </c>
      <c r="D964" s="45" t="s">
        <v>496</v>
      </c>
      <c r="E964" s="45" t="s">
        <v>499</v>
      </c>
      <c r="F964" s="45" t="s">
        <v>500</v>
      </c>
      <c r="G964" s="14">
        <v>4021.6</v>
      </c>
      <c r="H964" s="14">
        <v>2928.5</v>
      </c>
      <c r="I964" s="14">
        <v>3062.5</v>
      </c>
      <c r="J964" s="14">
        <v>3201.5</v>
      </c>
      <c r="K964" s="14">
        <v>3294.3</v>
      </c>
      <c r="L964" s="14">
        <v>3718.7</v>
      </c>
      <c r="M964" s="14">
        <v>3601.1</v>
      </c>
      <c r="N964" s="14">
        <v>3956.4</v>
      </c>
      <c r="O964" s="14">
        <v>3671</v>
      </c>
      <c r="P964" s="14">
        <v>15291</v>
      </c>
      <c r="Q964" s="14">
        <v>13179.7</v>
      </c>
      <c r="R964" s="14">
        <v>11219.8</v>
      </c>
      <c r="S964" s="14">
        <v>7961</v>
      </c>
      <c r="T964" s="14">
        <v>8834.4</v>
      </c>
      <c r="U964" s="14">
        <v>9049.5</v>
      </c>
      <c r="V964" s="14">
        <v>15176.8</v>
      </c>
      <c r="W964" s="14">
        <v>10463.6</v>
      </c>
      <c r="X964" s="14">
        <v>10043.4</v>
      </c>
      <c r="Y964" s="14">
        <v>10088.799999999999</v>
      </c>
      <c r="Z964" s="14">
        <v>9657.2999999999993</v>
      </c>
      <c r="AA964" s="14"/>
      <c r="AB964" s="14"/>
      <c r="AC964" s="15">
        <f>IFERROR(Z964/G964-1,"")</f>
        <v>1.4013576685896161</v>
      </c>
      <c r="AD964" s="15">
        <f>IFERROR((Z964/G964)^(1/19)-1,"")</f>
        <v>4.7186524055544243E-2</v>
      </c>
    </row>
    <row r="965" spans="1:30">
      <c r="A965" s="45" t="s">
        <v>145</v>
      </c>
      <c r="B965" s="45" t="s">
        <v>146</v>
      </c>
      <c r="C965" s="45" t="s">
        <v>498</v>
      </c>
      <c r="D965" s="45" t="s">
        <v>497</v>
      </c>
      <c r="E965" s="45" t="s">
        <v>499</v>
      </c>
      <c r="F965" s="45" t="s">
        <v>500</v>
      </c>
      <c r="G965" s="14">
        <v>10149.700000000001</v>
      </c>
      <c r="H965" s="14">
        <v>9952.7000000000007</v>
      </c>
      <c r="I965" s="14">
        <v>9903.7999999999993</v>
      </c>
      <c r="J965" s="14">
        <v>11825.7</v>
      </c>
      <c r="K965" s="14">
        <v>12321.5</v>
      </c>
      <c r="L965" s="14">
        <v>14301.2</v>
      </c>
      <c r="M965" s="14">
        <v>14325.7</v>
      </c>
      <c r="N965" s="14">
        <v>15014.5</v>
      </c>
      <c r="O965" s="14">
        <v>14884</v>
      </c>
      <c r="P965" s="14">
        <v>15418.4</v>
      </c>
      <c r="Q965" s="14">
        <v>15904.6</v>
      </c>
      <c r="R965" s="14">
        <v>20726</v>
      </c>
      <c r="S965" s="14">
        <v>18917.099999999999</v>
      </c>
      <c r="T965" s="14">
        <v>19039</v>
      </c>
      <c r="U965" s="14">
        <v>18621.099999999999</v>
      </c>
      <c r="V965" s="14">
        <v>19827.400000000001</v>
      </c>
      <c r="W965" s="14">
        <v>19909.400000000001</v>
      </c>
      <c r="X965" s="14">
        <v>20203.7</v>
      </c>
      <c r="Y965" s="14">
        <v>19204.5</v>
      </c>
      <c r="Z965" s="14">
        <v>19042.5</v>
      </c>
      <c r="AA965" s="14"/>
      <c r="AB965" s="14"/>
      <c r="AC965" s="15">
        <f>IFERROR(Z965/G965-1,"")</f>
        <v>0.87616382750229049</v>
      </c>
      <c r="AD965" s="15">
        <f>IFERROR((Z965/G965)^(1/19)-1,"")</f>
        <v>3.3671807664696685E-2</v>
      </c>
    </row>
    <row r="966" spans="1:30">
      <c r="A966" s="45" t="s">
        <v>145</v>
      </c>
      <c r="B966" s="45" t="s">
        <v>146</v>
      </c>
      <c r="C966" s="45" t="s">
        <v>498</v>
      </c>
      <c r="D966" s="45" t="s">
        <v>501</v>
      </c>
      <c r="E966" s="45" t="s">
        <v>499</v>
      </c>
      <c r="F966" s="45" t="s">
        <v>500</v>
      </c>
      <c r="G966" s="14">
        <v>2528.1</v>
      </c>
      <c r="H966" s="14">
        <v>3481.3</v>
      </c>
      <c r="I966" s="14">
        <v>4052.2</v>
      </c>
      <c r="J966" s="14">
        <v>1404.8</v>
      </c>
      <c r="K966" s="14">
        <v>1137.5</v>
      </c>
      <c r="L966" s="14">
        <v>3124.4</v>
      </c>
      <c r="M966" s="14">
        <v>4120.1000000000004</v>
      </c>
      <c r="N966" s="14">
        <v>3379.6</v>
      </c>
      <c r="O966" s="14">
        <v>745</v>
      </c>
      <c r="P966" s="14">
        <v>1140.2</v>
      </c>
      <c r="Q966" s="14">
        <v>732.1</v>
      </c>
      <c r="R966" s="14">
        <v>1562.5</v>
      </c>
      <c r="S966" s="14">
        <v>1811.7</v>
      </c>
      <c r="T966" s="14">
        <v>2621.8</v>
      </c>
      <c r="U966" s="14">
        <v>2670.8</v>
      </c>
      <c r="V966" s="14">
        <v>1642.4</v>
      </c>
      <c r="W966" s="14">
        <v>1876.3</v>
      </c>
      <c r="X966" s="14">
        <v>1928.9</v>
      </c>
      <c r="Y966" s="14">
        <v>2803.7</v>
      </c>
      <c r="Z966" s="14">
        <v>2573</v>
      </c>
      <c r="AA966" s="14"/>
      <c r="AB966" s="14"/>
      <c r="AC966" s="15">
        <f>IFERROR(Z966/G966-1,"")</f>
        <v>1.776037340295078E-2</v>
      </c>
      <c r="AD966" s="15">
        <f>IFERROR((Z966/G966)^(1/19)-1,"")</f>
        <v>9.2698205807884015E-4</v>
      </c>
    </row>
    <row r="967" spans="1:30">
      <c r="A967" s="45" t="s">
        <v>169</v>
      </c>
      <c r="B967" s="45" t="s">
        <v>170</v>
      </c>
      <c r="C967" s="45" t="s">
        <v>490</v>
      </c>
      <c r="D967" s="45" t="s">
        <v>491</v>
      </c>
      <c r="E967" s="45" t="s">
        <v>492</v>
      </c>
      <c r="F967" s="45" t="s">
        <v>493</v>
      </c>
      <c r="G967" s="14">
        <v>45633</v>
      </c>
      <c r="H967" s="14">
        <v>48788</v>
      </c>
      <c r="I967" s="14">
        <v>54895</v>
      </c>
      <c r="J967" s="14">
        <v>64972</v>
      </c>
      <c r="K967" s="14">
        <v>74180</v>
      </c>
      <c r="L967" s="14">
        <v>91682</v>
      </c>
      <c r="M967" s="14">
        <v>99543</v>
      </c>
      <c r="N967" s="14">
        <v>108137</v>
      </c>
      <c r="O967" s="14">
        <v>131255</v>
      </c>
      <c r="P967" s="14">
        <v>184441</v>
      </c>
      <c r="Q967" s="14">
        <v>200185</v>
      </c>
      <c r="R967" s="14">
        <v>227210</v>
      </c>
      <c r="S967" s="14">
        <v>232717</v>
      </c>
      <c r="T967" s="14">
        <v>310961</v>
      </c>
      <c r="U967" s="14">
        <v>300894</v>
      </c>
      <c r="V967" s="14">
        <v>322338</v>
      </c>
      <c r="W967" s="14">
        <v>329474</v>
      </c>
      <c r="X967" s="14">
        <v>343218</v>
      </c>
      <c r="Y967" s="14">
        <v>345838</v>
      </c>
      <c r="Z967" s="14">
        <v>368924</v>
      </c>
      <c r="AA967" s="14">
        <v>423937</v>
      </c>
      <c r="AB967" s="14">
        <v>473775</v>
      </c>
    </row>
    <row r="968" spans="1:30">
      <c r="A968" s="45" t="s">
        <v>169</v>
      </c>
      <c r="B968" s="45" t="s">
        <v>170</v>
      </c>
      <c r="C968" s="45" t="s">
        <v>490</v>
      </c>
      <c r="D968" s="45" t="s">
        <v>494</v>
      </c>
      <c r="E968" s="45" t="s">
        <v>492</v>
      </c>
      <c r="F968" s="45" t="s">
        <v>493</v>
      </c>
      <c r="G968" s="14">
        <v>43404</v>
      </c>
      <c r="H968" s="14">
        <v>46330</v>
      </c>
      <c r="I968" s="14">
        <v>52021</v>
      </c>
      <c r="J968" s="14">
        <v>61452</v>
      </c>
      <c r="K968" s="14">
        <v>69600</v>
      </c>
      <c r="L968" s="14">
        <v>87157</v>
      </c>
      <c r="M968" s="14">
        <v>93674</v>
      </c>
      <c r="N968" s="14">
        <v>101628</v>
      </c>
      <c r="O968" s="14">
        <v>121538</v>
      </c>
      <c r="P968" s="14">
        <v>170594</v>
      </c>
      <c r="Q968" s="14">
        <v>185079</v>
      </c>
      <c r="R968" s="14">
        <v>211262</v>
      </c>
      <c r="S968" s="14">
        <v>215429</v>
      </c>
      <c r="T968" s="14">
        <v>289274</v>
      </c>
      <c r="U968" s="14">
        <v>277785</v>
      </c>
      <c r="V968" s="14">
        <v>296960</v>
      </c>
      <c r="W968" s="14">
        <v>300748</v>
      </c>
      <c r="X968" s="14">
        <v>316044</v>
      </c>
      <c r="Y968" s="14">
        <v>318042</v>
      </c>
      <c r="Z968" s="14">
        <v>338469</v>
      </c>
      <c r="AA968" s="14"/>
      <c r="AB968" s="14"/>
    </row>
    <row r="969" spans="1:30">
      <c r="A969" s="45" t="s">
        <v>169</v>
      </c>
      <c r="B969" s="45" t="s">
        <v>170</v>
      </c>
      <c r="C969" s="45" t="s">
        <v>490</v>
      </c>
      <c r="D969" s="45" t="s">
        <v>495</v>
      </c>
      <c r="E969" s="45" t="s">
        <v>492</v>
      </c>
      <c r="F969" s="45" t="s">
        <v>493</v>
      </c>
      <c r="G969" s="14">
        <v>6768</v>
      </c>
      <c r="H969" s="14">
        <v>6959</v>
      </c>
      <c r="I969" s="14">
        <v>8466</v>
      </c>
      <c r="J969" s="14">
        <v>11374</v>
      </c>
      <c r="K969" s="14">
        <v>13006</v>
      </c>
      <c r="L969" s="14">
        <v>21479</v>
      </c>
      <c r="M969" s="14">
        <v>19400</v>
      </c>
      <c r="N969" s="14">
        <v>15509</v>
      </c>
      <c r="O969" s="14">
        <v>25790</v>
      </c>
      <c r="P969" s="14">
        <v>43827</v>
      </c>
      <c r="Q969" s="14">
        <v>41002</v>
      </c>
      <c r="R969" s="14">
        <v>49187</v>
      </c>
      <c r="S969" s="14">
        <v>41913</v>
      </c>
      <c r="T969" s="14">
        <v>89963</v>
      </c>
      <c r="U969" s="14">
        <v>71077</v>
      </c>
      <c r="V969" s="14">
        <v>67195</v>
      </c>
      <c r="W969" s="14">
        <v>63021</v>
      </c>
      <c r="X969" s="14">
        <v>62892</v>
      </c>
      <c r="Y969" s="14">
        <v>62042</v>
      </c>
      <c r="Z969" s="14">
        <v>63401</v>
      </c>
      <c r="AA969" s="14"/>
      <c r="AB969" s="14"/>
    </row>
    <row r="970" spans="1:30">
      <c r="A970" s="45" t="s">
        <v>169</v>
      </c>
      <c r="B970" s="45" t="s">
        <v>170</v>
      </c>
      <c r="C970" s="45" t="s">
        <v>490</v>
      </c>
      <c r="D970" s="45" t="s">
        <v>496</v>
      </c>
      <c r="E970" s="45" t="s">
        <v>492</v>
      </c>
      <c r="F970" s="45" t="s">
        <v>493</v>
      </c>
      <c r="G970" s="14">
        <v>11971</v>
      </c>
      <c r="H970" s="14">
        <v>12666</v>
      </c>
      <c r="I970" s="14">
        <v>14301</v>
      </c>
      <c r="J970" s="14">
        <v>16095</v>
      </c>
      <c r="K970" s="14">
        <v>17993</v>
      </c>
      <c r="L970" s="14">
        <v>21863</v>
      </c>
      <c r="M970" s="14">
        <v>21905</v>
      </c>
      <c r="N970" s="14">
        <v>26248</v>
      </c>
      <c r="O970" s="14">
        <v>31464</v>
      </c>
      <c r="P970" s="14">
        <v>55114</v>
      </c>
      <c r="Q970" s="14">
        <v>67531</v>
      </c>
      <c r="R970" s="14">
        <v>74221</v>
      </c>
      <c r="S970" s="14">
        <v>77954</v>
      </c>
      <c r="T970" s="14">
        <v>97303</v>
      </c>
      <c r="U970" s="14">
        <v>98401</v>
      </c>
      <c r="V970" s="14">
        <v>113608</v>
      </c>
      <c r="W970" s="14">
        <v>120753</v>
      </c>
      <c r="X970" s="14">
        <v>129323</v>
      </c>
      <c r="Y970" s="14">
        <v>127800</v>
      </c>
      <c r="Z970" s="14">
        <v>137530</v>
      </c>
      <c r="AA970" s="14"/>
      <c r="AB970" s="14"/>
    </row>
    <row r="971" spans="1:30">
      <c r="A971" s="45" t="s">
        <v>169</v>
      </c>
      <c r="B971" s="45" t="s">
        <v>170</v>
      </c>
      <c r="C971" s="45" t="s">
        <v>490</v>
      </c>
      <c r="D971" s="45" t="s">
        <v>497</v>
      </c>
      <c r="E971" s="45" t="s">
        <v>492</v>
      </c>
      <c r="F971" s="45" t="s">
        <v>493</v>
      </c>
      <c r="G971" s="14">
        <v>22589</v>
      </c>
      <c r="H971" s="14">
        <v>24160</v>
      </c>
      <c r="I971" s="14">
        <v>26502</v>
      </c>
      <c r="J971" s="14">
        <v>30643</v>
      </c>
      <c r="K971" s="14">
        <v>34690</v>
      </c>
      <c r="L971" s="14">
        <v>40512</v>
      </c>
      <c r="M971" s="14">
        <v>46023</v>
      </c>
      <c r="N971" s="14">
        <v>52099</v>
      </c>
      <c r="O971" s="14">
        <v>56167</v>
      </c>
      <c r="P971" s="14">
        <v>63016</v>
      </c>
      <c r="Q971" s="14">
        <v>68998</v>
      </c>
      <c r="R971" s="14">
        <v>79607</v>
      </c>
      <c r="S971" s="14">
        <v>86494</v>
      </c>
      <c r="T971" s="14">
        <v>91930</v>
      </c>
      <c r="U971" s="14">
        <v>98384</v>
      </c>
      <c r="V971" s="14">
        <v>105215</v>
      </c>
      <c r="W971" s="14">
        <v>106303</v>
      </c>
      <c r="X971" s="14">
        <v>114874</v>
      </c>
      <c r="Y971" s="14">
        <v>118607</v>
      </c>
      <c r="Z971" s="14">
        <v>124957</v>
      </c>
      <c r="AA971" s="14"/>
      <c r="AB971" s="14"/>
    </row>
    <row r="972" spans="1:30">
      <c r="A972" s="45" t="s">
        <v>169</v>
      </c>
      <c r="B972" s="45" t="s">
        <v>170</v>
      </c>
      <c r="C972" s="45" t="s">
        <v>498</v>
      </c>
      <c r="D972" s="45" t="s">
        <v>491</v>
      </c>
      <c r="E972" s="45" t="s">
        <v>499</v>
      </c>
      <c r="F972" s="45" t="s">
        <v>500</v>
      </c>
      <c r="G972" s="14">
        <v>86691.9</v>
      </c>
      <c r="H972" s="14">
        <v>81237.600000000006</v>
      </c>
      <c r="I972" s="14">
        <v>84829.8</v>
      </c>
      <c r="J972" s="14">
        <v>93458</v>
      </c>
      <c r="K972" s="14">
        <v>99933.1</v>
      </c>
      <c r="L972" s="14">
        <v>116039</v>
      </c>
      <c r="M972" s="14">
        <v>115821.1</v>
      </c>
      <c r="N972" s="14">
        <v>117245.7</v>
      </c>
      <c r="O972" s="14">
        <v>131255</v>
      </c>
      <c r="P972" s="14">
        <v>170276.4</v>
      </c>
      <c r="Q972" s="14">
        <v>171211.7</v>
      </c>
      <c r="R972" s="14">
        <v>180760.1</v>
      </c>
      <c r="S972" s="14">
        <v>171670.7</v>
      </c>
      <c r="T972" s="14">
        <v>213254.6</v>
      </c>
      <c r="U972" s="14">
        <v>190882.4</v>
      </c>
      <c r="V972" s="14">
        <v>197244.5</v>
      </c>
      <c r="W972" s="14">
        <v>192941.3</v>
      </c>
      <c r="X972" s="14">
        <v>192843.6</v>
      </c>
      <c r="Y972" s="14">
        <v>182503.2</v>
      </c>
      <c r="Z972" s="14">
        <v>172216.4</v>
      </c>
      <c r="AA972" s="14"/>
      <c r="AB972" s="14"/>
      <c r="AC972" s="15">
        <f>IFERROR(Z972/G972-1,"")</f>
        <v>0.98653392070078061</v>
      </c>
      <c r="AD972" s="15">
        <f>IFERROR((Z972/G972)^(1/19)-1,"")</f>
        <v>3.6786329938647278E-2</v>
      </c>
    </row>
    <row r="973" spans="1:30">
      <c r="A973" s="45" t="s">
        <v>169</v>
      </c>
      <c r="B973" s="45" t="s">
        <v>170</v>
      </c>
      <c r="C973" s="45" t="s">
        <v>498</v>
      </c>
      <c r="D973" s="45" t="s">
        <v>495</v>
      </c>
      <c r="E973" s="45" t="s">
        <v>499</v>
      </c>
      <c r="F973" s="45" t="s">
        <v>500</v>
      </c>
      <c r="G973" s="14">
        <v>12856.6</v>
      </c>
      <c r="H973" s="14">
        <v>11587.6</v>
      </c>
      <c r="I973" s="14">
        <v>13082.4</v>
      </c>
      <c r="J973" s="14">
        <v>16361.1</v>
      </c>
      <c r="K973" s="14">
        <v>17521.8</v>
      </c>
      <c r="L973" s="14">
        <v>27185.4</v>
      </c>
      <c r="M973" s="14">
        <v>22572.5</v>
      </c>
      <c r="N973" s="14">
        <v>16815.400000000001</v>
      </c>
      <c r="O973" s="14">
        <v>25790</v>
      </c>
      <c r="P973" s="14">
        <v>40461.199999999997</v>
      </c>
      <c r="Q973" s="14">
        <v>35067.699999999997</v>
      </c>
      <c r="R973" s="14">
        <v>39131.4</v>
      </c>
      <c r="S973" s="14">
        <v>30918.400000000001</v>
      </c>
      <c r="T973" s="14">
        <v>61695.9</v>
      </c>
      <c r="U973" s="14">
        <v>45090.1</v>
      </c>
      <c r="V973" s="14">
        <v>41117.800000000003</v>
      </c>
      <c r="W973" s="14">
        <v>36905.300000000003</v>
      </c>
      <c r="X973" s="14">
        <v>35337.1</v>
      </c>
      <c r="Y973" s="14">
        <v>32740.400000000001</v>
      </c>
      <c r="Z973" s="14">
        <v>29596</v>
      </c>
      <c r="AA973" s="14"/>
      <c r="AB973" s="14"/>
      <c r="AC973" s="15">
        <f>IFERROR(Z973/G973-1,"")</f>
        <v>1.3020083070174073</v>
      </c>
      <c r="AD973" s="15">
        <f>IFERROR((Z973/G973)^(1/19)-1,"")</f>
        <v>4.4860369608448414E-2</v>
      </c>
    </row>
    <row r="974" spans="1:30">
      <c r="A974" s="45" t="s">
        <v>169</v>
      </c>
      <c r="B974" s="45" t="s">
        <v>170</v>
      </c>
      <c r="C974" s="45" t="s">
        <v>498</v>
      </c>
      <c r="D974" s="45" t="s">
        <v>496</v>
      </c>
      <c r="E974" s="45" t="s">
        <v>499</v>
      </c>
      <c r="F974" s="45" t="s">
        <v>500</v>
      </c>
      <c r="G974" s="14">
        <v>22742.5</v>
      </c>
      <c r="H974" s="14">
        <v>21089.9</v>
      </c>
      <c r="I974" s="14">
        <v>22100.2</v>
      </c>
      <c r="J974" s="14">
        <v>23151.3</v>
      </c>
      <c r="K974" s="14">
        <v>24239.8</v>
      </c>
      <c r="L974" s="14">
        <v>27671.1</v>
      </c>
      <c r="M974" s="14">
        <v>25487.4</v>
      </c>
      <c r="N974" s="14">
        <v>28459</v>
      </c>
      <c r="O974" s="14">
        <v>31464</v>
      </c>
      <c r="P974" s="14">
        <v>50881.4</v>
      </c>
      <c r="Q974" s="14">
        <v>57757.1</v>
      </c>
      <c r="R974" s="14">
        <v>59047.6</v>
      </c>
      <c r="S974" s="14">
        <v>57505.1</v>
      </c>
      <c r="T974" s="14">
        <v>66729.600000000006</v>
      </c>
      <c r="U974" s="14">
        <v>62424</v>
      </c>
      <c r="V974" s="14">
        <v>69518.8</v>
      </c>
      <c r="W974" s="14">
        <v>70713.399999999994</v>
      </c>
      <c r="X974" s="14">
        <v>72662.600000000006</v>
      </c>
      <c r="Y974" s="14">
        <v>67441.7</v>
      </c>
      <c r="Z974" s="14">
        <v>64200</v>
      </c>
      <c r="AA974" s="14"/>
      <c r="AB974" s="14"/>
      <c r="AC974" s="15">
        <f>IFERROR(Z974/G974-1,"")</f>
        <v>1.8229086512036936</v>
      </c>
      <c r="AD974" s="15">
        <f>IFERROR((Z974/G974)^(1/19)-1,"")</f>
        <v>5.6138526805291633E-2</v>
      </c>
    </row>
    <row r="975" spans="1:30">
      <c r="A975" s="45" t="s">
        <v>169</v>
      </c>
      <c r="B975" s="45" t="s">
        <v>170</v>
      </c>
      <c r="C975" s="45" t="s">
        <v>498</v>
      </c>
      <c r="D975" s="45" t="s">
        <v>497</v>
      </c>
      <c r="E975" s="45" t="s">
        <v>499</v>
      </c>
      <c r="F975" s="45" t="s">
        <v>500</v>
      </c>
      <c r="G975" s="14">
        <v>42912.9</v>
      </c>
      <c r="H975" s="14">
        <v>40229.9</v>
      </c>
      <c r="I975" s="14">
        <v>40953.800000000003</v>
      </c>
      <c r="J975" s="14">
        <v>44077.4</v>
      </c>
      <c r="K975" s="14">
        <v>46732.6</v>
      </c>
      <c r="L975" s="14">
        <v>51274.7</v>
      </c>
      <c r="M975" s="14">
        <v>53549.599999999999</v>
      </c>
      <c r="N975" s="14">
        <v>56487.5</v>
      </c>
      <c r="O975" s="14">
        <v>56167</v>
      </c>
      <c r="P975" s="14">
        <v>58176.5</v>
      </c>
      <c r="Q975" s="14">
        <v>59011.8</v>
      </c>
      <c r="R975" s="14">
        <v>63332.5</v>
      </c>
      <c r="S975" s="14">
        <v>63804.9</v>
      </c>
      <c r="T975" s="14">
        <v>63044.9</v>
      </c>
      <c r="U975" s="14">
        <v>62413.2</v>
      </c>
      <c r="V975" s="14">
        <v>64383</v>
      </c>
      <c r="W975" s="14">
        <v>62251.5</v>
      </c>
      <c r="X975" s="14">
        <v>64544.2</v>
      </c>
      <c r="Y975" s="14">
        <v>62590.400000000001</v>
      </c>
      <c r="Z975" s="14">
        <v>58332.2</v>
      </c>
      <c r="AA975" s="14"/>
      <c r="AB975" s="14"/>
      <c r="AC975" s="15">
        <f>IFERROR(Z975/G975-1,"")</f>
        <v>0.35931619629528644</v>
      </c>
      <c r="AD975" s="15">
        <f>IFERROR((Z975/G975)^(1/19)-1,"")</f>
        <v>1.6288164687968898E-2</v>
      </c>
    </row>
    <row r="976" spans="1:30">
      <c r="A976" s="45" t="s">
        <v>169</v>
      </c>
      <c r="B976" s="45" t="s">
        <v>170</v>
      </c>
      <c r="C976" s="45" t="s">
        <v>498</v>
      </c>
      <c r="D976" s="45" t="s">
        <v>501</v>
      </c>
      <c r="E976" s="45" t="s">
        <v>499</v>
      </c>
      <c r="F976" s="45" t="s">
        <v>500</v>
      </c>
      <c r="G976" s="14">
        <v>3944.7</v>
      </c>
      <c r="H976" s="14">
        <v>4237.8999999999996</v>
      </c>
      <c r="I976" s="14">
        <v>4252.1000000000004</v>
      </c>
      <c r="J976" s="14">
        <v>4804.1000000000004</v>
      </c>
      <c r="K976" s="14">
        <v>5268.3</v>
      </c>
      <c r="L976" s="14">
        <v>4180.3999999999996</v>
      </c>
      <c r="M976" s="14">
        <v>7382.3</v>
      </c>
      <c r="N976" s="14">
        <v>8426.7000000000007</v>
      </c>
      <c r="O976" s="14">
        <v>8118</v>
      </c>
      <c r="P976" s="14">
        <v>7973.7</v>
      </c>
      <c r="Q976" s="14">
        <v>6455.6</v>
      </c>
      <c r="R976" s="14">
        <v>6560.2</v>
      </c>
      <c r="S976" s="14">
        <v>6689.3</v>
      </c>
      <c r="T976" s="14">
        <v>6912.1</v>
      </c>
      <c r="U976" s="14">
        <v>6295</v>
      </c>
      <c r="V976" s="14">
        <v>6695.6</v>
      </c>
      <c r="W976" s="14">
        <v>6249</v>
      </c>
      <c r="X976" s="14">
        <v>5031</v>
      </c>
      <c r="Y976" s="14">
        <v>5062.8999999999996</v>
      </c>
      <c r="Z976" s="14">
        <v>5872.4</v>
      </c>
      <c r="AA976" s="14"/>
      <c r="AB976" s="14"/>
      <c r="AC976" s="15">
        <f>IFERROR(Z976/G976-1,"")</f>
        <v>0.4886810150328289</v>
      </c>
      <c r="AD976" s="15">
        <f>IFERROR((Z976/G976)^(1/19)-1,"")</f>
        <v>2.116241955253062E-2</v>
      </c>
    </row>
    <row r="977" spans="1:30">
      <c r="A977" s="45" t="s">
        <v>203</v>
      </c>
      <c r="B977" s="45" t="s">
        <v>204</v>
      </c>
      <c r="C977" s="45" t="s">
        <v>490</v>
      </c>
      <c r="D977" s="45" t="s">
        <v>491</v>
      </c>
      <c r="E977" s="45" t="s">
        <v>492</v>
      </c>
      <c r="F977" s="45" t="s">
        <v>493</v>
      </c>
      <c r="G977" s="14">
        <v>19739</v>
      </c>
      <c r="H977" s="14">
        <v>22801</v>
      </c>
      <c r="I977" s="14">
        <v>24579</v>
      </c>
      <c r="J977" s="14">
        <v>27556</v>
      </c>
      <c r="K977" s="14">
        <v>32372</v>
      </c>
      <c r="L977" s="14">
        <v>38755</v>
      </c>
      <c r="M977" s="14">
        <v>43792</v>
      </c>
      <c r="N977" s="14">
        <v>49110</v>
      </c>
      <c r="O977" s="14">
        <v>55098</v>
      </c>
      <c r="P977" s="14">
        <v>63101</v>
      </c>
      <c r="Q977" s="14">
        <v>78418</v>
      </c>
      <c r="R977" s="14">
        <v>91656</v>
      </c>
      <c r="S977" s="14">
        <v>114684</v>
      </c>
      <c r="T977" s="14">
        <v>109857</v>
      </c>
      <c r="U977" s="14">
        <v>110182</v>
      </c>
      <c r="V977" s="14">
        <v>170511</v>
      </c>
      <c r="W977" s="14">
        <v>168965</v>
      </c>
      <c r="X977" s="14">
        <v>164958</v>
      </c>
      <c r="Y977" s="14">
        <v>173324</v>
      </c>
      <c r="Z977" s="14">
        <v>185590</v>
      </c>
      <c r="AA977" s="14">
        <v>211825</v>
      </c>
      <c r="AB977" s="14">
        <v>207249</v>
      </c>
    </row>
    <row r="978" spans="1:30">
      <c r="A978" s="45" t="s">
        <v>203</v>
      </c>
      <c r="B978" s="45" t="s">
        <v>204</v>
      </c>
      <c r="C978" s="45" t="s">
        <v>490</v>
      </c>
      <c r="D978" s="45" t="s">
        <v>494</v>
      </c>
      <c r="E978" s="45" t="s">
        <v>492</v>
      </c>
      <c r="F978" s="45" t="s">
        <v>493</v>
      </c>
      <c r="G978" s="14">
        <v>19159</v>
      </c>
      <c r="H978" s="14">
        <v>22267</v>
      </c>
      <c r="I978" s="14">
        <v>23959</v>
      </c>
      <c r="J978" s="14">
        <v>26733</v>
      </c>
      <c r="K978" s="14">
        <v>30717</v>
      </c>
      <c r="L978" s="14">
        <v>34885</v>
      </c>
      <c r="M978" s="14">
        <v>39810</v>
      </c>
      <c r="N978" s="14">
        <v>45612</v>
      </c>
      <c r="O978" s="14">
        <v>50403</v>
      </c>
      <c r="P978" s="14">
        <v>57774</v>
      </c>
      <c r="Q978" s="14">
        <v>68651</v>
      </c>
      <c r="R978" s="14">
        <v>78912</v>
      </c>
      <c r="S978" s="14">
        <v>97784</v>
      </c>
      <c r="T978" s="14">
        <v>98333</v>
      </c>
      <c r="U978" s="14">
        <v>104686</v>
      </c>
      <c r="V978" s="14">
        <v>164359</v>
      </c>
      <c r="W978" s="14">
        <v>162626</v>
      </c>
      <c r="X978" s="14">
        <v>158314</v>
      </c>
      <c r="Y978" s="14">
        <v>167677</v>
      </c>
      <c r="Z978" s="14">
        <v>176112</v>
      </c>
      <c r="AA978" s="14"/>
      <c r="AB978" s="14"/>
    </row>
    <row r="979" spans="1:30">
      <c r="A979" s="45" t="s">
        <v>203</v>
      </c>
      <c r="B979" s="45" t="s">
        <v>204</v>
      </c>
      <c r="C979" s="45" t="s">
        <v>490</v>
      </c>
      <c r="D979" s="45" t="s">
        <v>495</v>
      </c>
      <c r="E979" s="45" t="s">
        <v>492</v>
      </c>
      <c r="F979" s="45" t="s">
        <v>493</v>
      </c>
      <c r="G979" s="14">
        <v>1862</v>
      </c>
      <c r="H979" s="14">
        <v>919</v>
      </c>
      <c r="I979" s="14">
        <v>960</v>
      </c>
      <c r="J979" s="14">
        <v>1112</v>
      </c>
      <c r="K979" s="14">
        <v>1036</v>
      </c>
      <c r="L979" s="14">
        <v>1181</v>
      </c>
      <c r="M979" s="14">
        <v>1745</v>
      </c>
      <c r="N979" s="14">
        <v>1948</v>
      </c>
      <c r="O979" s="14">
        <v>2031</v>
      </c>
      <c r="P979" s="14">
        <v>5183</v>
      </c>
      <c r="Q979" s="14">
        <v>6843</v>
      </c>
      <c r="R979" s="14">
        <v>4713</v>
      </c>
      <c r="S979" s="14">
        <v>11990</v>
      </c>
      <c r="T979" s="14">
        <v>4410</v>
      </c>
      <c r="U979" s="14">
        <v>5204</v>
      </c>
      <c r="V979" s="14">
        <v>29811</v>
      </c>
      <c r="W979" s="14">
        <v>29637</v>
      </c>
      <c r="X979" s="14">
        <v>19486</v>
      </c>
      <c r="Y979" s="14">
        <v>32260</v>
      </c>
      <c r="Z979" s="14">
        <v>31176</v>
      </c>
      <c r="AA979" s="14"/>
      <c r="AB979" s="14"/>
    </row>
    <row r="980" spans="1:30">
      <c r="A980" s="45" t="s">
        <v>203</v>
      </c>
      <c r="B980" s="45" t="s">
        <v>204</v>
      </c>
      <c r="C980" s="45" t="s">
        <v>490</v>
      </c>
      <c r="D980" s="45" t="s">
        <v>496</v>
      </c>
      <c r="E980" s="45" t="s">
        <v>492</v>
      </c>
      <c r="F980" s="45" t="s">
        <v>493</v>
      </c>
      <c r="G980" s="14">
        <v>3639</v>
      </c>
      <c r="H980" s="14">
        <v>4272</v>
      </c>
      <c r="I980" s="14">
        <v>4724</v>
      </c>
      <c r="J980" s="14">
        <v>5122</v>
      </c>
      <c r="K980" s="14">
        <v>6085</v>
      </c>
      <c r="L980" s="14">
        <v>6995</v>
      </c>
      <c r="M980" s="14">
        <v>7472</v>
      </c>
      <c r="N980" s="14">
        <v>8565</v>
      </c>
      <c r="O980" s="14">
        <v>10116</v>
      </c>
      <c r="P980" s="14">
        <v>11347</v>
      </c>
      <c r="Q980" s="14">
        <v>14280</v>
      </c>
      <c r="R980" s="14">
        <v>17381</v>
      </c>
      <c r="S980" s="14">
        <v>22408</v>
      </c>
      <c r="T980" s="14">
        <v>22712</v>
      </c>
      <c r="U980" s="14">
        <v>25355</v>
      </c>
      <c r="V980" s="14">
        <v>28405</v>
      </c>
      <c r="W980" s="14">
        <v>30762</v>
      </c>
      <c r="X980" s="14">
        <v>32901</v>
      </c>
      <c r="Y980" s="14">
        <v>33084</v>
      </c>
      <c r="Z980" s="14">
        <v>35592</v>
      </c>
      <c r="AA980" s="14"/>
      <c r="AB980" s="14"/>
    </row>
    <row r="981" spans="1:30">
      <c r="A981" s="45" t="s">
        <v>203</v>
      </c>
      <c r="B981" s="45" t="s">
        <v>204</v>
      </c>
      <c r="C981" s="45" t="s">
        <v>490</v>
      </c>
      <c r="D981" s="45" t="s">
        <v>497</v>
      </c>
      <c r="E981" s="45" t="s">
        <v>492</v>
      </c>
      <c r="F981" s="45" t="s">
        <v>493</v>
      </c>
      <c r="G981" s="14">
        <v>10536</v>
      </c>
      <c r="H981" s="14">
        <v>11671</v>
      </c>
      <c r="I981" s="14">
        <v>13005</v>
      </c>
      <c r="J981" s="14">
        <v>15301</v>
      </c>
      <c r="K981" s="14">
        <v>17716</v>
      </c>
      <c r="L981" s="14">
        <v>20264</v>
      </c>
      <c r="M981" s="14">
        <v>22699</v>
      </c>
      <c r="N981" s="14">
        <v>25408</v>
      </c>
      <c r="O981" s="14">
        <v>28808</v>
      </c>
      <c r="P981" s="14">
        <v>32216</v>
      </c>
      <c r="Q981" s="14">
        <v>36139</v>
      </c>
      <c r="R981" s="14">
        <v>42370</v>
      </c>
      <c r="S981" s="14">
        <v>48579</v>
      </c>
      <c r="T981" s="14">
        <v>54307</v>
      </c>
      <c r="U981" s="14">
        <v>55817</v>
      </c>
      <c r="V981" s="14">
        <v>62686</v>
      </c>
      <c r="W981" s="14">
        <v>61830</v>
      </c>
      <c r="X981" s="14">
        <v>68211</v>
      </c>
      <c r="Y981" s="14">
        <v>69549</v>
      </c>
      <c r="Z981" s="14">
        <v>76527</v>
      </c>
      <c r="AA981" s="14"/>
      <c r="AB981" s="14"/>
    </row>
    <row r="982" spans="1:30">
      <c r="A982" s="45" t="s">
        <v>203</v>
      </c>
      <c r="B982" s="45" t="s">
        <v>204</v>
      </c>
      <c r="C982" s="45" t="s">
        <v>498</v>
      </c>
      <c r="D982" s="45" t="s">
        <v>491</v>
      </c>
      <c r="E982" s="45" t="s">
        <v>499</v>
      </c>
      <c r="F982" s="45" t="s">
        <v>500</v>
      </c>
      <c r="G982" s="14">
        <v>37498.5</v>
      </c>
      <c r="H982" s="14">
        <v>37966</v>
      </c>
      <c r="I982" s="14">
        <v>37981.9</v>
      </c>
      <c r="J982" s="14">
        <v>39637.9</v>
      </c>
      <c r="K982" s="14">
        <v>43609.8</v>
      </c>
      <c r="L982" s="14">
        <v>49050.9</v>
      </c>
      <c r="M982" s="14">
        <v>50953</v>
      </c>
      <c r="N982" s="14">
        <v>53246.7</v>
      </c>
      <c r="O982" s="14">
        <v>55098</v>
      </c>
      <c r="P982" s="14">
        <v>58255</v>
      </c>
      <c r="Q982" s="14">
        <v>67068.399999999994</v>
      </c>
      <c r="R982" s="14">
        <v>72918.2</v>
      </c>
      <c r="S982" s="14">
        <v>84600.1</v>
      </c>
      <c r="T982" s="14">
        <v>75339.100000000006</v>
      </c>
      <c r="U982" s="14">
        <v>69897.7</v>
      </c>
      <c r="V982" s="14">
        <v>104338.8</v>
      </c>
      <c r="W982" s="14">
        <v>98946.6</v>
      </c>
      <c r="X982" s="14">
        <v>92684.800000000003</v>
      </c>
      <c r="Y982" s="14">
        <v>91465.3</v>
      </c>
      <c r="Z982" s="14">
        <v>86634.8</v>
      </c>
      <c r="AA982" s="14"/>
      <c r="AB982" s="14"/>
      <c r="AC982" s="15">
        <f>IFERROR(Z982/G982-1,"")</f>
        <v>1.3103537474832327</v>
      </c>
      <c r="AD982" s="15">
        <f>IFERROR((Z982/G982)^(1/19)-1,"")</f>
        <v>4.5059392190813119E-2</v>
      </c>
    </row>
    <row r="983" spans="1:30">
      <c r="A983" s="45" t="s">
        <v>203</v>
      </c>
      <c r="B983" s="45" t="s">
        <v>204</v>
      </c>
      <c r="C983" s="45" t="s">
        <v>498</v>
      </c>
      <c r="D983" s="45" t="s">
        <v>495</v>
      </c>
      <c r="E983" s="45" t="s">
        <v>499</v>
      </c>
      <c r="F983" s="45" t="s">
        <v>500</v>
      </c>
      <c r="G983" s="14">
        <v>3537.6</v>
      </c>
      <c r="H983" s="14">
        <v>1530.2</v>
      </c>
      <c r="I983" s="14">
        <v>1483.5</v>
      </c>
      <c r="J983" s="14">
        <v>1600.2</v>
      </c>
      <c r="K983" s="14">
        <v>1395.9</v>
      </c>
      <c r="L983" s="14">
        <v>1494.3</v>
      </c>
      <c r="M983" s="14">
        <v>2030.3</v>
      </c>
      <c r="N983" s="14">
        <v>2112.1</v>
      </c>
      <c r="O983" s="14">
        <v>2031</v>
      </c>
      <c r="P983" s="14">
        <v>4785</v>
      </c>
      <c r="Q983" s="14">
        <v>5852.6</v>
      </c>
      <c r="R983" s="14">
        <v>3749.5</v>
      </c>
      <c r="S983" s="14">
        <v>8844.7999999999993</v>
      </c>
      <c r="T983" s="14">
        <v>3024.3</v>
      </c>
      <c r="U983" s="14">
        <v>3301.3</v>
      </c>
      <c r="V983" s="14">
        <v>18241.900000000001</v>
      </c>
      <c r="W983" s="14">
        <v>17355.5</v>
      </c>
      <c r="X983" s="14">
        <v>10948.6</v>
      </c>
      <c r="Y983" s="14">
        <v>17024</v>
      </c>
      <c r="Z983" s="14">
        <v>14553.2</v>
      </c>
      <c r="AA983" s="14"/>
      <c r="AB983" s="14"/>
      <c r="AC983" s="15">
        <f>IFERROR(Z983/G983-1,"")</f>
        <v>3.1138625056535512</v>
      </c>
      <c r="AD983" s="15">
        <f>IFERROR((Z983/G983)^(1/19)-1,"")</f>
        <v>7.7280839093988529E-2</v>
      </c>
    </row>
    <row r="984" spans="1:30">
      <c r="A984" s="45" t="s">
        <v>203</v>
      </c>
      <c r="B984" s="45" t="s">
        <v>204</v>
      </c>
      <c r="C984" s="45" t="s">
        <v>498</v>
      </c>
      <c r="D984" s="45" t="s">
        <v>496</v>
      </c>
      <c r="E984" s="45" t="s">
        <v>499</v>
      </c>
      <c r="F984" s="45" t="s">
        <v>500</v>
      </c>
      <c r="G984" s="14">
        <v>6914.1</v>
      </c>
      <c r="H984" s="14">
        <v>7112.7</v>
      </c>
      <c r="I984" s="14">
        <v>7300.1</v>
      </c>
      <c r="J984" s="14">
        <v>7368.1</v>
      </c>
      <c r="K984" s="14">
        <v>8197.2000000000007</v>
      </c>
      <c r="L984" s="14">
        <v>8853.5</v>
      </c>
      <c r="M984" s="14">
        <v>8694.1</v>
      </c>
      <c r="N984" s="14">
        <v>9286.5</v>
      </c>
      <c r="O984" s="14">
        <v>10116</v>
      </c>
      <c r="P984" s="14">
        <v>10475.6</v>
      </c>
      <c r="Q984" s="14">
        <v>12213.2</v>
      </c>
      <c r="R984" s="14">
        <v>13827.7</v>
      </c>
      <c r="S984" s="14">
        <v>16529.900000000001</v>
      </c>
      <c r="T984" s="14">
        <v>15575.7</v>
      </c>
      <c r="U984" s="14">
        <v>16084.8</v>
      </c>
      <c r="V984" s="14">
        <v>17381.5</v>
      </c>
      <c r="W984" s="14">
        <v>18014.3</v>
      </c>
      <c r="X984" s="14">
        <v>18486.099999999999</v>
      </c>
      <c r="Y984" s="14">
        <v>17458.900000000001</v>
      </c>
      <c r="Z984" s="14">
        <v>16614.599999999999</v>
      </c>
      <c r="AA984" s="14"/>
      <c r="AB984" s="14"/>
      <c r="AC984" s="15">
        <f>IFERROR(Z984/G984-1,"")</f>
        <v>1.4030025599861151</v>
      </c>
      <c r="AD984" s="15">
        <f>IFERROR((Z984/G984)^(1/19)-1,"")</f>
        <v>4.7224264755303169E-2</v>
      </c>
    </row>
    <row r="985" spans="1:30">
      <c r="A985" s="45" t="s">
        <v>203</v>
      </c>
      <c r="B985" s="45" t="s">
        <v>204</v>
      </c>
      <c r="C985" s="45" t="s">
        <v>498</v>
      </c>
      <c r="D985" s="45" t="s">
        <v>497</v>
      </c>
      <c r="E985" s="45" t="s">
        <v>499</v>
      </c>
      <c r="F985" s="45" t="s">
        <v>500</v>
      </c>
      <c r="G985" s="14">
        <v>20016.599999999999</v>
      </c>
      <c r="H985" s="14">
        <v>19432.7</v>
      </c>
      <c r="I985" s="14">
        <v>20097.5</v>
      </c>
      <c r="J985" s="14">
        <v>22009.200000000001</v>
      </c>
      <c r="K985" s="14">
        <v>23866.1</v>
      </c>
      <c r="L985" s="14">
        <v>25647.599999999999</v>
      </c>
      <c r="M985" s="14">
        <v>26411.200000000001</v>
      </c>
      <c r="N985" s="14">
        <v>27548.2</v>
      </c>
      <c r="O985" s="14">
        <v>28808</v>
      </c>
      <c r="P985" s="14">
        <v>29741.9</v>
      </c>
      <c r="Q985" s="14">
        <v>30908.5</v>
      </c>
      <c r="R985" s="14">
        <v>33708</v>
      </c>
      <c r="S985" s="14">
        <v>35835.800000000003</v>
      </c>
      <c r="T985" s="14">
        <v>37243.300000000003</v>
      </c>
      <c r="U985" s="14">
        <v>35409.4</v>
      </c>
      <c r="V985" s="14">
        <v>38358.699999999997</v>
      </c>
      <c r="W985" s="14">
        <v>36207.9</v>
      </c>
      <c r="X985" s="14">
        <v>38325.699999999997</v>
      </c>
      <c r="Y985" s="14">
        <v>36701.9</v>
      </c>
      <c r="Z985" s="14">
        <v>35724.300000000003</v>
      </c>
      <c r="AA985" s="14"/>
      <c r="AB985" s="14"/>
      <c r="AC985" s="15">
        <f>IFERROR(Z985/G985-1,"")</f>
        <v>0.78473367105302616</v>
      </c>
      <c r="AD985" s="15">
        <f>IFERROR((Z985/G985)^(1/19)-1,"")</f>
        <v>3.0957366565031119E-2</v>
      </c>
    </row>
    <row r="986" spans="1:30">
      <c r="A986" s="45" t="s">
        <v>203</v>
      </c>
      <c r="B986" s="45" t="s">
        <v>204</v>
      </c>
      <c r="C986" s="45" t="s">
        <v>498</v>
      </c>
      <c r="D986" s="45" t="s">
        <v>501</v>
      </c>
      <c r="E986" s="45" t="s">
        <v>499</v>
      </c>
      <c r="F986" s="45" t="s">
        <v>500</v>
      </c>
      <c r="G986" s="14">
        <v>5929.1</v>
      </c>
      <c r="H986" s="14">
        <v>9001.5</v>
      </c>
      <c r="I986" s="14">
        <v>8142.9</v>
      </c>
      <c r="J986" s="14">
        <v>7475.8</v>
      </c>
      <c r="K986" s="14">
        <v>7921.6</v>
      </c>
      <c r="L986" s="14">
        <v>8157.9</v>
      </c>
      <c r="M986" s="14">
        <v>9184.2999999999993</v>
      </c>
      <c r="N986" s="14">
        <v>10506.2</v>
      </c>
      <c r="O986" s="14">
        <v>9448</v>
      </c>
      <c r="P986" s="14">
        <v>8334.7000000000007</v>
      </c>
      <c r="Q986" s="14">
        <v>9739.7999999999993</v>
      </c>
      <c r="R986" s="14">
        <v>11494.3</v>
      </c>
      <c r="S986" s="14">
        <v>10922.1</v>
      </c>
      <c r="T986" s="14">
        <v>11593.3</v>
      </c>
      <c r="U986" s="14">
        <v>11615.6</v>
      </c>
      <c r="V986" s="14">
        <v>26592.1</v>
      </c>
      <c r="W986" s="14">
        <v>23656.6</v>
      </c>
      <c r="X986" s="14">
        <v>21192</v>
      </c>
      <c r="Y986" s="14">
        <v>17300.5</v>
      </c>
      <c r="Z986" s="14">
        <v>15319.2</v>
      </c>
      <c r="AA986" s="14"/>
      <c r="AB986" s="14"/>
      <c r="AC986" s="15">
        <f>IFERROR(Z986/G986-1,"")</f>
        <v>1.5837310890354352</v>
      </c>
      <c r="AD986" s="15">
        <f>IFERROR((Z986/G986)^(1/19)-1,"")</f>
        <v>5.1228742777948533E-2</v>
      </c>
    </row>
    <row r="987" spans="1:30">
      <c r="A987" s="45" t="s">
        <v>223</v>
      </c>
      <c r="B987" s="45" t="s">
        <v>224</v>
      </c>
      <c r="C987" s="45" t="s">
        <v>490</v>
      </c>
      <c r="D987" s="45" t="s">
        <v>491</v>
      </c>
      <c r="E987" s="45" t="s">
        <v>492</v>
      </c>
      <c r="F987" s="45" t="s">
        <v>493</v>
      </c>
      <c r="G987" s="14">
        <v>18176</v>
      </c>
      <c r="H987" s="14">
        <v>21661</v>
      </c>
      <c r="I987" s="14">
        <v>26247</v>
      </c>
      <c r="J987" s="14">
        <v>29217</v>
      </c>
      <c r="K987" s="14">
        <v>34819</v>
      </c>
      <c r="L987" s="14">
        <v>52371</v>
      </c>
      <c r="M987" s="14">
        <v>43884</v>
      </c>
      <c r="N987" s="14">
        <v>44443</v>
      </c>
      <c r="O987" s="14">
        <v>50211</v>
      </c>
      <c r="P987" s="14">
        <v>68723</v>
      </c>
      <c r="Q987" s="14">
        <v>75541</v>
      </c>
      <c r="R987" s="14">
        <v>79876</v>
      </c>
      <c r="S987" s="14">
        <v>85785</v>
      </c>
      <c r="T987" s="14">
        <v>99166</v>
      </c>
      <c r="U987" s="14">
        <v>94217</v>
      </c>
      <c r="V987" s="14">
        <v>107594</v>
      </c>
      <c r="W987" s="14">
        <v>111693</v>
      </c>
      <c r="X987" s="14">
        <v>127788</v>
      </c>
      <c r="Y987" s="14">
        <v>135760</v>
      </c>
      <c r="Z987" s="14">
        <v>152322</v>
      </c>
      <c r="AA987" s="14">
        <v>171299</v>
      </c>
      <c r="AB987" s="14">
        <v>179582</v>
      </c>
    </row>
    <row r="988" spans="1:30">
      <c r="A988" s="45" t="s">
        <v>223</v>
      </c>
      <c r="B988" s="45" t="s">
        <v>224</v>
      </c>
      <c r="C988" s="45" t="s">
        <v>490</v>
      </c>
      <c r="D988" s="45" t="s">
        <v>494</v>
      </c>
      <c r="E988" s="45" t="s">
        <v>492</v>
      </c>
      <c r="F988" s="45" t="s">
        <v>493</v>
      </c>
      <c r="G988" s="14">
        <v>17480</v>
      </c>
      <c r="H988" s="14">
        <v>20669</v>
      </c>
      <c r="I988" s="14">
        <v>25120</v>
      </c>
      <c r="J988" s="14">
        <v>27725</v>
      </c>
      <c r="K988" s="14">
        <v>32832</v>
      </c>
      <c r="L988" s="14">
        <v>49457</v>
      </c>
      <c r="M988" s="14">
        <v>41387</v>
      </c>
      <c r="N988" s="14">
        <v>42712</v>
      </c>
      <c r="O988" s="14">
        <v>47386</v>
      </c>
      <c r="P988" s="14">
        <v>64299</v>
      </c>
      <c r="Q988" s="14">
        <v>71129</v>
      </c>
      <c r="R988" s="14">
        <v>76192</v>
      </c>
      <c r="S988" s="14">
        <v>81670</v>
      </c>
      <c r="T988" s="14">
        <v>94178</v>
      </c>
      <c r="U988" s="14">
        <v>90064</v>
      </c>
      <c r="V988" s="14">
        <v>102463</v>
      </c>
      <c r="W988" s="14">
        <v>105015</v>
      </c>
      <c r="X988" s="14">
        <v>120312</v>
      </c>
      <c r="Y988" s="14">
        <v>126758</v>
      </c>
      <c r="Z988" s="14">
        <v>141236</v>
      </c>
      <c r="AA988" s="14"/>
      <c r="AB988" s="14"/>
    </row>
    <row r="989" spans="1:30">
      <c r="A989" s="45" t="s">
        <v>223</v>
      </c>
      <c r="B989" s="45" t="s">
        <v>224</v>
      </c>
      <c r="C989" s="45" t="s">
        <v>490</v>
      </c>
      <c r="D989" s="45" t="s">
        <v>495</v>
      </c>
      <c r="E989" s="45" t="s">
        <v>492</v>
      </c>
      <c r="F989" s="45" t="s">
        <v>493</v>
      </c>
      <c r="G989" s="14">
        <v>3495</v>
      </c>
      <c r="H989" s="14">
        <v>3865</v>
      </c>
      <c r="I989" s="14">
        <v>5631</v>
      </c>
      <c r="J989" s="14">
        <v>5139</v>
      </c>
      <c r="K989" s="14">
        <v>8648</v>
      </c>
      <c r="L989" s="14">
        <v>17484</v>
      </c>
      <c r="M989" s="14">
        <v>6733</v>
      </c>
      <c r="N989" s="14">
        <v>5527</v>
      </c>
      <c r="O989" s="14">
        <v>7136</v>
      </c>
      <c r="P989" s="14">
        <v>11107</v>
      </c>
      <c r="Q989" s="14">
        <v>11917</v>
      </c>
      <c r="R989" s="14">
        <v>10746</v>
      </c>
      <c r="S989" s="14">
        <v>9003</v>
      </c>
      <c r="T989" s="14">
        <v>13243</v>
      </c>
      <c r="U989" s="14">
        <v>5888</v>
      </c>
      <c r="V989" s="14">
        <v>7678</v>
      </c>
      <c r="W989" s="14">
        <v>5428</v>
      </c>
      <c r="X989" s="14">
        <v>5836</v>
      </c>
      <c r="Y989" s="14">
        <v>6136</v>
      </c>
      <c r="Z989" s="14">
        <v>7012</v>
      </c>
      <c r="AA989" s="14"/>
      <c r="AB989" s="14"/>
    </row>
    <row r="990" spans="1:30">
      <c r="A990" s="45" t="s">
        <v>223</v>
      </c>
      <c r="B990" s="45" t="s">
        <v>224</v>
      </c>
      <c r="C990" s="45" t="s">
        <v>490</v>
      </c>
      <c r="D990" s="45" t="s">
        <v>496</v>
      </c>
      <c r="E990" s="45" t="s">
        <v>492</v>
      </c>
      <c r="F990" s="45" t="s">
        <v>493</v>
      </c>
      <c r="G990" s="14">
        <v>2797</v>
      </c>
      <c r="H990" s="14">
        <v>3343</v>
      </c>
      <c r="I990" s="14">
        <v>4208</v>
      </c>
      <c r="J990" s="14">
        <v>4686</v>
      </c>
      <c r="K990" s="14">
        <v>5601</v>
      </c>
      <c r="L990" s="14">
        <v>7517</v>
      </c>
      <c r="M990" s="14">
        <v>6792</v>
      </c>
      <c r="N990" s="14">
        <v>7860</v>
      </c>
      <c r="O990" s="14">
        <v>8513</v>
      </c>
      <c r="P990" s="14">
        <v>14004</v>
      </c>
      <c r="Q990" s="14">
        <v>17128</v>
      </c>
      <c r="R990" s="14">
        <v>18390</v>
      </c>
      <c r="S990" s="14">
        <v>21284</v>
      </c>
      <c r="T990" s="14">
        <v>25047</v>
      </c>
      <c r="U990" s="14">
        <v>23684</v>
      </c>
      <c r="V990" s="14">
        <v>29212</v>
      </c>
      <c r="W990" s="14">
        <v>33364</v>
      </c>
      <c r="X990" s="14">
        <v>38671</v>
      </c>
      <c r="Y990" s="14">
        <v>41191</v>
      </c>
      <c r="Z990" s="14">
        <v>49064</v>
      </c>
      <c r="AA990" s="14"/>
      <c r="AB990" s="14"/>
    </row>
    <row r="991" spans="1:30">
      <c r="A991" s="45" t="s">
        <v>223</v>
      </c>
      <c r="B991" s="45" t="s">
        <v>224</v>
      </c>
      <c r="C991" s="45" t="s">
        <v>490</v>
      </c>
      <c r="D991" s="45" t="s">
        <v>497</v>
      </c>
      <c r="E991" s="45" t="s">
        <v>492</v>
      </c>
      <c r="F991" s="45" t="s">
        <v>493</v>
      </c>
      <c r="G991" s="14">
        <v>9030</v>
      </c>
      <c r="H991" s="14">
        <v>10076</v>
      </c>
      <c r="I991" s="14">
        <v>11574</v>
      </c>
      <c r="J991" s="14">
        <v>14195</v>
      </c>
      <c r="K991" s="14">
        <v>17331</v>
      </c>
      <c r="L991" s="14">
        <v>21788</v>
      </c>
      <c r="M991" s="14">
        <v>24248</v>
      </c>
      <c r="N991" s="14">
        <v>26599</v>
      </c>
      <c r="O991" s="14">
        <v>30022</v>
      </c>
      <c r="P991" s="14">
        <v>35186</v>
      </c>
      <c r="Q991" s="14">
        <v>39600</v>
      </c>
      <c r="R991" s="14">
        <v>45505</v>
      </c>
      <c r="S991" s="14">
        <v>50039</v>
      </c>
      <c r="T991" s="14">
        <v>54240</v>
      </c>
      <c r="U991" s="14">
        <v>58473</v>
      </c>
      <c r="V991" s="14">
        <v>63767</v>
      </c>
      <c r="W991" s="14">
        <v>63772</v>
      </c>
      <c r="X991" s="14">
        <v>73072</v>
      </c>
      <c r="Y991" s="14">
        <v>74614</v>
      </c>
      <c r="Z991" s="14">
        <v>82094</v>
      </c>
      <c r="AA991" s="14"/>
      <c r="AB991" s="14"/>
    </row>
    <row r="992" spans="1:30">
      <c r="A992" s="45" t="s">
        <v>223</v>
      </c>
      <c r="B992" s="45" t="s">
        <v>224</v>
      </c>
      <c r="C992" s="45" t="s">
        <v>498</v>
      </c>
      <c r="D992" s="45" t="s">
        <v>491</v>
      </c>
      <c r="E992" s="45" t="s">
        <v>499</v>
      </c>
      <c r="F992" s="45" t="s">
        <v>500</v>
      </c>
      <c r="G992" s="14">
        <v>34530.5</v>
      </c>
      <c r="H992" s="14">
        <v>36068.699999999997</v>
      </c>
      <c r="I992" s="14">
        <v>40560</v>
      </c>
      <c r="J992" s="14">
        <v>42025.9</v>
      </c>
      <c r="K992" s="14">
        <v>46906.8</v>
      </c>
      <c r="L992" s="14">
        <v>66284.7</v>
      </c>
      <c r="M992" s="14">
        <v>51060.9</v>
      </c>
      <c r="N992" s="14">
        <v>48186.6</v>
      </c>
      <c r="O992" s="14">
        <v>50211</v>
      </c>
      <c r="P992" s="14">
        <v>63445.2</v>
      </c>
      <c r="Q992" s="14">
        <v>64607.8</v>
      </c>
      <c r="R992" s="14">
        <v>63546.5</v>
      </c>
      <c r="S992" s="14">
        <v>63281.9</v>
      </c>
      <c r="T992" s="14">
        <v>68007.3</v>
      </c>
      <c r="U992" s="14">
        <v>59769.8</v>
      </c>
      <c r="V992" s="14">
        <v>65838.7</v>
      </c>
      <c r="W992" s="14">
        <v>65407.9</v>
      </c>
      <c r="X992" s="14">
        <v>71800.100000000006</v>
      </c>
      <c r="Y992" s="14">
        <v>71642.3</v>
      </c>
      <c r="Z992" s="14">
        <v>71105</v>
      </c>
      <c r="AA992" s="14"/>
      <c r="AB992" s="14"/>
      <c r="AC992" s="15">
        <f>IFERROR(Z992/G992-1,"")</f>
        <v>1.0591940458435296</v>
      </c>
      <c r="AD992" s="15">
        <f>IFERROR((Z992/G992)^(1/19)-1,"")</f>
        <v>3.874843585156551E-2</v>
      </c>
    </row>
    <row r="993" spans="1:30">
      <c r="A993" s="45" t="s">
        <v>223</v>
      </c>
      <c r="B993" s="45" t="s">
        <v>224</v>
      </c>
      <c r="C993" s="45" t="s">
        <v>498</v>
      </c>
      <c r="D993" s="45" t="s">
        <v>495</v>
      </c>
      <c r="E993" s="45" t="s">
        <v>499</v>
      </c>
      <c r="F993" s="45" t="s">
        <v>500</v>
      </c>
      <c r="G993" s="14">
        <v>6640.1</v>
      </c>
      <c r="H993" s="14">
        <v>6435.8</v>
      </c>
      <c r="I993" s="14">
        <v>8701.7000000000007</v>
      </c>
      <c r="J993" s="14">
        <v>7391.7</v>
      </c>
      <c r="K993" s="14">
        <v>11650.3</v>
      </c>
      <c r="L993" s="14">
        <v>22129.1</v>
      </c>
      <c r="M993" s="14">
        <v>7833.6</v>
      </c>
      <c r="N993" s="14">
        <v>5992.6</v>
      </c>
      <c r="O993" s="14">
        <v>7136</v>
      </c>
      <c r="P993" s="14">
        <v>10254</v>
      </c>
      <c r="Q993" s="14">
        <v>10192.200000000001</v>
      </c>
      <c r="R993" s="14">
        <v>8549.1</v>
      </c>
      <c r="S993" s="14">
        <v>6641.3</v>
      </c>
      <c r="T993" s="14">
        <v>9081.9</v>
      </c>
      <c r="U993" s="14">
        <v>3735.3</v>
      </c>
      <c r="V993" s="14">
        <v>4698.3</v>
      </c>
      <c r="W993" s="14">
        <v>3178.7</v>
      </c>
      <c r="X993" s="14">
        <v>3279.1</v>
      </c>
      <c r="Y993" s="14">
        <v>3238</v>
      </c>
      <c r="Z993" s="14">
        <v>3273.3</v>
      </c>
      <c r="AA993" s="14"/>
      <c r="AB993" s="14"/>
      <c r="AC993" s="15">
        <f>IFERROR(Z993/G993-1,"")</f>
        <v>-0.50704055661812319</v>
      </c>
      <c r="AD993" s="15">
        <f>IFERROR((Z993/G993)^(1/19)-1,"")</f>
        <v>-3.6543373858692219E-2</v>
      </c>
    </row>
    <row r="994" spans="1:30">
      <c r="A994" s="45" t="s">
        <v>223</v>
      </c>
      <c r="B994" s="45" t="s">
        <v>224</v>
      </c>
      <c r="C994" s="45" t="s">
        <v>498</v>
      </c>
      <c r="D994" s="45" t="s">
        <v>496</v>
      </c>
      <c r="E994" s="45" t="s">
        <v>499</v>
      </c>
      <c r="F994" s="45" t="s">
        <v>500</v>
      </c>
      <c r="G994" s="14">
        <v>5313.1</v>
      </c>
      <c r="H994" s="14">
        <v>5566.7</v>
      </c>
      <c r="I994" s="14">
        <v>6502.9</v>
      </c>
      <c r="J994" s="14">
        <v>6740.3</v>
      </c>
      <c r="K994" s="14">
        <v>7545.4</v>
      </c>
      <c r="L994" s="14">
        <v>9513.5</v>
      </c>
      <c r="M994" s="14">
        <v>7902.3</v>
      </c>
      <c r="N994" s="14">
        <v>8522.1</v>
      </c>
      <c r="O994" s="14">
        <v>8513</v>
      </c>
      <c r="P994" s="14">
        <v>12928.5</v>
      </c>
      <c r="Q994" s="14">
        <v>14649</v>
      </c>
      <c r="R994" s="14">
        <v>14630.4</v>
      </c>
      <c r="S994" s="14">
        <v>15700.8</v>
      </c>
      <c r="T994" s="14">
        <v>17177</v>
      </c>
      <c r="U994" s="14">
        <v>15024.8</v>
      </c>
      <c r="V994" s="14">
        <v>17875.400000000001</v>
      </c>
      <c r="W994" s="14">
        <v>19538.099999999999</v>
      </c>
      <c r="X994" s="14">
        <v>21728</v>
      </c>
      <c r="Y994" s="14">
        <v>21737</v>
      </c>
      <c r="Z994" s="14">
        <v>22903.9</v>
      </c>
      <c r="AA994" s="14"/>
      <c r="AB994" s="14"/>
      <c r="AC994" s="15">
        <f>IFERROR(Z994/G994-1,"")</f>
        <v>3.3108354821102557</v>
      </c>
      <c r="AD994" s="15">
        <f>IFERROR((Z994/G994)^(1/19)-1,"")</f>
        <v>7.993588122913553E-2</v>
      </c>
    </row>
    <row r="995" spans="1:30">
      <c r="A995" s="45" t="s">
        <v>223</v>
      </c>
      <c r="B995" s="45" t="s">
        <v>224</v>
      </c>
      <c r="C995" s="45" t="s">
        <v>498</v>
      </c>
      <c r="D995" s="45" t="s">
        <v>497</v>
      </c>
      <c r="E995" s="45" t="s">
        <v>499</v>
      </c>
      <c r="F995" s="45" t="s">
        <v>500</v>
      </c>
      <c r="G995" s="14">
        <v>17154.8</v>
      </c>
      <c r="H995" s="14">
        <v>16778.099999999999</v>
      </c>
      <c r="I995" s="14">
        <v>17885.900000000001</v>
      </c>
      <c r="J995" s="14">
        <v>20418.8</v>
      </c>
      <c r="K995" s="14">
        <v>23347.9</v>
      </c>
      <c r="L995" s="14">
        <v>27576.3</v>
      </c>
      <c r="M995" s="14">
        <v>28213.7</v>
      </c>
      <c r="N995" s="14">
        <v>28839.5</v>
      </c>
      <c r="O995" s="14">
        <v>30022</v>
      </c>
      <c r="P995" s="14">
        <v>32483.8</v>
      </c>
      <c r="Q995" s="14">
        <v>33868.6</v>
      </c>
      <c r="R995" s="14">
        <v>36202.1</v>
      </c>
      <c r="S995" s="14">
        <v>36912.800000000003</v>
      </c>
      <c r="T995" s="14">
        <v>37197.4</v>
      </c>
      <c r="U995" s="14">
        <v>37094.300000000003</v>
      </c>
      <c r="V995" s="14">
        <v>39020.199999999997</v>
      </c>
      <c r="W995" s="14">
        <v>37345.1</v>
      </c>
      <c r="X995" s="14">
        <v>41056.9</v>
      </c>
      <c r="Y995" s="14">
        <v>39374.800000000003</v>
      </c>
      <c r="Z995" s="14">
        <v>38323</v>
      </c>
      <c r="AA995" s="14"/>
      <c r="AB995" s="14"/>
      <c r="AC995" s="15">
        <f>IFERROR(Z995/G995-1,"")</f>
        <v>1.2339520134306432</v>
      </c>
      <c r="AD995" s="15">
        <f>IFERROR((Z995/G995)^(1/19)-1,"")</f>
        <v>4.321135933980913E-2</v>
      </c>
    </row>
    <row r="996" spans="1:30">
      <c r="A996" s="45" t="s">
        <v>223</v>
      </c>
      <c r="B996" s="45" t="s">
        <v>224</v>
      </c>
      <c r="C996" s="45" t="s">
        <v>498</v>
      </c>
      <c r="D996" s="45" t="s">
        <v>501</v>
      </c>
      <c r="E996" s="45" t="s">
        <v>499</v>
      </c>
      <c r="F996" s="45" t="s">
        <v>500</v>
      </c>
      <c r="G996" s="14">
        <v>4099</v>
      </c>
      <c r="H996" s="14">
        <v>5635.8</v>
      </c>
      <c r="I996" s="14">
        <v>5727.3</v>
      </c>
      <c r="J996" s="14">
        <v>5329.1</v>
      </c>
      <c r="K996" s="14">
        <v>1686.7</v>
      </c>
      <c r="L996" s="14">
        <v>3376.9</v>
      </c>
      <c r="M996" s="14">
        <v>4205</v>
      </c>
      <c r="N996" s="14">
        <v>2956.7</v>
      </c>
      <c r="O996" s="14">
        <v>1714</v>
      </c>
      <c r="P996" s="14">
        <v>3694.7</v>
      </c>
      <c r="Q996" s="14">
        <v>2123.6</v>
      </c>
      <c r="R996" s="14">
        <v>1234.7</v>
      </c>
      <c r="S996" s="14">
        <v>991.4</v>
      </c>
      <c r="T996" s="14">
        <v>1130.2</v>
      </c>
      <c r="U996" s="14">
        <v>1280.8</v>
      </c>
      <c r="V996" s="14">
        <v>1104.5</v>
      </c>
      <c r="W996" s="14">
        <v>1435.3</v>
      </c>
      <c r="X996" s="14">
        <v>1535.6</v>
      </c>
      <c r="Y996" s="14">
        <v>2542</v>
      </c>
      <c r="Z996" s="14">
        <v>1430.8</v>
      </c>
      <c r="AA996" s="14"/>
      <c r="AB996" s="14"/>
      <c r="AC996" s="15">
        <f>IFERROR(Z996/G996-1,"")</f>
        <v>-0.65093925347645776</v>
      </c>
      <c r="AD996" s="15">
        <f>IFERROR((Z996/G996)^(1/19)-1,"")</f>
        <v>-5.388885462520987E-2</v>
      </c>
    </row>
    <row r="997" spans="1:30">
      <c r="A997" s="45" t="s">
        <v>385</v>
      </c>
      <c r="B997" s="45" t="s">
        <v>386</v>
      </c>
      <c r="C997" s="45" t="s">
        <v>490</v>
      </c>
      <c r="D997" s="45" t="s">
        <v>491</v>
      </c>
      <c r="E997" s="45" t="s">
        <v>492</v>
      </c>
      <c r="F997" s="45" t="s">
        <v>493</v>
      </c>
      <c r="G997" s="14">
        <v>8297</v>
      </c>
      <c r="H997" s="14">
        <v>6605</v>
      </c>
      <c r="I997" s="14">
        <v>7701</v>
      </c>
      <c r="J997" s="14">
        <v>8949</v>
      </c>
      <c r="K997" s="14">
        <v>9629</v>
      </c>
      <c r="L997" s="14">
        <v>11056</v>
      </c>
      <c r="M997" s="14">
        <v>11494</v>
      </c>
      <c r="N997" s="14">
        <v>13470</v>
      </c>
      <c r="O997" s="14">
        <v>15603</v>
      </c>
      <c r="P997" s="14">
        <v>18109</v>
      </c>
      <c r="Q997" s="14">
        <v>19895</v>
      </c>
      <c r="R997" s="14">
        <v>23983</v>
      </c>
      <c r="S997" s="14">
        <v>24721</v>
      </c>
      <c r="T997" s="14">
        <v>26495</v>
      </c>
      <c r="U997" s="14">
        <v>29576</v>
      </c>
      <c r="V997" s="14">
        <v>30554</v>
      </c>
      <c r="W997" s="14">
        <v>34907</v>
      </c>
      <c r="X997" s="14">
        <v>35343</v>
      </c>
      <c r="Y997" s="14">
        <v>37184</v>
      </c>
      <c r="Z997" s="14">
        <v>46128</v>
      </c>
      <c r="AA997" s="14">
        <v>52292</v>
      </c>
      <c r="AB997" s="14">
        <v>46583</v>
      </c>
    </row>
    <row r="998" spans="1:30">
      <c r="A998" s="45" t="s">
        <v>385</v>
      </c>
      <c r="B998" s="45" t="s">
        <v>386</v>
      </c>
      <c r="C998" s="45" t="s">
        <v>490</v>
      </c>
      <c r="D998" s="45" t="s">
        <v>494</v>
      </c>
      <c r="E998" s="45" t="s">
        <v>492</v>
      </c>
      <c r="F998" s="45" t="s">
        <v>493</v>
      </c>
      <c r="G998" s="14">
        <v>8054</v>
      </c>
      <c r="H998" s="14">
        <v>6429</v>
      </c>
      <c r="I998" s="14">
        <v>7499</v>
      </c>
      <c r="J998" s="14">
        <v>8716</v>
      </c>
      <c r="K998" s="14">
        <v>9217</v>
      </c>
      <c r="L998" s="14">
        <v>10499</v>
      </c>
      <c r="M998" s="14">
        <v>10926</v>
      </c>
      <c r="N998" s="14">
        <v>12884</v>
      </c>
      <c r="O998" s="14">
        <v>14808</v>
      </c>
      <c r="P998" s="14">
        <v>17099</v>
      </c>
      <c r="Q998" s="14">
        <v>18730</v>
      </c>
      <c r="R998" s="14">
        <v>22875</v>
      </c>
      <c r="S998" s="14">
        <v>23605</v>
      </c>
      <c r="T998" s="14">
        <v>24933</v>
      </c>
      <c r="U998" s="14">
        <v>28872</v>
      </c>
      <c r="V998" s="14">
        <v>29932</v>
      </c>
      <c r="W998" s="14">
        <v>33616</v>
      </c>
      <c r="X998" s="14">
        <v>34323</v>
      </c>
      <c r="Y998" s="14">
        <v>36271</v>
      </c>
      <c r="Z998" s="14">
        <v>44599</v>
      </c>
      <c r="AA998" s="14"/>
      <c r="AB998" s="14"/>
    </row>
    <row r="999" spans="1:30">
      <c r="A999" s="45" t="s">
        <v>385</v>
      </c>
      <c r="B999" s="45" t="s">
        <v>386</v>
      </c>
      <c r="C999" s="45" t="s">
        <v>490</v>
      </c>
      <c r="D999" s="45" t="s">
        <v>495</v>
      </c>
      <c r="E999" s="45" t="s">
        <v>492</v>
      </c>
      <c r="F999" s="45" t="s">
        <v>493</v>
      </c>
      <c r="G999" s="14">
        <v>2407</v>
      </c>
      <c r="H999" s="14">
        <v>438</v>
      </c>
      <c r="I999" s="14">
        <v>908</v>
      </c>
      <c r="J999" s="14">
        <v>1025</v>
      </c>
      <c r="K999" s="14">
        <v>355</v>
      </c>
      <c r="L999" s="14">
        <v>458</v>
      </c>
      <c r="M999" s="14">
        <v>338</v>
      </c>
      <c r="N999" s="14">
        <v>429</v>
      </c>
      <c r="O999" s="14">
        <v>504</v>
      </c>
      <c r="P999" s="14">
        <v>493</v>
      </c>
      <c r="Q999" s="14">
        <v>1102</v>
      </c>
      <c r="R999" s="14">
        <v>1736</v>
      </c>
      <c r="S999" s="14">
        <v>1735</v>
      </c>
      <c r="T999" s="14">
        <v>1107</v>
      </c>
      <c r="U999" s="14">
        <v>1442</v>
      </c>
      <c r="V999" s="14">
        <v>1236</v>
      </c>
      <c r="W999" s="14">
        <v>1426</v>
      </c>
      <c r="X999" s="14">
        <v>1271</v>
      </c>
      <c r="Y999" s="14">
        <v>1366</v>
      </c>
      <c r="Z999" s="14">
        <v>1796</v>
      </c>
      <c r="AA999" s="14"/>
      <c r="AB999" s="14"/>
    </row>
    <row r="1000" spans="1:30">
      <c r="A1000" s="45" t="s">
        <v>385</v>
      </c>
      <c r="B1000" s="45" t="s">
        <v>386</v>
      </c>
      <c r="C1000" s="45" t="s">
        <v>490</v>
      </c>
      <c r="D1000" s="45" t="s">
        <v>496</v>
      </c>
      <c r="E1000" s="45" t="s">
        <v>492</v>
      </c>
      <c r="F1000" s="45" t="s">
        <v>493</v>
      </c>
      <c r="G1000" s="14">
        <v>1296</v>
      </c>
      <c r="H1000" s="14">
        <v>1187</v>
      </c>
      <c r="I1000" s="14">
        <v>1419</v>
      </c>
      <c r="J1000" s="14">
        <v>1627</v>
      </c>
      <c r="K1000" s="14">
        <v>1769</v>
      </c>
      <c r="L1000" s="14">
        <v>2014</v>
      </c>
      <c r="M1000" s="14">
        <v>1883</v>
      </c>
      <c r="N1000" s="14">
        <v>2289</v>
      </c>
      <c r="O1000" s="14">
        <v>2687</v>
      </c>
      <c r="P1000" s="14">
        <v>3252</v>
      </c>
      <c r="Q1000" s="14">
        <v>3920</v>
      </c>
      <c r="R1000" s="14">
        <v>4272</v>
      </c>
      <c r="S1000" s="14">
        <v>4283</v>
      </c>
      <c r="T1000" s="14">
        <v>4799</v>
      </c>
      <c r="U1000" s="14">
        <v>6063</v>
      </c>
      <c r="V1000" s="14">
        <v>6100</v>
      </c>
      <c r="W1000" s="14">
        <v>8705</v>
      </c>
      <c r="X1000" s="14">
        <v>8444</v>
      </c>
      <c r="Y1000" s="14">
        <v>8133</v>
      </c>
      <c r="Z1000" s="14">
        <v>15810</v>
      </c>
      <c r="AA1000" s="14"/>
      <c r="AB1000" s="14"/>
    </row>
    <row r="1001" spans="1:30">
      <c r="A1001" s="45" t="s">
        <v>385</v>
      </c>
      <c r="B1001" s="45" t="s">
        <v>386</v>
      </c>
      <c r="C1001" s="45" t="s">
        <v>490</v>
      </c>
      <c r="D1001" s="45" t="s">
        <v>497</v>
      </c>
      <c r="E1001" s="45" t="s">
        <v>492</v>
      </c>
      <c r="F1001" s="45" t="s">
        <v>493</v>
      </c>
      <c r="G1001" s="14">
        <v>3381</v>
      </c>
      <c r="H1001" s="14">
        <v>4026</v>
      </c>
      <c r="I1001" s="14">
        <v>4440</v>
      </c>
      <c r="J1001" s="14">
        <v>5471</v>
      </c>
      <c r="K1001" s="14">
        <v>6285</v>
      </c>
      <c r="L1001" s="14">
        <v>7189</v>
      </c>
      <c r="M1001" s="14">
        <v>7667</v>
      </c>
      <c r="N1001" s="14">
        <v>8893</v>
      </c>
      <c r="O1001" s="14">
        <v>10335</v>
      </c>
      <c r="P1001" s="14">
        <v>11781</v>
      </c>
      <c r="Q1001" s="14">
        <v>12511</v>
      </c>
      <c r="R1001" s="14">
        <v>15567</v>
      </c>
      <c r="S1001" s="14">
        <v>16168</v>
      </c>
      <c r="T1001" s="14">
        <v>16967</v>
      </c>
      <c r="U1001" s="14">
        <v>19541</v>
      </c>
      <c r="V1001" s="14">
        <v>20594</v>
      </c>
      <c r="W1001" s="14">
        <v>21168</v>
      </c>
      <c r="X1001" s="14">
        <v>22703</v>
      </c>
      <c r="Y1001" s="14">
        <v>23925</v>
      </c>
      <c r="Z1001" s="14">
        <v>24886</v>
      </c>
      <c r="AA1001" s="14"/>
      <c r="AB1001" s="14"/>
    </row>
    <row r="1002" spans="1:30">
      <c r="A1002" s="45" t="s">
        <v>385</v>
      </c>
      <c r="B1002" s="45" t="s">
        <v>386</v>
      </c>
      <c r="C1002" s="45" t="s">
        <v>498</v>
      </c>
      <c r="D1002" s="45" t="s">
        <v>491</v>
      </c>
      <c r="E1002" s="45" t="s">
        <v>499</v>
      </c>
      <c r="F1002" s="45" t="s">
        <v>500</v>
      </c>
      <c r="G1002" s="14">
        <v>15763.1</v>
      </c>
      <c r="H1002" s="14">
        <v>10997.7</v>
      </c>
      <c r="I1002" s="14">
        <v>11901.2</v>
      </c>
      <c r="J1002" s="14">
        <v>12873.2</v>
      </c>
      <c r="K1002" s="14">
        <v>12971.3</v>
      </c>
      <c r="L1002" s="14">
        <v>13993</v>
      </c>
      <c r="M1002" s="14">
        <v>13373.7</v>
      </c>
      <c r="N1002" s="14">
        <v>14604.6</v>
      </c>
      <c r="O1002" s="14">
        <v>15603</v>
      </c>
      <c r="P1002" s="14">
        <v>16718.3</v>
      </c>
      <c r="Q1002" s="14">
        <v>17015.5</v>
      </c>
      <c r="R1002" s="14">
        <v>19080</v>
      </c>
      <c r="S1002" s="14">
        <v>18236.2</v>
      </c>
      <c r="T1002" s="14">
        <v>18170.099999999999</v>
      </c>
      <c r="U1002" s="14">
        <v>18762.5</v>
      </c>
      <c r="V1002" s="14">
        <v>18696.5</v>
      </c>
      <c r="W1002" s="14">
        <v>20441.7</v>
      </c>
      <c r="X1002" s="14">
        <v>19858.099999999999</v>
      </c>
      <c r="Y1002" s="14">
        <v>19622.5</v>
      </c>
      <c r="Z1002" s="14">
        <v>21532.9</v>
      </c>
      <c r="AA1002" s="14"/>
      <c r="AB1002" s="14"/>
      <c r="AC1002" s="15">
        <f>IFERROR(Z1002/G1002-1,"")</f>
        <v>0.36603206222126361</v>
      </c>
      <c r="AD1002" s="15">
        <f>IFERROR((Z1002/G1002)^(1/19)-1,"")</f>
        <v>1.6551816329869018E-2</v>
      </c>
    </row>
    <row r="1003" spans="1:30">
      <c r="A1003" s="45" t="s">
        <v>385</v>
      </c>
      <c r="B1003" s="45" t="s">
        <v>386</v>
      </c>
      <c r="C1003" s="45" t="s">
        <v>498</v>
      </c>
      <c r="D1003" s="45" t="s">
        <v>495</v>
      </c>
      <c r="E1003" s="45" t="s">
        <v>499</v>
      </c>
      <c r="F1003" s="45" t="s">
        <v>500</v>
      </c>
      <c r="G1003" s="14">
        <v>4573.3999999999996</v>
      </c>
      <c r="H1003" s="14">
        <v>729.2</v>
      </c>
      <c r="I1003" s="14">
        <v>1403.5</v>
      </c>
      <c r="J1003" s="14">
        <v>1474.9</v>
      </c>
      <c r="K1003" s="14">
        <v>478.3</v>
      </c>
      <c r="L1003" s="14">
        <v>579</v>
      </c>
      <c r="M1003" s="14">
        <v>393.7</v>
      </c>
      <c r="N1003" s="14">
        <v>465.1</v>
      </c>
      <c r="O1003" s="14">
        <v>504</v>
      </c>
      <c r="P1003" s="14">
        <v>455.1</v>
      </c>
      <c r="Q1003" s="14">
        <v>942.5</v>
      </c>
      <c r="R1003" s="14">
        <v>1381.1</v>
      </c>
      <c r="S1003" s="14">
        <v>1279.9000000000001</v>
      </c>
      <c r="T1003" s="14">
        <v>759.2</v>
      </c>
      <c r="U1003" s="14">
        <v>914.8</v>
      </c>
      <c r="V1003" s="14">
        <v>756.3</v>
      </c>
      <c r="W1003" s="14">
        <v>835.1</v>
      </c>
      <c r="X1003" s="14">
        <v>714.1</v>
      </c>
      <c r="Y1003" s="14">
        <v>720.9</v>
      </c>
      <c r="Z1003" s="14">
        <v>838.4</v>
      </c>
      <c r="AA1003" s="14"/>
      <c r="AB1003" s="14"/>
      <c r="AC1003" s="15">
        <f>IFERROR(Z1003/G1003-1,"")</f>
        <v>-0.81667905715660116</v>
      </c>
      <c r="AD1003" s="15">
        <f>IFERROR((Z1003/G1003)^(1/19)-1,"")</f>
        <v>-8.5420024167627506E-2</v>
      </c>
    </row>
    <row r="1004" spans="1:30">
      <c r="A1004" s="45" t="s">
        <v>385</v>
      </c>
      <c r="B1004" s="45" t="s">
        <v>386</v>
      </c>
      <c r="C1004" s="45" t="s">
        <v>498</v>
      </c>
      <c r="D1004" s="45" t="s">
        <v>496</v>
      </c>
      <c r="E1004" s="45" t="s">
        <v>499</v>
      </c>
      <c r="F1004" s="45" t="s">
        <v>500</v>
      </c>
      <c r="G1004" s="14">
        <v>2461.5</v>
      </c>
      <c r="H1004" s="14">
        <v>1976.6</v>
      </c>
      <c r="I1004" s="14">
        <v>2192.6999999999998</v>
      </c>
      <c r="J1004" s="14">
        <v>2340.5</v>
      </c>
      <c r="K1004" s="14">
        <v>2382.5</v>
      </c>
      <c r="L1004" s="14">
        <v>2548.9</v>
      </c>
      <c r="M1004" s="14">
        <v>2190.6999999999998</v>
      </c>
      <c r="N1004" s="14">
        <v>2481.8000000000002</v>
      </c>
      <c r="O1004" s="14">
        <v>2687</v>
      </c>
      <c r="P1004" s="14">
        <v>3002.3</v>
      </c>
      <c r="Q1004" s="14">
        <v>3352.6</v>
      </c>
      <c r="R1004" s="14">
        <v>3398.6</v>
      </c>
      <c r="S1004" s="14">
        <v>3159.5</v>
      </c>
      <c r="T1004" s="14">
        <v>3291.1</v>
      </c>
      <c r="U1004" s="14">
        <v>3846.3</v>
      </c>
      <c r="V1004" s="14">
        <v>3732.7</v>
      </c>
      <c r="W1004" s="14">
        <v>5097.7</v>
      </c>
      <c r="X1004" s="14">
        <v>4744.3999999999996</v>
      </c>
      <c r="Y1004" s="14">
        <v>4291.8999999999996</v>
      </c>
      <c r="Z1004" s="14">
        <v>7380.2</v>
      </c>
      <c r="AA1004" s="14"/>
      <c r="AB1004" s="14"/>
      <c r="AC1004" s="15">
        <f>IFERROR(Z1004/G1004-1,"")</f>
        <v>1.9982530977046515</v>
      </c>
      <c r="AD1004" s="15">
        <f>IFERROR((Z1004/G1004)^(1/19)-1,"")</f>
        <v>5.9493584049995274E-2</v>
      </c>
    </row>
    <row r="1005" spans="1:30">
      <c r="A1005" s="45" t="s">
        <v>385</v>
      </c>
      <c r="B1005" s="45" t="s">
        <v>386</v>
      </c>
      <c r="C1005" s="45" t="s">
        <v>498</v>
      </c>
      <c r="D1005" s="45" t="s">
        <v>497</v>
      </c>
      <c r="E1005" s="45" t="s">
        <v>499</v>
      </c>
      <c r="F1005" s="45" t="s">
        <v>500</v>
      </c>
      <c r="G1005" s="14">
        <v>6423.3</v>
      </c>
      <c r="H1005" s="14">
        <v>6703.7</v>
      </c>
      <c r="I1005" s="14">
        <v>6861.1</v>
      </c>
      <c r="J1005" s="14">
        <v>7869.3</v>
      </c>
      <c r="K1005" s="14">
        <v>8467.4</v>
      </c>
      <c r="L1005" s="14">
        <v>9098.6</v>
      </c>
      <c r="M1005" s="14">
        <v>8921.2000000000007</v>
      </c>
      <c r="N1005" s="14">
        <v>9642.1</v>
      </c>
      <c r="O1005" s="14">
        <v>10335</v>
      </c>
      <c r="P1005" s="14">
        <v>10876.2</v>
      </c>
      <c r="Q1005" s="14">
        <v>10700.3</v>
      </c>
      <c r="R1005" s="14">
        <v>12384.5</v>
      </c>
      <c r="S1005" s="14">
        <v>11926.8</v>
      </c>
      <c r="T1005" s="14">
        <v>11635.8</v>
      </c>
      <c r="U1005" s="14">
        <v>12396.5</v>
      </c>
      <c r="V1005" s="14">
        <v>12601.8</v>
      </c>
      <c r="W1005" s="14">
        <v>12396.1</v>
      </c>
      <c r="X1005" s="14">
        <v>12756.1</v>
      </c>
      <c r="Y1005" s="14">
        <v>12625.5</v>
      </c>
      <c r="Z1005" s="14">
        <v>11617</v>
      </c>
      <c r="AA1005" s="14"/>
      <c r="AB1005" s="14"/>
      <c r="AC1005" s="15">
        <f>IFERROR(Z1005/G1005-1,"")</f>
        <v>0.80857191786153537</v>
      </c>
      <c r="AD1005" s="15">
        <f>IFERROR((Z1005/G1005)^(1/19)-1,"")</f>
        <v>3.1677570154066137E-2</v>
      </c>
    </row>
    <row r="1006" spans="1:30">
      <c r="A1006" s="45" t="s">
        <v>385</v>
      </c>
      <c r="B1006" s="45" t="s">
        <v>386</v>
      </c>
      <c r="C1006" s="45" t="s">
        <v>498</v>
      </c>
      <c r="D1006" s="45" t="s">
        <v>501</v>
      </c>
      <c r="E1006" s="45" t="s">
        <v>499</v>
      </c>
      <c r="F1006" s="45" t="s">
        <v>500</v>
      </c>
      <c r="G1006" s="14">
        <v>1842.2</v>
      </c>
      <c r="H1006" s="14">
        <v>1296.0999999999999</v>
      </c>
      <c r="I1006" s="14">
        <v>1130.9000000000001</v>
      </c>
      <c r="J1006" s="14">
        <v>852.3</v>
      </c>
      <c r="K1006" s="14">
        <v>1089.3</v>
      </c>
      <c r="L1006" s="14">
        <v>1061.5</v>
      </c>
      <c r="M1006" s="14">
        <v>1207.4000000000001</v>
      </c>
      <c r="N1006" s="14">
        <v>1380.2</v>
      </c>
      <c r="O1006" s="14">
        <v>1282</v>
      </c>
      <c r="P1006" s="14">
        <v>1452.2</v>
      </c>
      <c r="Q1006" s="14">
        <v>1023.8</v>
      </c>
      <c r="R1006" s="14">
        <v>1034.2</v>
      </c>
      <c r="S1006" s="14">
        <v>1047.5</v>
      </c>
      <c r="T1006" s="14">
        <v>1412</v>
      </c>
      <c r="U1006" s="14">
        <v>1158.4000000000001</v>
      </c>
      <c r="V1006" s="14">
        <v>1225.0999999999999</v>
      </c>
      <c r="W1006" s="14">
        <v>1356.8</v>
      </c>
      <c r="X1006" s="14">
        <v>1070.4000000000001</v>
      </c>
      <c r="Y1006" s="14">
        <v>1501.9</v>
      </c>
      <c r="Z1006" s="14">
        <v>984</v>
      </c>
      <c r="AA1006" s="14"/>
      <c r="AB1006" s="14"/>
      <c r="AC1006" s="15">
        <f>IFERROR(Z1006/G1006-1,"")</f>
        <v>-0.46585604168928452</v>
      </c>
      <c r="AD1006" s="15">
        <f>IFERROR((Z1006/G1006)^(1/19)-1,"")</f>
        <v>-3.2466017952468396E-2</v>
      </c>
    </row>
    <row r="1007" spans="1:30">
      <c r="A1007" s="45" t="s">
        <v>217</v>
      </c>
      <c r="B1007" s="45" t="s">
        <v>218</v>
      </c>
      <c r="C1007" s="45" t="s">
        <v>490</v>
      </c>
      <c r="D1007" s="45" t="s">
        <v>491</v>
      </c>
      <c r="E1007" s="45" t="s">
        <v>492</v>
      </c>
      <c r="F1007" s="45" t="s">
        <v>493</v>
      </c>
      <c r="G1007" s="14">
        <v>22217</v>
      </c>
      <c r="H1007" s="14">
        <v>23572</v>
      </c>
      <c r="I1007" s="14">
        <v>25789</v>
      </c>
      <c r="J1007" s="14">
        <v>28522</v>
      </c>
      <c r="K1007" s="14">
        <v>34137</v>
      </c>
      <c r="L1007" s="14">
        <v>38740</v>
      </c>
      <c r="M1007" s="14">
        <v>39663</v>
      </c>
      <c r="N1007" s="14">
        <v>43130</v>
      </c>
      <c r="O1007" s="14">
        <v>51172</v>
      </c>
      <c r="P1007" s="14">
        <v>62361</v>
      </c>
      <c r="Q1007" s="14">
        <v>83090</v>
      </c>
      <c r="R1007" s="14">
        <v>90793</v>
      </c>
      <c r="S1007" s="14">
        <v>94459</v>
      </c>
      <c r="T1007" s="14">
        <v>106214</v>
      </c>
      <c r="U1007" s="14">
        <v>106464</v>
      </c>
      <c r="V1007" s="14">
        <v>129588</v>
      </c>
      <c r="W1007" s="14">
        <v>144581</v>
      </c>
      <c r="X1007" s="14">
        <v>149507</v>
      </c>
      <c r="Y1007" s="14">
        <v>160280</v>
      </c>
      <c r="Z1007" s="14">
        <v>160912</v>
      </c>
      <c r="AA1007" s="14">
        <v>182565</v>
      </c>
      <c r="AB1007" s="14">
        <v>198146</v>
      </c>
    </row>
    <row r="1008" spans="1:30">
      <c r="A1008" s="45" t="s">
        <v>217</v>
      </c>
      <c r="B1008" s="45" t="s">
        <v>218</v>
      </c>
      <c r="C1008" s="45" t="s">
        <v>490</v>
      </c>
      <c r="D1008" s="45" t="s">
        <v>494</v>
      </c>
      <c r="E1008" s="45" t="s">
        <v>492</v>
      </c>
      <c r="F1008" s="45" t="s">
        <v>493</v>
      </c>
      <c r="G1008" s="14">
        <v>21189</v>
      </c>
      <c r="H1008" s="14">
        <v>22730</v>
      </c>
      <c r="I1008" s="14">
        <v>24977</v>
      </c>
      <c r="J1008" s="14">
        <v>27575</v>
      </c>
      <c r="K1008" s="14">
        <v>32869</v>
      </c>
      <c r="L1008" s="14">
        <v>37283</v>
      </c>
      <c r="M1008" s="14">
        <v>38142</v>
      </c>
      <c r="N1008" s="14">
        <v>41535</v>
      </c>
      <c r="O1008" s="14">
        <v>48958</v>
      </c>
      <c r="P1008" s="14">
        <v>59233</v>
      </c>
      <c r="Q1008" s="14">
        <v>78012</v>
      </c>
      <c r="R1008" s="14">
        <v>85464</v>
      </c>
      <c r="S1008" s="14">
        <v>89323</v>
      </c>
      <c r="T1008" s="14">
        <v>99073</v>
      </c>
      <c r="U1008" s="14">
        <v>100813</v>
      </c>
      <c r="V1008" s="14">
        <v>122268</v>
      </c>
      <c r="W1008" s="14">
        <v>134574</v>
      </c>
      <c r="X1008" s="14">
        <v>138564</v>
      </c>
      <c r="Y1008" s="14">
        <v>146483</v>
      </c>
      <c r="Z1008" s="14">
        <v>146943</v>
      </c>
      <c r="AA1008" s="14"/>
      <c r="AB1008" s="14"/>
    </row>
    <row r="1009" spans="1:30">
      <c r="A1009" s="45" t="s">
        <v>217</v>
      </c>
      <c r="B1009" s="45" t="s">
        <v>218</v>
      </c>
      <c r="C1009" s="45" t="s">
        <v>490</v>
      </c>
      <c r="D1009" s="45" t="s">
        <v>495</v>
      </c>
      <c r="E1009" s="45" t="s">
        <v>492</v>
      </c>
      <c r="F1009" s="45" t="s">
        <v>493</v>
      </c>
      <c r="G1009" s="14">
        <v>1334</v>
      </c>
      <c r="H1009" s="14">
        <v>1061</v>
      </c>
      <c r="I1009" s="14">
        <v>1228</v>
      </c>
      <c r="J1009" s="14">
        <v>1381</v>
      </c>
      <c r="K1009" s="14">
        <v>2989</v>
      </c>
      <c r="L1009" s="14">
        <v>2767</v>
      </c>
      <c r="M1009" s="14">
        <v>1298</v>
      </c>
      <c r="N1009" s="14">
        <v>1485</v>
      </c>
      <c r="O1009" s="14">
        <v>1527</v>
      </c>
      <c r="P1009" s="14">
        <v>1973</v>
      </c>
      <c r="Q1009" s="14">
        <v>3109</v>
      </c>
      <c r="R1009" s="14">
        <v>3301</v>
      </c>
      <c r="S1009" s="14">
        <v>3795</v>
      </c>
      <c r="T1009" s="14">
        <v>4268</v>
      </c>
      <c r="U1009" s="14">
        <v>3181</v>
      </c>
      <c r="V1009" s="14">
        <v>10792</v>
      </c>
      <c r="W1009" s="14">
        <v>13095</v>
      </c>
      <c r="X1009" s="14">
        <v>5121</v>
      </c>
      <c r="Y1009" s="14">
        <v>6843</v>
      </c>
      <c r="Z1009" s="14">
        <v>6372</v>
      </c>
      <c r="AA1009" s="14"/>
      <c r="AB1009" s="14"/>
    </row>
    <row r="1010" spans="1:30">
      <c r="A1010" s="45" t="s">
        <v>217</v>
      </c>
      <c r="B1010" s="45" t="s">
        <v>218</v>
      </c>
      <c r="C1010" s="45" t="s">
        <v>490</v>
      </c>
      <c r="D1010" s="45" t="s">
        <v>496</v>
      </c>
      <c r="E1010" s="45" t="s">
        <v>492</v>
      </c>
      <c r="F1010" s="45" t="s">
        <v>493</v>
      </c>
      <c r="G1010" s="14">
        <v>6583</v>
      </c>
      <c r="H1010" s="14">
        <v>7297</v>
      </c>
      <c r="I1010" s="14">
        <v>8090</v>
      </c>
      <c r="J1010" s="14">
        <v>8541</v>
      </c>
      <c r="K1010" s="14">
        <v>9940</v>
      </c>
      <c r="L1010" s="14">
        <v>10904</v>
      </c>
      <c r="M1010" s="14">
        <v>10408</v>
      </c>
      <c r="N1010" s="14">
        <v>11515</v>
      </c>
      <c r="O1010" s="14">
        <v>13752</v>
      </c>
      <c r="P1010" s="14">
        <v>17798</v>
      </c>
      <c r="Q1010" s="14">
        <v>32683</v>
      </c>
      <c r="R1010" s="14">
        <v>32134</v>
      </c>
      <c r="S1010" s="14">
        <v>33197</v>
      </c>
      <c r="T1010" s="14">
        <v>38498</v>
      </c>
      <c r="U1010" s="14">
        <v>38296</v>
      </c>
      <c r="V1010" s="14">
        <v>47480</v>
      </c>
      <c r="W1010" s="14">
        <v>55634</v>
      </c>
      <c r="X1010" s="14">
        <v>62051</v>
      </c>
      <c r="Y1010" s="14">
        <v>67361</v>
      </c>
      <c r="Z1010" s="14">
        <v>64954</v>
      </c>
      <c r="AA1010" s="14"/>
      <c r="AB1010" s="14"/>
    </row>
    <row r="1011" spans="1:30">
      <c r="A1011" s="45" t="s">
        <v>217</v>
      </c>
      <c r="B1011" s="45" t="s">
        <v>218</v>
      </c>
      <c r="C1011" s="45" t="s">
        <v>490</v>
      </c>
      <c r="D1011" s="45" t="s">
        <v>497</v>
      </c>
      <c r="E1011" s="45" t="s">
        <v>492</v>
      </c>
      <c r="F1011" s="45" t="s">
        <v>493</v>
      </c>
      <c r="G1011" s="14">
        <v>12064</v>
      </c>
      <c r="H1011" s="14">
        <v>13005</v>
      </c>
      <c r="I1011" s="14">
        <v>14195</v>
      </c>
      <c r="J1011" s="14">
        <v>16273</v>
      </c>
      <c r="K1011" s="14">
        <v>18428</v>
      </c>
      <c r="L1011" s="14">
        <v>22133</v>
      </c>
      <c r="M1011" s="14">
        <v>24408</v>
      </c>
      <c r="N1011" s="14">
        <v>26024</v>
      </c>
      <c r="O1011" s="14">
        <v>31224</v>
      </c>
      <c r="P1011" s="14">
        <v>35924</v>
      </c>
      <c r="Q1011" s="14">
        <v>39286</v>
      </c>
      <c r="R1011" s="14">
        <v>46151</v>
      </c>
      <c r="S1011" s="14">
        <v>49045</v>
      </c>
      <c r="T1011" s="14">
        <v>52517</v>
      </c>
      <c r="U1011" s="14">
        <v>55721</v>
      </c>
      <c r="V1011" s="14">
        <v>60212</v>
      </c>
      <c r="W1011" s="14">
        <v>61449</v>
      </c>
      <c r="X1011" s="14">
        <v>66514</v>
      </c>
      <c r="Y1011" s="14">
        <v>66782</v>
      </c>
      <c r="Z1011" s="14">
        <v>70134</v>
      </c>
      <c r="AA1011" s="14"/>
      <c r="AB1011" s="14"/>
    </row>
    <row r="1012" spans="1:30">
      <c r="A1012" s="45" t="s">
        <v>217</v>
      </c>
      <c r="B1012" s="45" t="s">
        <v>218</v>
      </c>
      <c r="C1012" s="45" t="s">
        <v>498</v>
      </c>
      <c r="D1012" s="45" t="s">
        <v>491</v>
      </c>
      <c r="E1012" s="45" t="s">
        <v>499</v>
      </c>
      <c r="F1012" s="45" t="s">
        <v>500</v>
      </c>
      <c r="G1012" s="14">
        <v>42206.2</v>
      </c>
      <c r="H1012" s="14">
        <v>39249.599999999999</v>
      </c>
      <c r="I1012" s="14">
        <v>39852.199999999997</v>
      </c>
      <c r="J1012" s="14">
        <v>41026.6</v>
      </c>
      <c r="K1012" s="14">
        <v>45988.6</v>
      </c>
      <c r="L1012" s="14">
        <v>49032.2</v>
      </c>
      <c r="M1012" s="14">
        <v>46148.9</v>
      </c>
      <c r="N1012" s="14">
        <v>46763</v>
      </c>
      <c r="O1012" s="14">
        <v>51172</v>
      </c>
      <c r="P1012" s="14">
        <v>57571.8</v>
      </c>
      <c r="Q1012" s="14">
        <v>71064.2</v>
      </c>
      <c r="R1012" s="14">
        <v>72231.600000000006</v>
      </c>
      <c r="S1012" s="14">
        <v>69680.5</v>
      </c>
      <c r="T1012" s="14">
        <v>72840.7</v>
      </c>
      <c r="U1012" s="14">
        <v>67539.100000000006</v>
      </c>
      <c r="V1012" s="14">
        <v>79297.3</v>
      </c>
      <c r="W1012" s="14">
        <v>84667.199999999997</v>
      </c>
      <c r="X1012" s="14">
        <v>84003.4</v>
      </c>
      <c r="Y1012" s="14">
        <v>84581.8</v>
      </c>
      <c r="Z1012" s="14">
        <v>75114.899999999994</v>
      </c>
      <c r="AA1012" s="14"/>
      <c r="AB1012" s="14"/>
      <c r="AC1012" s="15">
        <f>IFERROR(Z1012/G1012-1,"")</f>
        <v>0.77971245930692645</v>
      </c>
      <c r="AD1012" s="15">
        <f>IFERROR((Z1012/G1012)^(1/19)-1,"")</f>
        <v>3.0804503814534812E-2</v>
      </c>
    </row>
    <row r="1013" spans="1:30">
      <c r="A1013" s="45" t="s">
        <v>217</v>
      </c>
      <c r="B1013" s="45" t="s">
        <v>218</v>
      </c>
      <c r="C1013" s="45" t="s">
        <v>498</v>
      </c>
      <c r="D1013" s="45" t="s">
        <v>495</v>
      </c>
      <c r="E1013" s="45" t="s">
        <v>499</v>
      </c>
      <c r="F1013" s="45" t="s">
        <v>500</v>
      </c>
      <c r="G1013" s="14">
        <v>2534.1</v>
      </c>
      <c r="H1013" s="14">
        <v>1766.5</v>
      </c>
      <c r="I1013" s="14">
        <v>1897.8</v>
      </c>
      <c r="J1013" s="14">
        <v>1986.8</v>
      </c>
      <c r="K1013" s="14">
        <v>4026.9</v>
      </c>
      <c r="L1013" s="14">
        <v>3502.6</v>
      </c>
      <c r="M1013" s="14">
        <v>1510.5</v>
      </c>
      <c r="N1013" s="14">
        <v>1610.1</v>
      </c>
      <c r="O1013" s="14">
        <v>1527</v>
      </c>
      <c r="P1013" s="14">
        <v>1821.5</v>
      </c>
      <c r="Q1013" s="14">
        <v>2659</v>
      </c>
      <c r="R1013" s="14">
        <v>2626.2</v>
      </c>
      <c r="S1013" s="14">
        <v>2799.5</v>
      </c>
      <c r="T1013" s="14">
        <v>2927</v>
      </c>
      <c r="U1013" s="14">
        <v>2018</v>
      </c>
      <c r="V1013" s="14">
        <v>6603.8</v>
      </c>
      <c r="W1013" s="14">
        <v>7668.5</v>
      </c>
      <c r="X1013" s="14">
        <v>2877.3</v>
      </c>
      <c r="Y1013" s="14">
        <v>3611.1</v>
      </c>
      <c r="Z1013" s="14">
        <v>2974.5</v>
      </c>
      <c r="AA1013" s="14"/>
      <c r="AB1013" s="14"/>
      <c r="AC1013" s="15">
        <f>IFERROR(Z1013/G1013-1,"")</f>
        <v>0.17378951106901863</v>
      </c>
      <c r="AD1013" s="15">
        <f>IFERROR((Z1013/G1013)^(1/19)-1,"")</f>
        <v>8.4692106144712564E-3</v>
      </c>
    </row>
    <row r="1014" spans="1:30">
      <c r="A1014" s="45" t="s">
        <v>217</v>
      </c>
      <c r="B1014" s="45" t="s">
        <v>218</v>
      </c>
      <c r="C1014" s="45" t="s">
        <v>498</v>
      </c>
      <c r="D1014" s="45" t="s">
        <v>496</v>
      </c>
      <c r="E1014" s="45" t="s">
        <v>499</v>
      </c>
      <c r="F1014" s="45" t="s">
        <v>500</v>
      </c>
      <c r="G1014" s="14">
        <v>12506.4</v>
      </c>
      <c r="H1014" s="14">
        <v>12150.6</v>
      </c>
      <c r="I1014" s="14">
        <v>12500.9</v>
      </c>
      <c r="J1014" s="14">
        <v>12286.2</v>
      </c>
      <c r="K1014" s="14">
        <v>13391.3</v>
      </c>
      <c r="L1014" s="14">
        <v>13801.4</v>
      </c>
      <c r="M1014" s="14">
        <v>12110.6</v>
      </c>
      <c r="N1014" s="14">
        <v>12484.9</v>
      </c>
      <c r="O1014" s="14">
        <v>13752</v>
      </c>
      <c r="P1014" s="14">
        <v>16431.2</v>
      </c>
      <c r="Q1014" s="14">
        <v>27952.7</v>
      </c>
      <c r="R1014" s="14">
        <v>25564.7</v>
      </c>
      <c r="S1014" s="14">
        <v>24488.799999999999</v>
      </c>
      <c r="T1014" s="14">
        <v>26401.599999999999</v>
      </c>
      <c r="U1014" s="14">
        <v>24294.400000000001</v>
      </c>
      <c r="V1014" s="14">
        <v>29053.9</v>
      </c>
      <c r="W1014" s="14">
        <v>32579.5</v>
      </c>
      <c r="X1014" s="14">
        <v>34864.5</v>
      </c>
      <c r="Y1014" s="14">
        <v>35547.300000000003</v>
      </c>
      <c r="Z1014" s="14">
        <v>30321.5</v>
      </c>
      <c r="AA1014" s="14"/>
      <c r="AB1014" s="14"/>
      <c r="AC1014" s="15">
        <f>IFERROR(Z1014/G1014-1,"")</f>
        <v>1.4244786669225356</v>
      </c>
      <c r="AD1014" s="15">
        <f>IFERROR((Z1014/G1014)^(1/19)-1,"")</f>
        <v>4.7714783504547498E-2</v>
      </c>
    </row>
    <row r="1015" spans="1:30">
      <c r="A1015" s="45" t="s">
        <v>217</v>
      </c>
      <c r="B1015" s="45" t="s">
        <v>218</v>
      </c>
      <c r="C1015" s="45" t="s">
        <v>498</v>
      </c>
      <c r="D1015" s="45" t="s">
        <v>497</v>
      </c>
      <c r="E1015" s="45" t="s">
        <v>499</v>
      </c>
      <c r="F1015" s="45" t="s">
        <v>500</v>
      </c>
      <c r="G1015" s="14">
        <v>22918.400000000001</v>
      </c>
      <c r="H1015" s="14">
        <v>21655.3</v>
      </c>
      <c r="I1015" s="14">
        <v>21935.8</v>
      </c>
      <c r="J1015" s="14">
        <v>23407.9</v>
      </c>
      <c r="K1015" s="14">
        <v>24825.7</v>
      </c>
      <c r="L1015" s="14">
        <v>28013.1</v>
      </c>
      <c r="M1015" s="14">
        <v>28399.8</v>
      </c>
      <c r="N1015" s="14">
        <v>28216.1</v>
      </c>
      <c r="O1015" s="14">
        <v>31224</v>
      </c>
      <c r="P1015" s="14">
        <v>33165.1</v>
      </c>
      <c r="Q1015" s="14">
        <v>33600</v>
      </c>
      <c r="R1015" s="14">
        <v>36716.1</v>
      </c>
      <c r="S1015" s="14">
        <v>36179.5</v>
      </c>
      <c r="T1015" s="14">
        <v>36015.699999999997</v>
      </c>
      <c r="U1015" s="14">
        <v>35348.5</v>
      </c>
      <c r="V1015" s="14">
        <v>36844.800000000003</v>
      </c>
      <c r="W1015" s="14">
        <v>35984.800000000003</v>
      </c>
      <c r="X1015" s="14">
        <v>37372.199999999997</v>
      </c>
      <c r="Y1015" s="14">
        <v>35241.699999999997</v>
      </c>
      <c r="Z1015" s="14">
        <v>32739.5</v>
      </c>
      <c r="AA1015" s="14"/>
      <c r="AB1015" s="14"/>
      <c r="AC1015" s="15">
        <f>IFERROR(Z1015/G1015-1,"")</f>
        <v>0.42852467886065337</v>
      </c>
      <c r="AD1015" s="15">
        <f>IFERROR((Z1015/G1015)^(1/19)-1,"")</f>
        <v>1.8947919062928253E-2</v>
      </c>
    </row>
    <row r="1016" spans="1:30">
      <c r="A1016" s="45" t="s">
        <v>217</v>
      </c>
      <c r="B1016" s="45" t="s">
        <v>218</v>
      </c>
      <c r="C1016" s="45" t="s">
        <v>498</v>
      </c>
      <c r="D1016" s="45" t="s">
        <v>501</v>
      </c>
      <c r="E1016" s="45" t="s">
        <v>499</v>
      </c>
      <c r="F1016" s="45" t="s">
        <v>500</v>
      </c>
      <c r="G1016" s="14">
        <v>2295.5</v>
      </c>
      <c r="H1016" s="14">
        <v>2275.3000000000002</v>
      </c>
      <c r="I1016" s="14">
        <v>2262.6</v>
      </c>
      <c r="J1016" s="14">
        <v>1983.1</v>
      </c>
      <c r="K1016" s="14">
        <v>2035.8</v>
      </c>
      <c r="L1016" s="14">
        <v>1871</v>
      </c>
      <c r="M1016" s="14">
        <v>2358.6</v>
      </c>
      <c r="N1016" s="14">
        <v>2722.5</v>
      </c>
      <c r="O1016" s="14">
        <v>2455</v>
      </c>
      <c r="P1016" s="14">
        <v>3266.3</v>
      </c>
      <c r="Q1016" s="14">
        <v>2510.1999999999998</v>
      </c>
      <c r="R1016" s="14">
        <v>3084.4</v>
      </c>
      <c r="S1016" s="14">
        <v>2424</v>
      </c>
      <c r="T1016" s="14">
        <v>2599.1999999999998</v>
      </c>
      <c r="U1016" s="14">
        <v>2293.3000000000002</v>
      </c>
      <c r="V1016" s="14">
        <v>2316.1</v>
      </c>
      <c r="W1016" s="14">
        <v>2574.9</v>
      </c>
      <c r="X1016" s="14">
        <v>2740.8</v>
      </c>
      <c r="Y1016" s="14">
        <v>2900.3</v>
      </c>
      <c r="Z1016" s="14">
        <v>2559</v>
      </c>
      <c r="AA1016" s="14"/>
      <c r="AB1016" s="14"/>
      <c r="AC1016" s="15">
        <f>IFERROR(Z1016/G1016-1,"")</f>
        <v>0.1147898061424526</v>
      </c>
      <c r="AD1016" s="15">
        <f>IFERROR((Z1016/G1016)^(1/19)-1,"")</f>
        <v>5.7356426169736796E-3</v>
      </c>
    </row>
    <row r="1017" spans="1:30">
      <c r="A1017" s="45" t="s">
        <v>321</v>
      </c>
      <c r="B1017" s="45" t="s">
        <v>322</v>
      </c>
      <c r="C1017" s="45" t="s">
        <v>490</v>
      </c>
      <c r="D1017" s="45" t="s">
        <v>491</v>
      </c>
      <c r="E1017" s="45" t="s">
        <v>492</v>
      </c>
      <c r="F1017" s="45" t="s">
        <v>493</v>
      </c>
      <c r="G1017" s="14">
        <v>8039</v>
      </c>
      <c r="H1017" s="14">
        <v>9639</v>
      </c>
      <c r="I1017" s="14">
        <v>11970</v>
      </c>
      <c r="J1017" s="14">
        <v>12855</v>
      </c>
      <c r="K1017" s="14">
        <v>14280</v>
      </c>
      <c r="L1017" s="14">
        <v>16938</v>
      </c>
      <c r="M1017" s="14">
        <v>20990</v>
      </c>
      <c r="N1017" s="14">
        <v>22217</v>
      </c>
      <c r="O1017" s="14">
        <v>22042</v>
      </c>
      <c r="P1017" s="14">
        <v>29154</v>
      </c>
      <c r="Q1017" s="14">
        <v>38252</v>
      </c>
      <c r="R1017" s="14">
        <v>45819</v>
      </c>
      <c r="S1017" s="14">
        <v>52208</v>
      </c>
      <c r="T1017" s="14">
        <v>57947</v>
      </c>
      <c r="U1017" s="14">
        <v>49237</v>
      </c>
      <c r="V1017" s="14">
        <v>65390</v>
      </c>
      <c r="W1017" s="14">
        <v>53407</v>
      </c>
      <c r="X1017" s="14">
        <v>68313</v>
      </c>
      <c r="Y1017" s="14">
        <v>67864</v>
      </c>
      <c r="Z1017" s="14">
        <v>78031</v>
      </c>
      <c r="AA1017" s="14">
        <v>86696</v>
      </c>
      <c r="AB1017" s="14">
        <v>89729</v>
      </c>
    </row>
    <row r="1018" spans="1:30">
      <c r="A1018" s="45" t="s">
        <v>321</v>
      </c>
      <c r="B1018" s="45" t="s">
        <v>322</v>
      </c>
      <c r="C1018" s="45" t="s">
        <v>490</v>
      </c>
      <c r="D1018" s="45" t="s">
        <v>494</v>
      </c>
      <c r="E1018" s="45" t="s">
        <v>492</v>
      </c>
      <c r="F1018" s="45" t="s">
        <v>493</v>
      </c>
      <c r="G1018" s="14">
        <v>7780</v>
      </c>
      <c r="H1018" s="14">
        <v>9373</v>
      </c>
      <c r="I1018" s="14">
        <v>11612</v>
      </c>
      <c r="J1018" s="14">
        <v>12428</v>
      </c>
      <c r="K1018" s="14">
        <v>13635</v>
      </c>
      <c r="L1018" s="14">
        <v>15937</v>
      </c>
      <c r="M1018" s="14">
        <v>19657</v>
      </c>
      <c r="N1018" s="14">
        <v>21194</v>
      </c>
      <c r="O1018" s="14">
        <v>20790</v>
      </c>
      <c r="P1018" s="14">
        <v>27327</v>
      </c>
      <c r="Q1018" s="14">
        <v>35626</v>
      </c>
      <c r="R1018" s="14">
        <v>42651</v>
      </c>
      <c r="S1018" s="14">
        <v>49000</v>
      </c>
      <c r="T1018" s="14">
        <v>53175</v>
      </c>
      <c r="U1018" s="14">
        <v>45871</v>
      </c>
      <c r="V1018" s="14">
        <v>59198</v>
      </c>
      <c r="W1018" s="14">
        <v>49764</v>
      </c>
      <c r="X1018" s="14">
        <v>62136</v>
      </c>
      <c r="Y1018" s="14">
        <v>62354</v>
      </c>
      <c r="Z1018" s="14">
        <v>71240</v>
      </c>
      <c r="AA1018" s="14"/>
      <c r="AB1018" s="14"/>
    </row>
    <row r="1019" spans="1:30">
      <c r="A1019" s="45" t="s">
        <v>321</v>
      </c>
      <c r="B1019" s="45" t="s">
        <v>322</v>
      </c>
      <c r="C1019" s="45" t="s">
        <v>490</v>
      </c>
      <c r="D1019" s="45" t="s">
        <v>495</v>
      </c>
      <c r="E1019" s="45" t="s">
        <v>492</v>
      </c>
      <c r="F1019" s="45" t="s">
        <v>493</v>
      </c>
      <c r="G1019" s="14">
        <v>476</v>
      </c>
      <c r="H1019" s="14">
        <v>514</v>
      </c>
      <c r="I1019" s="14">
        <v>644</v>
      </c>
      <c r="J1019" s="14">
        <v>677</v>
      </c>
      <c r="K1019" s="14">
        <v>585</v>
      </c>
      <c r="L1019" s="14">
        <v>674</v>
      </c>
      <c r="M1019" s="14">
        <v>727</v>
      </c>
      <c r="N1019" s="14">
        <v>737</v>
      </c>
      <c r="O1019" s="14">
        <v>637</v>
      </c>
      <c r="P1019" s="14">
        <v>871</v>
      </c>
      <c r="Q1019" s="14">
        <v>1238</v>
      </c>
      <c r="R1019" s="14">
        <v>1347</v>
      </c>
      <c r="S1019" s="14">
        <v>1472</v>
      </c>
      <c r="T1019" s="14">
        <v>1535</v>
      </c>
      <c r="U1019" s="14">
        <v>1551</v>
      </c>
      <c r="V1019" s="14">
        <v>1587</v>
      </c>
      <c r="W1019" s="14">
        <v>1515</v>
      </c>
      <c r="X1019" s="14">
        <v>1803</v>
      </c>
      <c r="Y1019" s="14">
        <v>2009</v>
      </c>
      <c r="Z1019" s="14">
        <v>2107</v>
      </c>
      <c r="AA1019" s="14"/>
      <c r="AB1019" s="14"/>
    </row>
    <row r="1020" spans="1:30">
      <c r="A1020" s="45" t="s">
        <v>321</v>
      </c>
      <c r="B1020" s="45" t="s">
        <v>322</v>
      </c>
      <c r="C1020" s="45" t="s">
        <v>490</v>
      </c>
      <c r="D1020" s="45" t="s">
        <v>496</v>
      </c>
      <c r="E1020" s="45" t="s">
        <v>492</v>
      </c>
      <c r="F1020" s="45" t="s">
        <v>493</v>
      </c>
      <c r="G1020" s="14">
        <v>1599</v>
      </c>
      <c r="H1020" s="14">
        <v>1875</v>
      </c>
      <c r="I1020" s="14">
        <v>2604</v>
      </c>
      <c r="J1020" s="14">
        <v>2600</v>
      </c>
      <c r="K1020" s="14">
        <v>3005</v>
      </c>
      <c r="L1020" s="14">
        <v>3378</v>
      </c>
      <c r="M1020" s="14">
        <v>3893</v>
      </c>
      <c r="N1020" s="14">
        <v>4149</v>
      </c>
      <c r="O1020" s="14">
        <v>4389</v>
      </c>
      <c r="P1020" s="14">
        <v>7360</v>
      </c>
      <c r="Q1020" s="14">
        <v>14635</v>
      </c>
      <c r="R1020" s="14">
        <v>17797</v>
      </c>
      <c r="S1020" s="14">
        <v>21677</v>
      </c>
      <c r="T1020" s="14">
        <v>24987</v>
      </c>
      <c r="U1020" s="14">
        <v>16951</v>
      </c>
      <c r="V1020" s="14">
        <v>28667</v>
      </c>
      <c r="W1020" s="14">
        <v>19153</v>
      </c>
      <c r="X1020" s="14">
        <v>29540</v>
      </c>
      <c r="Y1020" s="14">
        <v>25910</v>
      </c>
      <c r="Z1020" s="14">
        <v>29354</v>
      </c>
      <c r="AA1020" s="14"/>
      <c r="AB1020" s="14"/>
    </row>
    <row r="1021" spans="1:30">
      <c r="A1021" s="45" t="s">
        <v>321</v>
      </c>
      <c r="B1021" s="45" t="s">
        <v>322</v>
      </c>
      <c r="C1021" s="45" t="s">
        <v>490</v>
      </c>
      <c r="D1021" s="45" t="s">
        <v>497</v>
      </c>
      <c r="E1021" s="45" t="s">
        <v>492</v>
      </c>
      <c r="F1021" s="45" t="s">
        <v>493</v>
      </c>
      <c r="G1021" s="14">
        <v>4763</v>
      </c>
      <c r="H1021" s="14">
        <v>5389</v>
      </c>
      <c r="I1021" s="14">
        <v>6413</v>
      </c>
      <c r="J1021" s="14">
        <v>7509</v>
      </c>
      <c r="K1021" s="14">
        <v>8557</v>
      </c>
      <c r="L1021" s="14">
        <v>10495</v>
      </c>
      <c r="M1021" s="14">
        <v>11985</v>
      </c>
      <c r="N1021" s="14">
        <v>13762</v>
      </c>
      <c r="O1021" s="14">
        <v>14010</v>
      </c>
      <c r="P1021" s="14">
        <v>16783</v>
      </c>
      <c r="Q1021" s="14">
        <v>18504</v>
      </c>
      <c r="R1021" s="14">
        <v>22091</v>
      </c>
      <c r="S1021" s="14">
        <v>24668</v>
      </c>
      <c r="T1021" s="14">
        <v>25297</v>
      </c>
      <c r="U1021" s="14">
        <v>25912</v>
      </c>
      <c r="V1021" s="14">
        <v>27541</v>
      </c>
      <c r="W1021" s="14">
        <v>27583</v>
      </c>
      <c r="X1021" s="14">
        <v>28677</v>
      </c>
      <c r="Y1021" s="14">
        <v>30923</v>
      </c>
      <c r="Z1021" s="14">
        <v>36402</v>
      </c>
      <c r="AA1021" s="14"/>
      <c r="AB1021" s="14"/>
    </row>
    <row r="1022" spans="1:30">
      <c r="A1022" s="45" t="s">
        <v>321</v>
      </c>
      <c r="B1022" s="45" t="s">
        <v>322</v>
      </c>
      <c r="C1022" s="45" t="s">
        <v>498</v>
      </c>
      <c r="D1022" s="45" t="s">
        <v>491</v>
      </c>
      <c r="E1022" s="45" t="s">
        <v>499</v>
      </c>
      <c r="F1022" s="45" t="s">
        <v>500</v>
      </c>
      <c r="G1022" s="14">
        <v>15271.8</v>
      </c>
      <c r="H1022" s="14">
        <v>16049.8</v>
      </c>
      <c r="I1022" s="14">
        <v>18497.7</v>
      </c>
      <c r="J1022" s="14">
        <v>18491.5</v>
      </c>
      <c r="K1022" s="14">
        <v>19237</v>
      </c>
      <c r="L1022" s="14">
        <v>21437.5</v>
      </c>
      <c r="M1022" s="14">
        <v>24423</v>
      </c>
      <c r="N1022" s="14">
        <v>24088.400000000001</v>
      </c>
      <c r="O1022" s="14">
        <v>22042</v>
      </c>
      <c r="P1022" s="14">
        <v>26915</v>
      </c>
      <c r="Q1022" s="14">
        <v>32715.7</v>
      </c>
      <c r="R1022" s="14">
        <v>36451.9</v>
      </c>
      <c r="S1022" s="14">
        <v>38512.800000000003</v>
      </c>
      <c r="T1022" s="14">
        <v>39739.599999999999</v>
      </c>
      <c r="U1022" s="14">
        <v>31235.200000000001</v>
      </c>
      <c r="V1022" s="14">
        <v>40013.300000000003</v>
      </c>
      <c r="W1022" s="14">
        <v>31275.3</v>
      </c>
      <c r="X1022" s="14">
        <v>38383</v>
      </c>
      <c r="Y1022" s="14">
        <v>35812.699999999997</v>
      </c>
      <c r="Z1022" s="14">
        <v>36425.4</v>
      </c>
      <c r="AA1022" s="14"/>
      <c r="AB1022" s="14"/>
      <c r="AC1022" s="15">
        <f>IFERROR(Z1022/G1022-1,"")</f>
        <v>1.3851412407181867</v>
      </c>
      <c r="AD1022" s="15">
        <f>IFERROR((Z1022/G1022)^(1/19)-1,"")</f>
        <v>4.6813134734360773E-2</v>
      </c>
    </row>
    <row r="1023" spans="1:30">
      <c r="A1023" s="45" t="s">
        <v>321</v>
      </c>
      <c r="B1023" s="45" t="s">
        <v>322</v>
      </c>
      <c r="C1023" s="45" t="s">
        <v>498</v>
      </c>
      <c r="D1023" s="45" t="s">
        <v>495</v>
      </c>
      <c r="E1023" s="45" t="s">
        <v>499</v>
      </c>
      <c r="F1023" s="45" t="s">
        <v>500</v>
      </c>
      <c r="G1023" s="14">
        <v>904.7</v>
      </c>
      <c r="H1023" s="14">
        <v>855.6</v>
      </c>
      <c r="I1023" s="14">
        <v>995.8</v>
      </c>
      <c r="J1023" s="14">
        <v>973.6</v>
      </c>
      <c r="K1023" s="14">
        <v>788.2</v>
      </c>
      <c r="L1023" s="14">
        <v>853.2</v>
      </c>
      <c r="M1023" s="14">
        <v>845.6</v>
      </c>
      <c r="N1023" s="14">
        <v>799.1</v>
      </c>
      <c r="O1023" s="14">
        <v>637</v>
      </c>
      <c r="P1023" s="14">
        <v>804.1</v>
      </c>
      <c r="Q1023" s="14">
        <v>1058.8</v>
      </c>
      <c r="R1023" s="14">
        <v>1071.5999999999999</v>
      </c>
      <c r="S1023" s="14">
        <v>1085.9000000000001</v>
      </c>
      <c r="T1023" s="14">
        <v>1052.7</v>
      </c>
      <c r="U1023" s="14">
        <v>983.9</v>
      </c>
      <c r="V1023" s="14">
        <v>971.1</v>
      </c>
      <c r="W1023" s="14">
        <v>887.2</v>
      </c>
      <c r="X1023" s="14">
        <v>1013.1</v>
      </c>
      <c r="Y1023" s="14">
        <v>1060.2</v>
      </c>
      <c r="Z1023" s="14">
        <v>983.6</v>
      </c>
      <c r="AA1023" s="14"/>
      <c r="AB1023" s="14"/>
      <c r="AC1023" s="15">
        <f>IFERROR(Z1023/G1023-1,"")</f>
        <v>8.7211230242069115E-2</v>
      </c>
      <c r="AD1023" s="15">
        <f>IFERROR((Z1023/G1023)^(1/19)-1,"")</f>
        <v>4.4105354492729454E-3</v>
      </c>
    </row>
    <row r="1024" spans="1:30">
      <c r="A1024" s="45" t="s">
        <v>321</v>
      </c>
      <c r="B1024" s="45" t="s">
        <v>322</v>
      </c>
      <c r="C1024" s="45" t="s">
        <v>498</v>
      </c>
      <c r="D1024" s="45" t="s">
        <v>496</v>
      </c>
      <c r="E1024" s="45" t="s">
        <v>499</v>
      </c>
      <c r="F1024" s="45" t="s">
        <v>500</v>
      </c>
      <c r="G1024" s="14">
        <v>3038.5</v>
      </c>
      <c r="H1024" s="14">
        <v>3122.3</v>
      </c>
      <c r="I1024" s="14">
        <v>4024.7</v>
      </c>
      <c r="J1024" s="14">
        <v>3740</v>
      </c>
      <c r="K1024" s="14">
        <v>4048.2</v>
      </c>
      <c r="L1024" s="14">
        <v>4275.1000000000004</v>
      </c>
      <c r="M1024" s="14">
        <v>4529.3999999999996</v>
      </c>
      <c r="N1024" s="14">
        <v>4498.5</v>
      </c>
      <c r="O1024" s="14">
        <v>4389</v>
      </c>
      <c r="P1024" s="14">
        <v>6794.8</v>
      </c>
      <c r="Q1024" s="14">
        <v>12516.8</v>
      </c>
      <c r="R1024" s="14">
        <v>14158.7</v>
      </c>
      <c r="S1024" s="14">
        <v>15990.7</v>
      </c>
      <c r="T1024" s="14">
        <v>17135.900000000001</v>
      </c>
      <c r="U1024" s="14">
        <v>10753.4</v>
      </c>
      <c r="V1024" s="14">
        <v>17541.900000000001</v>
      </c>
      <c r="W1024" s="14">
        <v>11216.1</v>
      </c>
      <c r="X1024" s="14">
        <v>16597.599999999999</v>
      </c>
      <c r="Y1024" s="14">
        <v>13673</v>
      </c>
      <c r="Z1024" s="14">
        <v>13702.7</v>
      </c>
      <c r="AA1024" s="14"/>
      <c r="AB1024" s="14"/>
      <c r="AC1024" s="15">
        <f>IFERROR(Z1024/G1024-1,"")</f>
        <v>3.5096922823761725</v>
      </c>
      <c r="AD1024" s="15">
        <f>IFERROR((Z1024/G1024)^(1/19)-1,"")</f>
        <v>8.2502192584283929E-2</v>
      </c>
    </row>
    <row r="1025" spans="1:30">
      <c r="A1025" s="45" t="s">
        <v>321</v>
      </c>
      <c r="B1025" s="45" t="s">
        <v>322</v>
      </c>
      <c r="C1025" s="45" t="s">
        <v>498</v>
      </c>
      <c r="D1025" s="45" t="s">
        <v>497</v>
      </c>
      <c r="E1025" s="45" t="s">
        <v>499</v>
      </c>
      <c r="F1025" s="45" t="s">
        <v>500</v>
      </c>
      <c r="G1025" s="14">
        <v>9048.7000000000007</v>
      </c>
      <c r="H1025" s="14">
        <v>8972.7999999999993</v>
      </c>
      <c r="I1025" s="14">
        <v>9910.2999999999993</v>
      </c>
      <c r="J1025" s="14">
        <v>10800.9</v>
      </c>
      <c r="K1025" s="14">
        <v>11528.3</v>
      </c>
      <c r="L1025" s="14">
        <v>13283.1</v>
      </c>
      <c r="M1025" s="14">
        <v>13945.4</v>
      </c>
      <c r="N1025" s="14">
        <v>14921.2</v>
      </c>
      <c r="O1025" s="14">
        <v>14010</v>
      </c>
      <c r="P1025" s="14">
        <v>15494.1</v>
      </c>
      <c r="Q1025" s="14">
        <v>15825.9</v>
      </c>
      <c r="R1025" s="14">
        <v>17574.8</v>
      </c>
      <c r="S1025" s="14">
        <v>18197.099999999999</v>
      </c>
      <c r="T1025" s="14">
        <v>17348.5</v>
      </c>
      <c r="U1025" s="14">
        <v>16438.2</v>
      </c>
      <c r="V1025" s="14">
        <v>16852.8</v>
      </c>
      <c r="W1025" s="14">
        <v>16152.7</v>
      </c>
      <c r="X1025" s="14">
        <v>16112.7</v>
      </c>
      <c r="Y1025" s="14">
        <v>16318.5</v>
      </c>
      <c r="Z1025" s="14">
        <v>16993.2</v>
      </c>
      <c r="AA1025" s="14"/>
      <c r="AB1025" s="14"/>
      <c r="AC1025" s="15">
        <f>IFERROR(Z1025/G1025-1,"")</f>
        <v>0.8779714213091383</v>
      </c>
      <c r="AD1025" s="15">
        <f>IFERROR((Z1025/G1025)^(1/19)-1,"")</f>
        <v>3.3724199189166582E-2</v>
      </c>
    </row>
    <row r="1026" spans="1:30">
      <c r="A1026" s="45" t="s">
        <v>321</v>
      </c>
      <c r="B1026" s="45" t="s">
        <v>322</v>
      </c>
      <c r="C1026" s="45" t="s">
        <v>498</v>
      </c>
      <c r="D1026" s="45" t="s">
        <v>501</v>
      </c>
      <c r="E1026" s="45" t="s">
        <v>499</v>
      </c>
      <c r="F1026" s="45" t="s">
        <v>500</v>
      </c>
      <c r="G1026" s="14">
        <v>1787.9</v>
      </c>
      <c r="H1026" s="14">
        <v>2657.2</v>
      </c>
      <c r="I1026" s="14">
        <v>3013.6</v>
      </c>
      <c r="J1026" s="14">
        <v>2363</v>
      </c>
      <c r="K1026" s="14">
        <v>2004.1</v>
      </c>
      <c r="L1026" s="14">
        <v>1759.8</v>
      </c>
      <c r="M1026" s="14">
        <v>3551.5</v>
      </c>
      <c r="N1026" s="14">
        <v>2760.5</v>
      </c>
      <c r="O1026" s="14">
        <v>1754</v>
      </c>
      <c r="P1026" s="14">
        <v>2135.4</v>
      </c>
      <c r="Q1026" s="14">
        <v>1069.0999999999999</v>
      </c>
      <c r="R1026" s="14">
        <v>1126.5</v>
      </c>
      <c r="S1026" s="14">
        <v>872.7</v>
      </c>
      <c r="T1026" s="14">
        <v>929.9</v>
      </c>
      <c r="U1026" s="14">
        <v>924.3</v>
      </c>
      <c r="V1026" s="14">
        <v>858.5</v>
      </c>
      <c r="W1026" s="14">
        <v>886</v>
      </c>
      <c r="X1026" s="14">
        <v>1188.4000000000001</v>
      </c>
      <c r="Y1026" s="14">
        <v>1853.3</v>
      </c>
      <c r="Z1026" s="14">
        <v>1575.9</v>
      </c>
      <c r="AA1026" s="14"/>
      <c r="AB1026" s="14"/>
      <c r="AC1026" s="15">
        <f>IFERROR(Z1026/G1026-1,"")</f>
        <v>-0.11857486436601594</v>
      </c>
      <c r="AD1026" s="15">
        <f>IFERROR((Z1026/G1026)^(1/19)-1,"")</f>
        <v>-6.6208904208568953E-3</v>
      </c>
    </row>
    <row r="1027" spans="1:30">
      <c r="A1027" s="45" t="s">
        <v>139</v>
      </c>
      <c r="B1027" s="45" t="s">
        <v>140</v>
      </c>
      <c r="C1027" s="45" t="s">
        <v>490</v>
      </c>
      <c r="D1027" s="45" t="s">
        <v>491</v>
      </c>
      <c r="E1027" s="45" t="s">
        <v>492</v>
      </c>
      <c r="F1027" s="45" t="s">
        <v>493</v>
      </c>
      <c r="G1027" s="14">
        <v>82638</v>
      </c>
      <c r="H1027" s="14">
        <v>87640</v>
      </c>
      <c r="I1027" s="14">
        <v>101238</v>
      </c>
      <c r="J1027" s="14">
        <v>114514</v>
      </c>
      <c r="K1027" s="14">
        <v>129044</v>
      </c>
      <c r="L1027" s="14">
        <v>156144</v>
      </c>
      <c r="M1027" s="14">
        <v>172165</v>
      </c>
      <c r="N1027" s="14">
        <v>206451</v>
      </c>
      <c r="O1027" s="14">
        <v>235360</v>
      </c>
      <c r="P1027" s="14">
        <v>264791</v>
      </c>
      <c r="Q1027" s="14">
        <v>315001</v>
      </c>
      <c r="R1027" s="14">
        <v>338782</v>
      </c>
      <c r="S1027" s="14">
        <v>362903</v>
      </c>
      <c r="T1027" s="14">
        <v>404786</v>
      </c>
      <c r="U1027" s="14">
        <v>429044</v>
      </c>
      <c r="V1027" s="14">
        <v>493223</v>
      </c>
      <c r="W1027" s="14">
        <v>527652</v>
      </c>
      <c r="X1027" s="14">
        <v>613781</v>
      </c>
      <c r="Y1027" s="14">
        <v>629869</v>
      </c>
      <c r="Z1027" s="14">
        <v>709328</v>
      </c>
      <c r="AA1027" s="14">
        <v>798632</v>
      </c>
      <c r="AB1027" s="14">
        <v>827724</v>
      </c>
    </row>
    <row r="1028" spans="1:30">
      <c r="A1028" s="45" t="s">
        <v>139</v>
      </c>
      <c r="B1028" s="45" t="s">
        <v>140</v>
      </c>
      <c r="C1028" s="45" t="s">
        <v>490</v>
      </c>
      <c r="D1028" s="45" t="s">
        <v>494</v>
      </c>
      <c r="E1028" s="45" t="s">
        <v>492</v>
      </c>
      <c r="F1028" s="45" t="s">
        <v>493</v>
      </c>
      <c r="G1028" s="14">
        <v>73069</v>
      </c>
      <c r="H1028" s="14">
        <v>76891</v>
      </c>
      <c r="I1028" s="14">
        <v>90014</v>
      </c>
      <c r="J1028" s="14">
        <v>101952</v>
      </c>
      <c r="K1028" s="14">
        <v>114100</v>
      </c>
      <c r="L1028" s="14">
        <v>138784</v>
      </c>
      <c r="M1028" s="14">
        <v>151473</v>
      </c>
      <c r="N1028" s="14">
        <v>183334</v>
      </c>
      <c r="O1028" s="14">
        <v>207240</v>
      </c>
      <c r="P1028" s="14">
        <v>234172</v>
      </c>
      <c r="Q1028" s="14">
        <v>280666</v>
      </c>
      <c r="R1028" s="14">
        <v>305993</v>
      </c>
      <c r="S1028" s="14">
        <v>322278</v>
      </c>
      <c r="T1028" s="14">
        <v>359935</v>
      </c>
      <c r="U1028" s="14">
        <v>382702</v>
      </c>
      <c r="V1028" s="14">
        <v>441747</v>
      </c>
      <c r="W1028" s="14">
        <v>468648</v>
      </c>
      <c r="X1028" s="14">
        <v>542553</v>
      </c>
      <c r="Y1028" s="14">
        <v>551699</v>
      </c>
      <c r="Z1028" s="14">
        <v>612636</v>
      </c>
      <c r="AA1028" s="14"/>
      <c r="AB1028" s="14"/>
    </row>
    <row r="1029" spans="1:30">
      <c r="A1029" s="45" t="s">
        <v>139</v>
      </c>
      <c r="B1029" s="45" t="s">
        <v>140</v>
      </c>
      <c r="C1029" s="45" t="s">
        <v>490</v>
      </c>
      <c r="D1029" s="45" t="s">
        <v>495</v>
      </c>
      <c r="E1029" s="45" t="s">
        <v>492</v>
      </c>
      <c r="F1029" s="45" t="s">
        <v>493</v>
      </c>
      <c r="G1029" s="14">
        <v>7866</v>
      </c>
      <c r="H1029" s="14">
        <v>6310</v>
      </c>
      <c r="I1029" s="14">
        <v>8732</v>
      </c>
      <c r="J1029" s="14">
        <v>8386</v>
      </c>
      <c r="K1029" s="14">
        <v>8133</v>
      </c>
      <c r="L1029" s="14">
        <v>11120</v>
      </c>
      <c r="M1029" s="14">
        <v>10111</v>
      </c>
      <c r="N1029" s="14">
        <v>12083</v>
      </c>
      <c r="O1029" s="14">
        <v>12752</v>
      </c>
      <c r="P1029" s="14">
        <v>15557</v>
      </c>
      <c r="Q1029" s="14">
        <v>19702</v>
      </c>
      <c r="R1029" s="14">
        <v>18175</v>
      </c>
      <c r="S1029" s="14">
        <v>18124</v>
      </c>
      <c r="T1029" s="14">
        <v>18444</v>
      </c>
      <c r="U1029" s="14">
        <v>24410</v>
      </c>
      <c r="V1029" s="14">
        <v>22562</v>
      </c>
      <c r="W1029" s="14">
        <v>25900</v>
      </c>
      <c r="X1029" s="14">
        <v>28082</v>
      </c>
      <c r="Y1029" s="14">
        <v>27619</v>
      </c>
      <c r="Z1029" s="14">
        <v>38730</v>
      </c>
      <c r="AA1029" s="14"/>
      <c r="AB1029" s="14"/>
    </row>
    <row r="1030" spans="1:30">
      <c r="A1030" s="45" t="s">
        <v>139</v>
      </c>
      <c r="B1030" s="45" t="s">
        <v>140</v>
      </c>
      <c r="C1030" s="45" t="s">
        <v>490</v>
      </c>
      <c r="D1030" s="45" t="s">
        <v>496</v>
      </c>
      <c r="E1030" s="45" t="s">
        <v>492</v>
      </c>
      <c r="F1030" s="45" t="s">
        <v>493</v>
      </c>
      <c r="G1030" s="14">
        <v>35509</v>
      </c>
      <c r="H1030" s="14">
        <v>38635</v>
      </c>
      <c r="I1030" s="14">
        <v>45285</v>
      </c>
      <c r="J1030" s="14">
        <v>51857</v>
      </c>
      <c r="K1030" s="14">
        <v>59952</v>
      </c>
      <c r="L1030" s="14">
        <v>74954</v>
      </c>
      <c r="M1030" s="14">
        <v>79970</v>
      </c>
      <c r="N1030" s="14">
        <v>101866</v>
      </c>
      <c r="O1030" s="14">
        <v>118403</v>
      </c>
      <c r="P1030" s="14">
        <v>132941</v>
      </c>
      <c r="Q1030" s="14">
        <v>169153</v>
      </c>
      <c r="R1030" s="14">
        <v>178043</v>
      </c>
      <c r="S1030" s="14">
        <v>186594</v>
      </c>
      <c r="T1030" s="14">
        <v>214079</v>
      </c>
      <c r="U1030" s="14">
        <v>224472</v>
      </c>
      <c r="V1030" s="14">
        <v>275861</v>
      </c>
      <c r="W1030" s="14">
        <v>296401</v>
      </c>
      <c r="X1030" s="14">
        <v>352110</v>
      </c>
      <c r="Y1030" s="14">
        <v>350767</v>
      </c>
      <c r="Z1030" s="14">
        <v>389068</v>
      </c>
      <c r="AA1030" s="14"/>
      <c r="AB1030" s="14"/>
    </row>
    <row r="1031" spans="1:30">
      <c r="A1031" s="45" t="s">
        <v>139</v>
      </c>
      <c r="B1031" s="45" t="s">
        <v>140</v>
      </c>
      <c r="C1031" s="45" t="s">
        <v>490</v>
      </c>
      <c r="D1031" s="45" t="s">
        <v>497</v>
      </c>
      <c r="E1031" s="45" t="s">
        <v>492</v>
      </c>
      <c r="F1031" s="45" t="s">
        <v>493</v>
      </c>
      <c r="G1031" s="14">
        <v>27052</v>
      </c>
      <c r="H1031" s="14">
        <v>29390</v>
      </c>
      <c r="I1031" s="14">
        <v>32971</v>
      </c>
      <c r="J1031" s="14">
        <v>38515</v>
      </c>
      <c r="K1031" s="14">
        <v>42235</v>
      </c>
      <c r="L1031" s="14">
        <v>49692</v>
      </c>
      <c r="M1031" s="14">
        <v>55344</v>
      </c>
      <c r="N1031" s="14">
        <v>64231</v>
      </c>
      <c r="O1031" s="14">
        <v>71928</v>
      </c>
      <c r="P1031" s="14">
        <v>81293</v>
      </c>
      <c r="Q1031" s="14">
        <v>88026</v>
      </c>
      <c r="R1031" s="14">
        <v>106043</v>
      </c>
      <c r="S1031" s="14">
        <v>112601</v>
      </c>
      <c r="T1031" s="14">
        <v>122366</v>
      </c>
      <c r="U1031" s="14">
        <v>128671</v>
      </c>
      <c r="V1031" s="14">
        <v>137641</v>
      </c>
      <c r="W1031" s="14">
        <v>140326</v>
      </c>
      <c r="X1031" s="14">
        <v>155763</v>
      </c>
      <c r="Y1031" s="14">
        <v>164880</v>
      </c>
      <c r="Z1031" s="14">
        <v>175826</v>
      </c>
      <c r="AA1031" s="14"/>
      <c r="AB1031" s="14"/>
    </row>
    <row r="1032" spans="1:30">
      <c r="A1032" s="45" t="s">
        <v>139</v>
      </c>
      <c r="B1032" s="45" t="s">
        <v>140</v>
      </c>
      <c r="C1032" s="45" t="s">
        <v>498</v>
      </c>
      <c r="D1032" s="45" t="s">
        <v>491</v>
      </c>
      <c r="E1032" s="45" t="s">
        <v>499</v>
      </c>
      <c r="F1032" s="45" t="s">
        <v>500</v>
      </c>
      <c r="G1032" s="14">
        <v>156991.6</v>
      </c>
      <c r="H1032" s="14">
        <v>145930.20000000001</v>
      </c>
      <c r="I1032" s="14">
        <v>156445.20000000001</v>
      </c>
      <c r="J1032" s="14">
        <v>164720</v>
      </c>
      <c r="K1032" s="14">
        <v>173843.8</v>
      </c>
      <c r="L1032" s="14">
        <v>197626.9</v>
      </c>
      <c r="M1032" s="14">
        <v>200319.1</v>
      </c>
      <c r="N1032" s="14">
        <v>223841.1</v>
      </c>
      <c r="O1032" s="14">
        <v>235360</v>
      </c>
      <c r="P1032" s="14">
        <v>244455.7</v>
      </c>
      <c r="Q1032" s="14">
        <v>269410.09999999998</v>
      </c>
      <c r="R1032" s="14">
        <v>269522.7</v>
      </c>
      <c r="S1032" s="14">
        <v>267706.40000000002</v>
      </c>
      <c r="T1032" s="14">
        <v>277599</v>
      </c>
      <c r="U1032" s="14">
        <v>272178.7</v>
      </c>
      <c r="V1032" s="14">
        <v>301812.09999999998</v>
      </c>
      <c r="W1032" s="14">
        <v>308995.09999999998</v>
      </c>
      <c r="X1032" s="14">
        <v>344864.6</v>
      </c>
      <c r="Y1032" s="14">
        <v>332390</v>
      </c>
      <c r="Z1032" s="14">
        <v>331119.5</v>
      </c>
      <c r="AA1032" s="14"/>
      <c r="AB1032" s="14"/>
      <c r="AC1032" s="15">
        <f>IFERROR(Z1032/G1032-1,"")</f>
        <v>1.1091542477431915</v>
      </c>
      <c r="AD1032" s="15">
        <f>IFERROR((Z1032/G1032)^(1/19)-1,"")</f>
        <v>4.0059855734963623E-2</v>
      </c>
    </row>
    <row r="1033" spans="1:30">
      <c r="A1033" s="45" t="s">
        <v>139</v>
      </c>
      <c r="B1033" s="45" t="s">
        <v>140</v>
      </c>
      <c r="C1033" s="45" t="s">
        <v>498</v>
      </c>
      <c r="D1033" s="45" t="s">
        <v>495</v>
      </c>
      <c r="E1033" s="45" t="s">
        <v>499</v>
      </c>
      <c r="F1033" s="45" t="s">
        <v>500</v>
      </c>
      <c r="G1033" s="14">
        <v>14942.7</v>
      </c>
      <c r="H1033" s="14">
        <v>10507.5</v>
      </c>
      <c r="I1033" s="14">
        <v>13493.4</v>
      </c>
      <c r="J1033" s="14">
        <v>12062.6</v>
      </c>
      <c r="K1033" s="14">
        <v>10956</v>
      </c>
      <c r="L1033" s="14">
        <v>14073.7</v>
      </c>
      <c r="M1033" s="14">
        <v>11764.5</v>
      </c>
      <c r="N1033" s="14">
        <v>13100.8</v>
      </c>
      <c r="O1033" s="14">
        <v>12752</v>
      </c>
      <c r="P1033" s="14">
        <v>14362.3</v>
      </c>
      <c r="Q1033" s="14">
        <v>16850.5</v>
      </c>
      <c r="R1033" s="14">
        <v>14459.4</v>
      </c>
      <c r="S1033" s="14">
        <v>13369.7</v>
      </c>
      <c r="T1033" s="14">
        <v>12648.7</v>
      </c>
      <c r="U1033" s="14">
        <v>15485.3</v>
      </c>
      <c r="V1033" s="14">
        <v>13806.1</v>
      </c>
      <c r="W1033" s="14">
        <v>15167.1</v>
      </c>
      <c r="X1033" s="14">
        <v>15778.4</v>
      </c>
      <c r="Y1033" s="14">
        <v>14574.9</v>
      </c>
      <c r="Z1033" s="14">
        <v>18079.400000000001</v>
      </c>
      <c r="AA1033" s="14"/>
      <c r="AB1033" s="14"/>
      <c r="AC1033" s="15">
        <f>IFERROR(Z1033/G1033-1,"")</f>
        <v>0.20991520943336894</v>
      </c>
      <c r="AD1033" s="15">
        <f>IFERROR((Z1033/G1033)^(1/19)-1,"")</f>
        <v>1.0079420809579132E-2</v>
      </c>
    </row>
    <row r="1034" spans="1:30">
      <c r="A1034" s="45" t="s">
        <v>139</v>
      </c>
      <c r="B1034" s="45" t="s">
        <v>140</v>
      </c>
      <c r="C1034" s="45" t="s">
        <v>498</v>
      </c>
      <c r="D1034" s="45" t="s">
        <v>496</v>
      </c>
      <c r="E1034" s="45" t="s">
        <v>499</v>
      </c>
      <c r="F1034" s="45" t="s">
        <v>500</v>
      </c>
      <c r="G1034" s="14">
        <v>67458.8</v>
      </c>
      <c r="H1034" s="14">
        <v>64332.3</v>
      </c>
      <c r="I1034" s="14">
        <v>69979.899999999994</v>
      </c>
      <c r="J1034" s="14">
        <v>74592</v>
      </c>
      <c r="K1034" s="14">
        <v>80765.5</v>
      </c>
      <c r="L1034" s="14">
        <v>94867</v>
      </c>
      <c r="M1034" s="14">
        <v>93047.4</v>
      </c>
      <c r="N1034" s="14">
        <v>110446.5</v>
      </c>
      <c r="O1034" s="14">
        <v>118403</v>
      </c>
      <c r="P1034" s="14">
        <v>122731.5</v>
      </c>
      <c r="Q1034" s="14">
        <v>144671.1</v>
      </c>
      <c r="R1034" s="14">
        <v>141644.6</v>
      </c>
      <c r="S1034" s="14">
        <v>137646.70000000001</v>
      </c>
      <c r="T1034" s="14">
        <v>146813.70000000001</v>
      </c>
      <c r="U1034" s="14">
        <v>142401.5</v>
      </c>
      <c r="V1034" s="14">
        <v>168804.4</v>
      </c>
      <c r="W1034" s="14">
        <v>173573.6</v>
      </c>
      <c r="X1034" s="14">
        <v>197839.7</v>
      </c>
      <c r="Y1034" s="14">
        <v>185104.3</v>
      </c>
      <c r="Z1034" s="14">
        <v>181620.2</v>
      </c>
      <c r="AA1034" s="14"/>
      <c r="AB1034" s="14"/>
      <c r="AC1034" s="15">
        <f>IFERROR(Z1034/G1034-1,"")</f>
        <v>1.6923129376745512</v>
      </c>
      <c r="AD1034" s="15">
        <f>IFERROR((Z1034/G1034)^(1/19)-1,"")</f>
        <v>5.3508845074813127E-2</v>
      </c>
    </row>
    <row r="1035" spans="1:30">
      <c r="A1035" s="45" t="s">
        <v>139</v>
      </c>
      <c r="B1035" s="45" t="s">
        <v>140</v>
      </c>
      <c r="C1035" s="45" t="s">
        <v>498</v>
      </c>
      <c r="D1035" s="45" t="s">
        <v>497</v>
      </c>
      <c r="E1035" s="45" t="s">
        <v>499</v>
      </c>
      <c r="F1035" s="45" t="s">
        <v>500</v>
      </c>
      <c r="G1035" s="14">
        <v>51392.7</v>
      </c>
      <c r="H1035" s="14">
        <v>48937.1</v>
      </c>
      <c r="I1035" s="14">
        <v>50950.9</v>
      </c>
      <c r="J1035" s="14">
        <v>55401.7</v>
      </c>
      <c r="K1035" s="14">
        <v>56897.8</v>
      </c>
      <c r="L1035" s="14">
        <v>62894.2</v>
      </c>
      <c r="M1035" s="14">
        <v>64393.8</v>
      </c>
      <c r="N1035" s="14">
        <v>69641.399999999994</v>
      </c>
      <c r="O1035" s="14">
        <v>71928</v>
      </c>
      <c r="P1035" s="14">
        <v>75049.899999999994</v>
      </c>
      <c r="Q1035" s="14">
        <v>75285.8</v>
      </c>
      <c r="R1035" s="14">
        <v>84364</v>
      </c>
      <c r="S1035" s="14">
        <v>83063.5</v>
      </c>
      <c r="T1035" s="14">
        <v>83917.6</v>
      </c>
      <c r="U1035" s="14">
        <v>81626.8</v>
      </c>
      <c r="V1035" s="14">
        <v>84225</v>
      </c>
      <c r="W1035" s="14">
        <v>82175.5</v>
      </c>
      <c r="X1035" s="14">
        <v>87518.399999999994</v>
      </c>
      <c r="Y1035" s="14">
        <v>87009.3</v>
      </c>
      <c r="Z1035" s="14">
        <v>82078.7</v>
      </c>
      <c r="AA1035" s="14"/>
      <c r="AB1035" s="14"/>
      <c r="AC1035" s="15">
        <f>IFERROR(Z1035/G1035-1,"")</f>
        <v>0.59708869158460254</v>
      </c>
      <c r="AD1035" s="15">
        <f>IFERROR((Z1035/G1035)^(1/19)-1,"")</f>
        <v>2.4947282090791667E-2</v>
      </c>
    </row>
    <row r="1036" spans="1:30">
      <c r="A1036" s="45" t="s">
        <v>139</v>
      </c>
      <c r="B1036" s="45" t="s">
        <v>140</v>
      </c>
      <c r="C1036" s="45" t="s">
        <v>498</v>
      </c>
      <c r="D1036" s="45" t="s">
        <v>501</v>
      </c>
      <c r="E1036" s="45" t="s">
        <v>499</v>
      </c>
      <c r="F1036" s="45" t="s">
        <v>500</v>
      </c>
      <c r="G1036" s="14">
        <v>5018.5</v>
      </c>
      <c r="H1036" s="14">
        <v>4255.3</v>
      </c>
      <c r="I1036" s="14">
        <v>4675.8999999999996</v>
      </c>
      <c r="J1036" s="14">
        <v>4593.6000000000004</v>
      </c>
      <c r="K1036" s="14">
        <v>5092.3999999999996</v>
      </c>
      <c r="L1036" s="14">
        <v>3819.2</v>
      </c>
      <c r="M1036" s="14">
        <v>7037.6</v>
      </c>
      <c r="N1036" s="14">
        <v>5587.1</v>
      </c>
      <c r="O1036" s="14">
        <v>4157</v>
      </c>
      <c r="P1036" s="14">
        <v>4045.5</v>
      </c>
      <c r="Q1036" s="14">
        <v>3237.2</v>
      </c>
      <c r="R1036" s="14">
        <v>2968.2</v>
      </c>
      <c r="S1036" s="14">
        <v>3658.2</v>
      </c>
      <c r="T1036" s="14">
        <v>3460.5</v>
      </c>
      <c r="U1036" s="14">
        <v>3265.8</v>
      </c>
      <c r="V1036" s="14">
        <v>3478.1</v>
      </c>
      <c r="W1036" s="14">
        <v>3525.3</v>
      </c>
      <c r="X1036" s="14">
        <v>3707.2</v>
      </c>
      <c r="Y1036" s="14">
        <v>4450.2</v>
      </c>
      <c r="Z1036" s="14">
        <v>4206.8999999999996</v>
      </c>
      <c r="AA1036" s="14"/>
      <c r="AB1036" s="14"/>
      <c r="AC1036" s="15">
        <f>IFERROR(Z1036/G1036-1,"")</f>
        <v>-0.16172162996911432</v>
      </c>
      <c r="AD1036" s="15">
        <f>IFERROR((Z1036/G1036)^(1/19)-1,"")</f>
        <v>-9.2415086381620881E-3</v>
      </c>
    </row>
    <row r="1037" spans="1:30">
      <c r="A1037" s="45" t="s">
        <v>179</v>
      </c>
      <c r="B1037" s="45" t="s">
        <v>180</v>
      </c>
      <c r="C1037" s="45" t="s">
        <v>490</v>
      </c>
      <c r="D1037" s="45" t="s">
        <v>491</v>
      </c>
      <c r="E1037" s="45" t="s">
        <v>492</v>
      </c>
      <c r="F1037" s="45" t="s">
        <v>493</v>
      </c>
      <c r="G1037" s="14">
        <v>8833</v>
      </c>
      <c r="H1037" s="14">
        <v>11703</v>
      </c>
      <c r="I1037" s="14">
        <v>13350</v>
      </c>
      <c r="J1037" s="14">
        <v>13384</v>
      </c>
      <c r="K1037" s="14">
        <v>15570</v>
      </c>
      <c r="L1037" s="14">
        <v>16520</v>
      </c>
      <c r="M1037" s="14">
        <v>18068</v>
      </c>
      <c r="N1037" s="14">
        <v>21668</v>
      </c>
      <c r="O1037" s="14">
        <v>23325</v>
      </c>
      <c r="P1037" s="14">
        <v>27414</v>
      </c>
      <c r="Q1037" s="14">
        <v>35133</v>
      </c>
      <c r="R1037" s="14">
        <v>39847</v>
      </c>
      <c r="S1037" s="14">
        <v>36803</v>
      </c>
      <c r="T1037" s="14">
        <v>148360</v>
      </c>
      <c r="U1037" s="14">
        <v>180628</v>
      </c>
      <c r="V1037" s="14">
        <v>206954</v>
      </c>
      <c r="W1037" s="14">
        <v>214414</v>
      </c>
      <c r="X1037" s="14">
        <v>222294</v>
      </c>
      <c r="Y1037" s="14">
        <v>322712</v>
      </c>
      <c r="Z1037" s="14">
        <v>293283</v>
      </c>
      <c r="AA1037" s="14">
        <v>243846</v>
      </c>
      <c r="AB1037" s="14">
        <v>325405</v>
      </c>
    </row>
    <row r="1038" spans="1:30">
      <c r="A1038" s="45" t="s">
        <v>179</v>
      </c>
      <c r="B1038" s="45" t="s">
        <v>180</v>
      </c>
      <c r="C1038" s="45" t="s">
        <v>490</v>
      </c>
      <c r="D1038" s="45" t="s">
        <v>494</v>
      </c>
      <c r="E1038" s="45" t="s">
        <v>492</v>
      </c>
      <c r="F1038" s="45" t="s">
        <v>493</v>
      </c>
      <c r="G1038" s="14">
        <v>8561</v>
      </c>
      <c r="H1038" s="14">
        <v>11361</v>
      </c>
      <c r="I1038" s="14">
        <v>12945</v>
      </c>
      <c r="J1038" s="14">
        <v>12967</v>
      </c>
      <c r="K1038" s="14">
        <v>14793</v>
      </c>
      <c r="L1038" s="14">
        <v>15292</v>
      </c>
      <c r="M1038" s="14">
        <v>16956</v>
      </c>
      <c r="N1038" s="14">
        <v>20522</v>
      </c>
      <c r="O1038" s="14">
        <v>21632</v>
      </c>
      <c r="P1038" s="14">
        <v>25417</v>
      </c>
      <c r="Q1038" s="14">
        <v>29628</v>
      </c>
      <c r="R1038" s="14">
        <v>34321</v>
      </c>
      <c r="S1038" s="14">
        <v>30721</v>
      </c>
      <c r="T1038" s="14">
        <v>137941</v>
      </c>
      <c r="U1038" s="14">
        <v>170188</v>
      </c>
      <c r="V1038" s="14">
        <v>187799</v>
      </c>
      <c r="W1038" s="14">
        <v>192090</v>
      </c>
      <c r="X1038" s="14">
        <v>197448</v>
      </c>
      <c r="Y1038" s="14">
        <v>294176</v>
      </c>
      <c r="Z1038" s="14">
        <v>273296</v>
      </c>
      <c r="AA1038" s="14"/>
      <c r="AB1038" s="14"/>
    </row>
    <row r="1039" spans="1:30">
      <c r="A1039" s="45" t="s">
        <v>179</v>
      </c>
      <c r="B1039" s="45" t="s">
        <v>180</v>
      </c>
      <c r="C1039" s="45" t="s">
        <v>490</v>
      </c>
      <c r="D1039" s="45" t="s">
        <v>495</v>
      </c>
      <c r="E1039" s="45" t="s">
        <v>492</v>
      </c>
      <c r="F1039" s="45" t="s">
        <v>493</v>
      </c>
      <c r="G1039" s="14">
        <v>463</v>
      </c>
      <c r="H1039" s="14">
        <v>407</v>
      </c>
      <c r="I1039" s="14">
        <v>595</v>
      </c>
      <c r="J1039" s="14">
        <v>536</v>
      </c>
      <c r="K1039" s="14">
        <v>523</v>
      </c>
      <c r="L1039" s="14">
        <v>476</v>
      </c>
      <c r="M1039" s="14">
        <v>739</v>
      </c>
      <c r="N1039" s="14">
        <v>826</v>
      </c>
      <c r="O1039" s="14">
        <v>857</v>
      </c>
      <c r="P1039" s="14">
        <v>964</v>
      </c>
      <c r="Q1039" s="14">
        <v>2234</v>
      </c>
      <c r="R1039" s="14">
        <v>2843</v>
      </c>
      <c r="S1039" s="14">
        <v>2365</v>
      </c>
      <c r="T1039" s="14">
        <v>106377</v>
      </c>
      <c r="U1039" s="14">
        <v>130629</v>
      </c>
      <c r="V1039" s="14">
        <v>135877</v>
      </c>
      <c r="W1039" s="14">
        <v>137939</v>
      </c>
      <c r="X1039" s="14">
        <v>137814</v>
      </c>
      <c r="Y1039" s="14">
        <v>222431</v>
      </c>
      <c r="Z1039" s="14">
        <v>213403</v>
      </c>
      <c r="AA1039" s="14"/>
      <c r="AB1039" s="14"/>
    </row>
    <row r="1040" spans="1:30">
      <c r="A1040" s="45" t="s">
        <v>179</v>
      </c>
      <c r="B1040" s="45" t="s">
        <v>180</v>
      </c>
      <c r="C1040" s="45" t="s">
        <v>490</v>
      </c>
      <c r="D1040" s="45" t="s">
        <v>496</v>
      </c>
      <c r="E1040" s="45" t="s">
        <v>492</v>
      </c>
      <c r="F1040" s="45" t="s">
        <v>493</v>
      </c>
      <c r="G1040" s="14">
        <v>1528</v>
      </c>
      <c r="H1040" s="14">
        <v>2025</v>
      </c>
      <c r="I1040" s="14">
        <v>2492</v>
      </c>
      <c r="J1040" s="14">
        <v>2388</v>
      </c>
      <c r="K1040" s="14">
        <v>2707</v>
      </c>
      <c r="L1040" s="14">
        <v>2803</v>
      </c>
      <c r="M1040" s="14">
        <v>2835</v>
      </c>
      <c r="N1040" s="14">
        <v>3522</v>
      </c>
      <c r="O1040" s="14">
        <v>4064</v>
      </c>
      <c r="P1040" s="14">
        <v>5910</v>
      </c>
      <c r="Q1040" s="14">
        <v>7631</v>
      </c>
      <c r="R1040" s="14">
        <v>7723</v>
      </c>
      <c r="S1040" s="14">
        <v>6016</v>
      </c>
      <c r="T1040" s="14">
        <v>7237</v>
      </c>
      <c r="U1040" s="14">
        <v>11402</v>
      </c>
      <c r="V1040" s="14">
        <v>18926</v>
      </c>
      <c r="W1040" s="14">
        <v>19599</v>
      </c>
      <c r="X1040" s="14">
        <v>21897</v>
      </c>
      <c r="Y1040" s="14">
        <v>32220</v>
      </c>
      <c r="Z1040" s="14">
        <v>18822</v>
      </c>
      <c r="AA1040" s="14"/>
      <c r="AB1040" s="14"/>
    </row>
    <row r="1041" spans="1:30">
      <c r="A1041" s="45" t="s">
        <v>179</v>
      </c>
      <c r="B1041" s="45" t="s">
        <v>180</v>
      </c>
      <c r="C1041" s="45" t="s">
        <v>490</v>
      </c>
      <c r="D1041" s="45" t="s">
        <v>497</v>
      </c>
      <c r="E1041" s="45" t="s">
        <v>492</v>
      </c>
      <c r="F1041" s="45" t="s">
        <v>493</v>
      </c>
      <c r="G1041" s="14">
        <v>5456</v>
      </c>
      <c r="H1041" s="14">
        <v>6494</v>
      </c>
      <c r="I1041" s="14">
        <v>7284</v>
      </c>
      <c r="J1041" s="14">
        <v>7984</v>
      </c>
      <c r="K1041" s="14">
        <v>9144</v>
      </c>
      <c r="L1041" s="14">
        <v>9629</v>
      </c>
      <c r="M1041" s="14">
        <v>10938</v>
      </c>
      <c r="N1041" s="14">
        <v>13140</v>
      </c>
      <c r="O1041" s="14">
        <v>13609</v>
      </c>
      <c r="P1041" s="14">
        <v>15282</v>
      </c>
      <c r="Q1041" s="14">
        <v>16207</v>
      </c>
      <c r="R1041" s="14">
        <v>19352</v>
      </c>
      <c r="S1041" s="14">
        <v>18400</v>
      </c>
      <c r="T1041" s="14">
        <v>20026</v>
      </c>
      <c r="U1041" s="14">
        <v>23168</v>
      </c>
      <c r="V1041" s="14">
        <v>27254</v>
      </c>
      <c r="W1041" s="14">
        <v>27261</v>
      </c>
      <c r="X1041" s="14">
        <v>29776</v>
      </c>
      <c r="Y1041" s="14">
        <v>32563</v>
      </c>
      <c r="Z1041" s="14">
        <v>33888</v>
      </c>
      <c r="AA1041" s="14"/>
      <c r="AB1041" s="14"/>
    </row>
    <row r="1042" spans="1:30">
      <c r="A1042" s="45" t="s">
        <v>179</v>
      </c>
      <c r="B1042" s="45" t="s">
        <v>180</v>
      </c>
      <c r="C1042" s="45" t="s">
        <v>498</v>
      </c>
      <c r="D1042" s="45" t="s">
        <v>491</v>
      </c>
      <c r="E1042" s="45" t="s">
        <v>499</v>
      </c>
      <c r="F1042" s="45" t="s">
        <v>500</v>
      </c>
      <c r="G1042" s="14">
        <v>16780.7</v>
      </c>
      <c r="H1042" s="14">
        <v>19487.3</v>
      </c>
      <c r="I1042" s="14">
        <v>20630.400000000001</v>
      </c>
      <c r="J1042" s="14">
        <v>19252</v>
      </c>
      <c r="K1042" s="14">
        <v>20975.200000000001</v>
      </c>
      <c r="L1042" s="14">
        <v>20908.900000000001</v>
      </c>
      <c r="M1042" s="14">
        <v>21022.9</v>
      </c>
      <c r="N1042" s="14">
        <v>23493.200000000001</v>
      </c>
      <c r="O1042" s="14">
        <v>23325</v>
      </c>
      <c r="P1042" s="14">
        <v>25308.7</v>
      </c>
      <c r="Q1042" s="14">
        <v>30048.1</v>
      </c>
      <c r="R1042" s="14">
        <v>31700.799999999999</v>
      </c>
      <c r="S1042" s="14">
        <v>27148.799999999999</v>
      </c>
      <c r="T1042" s="14">
        <v>101744.1</v>
      </c>
      <c r="U1042" s="14">
        <v>114587.5</v>
      </c>
      <c r="V1042" s="14">
        <v>126638.9</v>
      </c>
      <c r="W1042" s="14">
        <v>125561.7</v>
      </c>
      <c r="X1042" s="14">
        <v>124900.1</v>
      </c>
      <c r="Y1042" s="14">
        <v>170299.3</v>
      </c>
      <c r="Z1042" s="14">
        <v>136906.6</v>
      </c>
      <c r="AA1042" s="14"/>
      <c r="AB1042" s="14"/>
      <c r="AC1042" s="15">
        <f>IFERROR(Z1042/G1042-1,"")</f>
        <v>7.1585750296471549</v>
      </c>
      <c r="AD1042" s="15">
        <f>IFERROR((Z1042/G1042)^(1/19)-1,"")</f>
        <v>0.11681104564825762</v>
      </c>
    </row>
    <row r="1043" spans="1:30">
      <c r="A1043" s="45" t="s">
        <v>179</v>
      </c>
      <c r="B1043" s="45" t="s">
        <v>180</v>
      </c>
      <c r="C1043" s="45" t="s">
        <v>498</v>
      </c>
      <c r="D1043" s="45" t="s">
        <v>495</v>
      </c>
      <c r="E1043" s="45" t="s">
        <v>499</v>
      </c>
      <c r="F1043" s="45" t="s">
        <v>500</v>
      </c>
      <c r="G1043" s="14">
        <v>879.4</v>
      </c>
      <c r="H1043" s="14">
        <v>678.1</v>
      </c>
      <c r="I1043" s="14">
        <v>918.9</v>
      </c>
      <c r="J1043" s="14">
        <v>771.5</v>
      </c>
      <c r="K1043" s="14">
        <v>704.9</v>
      </c>
      <c r="L1043" s="14">
        <v>602</v>
      </c>
      <c r="M1043" s="14">
        <v>859.5</v>
      </c>
      <c r="N1043" s="14">
        <v>895.6</v>
      </c>
      <c r="O1043" s="14">
        <v>857</v>
      </c>
      <c r="P1043" s="14">
        <v>890</v>
      </c>
      <c r="Q1043" s="14">
        <v>1910.7</v>
      </c>
      <c r="R1043" s="14">
        <v>2261.8000000000002</v>
      </c>
      <c r="S1043" s="14">
        <v>1744.6</v>
      </c>
      <c r="T1043" s="14">
        <v>72952.5</v>
      </c>
      <c r="U1043" s="14">
        <v>82869</v>
      </c>
      <c r="V1043" s="14">
        <v>83145.600000000006</v>
      </c>
      <c r="W1043" s="14">
        <v>80777.600000000006</v>
      </c>
      <c r="X1043" s="14">
        <v>77433.399999999994</v>
      </c>
      <c r="Y1043" s="14">
        <v>117379.7</v>
      </c>
      <c r="Z1043" s="14">
        <v>99618.1</v>
      </c>
      <c r="AA1043" s="14"/>
      <c r="AB1043" s="14"/>
      <c r="AC1043" s="15">
        <f>IFERROR(Z1043/G1043-1,"")</f>
        <v>112.27962246986583</v>
      </c>
      <c r="AD1043" s="15">
        <f>IFERROR((Z1043/G1043)^(1/19)-1,"")</f>
        <v>0.28266502341318289</v>
      </c>
    </row>
    <row r="1044" spans="1:30">
      <c r="A1044" s="45" t="s">
        <v>179</v>
      </c>
      <c r="B1044" s="45" t="s">
        <v>180</v>
      </c>
      <c r="C1044" s="45" t="s">
        <v>498</v>
      </c>
      <c r="D1044" s="45" t="s">
        <v>496</v>
      </c>
      <c r="E1044" s="45" t="s">
        <v>499</v>
      </c>
      <c r="F1044" s="45" t="s">
        <v>500</v>
      </c>
      <c r="G1044" s="14">
        <v>2902.4</v>
      </c>
      <c r="H1044" s="14">
        <v>3371.1</v>
      </c>
      <c r="I1044" s="14">
        <v>3851.2</v>
      </c>
      <c r="J1044" s="14">
        <v>3435.4</v>
      </c>
      <c r="K1044" s="14">
        <v>3647.2</v>
      </c>
      <c r="L1044" s="14">
        <v>3548.2</v>
      </c>
      <c r="M1044" s="14">
        <v>3298.3</v>
      </c>
      <c r="N1044" s="14">
        <v>3818.7</v>
      </c>
      <c r="O1044" s="14">
        <v>4064</v>
      </c>
      <c r="P1044" s="14">
        <v>5456.1</v>
      </c>
      <c r="Q1044" s="14">
        <v>6526.5</v>
      </c>
      <c r="R1044" s="14">
        <v>6144.1</v>
      </c>
      <c r="S1044" s="14">
        <v>4437.8999999999996</v>
      </c>
      <c r="T1044" s="14">
        <v>4963.1000000000004</v>
      </c>
      <c r="U1044" s="14">
        <v>7233.2</v>
      </c>
      <c r="V1044" s="14">
        <v>11581.2</v>
      </c>
      <c r="W1044" s="14">
        <v>11477.3</v>
      </c>
      <c r="X1044" s="14">
        <v>12303.2</v>
      </c>
      <c r="Y1044" s="14">
        <v>17002.900000000001</v>
      </c>
      <c r="Z1044" s="14">
        <v>8786.7000000000007</v>
      </c>
      <c r="AA1044" s="14"/>
      <c r="AB1044" s="14"/>
      <c r="AC1044" s="15">
        <f>IFERROR(Z1044/G1044-1,"")</f>
        <v>2.0273911245865492</v>
      </c>
      <c r="AD1044" s="15">
        <f>IFERROR((Z1044/G1044)^(1/19)-1,"")</f>
        <v>6.0033026727605021E-2</v>
      </c>
    </row>
    <row r="1045" spans="1:30">
      <c r="A1045" s="45" t="s">
        <v>179</v>
      </c>
      <c r="B1045" s="45" t="s">
        <v>180</v>
      </c>
      <c r="C1045" s="45" t="s">
        <v>498</v>
      </c>
      <c r="D1045" s="45" t="s">
        <v>497</v>
      </c>
      <c r="E1045" s="45" t="s">
        <v>499</v>
      </c>
      <c r="F1045" s="45" t="s">
        <v>500</v>
      </c>
      <c r="G1045" s="14">
        <v>10364.9</v>
      </c>
      <c r="H1045" s="14">
        <v>10813.5</v>
      </c>
      <c r="I1045" s="14">
        <v>11256.8</v>
      </c>
      <c r="J1045" s="14">
        <v>11484.4</v>
      </c>
      <c r="K1045" s="14">
        <v>12319.1</v>
      </c>
      <c r="L1045" s="14">
        <v>12187.5</v>
      </c>
      <c r="M1045" s="14">
        <v>12726.9</v>
      </c>
      <c r="N1045" s="14">
        <v>14246.8</v>
      </c>
      <c r="O1045" s="14">
        <v>13609</v>
      </c>
      <c r="P1045" s="14">
        <v>14108.4</v>
      </c>
      <c r="Q1045" s="14">
        <v>13861.3</v>
      </c>
      <c r="R1045" s="14">
        <v>15395.8</v>
      </c>
      <c r="S1045" s="14">
        <v>13573.3</v>
      </c>
      <c r="T1045" s="14">
        <v>13733.7</v>
      </c>
      <c r="U1045" s="14">
        <v>14697.4</v>
      </c>
      <c r="V1045" s="14">
        <v>16677.2</v>
      </c>
      <c r="W1045" s="14">
        <v>15964.1</v>
      </c>
      <c r="X1045" s="14">
        <v>16730.2</v>
      </c>
      <c r="Y1045" s="14">
        <v>17183.900000000001</v>
      </c>
      <c r="Z1045" s="14">
        <v>15820.1</v>
      </c>
      <c r="AA1045" s="14"/>
      <c r="AB1045" s="14"/>
      <c r="AC1045" s="15">
        <f>IFERROR(Z1045/G1045-1,"")</f>
        <v>0.52631477390037529</v>
      </c>
      <c r="AD1045" s="15">
        <f>IFERROR((Z1045/G1045)^(1/19)-1,"")</f>
        <v>2.2505091830334889E-2</v>
      </c>
    </row>
    <row r="1046" spans="1:30">
      <c r="A1046" s="45" t="s">
        <v>179</v>
      </c>
      <c r="B1046" s="45" t="s">
        <v>180</v>
      </c>
      <c r="C1046" s="45" t="s">
        <v>498</v>
      </c>
      <c r="D1046" s="45" t="s">
        <v>501</v>
      </c>
      <c r="E1046" s="45" t="s">
        <v>499</v>
      </c>
      <c r="F1046" s="45" t="s">
        <v>500</v>
      </c>
      <c r="G1046" s="14">
        <v>2116.6999999999998</v>
      </c>
      <c r="H1046" s="14">
        <v>4055</v>
      </c>
      <c r="I1046" s="14">
        <v>3976.7</v>
      </c>
      <c r="J1046" s="14">
        <v>2960.4</v>
      </c>
      <c r="K1046" s="14">
        <v>3257.5</v>
      </c>
      <c r="L1046" s="14">
        <v>3016.3</v>
      </c>
      <c r="M1046" s="14">
        <v>2844</v>
      </c>
      <c r="N1046" s="14">
        <v>3290.6</v>
      </c>
      <c r="O1046" s="14">
        <v>3100</v>
      </c>
      <c r="P1046" s="14">
        <v>3011.5</v>
      </c>
      <c r="Q1046" s="14">
        <v>3041.3</v>
      </c>
      <c r="R1046" s="14">
        <v>3503.7</v>
      </c>
      <c r="S1046" s="14">
        <v>2905.7</v>
      </c>
      <c r="T1046" s="14">
        <v>2950.3</v>
      </c>
      <c r="U1046" s="14">
        <v>3165.6</v>
      </c>
      <c r="V1046" s="14">
        <v>3513.6</v>
      </c>
      <c r="W1046" s="14">
        <v>4270.2</v>
      </c>
      <c r="X1046" s="14">
        <v>4473.6000000000004</v>
      </c>
      <c r="Y1046" s="14">
        <v>3673.9</v>
      </c>
      <c r="Z1046" s="14">
        <v>3353.1</v>
      </c>
      <c r="AA1046" s="14"/>
      <c r="AB1046" s="14"/>
      <c r="AC1046" s="15">
        <f>IFERROR(Z1046/G1046-1,"")</f>
        <v>0.58411678556243207</v>
      </c>
      <c r="AD1046" s="15">
        <f>IFERROR((Z1046/G1046)^(1/19)-1,"")</f>
        <v>2.4507437556972045E-2</v>
      </c>
    </row>
    <row r="1047" spans="1:30">
      <c r="A1047" s="45" t="s">
        <v>419</v>
      </c>
      <c r="B1047" s="45" t="s">
        <v>420</v>
      </c>
      <c r="C1047" s="45" t="s">
        <v>490</v>
      </c>
      <c r="D1047" s="45" t="s">
        <v>491</v>
      </c>
      <c r="E1047" s="45" t="s">
        <v>492</v>
      </c>
      <c r="F1047" s="45" t="s">
        <v>493</v>
      </c>
      <c r="G1047" s="14">
        <v>6221</v>
      </c>
      <c r="H1047" s="14">
        <v>6898</v>
      </c>
      <c r="I1047" s="14">
        <v>7435</v>
      </c>
      <c r="J1047" s="14">
        <v>7974</v>
      </c>
      <c r="K1047" s="14">
        <v>9075</v>
      </c>
      <c r="L1047" s="14">
        <v>10976</v>
      </c>
      <c r="M1047" s="14">
        <v>12594</v>
      </c>
      <c r="N1047" s="14">
        <v>13115</v>
      </c>
      <c r="O1047" s="14">
        <v>14428</v>
      </c>
      <c r="P1047" s="14">
        <v>17203</v>
      </c>
      <c r="Q1047" s="14">
        <v>17581</v>
      </c>
      <c r="R1047" s="14">
        <v>19116</v>
      </c>
      <c r="S1047" s="14">
        <v>20429</v>
      </c>
      <c r="T1047" s="14">
        <v>23007</v>
      </c>
      <c r="U1047" s="14">
        <v>23834</v>
      </c>
      <c r="V1047" s="14">
        <v>24973</v>
      </c>
      <c r="W1047" s="14">
        <v>28263</v>
      </c>
      <c r="X1047" s="14">
        <v>30189</v>
      </c>
      <c r="Y1047" s="14">
        <v>31071</v>
      </c>
      <c r="Z1047" s="14">
        <v>36126</v>
      </c>
      <c r="AA1047" s="14">
        <v>43026</v>
      </c>
      <c r="AB1047" s="14">
        <v>65240</v>
      </c>
    </row>
    <row r="1048" spans="1:30">
      <c r="A1048" s="45" t="s">
        <v>419</v>
      </c>
      <c r="B1048" s="45" t="s">
        <v>420</v>
      </c>
      <c r="C1048" s="45" t="s">
        <v>490</v>
      </c>
      <c r="D1048" s="45" t="s">
        <v>494</v>
      </c>
      <c r="E1048" s="45" t="s">
        <v>492</v>
      </c>
      <c r="F1048" s="45" t="s">
        <v>493</v>
      </c>
      <c r="G1048" s="14">
        <v>6042</v>
      </c>
      <c r="H1048" s="14">
        <v>6718</v>
      </c>
      <c r="I1048" s="14">
        <v>7241</v>
      </c>
      <c r="J1048" s="14">
        <v>7757</v>
      </c>
      <c r="K1048" s="14">
        <v>8701</v>
      </c>
      <c r="L1048" s="14">
        <v>10500</v>
      </c>
      <c r="M1048" s="14">
        <v>12058</v>
      </c>
      <c r="N1048" s="14">
        <v>12605</v>
      </c>
      <c r="O1048" s="14">
        <v>13686</v>
      </c>
      <c r="P1048" s="14">
        <v>16394</v>
      </c>
      <c r="Q1048" s="14">
        <v>16816</v>
      </c>
      <c r="R1048" s="14">
        <v>17935</v>
      </c>
      <c r="S1048" s="14">
        <v>19510</v>
      </c>
      <c r="T1048" s="14">
        <v>21460</v>
      </c>
      <c r="U1048" s="14">
        <v>23164</v>
      </c>
      <c r="V1048" s="14">
        <v>23997</v>
      </c>
      <c r="W1048" s="14">
        <v>26749</v>
      </c>
      <c r="X1048" s="14">
        <v>29174</v>
      </c>
      <c r="Y1048" s="14">
        <v>30183</v>
      </c>
      <c r="Z1048" s="14">
        <v>33704</v>
      </c>
      <c r="AA1048" s="14"/>
      <c r="AB1048" s="14"/>
    </row>
    <row r="1049" spans="1:30">
      <c r="A1049" s="45" t="s">
        <v>419</v>
      </c>
      <c r="B1049" s="45" t="s">
        <v>420</v>
      </c>
      <c r="C1049" s="45" t="s">
        <v>490</v>
      </c>
      <c r="D1049" s="45" t="s">
        <v>495</v>
      </c>
      <c r="E1049" s="45" t="s">
        <v>492</v>
      </c>
      <c r="F1049" s="45" t="s">
        <v>493</v>
      </c>
      <c r="G1049" s="14">
        <v>288</v>
      </c>
      <c r="H1049" s="14">
        <v>184</v>
      </c>
      <c r="I1049" s="14">
        <v>225</v>
      </c>
      <c r="J1049" s="14">
        <v>240</v>
      </c>
      <c r="K1049" s="14">
        <v>239</v>
      </c>
      <c r="L1049" s="14">
        <v>336</v>
      </c>
      <c r="M1049" s="14">
        <v>340</v>
      </c>
      <c r="N1049" s="14">
        <v>393</v>
      </c>
      <c r="O1049" s="14">
        <v>381</v>
      </c>
      <c r="P1049" s="14">
        <v>491</v>
      </c>
      <c r="Q1049" s="14">
        <v>559</v>
      </c>
      <c r="R1049" s="14">
        <v>535</v>
      </c>
      <c r="S1049" s="14">
        <v>673</v>
      </c>
      <c r="T1049" s="14">
        <v>728</v>
      </c>
      <c r="U1049" s="14">
        <v>1845</v>
      </c>
      <c r="V1049" s="14">
        <v>593</v>
      </c>
      <c r="W1049" s="14">
        <v>601</v>
      </c>
      <c r="X1049" s="14">
        <v>679</v>
      </c>
      <c r="Y1049" s="14">
        <v>653</v>
      </c>
      <c r="Z1049" s="14">
        <v>808</v>
      </c>
      <c r="AA1049" s="14"/>
      <c r="AB1049" s="14"/>
    </row>
    <row r="1050" spans="1:30">
      <c r="A1050" s="45" t="s">
        <v>419</v>
      </c>
      <c r="B1050" s="45" t="s">
        <v>420</v>
      </c>
      <c r="C1050" s="45" t="s">
        <v>490</v>
      </c>
      <c r="D1050" s="45" t="s">
        <v>496</v>
      </c>
      <c r="E1050" s="45" t="s">
        <v>492</v>
      </c>
      <c r="F1050" s="45" t="s">
        <v>493</v>
      </c>
      <c r="G1050" s="14">
        <v>998</v>
      </c>
      <c r="H1050" s="14">
        <v>1129</v>
      </c>
      <c r="I1050" s="14">
        <v>1311</v>
      </c>
      <c r="J1050" s="14">
        <v>1323</v>
      </c>
      <c r="K1050" s="14">
        <v>1420</v>
      </c>
      <c r="L1050" s="14">
        <v>1836</v>
      </c>
      <c r="M1050" s="14">
        <v>1925</v>
      </c>
      <c r="N1050" s="14">
        <v>2036</v>
      </c>
      <c r="O1050" s="14">
        <v>2359</v>
      </c>
      <c r="P1050" s="14">
        <v>2753</v>
      </c>
      <c r="Q1050" s="14">
        <v>2925</v>
      </c>
      <c r="R1050" s="14">
        <v>3052</v>
      </c>
      <c r="S1050" s="14">
        <v>3292</v>
      </c>
      <c r="T1050" s="14">
        <v>3746</v>
      </c>
      <c r="U1050" s="14">
        <v>3940</v>
      </c>
      <c r="V1050" s="14">
        <v>4218</v>
      </c>
      <c r="W1050" s="14">
        <v>4846</v>
      </c>
      <c r="X1050" s="14">
        <v>5595</v>
      </c>
      <c r="Y1050" s="14">
        <v>5977</v>
      </c>
      <c r="Z1050" s="14">
        <v>6585</v>
      </c>
      <c r="AA1050" s="14"/>
      <c r="AB1050" s="14"/>
    </row>
    <row r="1051" spans="1:30">
      <c r="A1051" s="45" t="s">
        <v>419</v>
      </c>
      <c r="B1051" s="45" t="s">
        <v>420</v>
      </c>
      <c r="C1051" s="45" t="s">
        <v>490</v>
      </c>
      <c r="D1051" s="45" t="s">
        <v>497</v>
      </c>
      <c r="E1051" s="45" t="s">
        <v>492</v>
      </c>
      <c r="F1051" s="45" t="s">
        <v>493</v>
      </c>
      <c r="G1051" s="14">
        <v>4309</v>
      </c>
      <c r="H1051" s="14">
        <v>4693</v>
      </c>
      <c r="I1051" s="14">
        <v>5098</v>
      </c>
      <c r="J1051" s="14">
        <v>5588</v>
      </c>
      <c r="K1051" s="14">
        <v>6066</v>
      </c>
      <c r="L1051" s="14">
        <v>7684</v>
      </c>
      <c r="M1051" s="14">
        <v>8895</v>
      </c>
      <c r="N1051" s="14">
        <v>9099</v>
      </c>
      <c r="O1051" s="14">
        <v>10111</v>
      </c>
      <c r="P1051" s="14">
        <v>11735</v>
      </c>
      <c r="Q1051" s="14">
        <v>12509</v>
      </c>
      <c r="R1051" s="14">
        <v>12935</v>
      </c>
      <c r="S1051" s="14">
        <v>14465</v>
      </c>
      <c r="T1051" s="14">
        <v>14924</v>
      </c>
      <c r="U1051" s="14">
        <v>14835</v>
      </c>
      <c r="V1051" s="14">
        <v>16747</v>
      </c>
      <c r="W1051" s="14">
        <v>17837</v>
      </c>
      <c r="X1051" s="14">
        <v>19253</v>
      </c>
      <c r="Y1051" s="14">
        <v>20081</v>
      </c>
      <c r="Z1051" s="14">
        <v>22804</v>
      </c>
      <c r="AA1051" s="14"/>
      <c r="AB1051" s="14"/>
    </row>
    <row r="1052" spans="1:30">
      <c r="A1052" s="45" t="s">
        <v>419</v>
      </c>
      <c r="B1052" s="45" t="s">
        <v>420</v>
      </c>
      <c r="C1052" s="45" t="s">
        <v>498</v>
      </c>
      <c r="D1052" s="45" t="s">
        <v>491</v>
      </c>
      <c r="E1052" s="45" t="s">
        <v>499</v>
      </c>
      <c r="F1052" s="45" t="s">
        <v>500</v>
      </c>
      <c r="G1052" s="14">
        <v>11818.5</v>
      </c>
      <c r="H1052" s="14">
        <v>11486.5</v>
      </c>
      <c r="I1052" s="14">
        <v>11489.3</v>
      </c>
      <c r="J1052" s="14">
        <v>11470.3</v>
      </c>
      <c r="K1052" s="14">
        <v>12225.9</v>
      </c>
      <c r="L1052" s="14">
        <v>13892</v>
      </c>
      <c r="M1052" s="14">
        <v>14653.3</v>
      </c>
      <c r="N1052" s="14">
        <v>14219.7</v>
      </c>
      <c r="O1052" s="14">
        <v>14428</v>
      </c>
      <c r="P1052" s="14">
        <v>15881.9</v>
      </c>
      <c r="Q1052" s="14">
        <v>15036.5</v>
      </c>
      <c r="R1052" s="14">
        <v>15208</v>
      </c>
      <c r="S1052" s="14">
        <v>15070.1</v>
      </c>
      <c r="T1052" s="14">
        <v>15778</v>
      </c>
      <c r="U1052" s="14">
        <v>15119.9</v>
      </c>
      <c r="V1052" s="14">
        <v>15281.4</v>
      </c>
      <c r="W1052" s="14">
        <v>16550.900000000001</v>
      </c>
      <c r="X1052" s="14">
        <v>16962.3</v>
      </c>
      <c r="Y1052" s="14">
        <v>16396.599999999999</v>
      </c>
      <c r="Z1052" s="14">
        <v>16863.900000000001</v>
      </c>
      <c r="AA1052" s="14"/>
      <c r="AB1052" s="14"/>
      <c r="AC1052" s="15">
        <f>IFERROR(Z1052/G1052-1,"")</f>
        <v>0.42690696788932625</v>
      </c>
      <c r="AD1052" s="15">
        <f>IFERROR((Z1052/G1052)^(1/19)-1,"")</f>
        <v>1.888715530279983E-2</v>
      </c>
    </row>
    <row r="1053" spans="1:30">
      <c r="A1053" s="45" t="s">
        <v>419</v>
      </c>
      <c r="B1053" s="45" t="s">
        <v>420</v>
      </c>
      <c r="C1053" s="45" t="s">
        <v>498</v>
      </c>
      <c r="D1053" s="45" t="s">
        <v>495</v>
      </c>
      <c r="E1053" s="45" t="s">
        <v>499</v>
      </c>
      <c r="F1053" s="45" t="s">
        <v>500</v>
      </c>
      <c r="G1053" s="14">
        <v>547.79999999999995</v>
      </c>
      <c r="H1053" s="14">
        <v>305.8</v>
      </c>
      <c r="I1053" s="14">
        <v>348.1</v>
      </c>
      <c r="J1053" s="14">
        <v>345.5</v>
      </c>
      <c r="K1053" s="14">
        <v>321.5</v>
      </c>
      <c r="L1053" s="14">
        <v>424.9</v>
      </c>
      <c r="M1053" s="14">
        <v>395.7</v>
      </c>
      <c r="N1053" s="14">
        <v>426.1</v>
      </c>
      <c r="O1053" s="14">
        <v>381</v>
      </c>
      <c r="P1053" s="14">
        <v>453.3</v>
      </c>
      <c r="Q1053" s="14">
        <v>478.1</v>
      </c>
      <c r="R1053" s="14">
        <v>425.6</v>
      </c>
      <c r="S1053" s="14">
        <v>496.5</v>
      </c>
      <c r="T1053" s="14">
        <v>499.3</v>
      </c>
      <c r="U1053" s="14">
        <v>1170.4000000000001</v>
      </c>
      <c r="V1053" s="14">
        <v>362.9</v>
      </c>
      <c r="W1053" s="14">
        <v>351.9</v>
      </c>
      <c r="X1053" s="14">
        <v>381.5</v>
      </c>
      <c r="Y1053" s="14">
        <v>344.6</v>
      </c>
      <c r="Z1053" s="14">
        <v>377.2</v>
      </c>
      <c r="AA1053" s="14"/>
      <c r="AB1053" s="14"/>
      <c r="AC1053" s="15">
        <f>IFERROR(Z1053/G1053-1,"")</f>
        <v>-0.31142752829499809</v>
      </c>
      <c r="AD1053" s="15">
        <f>IFERROR((Z1053/G1053)^(1/19)-1,"")</f>
        <v>-1.9447086276853764E-2</v>
      </c>
    </row>
    <row r="1054" spans="1:30">
      <c r="A1054" s="45" t="s">
        <v>419</v>
      </c>
      <c r="B1054" s="45" t="s">
        <v>420</v>
      </c>
      <c r="C1054" s="45" t="s">
        <v>498</v>
      </c>
      <c r="D1054" s="45" t="s">
        <v>496</v>
      </c>
      <c r="E1054" s="45" t="s">
        <v>499</v>
      </c>
      <c r="F1054" s="45" t="s">
        <v>500</v>
      </c>
      <c r="G1054" s="14">
        <v>1895.2</v>
      </c>
      <c r="H1054" s="14">
        <v>1879.8</v>
      </c>
      <c r="I1054" s="14">
        <v>2025.5</v>
      </c>
      <c r="J1054" s="14">
        <v>1902.9</v>
      </c>
      <c r="K1054" s="14">
        <v>1913.1</v>
      </c>
      <c r="L1054" s="14">
        <v>2323.1999999999998</v>
      </c>
      <c r="M1054" s="14">
        <v>2239.6</v>
      </c>
      <c r="N1054" s="14">
        <v>2207.5</v>
      </c>
      <c r="O1054" s="14">
        <v>2359</v>
      </c>
      <c r="P1054" s="14">
        <v>2541.6</v>
      </c>
      <c r="Q1054" s="14">
        <v>2501.6999999999998</v>
      </c>
      <c r="R1054" s="14">
        <v>2428.1</v>
      </c>
      <c r="S1054" s="14">
        <v>2428.4</v>
      </c>
      <c r="T1054" s="14">
        <v>2569</v>
      </c>
      <c r="U1054" s="14">
        <v>2499.5</v>
      </c>
      <c r="V1054" s="14">
        <v>2581.1</v>
      </c>
      <c r="W1054" s="14">
        <v>2837.8</v>
      </c>
      <c r="X1054" s="14">
        <v>3143.7</v>
      </c>
      <c r="Y1054" s="14">
        <v>3154.1</v>
      </c>
      <c r="Z1054" s="14">
        <v>3073.9</v>
      </c>
      <c r="AA1054" s="14"/>
      <c r="AB1054" s="14"/>
      <c r="AC1054" s="15">
        <f>IFERROR(Z1054/G1054-1,"")</f>
        <v>0.62193963697762777</v>
      </c>
      <c r="AD1054" s="15">
        <f>IFERROR((Z1054/G1054)^(1/19)-1,"")</f>
        <v>2.5780543260011557E-2</v>
      </c>
    </row>
    <row r="1055" spans="1:30">
      <c r="A1055" s="45" t="s">
        <v>419</v>
      </c>
      <c r="B1055" s="45" t="s">
        <v>420</v>
      </c>
      <c r="C1055" s="45" t="s">
        <v>498</v>
      </c>
      <c r="D1055" s="45" t="s">
        <v>497</v>
      </c>
      <c r="E1055" s="45" t="s">
        <v>499</v>
      </c>
      <c r="F1055" s="45" t="s">
        <v>500</v>
      </c>
      <c r="G1055" s="14">
        <v>8185.5</v>
      </c>
      <c r="H1055" s="14">
        <v>7813.7</v>
      </c>
      <c r="I1055" s="14">
        <v>7877.7</v>
      </c>
      <c r="J1055" s="14">
        <v>8038.1</v>
      </c>
      <c r="K1055" s="14">
        <v>8172.4</v>
      </c>
      <c r="L1055" s="14">
        <v>9726</v>
      </c>
      <c r="M1055" s="14">
        <v>10349.5</v>
      </c>
      <c r="N1055" s="14">
        <v>9865.4</v>
      </c>
      <c r="O1055" s="14">
        <v>10111</v>
      </c>
      <c r="P1055" s="14">
        <v>10833.8</v>
      </c>
      <c r="Q1055" s="14">
        <v>10698.5</v>
      </c>
      <c r="R1055" s="14">
        <v>10290.6</v>
      </c>
      <c r="S1055" s="14">
        <v>10670.5</v>
      </c>
      <c r="T1055" s="14">
        <v>10234.799999999999</v>
      </c>
      <c r="U1055" s="14">
        <v>9411.1</v>
      </c>
      <c r="V1055" s="14">
        <v>10247.799999999999</v>
      </c>
      <c r="W1055" s="14">
        <v>10445.4</v>
      </c>
      <c r="X1055" s="14">
        <v>10817.7</v>
      </c>
      <c r="Y1055" s="14">
        <v>10597</v>
      </c>
      <c r="Z1055" s="14">
        <v>10645.5</v>
      </c>
      <c r="AA1055" s="14"/>
      <c r="AB1055" s="14"/>
      <c r="AC1055" s="15">
        <f>IFERROR(Z1055/G1055-1,"")</f>
        <v>0.30053142752428075</v>
      </c>
      <c r="AD1055" s="15">
        <f>IFERROR((Z1055/G1055)^(1/19)-1,"")</f>
        <v>1.3926235417474508E-2</v>
      </c>
    </row>
    <row r="1056" spans="1:30">
      <c r="A1056" s="45" t="s">
        <v>419</v>
      </c>
      <c r="B1056" s="45" t="s">
        <v>420</v>
      </c>
      <c r="C1056" s="45" t="s">
        <v>498</v>
      </c>
      <c r="D1056" s="45" t="s">
        <v>501</v>
      </c>
      <c r="E1056" s="45" t="s">
        <v>499</v>
      </c>
      <c r="F1056" s="45" t="s">
        <v>500</v>
      </c>
      <c r="G1056" s="14">
        <v>849</v>
      </c>
      <c r="H1056" s="14">
        <v>1186.2</v>
      </c>
      <c r="I1056" s="14">
        <v>938.1</v>
      </c>
      <c r="J1056" s="14">
        <v>871.1</v>
      </c>
      <c r="K1056" s="14">
        <v>1314.5</v>
      </c>
      <c r="L1056" s="14">
        <v>814.9</v>
      </c>
      <c r="M1056" s="14">
        <v>1044.5</v>
      </c>
      <c r="N1056" s="14">
        <v>1167.7</v>
      </c>
      <c r="O1056" s="14">
        <v>836</v>
      </c>
      <c r="P1056" s="14">
        <v>1305.4000000000001</v>
      </c>
      <c r="Q1056" s="14">
        <v>703.9</v>
      </c>
      <c r="R1056" s="14">
        <v>1124.0999999999999</v>
      </c>
      <c r="S1056" s="14">
        <v>797.4</v>
      </c>
      <c r="T1056" s="14">
        <v>1414.1</v>
      </c>
      <c r="U1056" s="14">
        <v>1614.5</v>
      </c>
      <c r="V1056" s="14">
        <v>1493.1</v>
      </c>
      <c r="W1056" s="14">
        <v>2029.1</v>
      </c>
      <c r="X1056" s="14">
        <v>2049.1</v>
      </c>
      <c r="Y1056" s="14">
        <v>1832.7</v>
      </c>
      <c r="Z1056" s="14">
        <v>1637.1</v>
      </c>
      <c r="AA1056" s="14"/>
      <c r="AB1056" s="14"/>
      <c r="AC1056" s="15">
        <f>IFERROR(Z1056/G1056-1,"")</f>
        <v>0.92826855123674901</v>
      </c>
      <c r="AD1056" s="15">
        <f>IFERROR((Z1056/G1056)^(1/19)-1,"")</f>
        <v>3.5163181643158348E-2</v>
      </c>
    </row>
    <row r="1057" spans="1:30">
      <c r="A1057" s="45" t="s">
        <v>315</v>
      </c>
      <c r="B1057" s="45" t="s">
        <v>316</v>
      </c>
      <c r="C1057" s="45" t="s">
        <v>490</v>
      </c>
      <c r="D1057" s="45" t="s">
        <v>491</v>
      </c>
      <c r="E1057" s="45" t="s">
        <v>492</v>
      </c>
      <c r="F1057" s="45" t="s">
        <v>493</v>
      </c>
      <c r="G1057" s="14">
        <v>21901</v>
      </c>
      <c r="H1057" s="14">
        <v>22024</v>
      </c>
      <c r="I1057" s="14">
        <v>22637</v>
      </c>
      <c r="J1057" s="14">
        <v>24293</v>
      </c>
      <c r="K1057" s="14">
        <v>24381</v>
      </c>
      <c r="L1057" s="14">
        <v>30591</v>
      </c>
      <c r="M1057" s="14">
        <v>31576</v>
      </c>
      <c r="N1057" s="14">
        <v>34510</v>
      </c>
      <c r="O1057" s="14">
        <v>37459</v>
      </c>
      <c r="P1057" s="14">
        <v>40881</v>
      </c>
      <c r="Q1057" s="14">
        <v>37860</v>
      </c>
      <c r="R1057" s="14">
        <v>42118</v>
      </c>
      <c r="S1057" s="14">
        <v>45221</v>
      </c>
      <c r="T1057" s="14">
        <v>49782</v>
      </c>
      <c r="U1057" s="14">
        <v>51489</v>
      </c>
      <c r="V1057" s="14">
        <v>54327</v>
      </c>
      <c r="W1057" s="14">
        <v>58018</v>
      </c>
      <c r="X1057" s="14">
        <v>64932</v>
      </c>
      <c r="Y1057" s="14">
        <v>69771</v>
      </c>
      <c r="Z1057" s="14">
        <v>79994</v>
      </c>
      <c r="AA1057" s="14">
        <v>98424</v>
      </c>
      <c r="AB1057" s="14">
        <v>282103</v>
      </c>
    </row>
    <row r="1058" spans="1:30">
      <c r="A1058" s="45" t="s">
        <v>315</v>
      </c>
      <c r="B1058" s="45" t="s">
        <v>316</v>
      </c>
      <c r="C1058" s="45" t="s">
        <v>490</v>
      </c>
      <c r="D1058" s="45" t="s">
        <v>494</v>
      </c>
      <c r="E1058" s="45" t="s">
        <v>492</v>
      </c>
      <c r="F1058" s="45" t="s">
        <v>493</v>
      </c>
      <c r="G1058" s="14">
        <v>19786</v>
      </c>
      <c r="H1058" s="14">
        <v>19768</v>
      </c>
      <c r="I1058" s="14">
        <v>20205</v>
      </c>
      <c r="J1058" s="14">
        <v>21902</v>
      </c>
      <c r="K1058" s="14">
        <v>22030</v>
      </c>
      <c r="L1058" s="14">
        <v>28514</v>
      </c>
      <c r="M1058" s="14">
        <v>29184</v>
      </c>
      <c r="N1058" s="14">
        <v>32119</v>
      </c>
      <c r="O1058" s="14">
        <v>34787</v>
      </c>
      <c r="P1058" s="14">
        <v>38397</v>
      </c>
      <c r="Q1058" s="14">
        <v>36049</v>
      </c>
      <c r="R1058" s="14">
        <v>40321</v>
      </c>
      <c r="S1058" s="14">
        <v>42984</v>
      </c>
      <c r="T1058" s="14">
        <v>47362</v>
      </c>
      <c r="U1058" s="14">
        <v>49927</v>
      </c>
      <c r="V1058" s="14">
        <v>52865</v>
      </c>
      <c r="W1058" s="14">
        <v>55829</v>
      </c>
      <c r="X1058" s="14">
        <v>62133</v>
      </c>
      <c r="Y1058" s="14">
        <v>66831</v>
      </c>
      <c r="Z1058" s="14">
        <v>73878</v>
      </c>
      <c r="AA1058" s="14"/>
      <c r="AB1058" s="14"/>
    </row>
    <row r="1059" spans="1:30">
      <c r="A1059" s="45" t="s">
        <v>315</v>
      </c>
      <c r="B1059" s="45" t="s">
        <v>316</v>
      </c>
      <c r="C1059" s="45" t="s">
        <v>490</v>
      </c>
      <c r="D1059" s="45" t="s">
        <v>495</v>
      </c>
      <c r="E1059" s="45" t="s">
        <v>492</v>
      </c>
      <c r="F1059" s="45" t="s">
        <v>493</v>
      </c>
      <c r="G1059" s="14">
        <v>4596</v>
      </c>
      <c r="H1059" s="14">
        <v>3851</v>
      </c>
      <c r="I1059" s="14">
        <v>3934</v>
      </c>
      <c r="J1059" s="14">
        <v>4471</v>
      </c>
      <c r="K1059" s="14">
        <v>3494</v>
      </c>
      <c r="L1059" s="14">
        <v>4144</v>
      </c>
      <c r="M1059" s="14">
        <v>4347</v>
      </c>
      <c r="N1059" s="14">
        <v>4010</v>
      </c>
      <c r="O1059" s="14">
        <v>5303</v>
      </c>
      <c r="P1059" s="14">
        <v>5727</v>
      </c>
      <c r="Q1059" s="14">
        <v>1560</v>
      </c>
      <c r="R1059" s="14">
        <v>1345</v>
      </c>
      <c r="S1059" s="14">
        <v>1651</v>
      </c>
      <c r="T1059" s="14">
        <v>2161</v>
      </c>
      <c r="U1059" s="14">
        <v>2295</v>
      </c>
      <c r="V1059" s="14">
        <v>1945</v>
      </c>
      <c r="W1059" s="14">
        <v>2011</v>
      </c>
      <c r="X1059" s="14">
        <v>2119</v>
      </c>
      <c r="Y1059" s="14">
        <v>2168</v>
      </c>
      <c r="Z1059" s="14">
        <v>2807</v>
      </c>
      <c r="AA1059" s="14"/>
      <c r="AB1059" s="14"/>
    </row>
    <row r="1060" spans="1:30">
      <c r="A1060" s="45" t="s">
        <v>315</v>
      </c>
      <c r="B1060" s="45" t="s">
        <v>316</v>
      </c>
      <c r="C1060" s="45" t="s">
        <v>490</v>
      </c>
      <c r="D1060" s="45" t="s">
        <v>496</v>
      </c>
      <c r="E1060" s="45" t="s">
        <v>492</v>
      </c>
      <c r="F1060" s="45" t="s">
        <v>493</v>
      </c>
      <c r="G1060" s="14">
        <v>5040</v>
      </c>
      <c r="H1060" s="14">
        <v>4665</v>
      </c>
      <c r="I1060" s="14">
        <v>5076</v>
      </c>
      <c r="J1060" s="14">
        <v>5145</v>
      </c>
      <c r="K1060" s="14">
        <v>5316</v>
      </c>
      <c r="L1060" s="14">
        <v>5941</v>
      </c>
      <c r="M1060" s="14">
        <v>5370</v>
      </c>
      <c r="N1060" s="14">
        <v>6348</v>
      </c>
      <c r="O1060" s="14">
        <v>7183</v>
      </c>
      <c r="P1060" s="14">
        <v>7208</v>
      </c>
      <c r="Q1060" s="14">
        <v>7512</v>
      </c>
      <c r="R1060" s="14">
        <v>8433</v>
      </c>
      <c r="S1060" s="14">
        <v>8478</v>
      </c>
      <c r="T1060" s="14">
        <v>10296</v>
      </c>
      <c r="U1060" s="14">
        <v>11100</v>
      </c>
      <c r="V1060" s="14">
        <v>11804</v>
      </c>
      <c r="W1060" s="14">
        <v>12572</v>
      </c>
      <c r="X1060" s="14">
        <v>15171</v>
      </c>
      <c r="Y1060" s="14">
        <v>16951</v>
      </c>
      <c r="Z1060" s="14">
        <v>17562</v>
      </c>
      <c r="AA1060" s="14"/>
      <c r="AB1060" s="14"/>
    </row>
    <row r="1061" spans="1:30">
      <c r="A1061" s="45" t="s">
        <v>315</v>
      </c>
      <c r="B1061" s="45" t="s">
        <v>316</v>
      </c>
      <c r="C1061" s="45" t="s">
        <v>490</v>
      </c>
      <c r="D1061" s="45" t="s">
        <v>497</v>
      </c>
      <c r="E1061" s="45" t="s">
        <v>492</v>
      </c>
      <c r="F1061" s="45" t="s">
        <v>493</v>
      </c>
      <c r="G1061" s="14">
        <v>9226</v>
      </c>
      <c r="H1061" s="14">
        <v>9521</v>
      </c>
      <c r="I1061" s="14">
        <v>9718</v>
      </c>
      <c r="J1061" s="14">
        <v>10831</v>
      </c>
      <c r="K1061" s="14">
        <v>11566</v>
      </c>
      <c r="L1061" s="14">
        <v>17300</v>
      </c>
      <c r="M1061" s="14">
        <v>17995</v>
      </c>
      <c r="N1061" s="14">
        <v>19952</v>
      </c>
      <c r="O1061" s="14">
        <v>20896</v>
      </c>
      <c r="P1061" s="14">
        <v>23235</v>
      </c>
      <c r="Q1061" s="14">
        <v>25166</v>
      </c>
      <c r="R1061" s="14">
        <v>28772</v>
      </c>
      <c r="S1061" s="14">
        <v>30445</v>
      </c>
      <c r="T1061" s="14">
        <v>32476</v>
      </c>
      <c r="U1061" s="14">
        <v>34118</v>
      </c>
      <c r="V1061" s="14">
        <v>36610</v>
      </c>
      <c r="W1061" s="14">
        <v>38219</v>
      </c>
      <c r="X1061" s="14">
        <v>41437</v>
      </c>
      <c r="Y1061" s="14">
        <v>44012</v>
      </c>
      <c r="Z1061" s="14">
        <v>49395</v>
      </c>
      <c r="AA1061" s="14"/>
      <c r="AB1061" s="14"/>
    </row>
    <row r="1062" spans="1:30">
      <c r="A1062" s="45" t="s">
        <v>315</v>
      </c>
      <c r="B1062" s="45" t="s">
        <v>316</v>
      </c>
      <c r="C1062" s="45" t="s">
        <v>498</v>
      </c>
      <c r="D1062" s="45" t="s">
        <v>491</v>
      </c>
      <c r="E1062" s="45" t="s">
        <v>499</v>
      </c>
      <c r="F1062" s="45" t="s">
        <v>500</v>
      </c>
      <c r="G1062" s="14">
        <v>41606</v>
      </c>
      <c r="H1062" s="14">
        <v>36672.5</v>
      </c>
      <c r="I1062" s="14">
        <v>34981.5</v>
      </c>
      <c r="J1062" s="14">
        <v>34944.400000000001</v>
      </c>
      <c r="K1062" s="14">
        <v>32844.800000000003</v>
      </c>
      <c r="L1062" s="14">
        <v>38718.1</v>
      </c>
      <c r="M1062" s="14">
        <v>36739.599999999999</v>
      </c>
      <c r="N1062" s="14">
        <v>37416.9</v>
      </c>
      <c r="O1062" s="14">
        <v>37459</v>
      </c>
      <c r="P1062" s="14">
        <v>37741.4</v>
      </c>
      <c r="Q1062" s="14">
        <v>32380.400000000001</v>
      </c>
      <c r="R1062" s="14">
        <v>33507.599999999999</v>
      </c>
      <c r="S1062" s="14">
        <v>33358.6</v>
      </c>
      <c r="T1062" s="14">
        <v>34140.1</v>
      </c>
      <c r="U1062" s="14">
        <v>32663.8</v>
      </c>
      <c r="V1062" s="14">
        <v>33243.699999999997</v>
      </c>
      <c r="W1062" s="14">
        <v>33975.599999999999</v>
      </c>
      <c r="X1062" s="14">
        <v>36483.300000000003</v>
      </c>
      <c r="Y1062" s="14">
        <v>36819.1</v>
      </c>
      <c r="Z1062" s="14">
        <v>37341.800000000003</v>
      </c>
      <c r="AA1062" s="14"/>
      <c r="AB1062" s="14"/>
      <c r="AC1062" s="15">
        <f>IFERROR(Z1062/G1062-1,"")</f>
        <v>-0.10249002547709463</v>
      </c>
      <c r="AD1062" s="15">
        <f>IFERROR((Z1062/G1062)^(1/19)-1,"")</f>
        <v>-5.6749439565125792E-3</v>
      </c>
    </row>
    <row r="1063" spans="1:30">
      <c r="A1063" s="45" t="s">
        <v>315</v>
      </c>
      <c r="B1063" s="45" t="s">
        <v>316</v>
      </c>
      <c r="C1063" s="45" t="s">
        <v>498</v>
      </c>
      <c r="D1063" s="45" t="s">
        <v>495</v>
      </c>
      <c r="E1063" s="45" t="s">
        <v>499</v>
      </c>
      <c r="F1063" s="45" t="s">
        <v>500</v>
      </c>
      <c r="G1063" s="14">
        <v>8730.4</v>
      </c>
      <c r="H1063" s="14">
        <v>6412.9</v>
      </c>
      <c r="I1063" s="14">
        <v>6078.9</v>
      </c>
      <c r="J1063" s="14">
        <v>6430.6</v>
      </c>
      <c r="K1063" s="14">
        <v>4706.7</v>
      </c>
      <c r="L1063" s="14">
        <v>5244.9</v>
      </c>
      <c r="M1063" s="14">
        <v>5057.3999999999996</v>
      </c>
      <c r="N1063" s="14">
        <v>4347.8</v>
      </c>
      <c r="O1063" s="14">
        <v>5303</v>
      </c>
      <c r="P1063" s="14">
        <v>5287.2</v>
      </c>
      <c r="Q1063" s="14">
        <v>1334.2</v>
      </c>
      <c r="R1063" s="14">
        <v>1070</v>
      </c>
      <c r="S1063" s="14">
        <v>1217.9000000000001</v>
      </c>
      <c r="T1063" s="14">
        <v>1482</v>
      </c>
      <c r="U1063" s="14">
        <v>1455.9</v>
      </c>
      <c r="V1063" s="14">
        <v>1190.2</v>
      </c>
      <c r="W1063" s="14">
        <v>1177.5999999999999</v>
      </c>
      <c r="X1063" s="14">
        <v>1190.5999999999999</v>
      </c>
      <c r="Y1063" s="14">
        <v>1144.0999999999999</v>
      </c>
      <c r="Z1063" s="14">
        <v>1310.3</v>
      </c>
      <c r="AA1063" s="14"/>
      <c r="AB1063" s="14"/>
      <c r="AC1063" s="15">
        <f>IFERROR(Z1063/G1063-1,"")</f>
        <v>-0.84991523870613028</v>
      </c>
      <c r="AD1063" s="15">
        <f>IFERROR((Z1063/G1063)^(1/19)-1,"")</f>
        <v>-9.4998509074447179E-2</v>
      </c>
    </row>
    <row r="1064" spans="1:30">
      <c r="A1064" s="45" t="s">
        <v>315</v>
      </c>
      <c r="B1064" s="45" t="s">
        <v>316</v>
      </c>
      <c r="C1064" s="45" t="s">
        <v>498</v>
      </c>
      <c r="D1064" s="45" t="s">
        <v>496</v>
      </c>
      <c r="E1064" s="45" t="s">
        <v>499</v>
      </c>
      <c r="F1064" s="45" t="s">
        <v>500</v>
      </c>
      <c r="G1064" s="14">
        <v>9574.7000000000007</v>
      </c>
      <c r="H1064" s="14">
        <v>7767.8</v>
      </c>
      <c r="I1064" s="14">
        <v>7844</v>
      </c>
      <c r="J1064" s="14">
        <v>7400.2</v>
      </c>
      <c r="K1064" s="14">
        <v>7161.8</v>
      </c>
      <c r="L1064" s="14">
        <v>7519.1</v>
      </c>
      <c r="M1064" s="14">
        <v>6247.6</v>
      </c>
      <c r="N1064" s="14">
        <v>6882.7</v>
      </c>
      <c r="O1064" s="14">
        <v>7183</v>
      </c>
      <c r="P1064" s="14">
        <v>6654.4</v>
      </c>
      <c r="Q1064" s="14">
        <v>6424.8</v>
      </c>
      <c r="R1064" s="14">
        <v>6709</v>
      </c>
      <c r="S1064" s="14">
        <v>6254.1</v>
      </c>
      <c r="T1064" s="14">
        <v>7060.9</v>
      </c>
      <c r="U1064" s="14">
        <v>7041.7</v>
      </c>
      <c r="V1064" s="14">
        <v>7223.1</v>
      </c>
      <c r="W1064" s="14">
        <v>7362.2</v>
      </c>
      <c r="X1064" s="14">
        <v>8524.1</v>
      </c>
      <c r="Y1064" s="14">
        <v>8945.2999999999993</v>
      </c>
      <c r="Z1064" s="14">
        <v>8198.1</v>
      </c>
      <c r="AA1064" s="14"/>
      <c r="AB1064" s="14"/>
      <c r="AC1064" s="15">
        <f>IFERROR(Z1064/G1064-1,"")</f>
        <v>-0.14377473967852783</v>
      </c>
      <c r="AD1064" s="15">
        <f>IFERROR((Z1064/G1064)^(1/19)-1,"")</f>
        <v>-8.1362872931998176E-3</v>
      </c>
    </row>
    <row r="1065" spans="1:30">
      <c r="A1065" s="45" t="s">
        <v>315</v>
      </c>
      <c r="B1065" s="45" t="s">
        <v>316</v>
      </c>
      <c r="C1065" s="45" t="s">
        <v>498</v>
      </c>
      <c r="D1065" s="45" t="s">
        <v>497</v>
      </c>
      <c r="E1065" s="45" t="s">
        <v>499</v>
      </c>
      <c r="F1065" s="45" t="s">
        <v>500</v>
      </c>
      <c r="G1065" s="14">
        <v>17527.099999999999</v>
      </c>
      <c r="H1065" s="14">
        <v>15852.9</v>
      </c>
      <c r="I1065" s="14">
        <v>15017</v>
      </c>
      <c r="J1065" s="14">
        <v>15579.4</v>
      </c>
      <c r="K1065" s="14">
        <v>15580.9</v>
      </c>
      <c r="L1065" s="14">
        <v>21896.5</v>
      </c>
      <c r="M1065" s="14">
        <v>20937.7</v>
      </c>
      <c r="N1065" s="14">
        <v>21632.6</v>
      </c>
      <c r="O1065" s="14">
        <v>20896</v>
      </c>
      <c r="P1065" s="14">
        <v>21450.6</v>
      </c>
      <c r="Q1065" s="14">
        <v>21523.7</v>
      </c>
      <c r="R1065" s="14">
        <v>22890</v>
      </c>
      <c r="S1065" s="14">
        <v>22458.7</v>
      </c>
      <c r="T1065" s="14">
        <v>22271.8</v>
      </c>
      <c r="U1065" s="14">
        <v>21643.9</v>
      </c>
      <c r="V1065" s="14">
        <v>22402.3</v>
      </c>
      <c r="W1065" s="14">
        <v>22381.200000000001</v>
      </c>
      <c r="X1065" s="14">
        <v>23282.2</v>
      </c>
      <c r="Y1065" s="14">
        <v>23225.7</v>
      </c>
      <c r="Z1065" s="14">
        <v>23058.400000000001</v>
      </c>
      <c r="AA1065" s="14"/>
      <c r="AB1065" s="14"/>
      <c r="AC1065" s="15">
        <f>IFERROR(Z1065/G1065-1,"")</f>
        <v>0.31558557890352668</v>
      </c>
      <c r="AD1065" s="15">
        <f>IFERROR((Z1065/G1065)^(1/19)-1,"")</f>
        <v>1.4540588728763959E-2</v>
      </c>
    </row>
    <row r="1066" spans="1:30">
      <c r="A1066" s="45" t="s">
        <v>315</v>
      </c>
      <c r="B1066" s="45" t="s">
        <v>316</v>
      </c>
      <c r="C1066" s="45" t="s">
        <v>498</v>
      </c>
      <c r="D1066" s="45" t="s">
        <v>501</v>
      </c>
      <c r="E1066" s="45" t="s">
        <v>499</v>
      </c>
      <c r="F1066" s="45" t="s">
        <v>500</v>
      </c>
      <c r="G1066" s="14">
        <v>1755.3</v>
      </c>
      <c r="H1066" s="14">
        <v>2881.9</v>
      </c>
      <c r="I1066" s="14">
        <v>2284.1</v>
      </c>
      <c r="J1066" s="14">
        <v>2094.1999999999998</v>
      </c>
      <c r="K1066" s="14">
        <v>2228.6999999999998</v>
      </c>
      <c r="L1066" s="14">
        <v>1429.1</v>
      </c>
      <c r="M1066" s="14">
        <v>1713.1</v>
      </c>
      <c r="N1066" s="14">
        <v>1960.3</v>
      </c>
      <c r="O1066" s="14">
        <v>1405</v>
      </c>
      <c r="P1066" s="14">
        <v>2056.9</v>
      </c>
      <c r="Q1066" s="14">
        <v>1548</v>
      </c>
      <c r="R1066" s="14">
        <v>1408.9</v>
      </c>
      <c r="S1066" s="14">
        <v>1777.8</v>
      </c>
      <c r="T1066" s="14">
        <v>1665.8</v>
      </c>
      <c r="U1066" s="14">
        <v>1531.4</v>
      </c>
      <c r="V1066" s="14">
        <v>1533.5</v>
      </c>
      <c r="W1066" s="14">
        <v>1773.2</v>
      </c>
      <c r="X1066" s="14">
        <v>1913.2</v>
      </c>
      <c r="Y1066" s="14">
        <v>1952</v>
      </c>
      <c r="Z1066" s="14">
        <v>1920.9</v>
      </c>
      <c r="AA1066" s="14"/>
      <c r="AB1066" s="14"/>
      <c r="AC1066" s="15">
        <f>IFERROR(Z1066/G1066-1,"")</f>
        <v>9.4342847376516881E-2</v>
      </c>
      <c r="AD1066" s="15">
        <f>IFERROR((Z1066/G1066)^(1/19)-1,"")</f>
        <v>4.7562247699222127E-3</v>
      </c>
    </row>
    <row r="1067" spans="1:30">
      <c r="A1067" s="45" t="s">
        <v>209</v>
      </c>
      <c r="B1067" s="45" t="s">
        <v>210</v>
      </c>
      <c r="C1067" s="45" t="s">
        <v>490</v>
      </c>
      <c r="D1067" s="45" t="s">
        <v>491</v>
      </c>
      <c r="E1067" s="45" t="s">
        <v>492</v>
      </c>
      <c r="F1067" s="45" t="s">
        <v>493</v>
      </c>
      <c r="G1067" s="14">
        <v>24934</v>
      </c>
      <c r="H1067" s="14">
        <v>27086</v>
      </c>
      <c r="I1067" s="14">
        <v>29841</v>
      </c>
      <c r="J1067" s="14">
        <v>36993</v>
      </c>
      <c r="K1067" s="14">
        <v>44542</v>
      </c>
      <c r="L1067" s="14">
        <v>47827</v>
      </c>
      <c r="M1067" s="14">
        <v>52013</v>
      </c>
      <c r="N1067" s="14">
        <v>57742</v>
      </c>
      <c r="O1067" s="14">
        <v>68131</v>
      </c>
      <c r="P1067" s="14">
        <v>73814</v>
      </c>
      <c r="Q1067" s="14">
        <v>78229</v>
      </c>
      <c r="R1067" s="14">
        <v>90164</v>
      </c>
      <c r="S1067" s="14">
        <v>101647</v>
      </c>
      <c r="T1067" s="14">
        <v>109705</v>
      </c>
      <c r="U1067" s="14">
        <v>117495</v>
      </c>
      <c r="V1067" s="14">
        <v>123266</v>
      </c>
      <c r="W1067" s="14">
        <v>130815</v>
      </c>
      <c r="X1067" s="14">
        <v>150079</v>
      </c>
      <c r="Y1067" s="14">
        <v>163672</v>
      </c>
      <c r="Z1067" s="14">
        <v>173615</v>
      </c>
      <c r="AA1067" s="14">
        <v>178730</v>
      </c>
      <c r="AB1067" s="14">
        <v>200896</v>
      </c>
    </row>
    <row r="1068" spans="1:30">
      <c r="A1068" s="45" t="s">
        <v>209</v>
      </c>
      <c r="B1068" s="45" t="s">
        <v>210</v>
      </c>
      <c r="C1068" s="45" t="s">
        <v>490</v>
      </c>
      <c r="D1068" s="45" t="s">
        <v>494</v>
      </c>
      <c r="E1068" s="45" t="s">
        <v>492</v>
      </c>
      <c r="F1068" s="45" t="s">
        <v>493</v>
      </c>
      <c r="G1068" s="14">
        <v>24183</v>
      </c>
      <c r="H1068" s="14">
        <v>26366</v>
      </c>
      <c r="I1068" s="14">
        <v>28979</v>
      </c>
      <c r="J1068" s="14">
        <v>35861</v>
      </c>
      <c r="K1068" s="14">
        <v>42282</v>
      </c>
      <c r="L1068" s="14">
        <v>45178</v>
      </c>
      <c r="M1068" s="14">
        <v>49357</v>
      </c>
      <c r="N1068" s="14">
        <v>54957</v>
      </c>
      <c r="O1068" s="14">
        <v>63739</v>
      </c>
      <c r="P1068" s="14">
        <v>69289</v>
      </c>
      <c r="Q1068" s="14">
        <v>72488</v>
      </c>
      <c r="R1068" s="14">
        <v>84472</v>
      </c>
      <c r="S1068" s="14">
        <v>95532</v>
      </c>
      <c r="T1068" s="14">
        <v>102923</v>
      </c>
      <c r="U1068" s="14">
        <v>113377</v>
      </c>
      <c r="V1068" s="14">
        <v>119440</v>
      </c>
      <c r="W1068" s="14">
        <v>124910</v>
      </c>
      <c r="X1068" s="14">
        <v>143990</v>
      </c>
      <c r="Y1068" s="14">
        <v>156771</v>
      </c>
      <c r="Z1068" s="14">
        <v>164936</v>
      </c>
      <c r="AA1068" s="14"/>
      <c r="AB1068" s="14"/>
    </row>
    <row r="1069" spans="1:30">
      <c r="A1069" s="45" t="s">
        <v>209</v>
      </c>
      <c r="B1069" s="45" t="s">
        <v>210</v>
      </c>
      <c r="C1069" s="45" t="s">
        <v>490</v>
      </c>
      <c r="D1069" s="45" t="s">
        <v>495</v>
      </c>
      <c r="E1069" s="45" t="s">
        <v>492</v>
      </c>
      <c r="F1069" s="45" t="s">
        <v>493</v>
      </c>
      <c r="G1069" s="14">
        <v>1487</v>
      </c>
      <c r="H1069" s="14">
        <v>1171</v>
      </c>
      <c r="I1069" s="14">
        <v>1545</v>
      </c>
      <c r="J1069" s="14">
        <v>1849</v>
      </c>
      <c r="K1069" s="14">
        <v>1870</v>
      </c>
      <c r="L1069" s="14">
        <v>2038</v>
      </c>
      <c r="M1069" s="14">
        <v>2077</v>
      </c>
      <c r="N1069" s="14">
        <v>2326</v>
      </c>
      <c r="O1069" s="14">
        <v>2260</v>
      </c>
      <c r="P1069" s="14">
        <v>2632</v>
      </c>
      <c r="Q1069" s="14">
        <v>3235</v>
      </c>
      <c r="R1069" s="14">
        <v>3715</v>
      </c>
      <c r="S1069" s="14">
        <v>4660</v>
      </c>
      <c r="T1069" s="14">
        <v>6187</v>
      </c>
      <c r="U1069" s="14">
        <v>7754</v>
      </c>
      <c r="V1069" s="14">
        <v>7023</v>
      </c>
      <c r="W1069" s="14">
        <v>5873</v>
      </c>
      <c r="X1069" s="14">
        <v>5898</v>
      </c>
      <c r="Y1069" s="14">
        <v>6041</v>
      </c>
      <c r="Z1069" s="14">
        <v>6916</v>
      </c>
      <c r="AA1069" s="14"/>
      <c r="AB1069" s="14"/>
    </row>
    <row r="1070" spans="1:30">
      <c r="A1070" s="45" t="s">
        <v>209</v>
      </c>
      <c r="B1070" s="45" t="s">
        <v>210</v>
      </c>
      <c r="C1070" s="45" t="s">
        <v>490</v>
      </c>
      <c r="D1070" s="45" t="s">
        <v>496</v>
      </c>
      <c r="E1070" s="45" t="s">
        <v>492</v>
      </c>
      <c r="F1070" s="45" t="s">
        <v>493</v>
      </c>
      <c r="G1070" s="14">
        <v>4743</v>
      </c>
      <c r="H1070" s="14">
        <v>5121</v>
      </c>
      <c r="I1070" s="14">
        <v>5800</v>
      </c>
      <c r="J1070" s="14">
        <v>6842</v>
      </c>
      <c r="K1070" s="14">
        <v>8133</v>
      </c>
      <c r="L1070" s="14">
        <v>8605</v>
      </c>
      <c r="M1070" s="14">
        <v>8483</v>
      </c>
      <c r="N1070" s="14">
        <v>10079</v>
      </c>
      <c r="O1070" s="14">
        <v>12364</v>
      </c>
      <c r="P1070" s="14">
        <v>13156</v>
      </c>
      <c r="Q1070" s="14">
        <v>14444</v>
      </c>
      <c r="R1070" s="14">
        <v>16628</v>
      </c>
      <c r="S1070" s="14">
        <v>19056</v>
      </c>
      <c r="T1070" s="14">
        <v>21638</v>
      </c>
      <c r="U1070" s="14">
        <v>24156</v>
      </c>
      <c r="V1070" s="14">
        <v>25076</v>
      </c>
      <c r="W1070" s="14">
        <v>32017</v>
      </c>
      <c r="X1070" s="14">
        <v>37220</v>
      </c>
      <c r="Y1070" s="14">
        <v>41026</v>
      </c>
      <c r="Z1070" s="14">
        <v>41799</v>
      </c>
      <c r="AA1070" s="14"/>
      <c r="AB1070" s="14"/>
    </row>
    <row r="1071" spans="1:30">
      <c r="A1071" s="45" t="s">
        <v>209</v>
      </c>
      <c r="B1071" s="45" t="s">
        <v>210</v>
      </c>
      <c r="C1071" s="45" t="s">
        <v>490</v>
      </c>
      <c r="D1071" s="45" t="s">
        <v>497</v>
      </c>
      <c r="E1071" s="45" t="s">
        <v>492</v>
      </c>
      <c r="F1071" s="45" t="s">
        <v>493</v>
      </c>
      <c r="G1071" s="14">
        <v>16244</v>
      </c>
      <c r="H1071" s="14">
        <v>17075</v>
      </c>
      <c r="I1071" s="14">
        <v>18567</v>
      </c>
      <c r="J1071" s="14">
        <v>22661</v>
      </c>
      <c r="K1071" s="14">
        <v>26010</v>
      </c>
      <c r="L1071" s="14">
        <v>30108</v>
      </c>
      <c r="M1071" s="14">
        <v>33479</v>
      </c>
      <c r="N1071" s="14">
        <v>35823</v>
      </c>
      <c r="O1071" s="14">
        <v>41869</v>
      </c>
      <c r="P1071" s="14">
        <v>45282</v>
      </c>
      <c r="Q1071" s="14">
        <v>47319</v>
      </c>
      <c r="R1071" s="14">
        <v>56152</v>
      </c>
      <c r="S1071" s="14">
        <v>63948</v>
      </c>
      <c r="T1071" s="14">
        <v>67346</v>
      </c>
      <c r="U1071" s="14">
        <v>72616</v>
      </c>
      <c r="V1071" s="14">
        <v>77500</v>
      </c>
      <c r="W1071" s="14">
        <v>77088</v>
      </c>
      <c r="X1071" s="14">
        <v>89292</v>
      </c>
      <c r="Y1071" s="14">
        <v>93302</v>
      </c>
      <c r="Z1071" s="14">
        <v>99185</v>
      </c>
      <c r="AA1071" s="14"/>
      <c r="AB1071" s="14"/>
    </row>
    <row r="1072" spans="1:30">
      <c r="A1072" s="45" t="s">
        <v>209</v>
      </c>
      <c r="B1072" s="45" t="s">
        <v>210</v>
      </c>
      <c r="C1072" s="45" t="s">
        <v>498</v>
      </c>
      <c r="D1072" s="45" t="s">
        <v>491</v>
      </c>
      <c r="E1072" s="45" t="s">
        <v>499</v>
      </c>
      <c r="F1072" s="45" t="s">
        <v>500</v>
      </c>
      <c r="G1072" s="14">
        <v>47367.8</v>
      </c>
      <c r="H1072" s="14">
        <v>45100.800000000003</v>
      </c>
      <c r="I1072" s="14">
        <v>46114.6</v>
      </c>
      <c r="J1072" s="14">
        <v>53211.6</v>
      </c>
      <c r="K1072" s="14">
        <v>60005.1</v>
      </c>
      <c r="L1072" s="14">
        <v>60533</v>
      </c>
      <c r="M1072" s="14">
        <v>60518.400000000001</v>
      </c>
      <c r="N1072" s="14">
        <v>62605.8</v>
      </c>
      <c r="O1072" s="14">
        <v>68131</v>
      </c>
      <c r="P1072" s="14">
        <v>68145.3</v>
      </c>
      <c r="Q1072" s="14">
        <v>66906.7</v>
      </c>
      <c r="R1072" s="14">
        <v>71731.199999999997</v>
      </c>
      <c r="S1072" s="14">
        <v>74983</v>
      </c>
      <c r="T1072" s="14">
        <v>75234.8</v>
      </c>
      <c r="U1072" s="14">
        <v>74537</v>
      </c>
      <c r="V1072" s="14">
        <v>75428.7</v>
      </c>
      <c r="W1072" s="14">
        <v>76605.8</v>
      </c>
      <c r="X1072" s="14">
        <v>84324.800000000003</v>
      </c>
      <c r="Y1072" s="14">
        <v>86371.8</v>
      </c>
      <c r="Z1072" s="14">
        <v>81044.7</v>
      </c>
      <c r="AA1072" s="14"/>
      <c r="AB1072" s="14"/>
      <c r="AC1072" s="15">
        <f>IFERROR(Z1072/G1072-1,"")</f>
        <v>0.71096609933330224</v>
      </c>
      <c r="AD1072" s="15">
        <f>IFERROR((Z1072/G1072)^(1/19)-1,"")</f>
        <v>2.8669500439603812E-2</v>
      </c>
    </row>
    <row r="1073" spans="1:30">
      <c r="A1073" s="45" t="s">
        <v>209</v>
      </c>
      <c r="B1073" s="45" t="s">
        <v>210</v>
      </c>
      <c r="C1073" s="45" t="s">
        <v>498</v>
      </c>
      <c r="D1073" s="45" t="s">
        <v>495</v>
      </c>
      <c r="E1073" s="45" t="s">
        <v>499</v>
      </c>
      <c r="F1073" s="45" t="s">
        <v>500</v>
      </c>
      <c r="G1073" s="14">
        <v>2825.3</v>
      </c>
      <c r="H1073" s="14">
        <v>1949.8</v>
      </c>
      <c r="I1073" s="14">
        <v>2388</v>
      </c>
      <c r="J1073" s="14">
        <v>2660</v>
      </c>
      <c r="K1073" s="14">
        <v>2519.3000000000002</v>
      </c>
      <c r="L1073" s="14">
        <v>2578.9</v>
      </c>
      <c r="M1073" s="14">
        <v>2416.9</v>
      </c>
      <c r="N1073" s="14">
        <v>2521.9</v>
      </c>
      <c r="O1073" s="14">
        <v>2260</v>
      </c>
      <c r="P1073" s="14">
        <v>2429.9</v>
      </c>
      <c r="Q1073" s="14">
        <v>2766.8</v>
      </c>
      <c r="R1073" s="14">
        <v>2955.5</v>
      </c>
      <c r="S1073" s="14">
        <v>3437.6</v>
      </c>
      <c r="T1073" s="14">
        <v>4243</v>
      </c>
      <c r="U1073" s="14">
        <v>4919</v>
      </c>
      <c r="V1073" s="14">
        <v>4297.5</v>
      </c>
      <c r="W1073" s="14">
        <v>3439.3</v>
      </c>
      <c r="X1073" s="14">
        <v>3313.9</v>
      </c>
      <c r="Y1073" s="14">
        <v>3187.9</v>
      </c>
      <c r="Z1073" s="14">
        <v>3228.4</v>
      </c>
      <c r="AA1073" s="14"/>
      <c r="AB1073" s="14"/>
      <c r="AC1073" s="15">
        <f>IFERROR(Z1073/G1073-1,"")</f>
        <v>0.14267511414717027</v>
      </c>
      <c r="AD1073" s="15">
        <f>IFERROR((Z1073/G1073)^(1/19)-1,"")</f>
        <v>7.0442794962497501E-3</v>
      </c>
    </row>
    <row r="1074" spans="1:30">
      <c r="A1074" s="45" t="s">
        <v>209</v>
      </c>
      <c r="B1074" s="45" t="s">
        <v>210</v>
      </c>
      <c r="C1074" s="45" t="s">
        <v>498</v>
      </c>
      <c r="D1074" s="45" t="s">
        <v>496</v>
      </c>
      <c r="E1074" s="45" t="s">
        <v>499</v>
      </c>
      <c r="F1074" s="45" t="s">
        <v>500</v>
      </c>
      <c r="G1074" s="14">
        <v>9011.2999999999993</v>
      </c>
      <c r="H1074" s="14">
        <v>8527</v>
      </c>
      <c r="I1074" s="14">
        <v>8963.6</v>
      </c>
      <c r="J1074" s="14">
        <v>9841.1</v>
      </c>
      <c r="K1074" s="14">
        <v>10956.6</v>
      </c>
      <c r="L1074" s="14">
        <v>10891.2</v>
      </c>
      <c r="M1074" s="14">
        <v>9870.7999999999993</v>
      </c>
      <c r="N1074" s="14">
        <v>10928</v>
      </c>
      <c r="O1074" s="14">
        <v>12364</v>
      </c>
      <c r="P1074" s="14">
        <v>12145.7</v>
      </c>
      <c r="Q1074" s="14">
        <v>12353.5</v>
      </c>
      <c r="R1074" s="14">
        <v>13228.6</v>
      </c>
      <c r="S1074" s="14">
        <v>14057.2</v>
      </c>
      <c r="T1074" s="14">
        <v>14839.2</v>
      </c>
      <c r="U1074" s="14">
        <v>15324.2</v>
      </c>
      <c r="V1074" s="14">
        <v>15344.5</v>
      </c>
      <c r="W1074" s="14">
        <v>18749.3</v>
      </c>
      <c r="X1074" s="14">
        <v>20912.8</v>
      </c>
      <c r="Y1074" s="14">
        <v>21649.9</v>
      </c>
      <c r="Z1074" s="14">
        <v>19512.5</v>
      </c>
      <c r="AA1074" s="14"/>
      <c r="AB1074" s="14"/>
      <c r="AC1074" s="15">
        <f>IFERROR(Z1074/G1074-1,"")</f>
        <v>1.1653368548378151</v>
      </c>
      <c r="AD1074" s="15">
        <f>IFERROR((Z1074/G1074)^(1/19)-1,"")</f>
        <v>4.1499906146690302E-2</v>
      </c>
    </row>
    <row r="1075" spans="1:30">
      <c r="A1075" s="45" t="s">
        <v>209</v>
      </c>
      <c r="B1075" s="45" t="s">
        <v>210</v>
      </c>
      <c r="C1075" s="45" t="s">
        <v>498</v>
      </c>
      <c r="D1075" s="45" t="s">
        <v>497</v>
      </c>
      <c r="E1075" s="45" t="s">
        <v>499</v>
      </c>
      <c r="F1075" s="45" t="s">
        <v>500</v>
      </c>
      <c r="G1075" s="14">
        <v>30858.7</v>
      </c>
      <c r="H1075" s="14">
        <v>28432</v>
      </c>
      <c r="I1075" s="14">
        <v>28692.400000000001</v>
      </c>
      <c r="J1075" s="14">
        <v>32595.9</v>
      </c>
      <c r="K1075" s="14">
        <v>35040.1</v>
      </c>
      <c r="L1075" s="14">
        <v>38106.9</v>
      </c>
      <c r="M1075" s="14">
        <v>38954.1</v>
      </c>
      <c r="N1075" s="14">
        <v>38840.5</v>
      </c>
      <c r="O1075" s="14">
        <v>41869</v>
      </c>
      <c r="P1075" s="14">
        <v>41804.5</v>
      </c>
      <c r="Q1075" s="14">
        <v>40470.400000000001</v>
      </c>
      <c r="R1075" s="14">
        <v>44672.5</v>
      </c>
      <c r="S1075" s="14">
        <v>47173.2</v>
      </c>
      <c r="T1075" s="14">
        <v>46185.4</v>
      </c>
      <c r="U1075" s="14">
        <v>46066.400000000001</v>
      </c>
      <c r="V1075" s="14">
        <v>47423.7</v>
      </c>
      <c r="W1075" s="14">
        <v>45143</v>
      </c>
      <c r="X1075" s="14">
        <v>50170.400000000001</v>
      </c>
      <c r="Y1075" s="14">
        <v>49236.7</v>
      </c>
      <c r="Z1075" s="14">
        <v>46301.2</v>
      </c>
      <c r="AA1075" s="14"/>
      <c r="AB1075" s="14"/>
      <c r="AC1075" s="15">
        <f>IFERROR(Z1075/G1075-1,"")</f>
        <v>0.50042613590332707</v>
      </c>
      <c r="AD1075" s="15">
        <f>IFERROR((Z1075/G1075)^(1/19)-1,"")</f>
        <v>2.1584873408576843E-2</v>
      </c>
    </row>
    <row r="1076" spans="1:30">
      <c r="A1076" s="45" t="s">
        <v>209</v>
      </c>
      <c r="B1076" s="45" t="s">
        <v>210</v>
      </c>
      <c r="C1076" s="45" t="s">
        <v>498</v>
      </c>
      <c r="D1076" s="45" t="s">
        <v>501</v>
      </c>
      <c r="E1076" s="45" t="s">
        <v>499</v>
      </c>
      <c r="F1076" s="45" t="s">
        <v>500</v>
      </c>
      <c r="G1076" s="14">
        <v>3246.7</v>
      </c>
      <c r="H1076" s="14">
        <v>4994</v>
      </c>
      <c r="I1076" s="14">
        <v>4738.3</v>
      </c>
      <c r="J1076" s="14">
        <v>6486.8</v>
      </c>
      <c r="K1076" s="14">
        <v>8444.7999999999993</v>
      </c>
      <c r="L1076" s="14">
        <v>5603.7</v>
      </c>
      <c r="M1076" s="14">
        <v>6186.5</v>
      </c>
      <c r="N1076" s="14">
        <v>7294.7</v>
      </c>
      <c r="O1076" s="14">
        <v>7246</v>
      </c>
      <c r="P1076" s="14">
        <v>7586.9</v>
      </c>
      <c r="Q1076" s="14">
        <v>6406.8</v>
      </c>
      <c r="R1076" s="14">
        <v>6346.2</v>
      </c>
      <c r="S1076" s="14">
        <v>5803.3</v>
      </c>
      <c r="T1076" s="14">
        <v>5316.3</v>
      </c>
      <c r="U1076" s="14">
        <v>5614.9</v>
      </c>
      <c r="V1076" s="14">
        <v>6021.3</v>
      </c>
      <c r="W1076" s="14">
        <v>5816.2</v>
      </c>
      <c r="X1076" s="14">
        <v>6506.4</v>
      </c>
      <c r="Y1076" s="14">
        <v>8655.5</v>
      </c>
      <c r="Z1076" s="14">
        <v>7952.5</v>
      </c>
      <c r="AA1076" s="14"/>
      <c r="AB1076" s="14"/>
      <c r="AC1076" s="15">
        <f>IFERROR(Z1076/G1076-1,"")</f>
        <v>1.4494101703267934</v>
      </c>
      <c r="AD1076" s="15">
        <f>IFERROR((Z1076/G1076)^(1/19)-1,"")</f>
        <v>4.8279087380340702E-2</v>
      </c>
    </row>
    <row r="1077" spans="1:30">
      <c r="A1077" s="45" t="s">
        <v>133</v>
      </c>
      <c r="B1077" s="45" t="s">
        <v>134</v>
      </c>
      <c r="C1077" s="45" t="s">
        <v>490</v>
      </c>
      <c r="D1077" s="45" t="s">
        <v>491</v>
      </c>
      <c r="E1077" s="45" t="s">
        <v>492</v>
      </c>
      <c r="F1077" s="45" t="s">
        <v>493</v>
      </c>
      <c r="G1077" s="14">
        <v>84066</v>
      </c>
      <c r="H1077" s="14">
        <v>89443</v>
      </c>
      <c r="I1077" s="14">
        <v>101141</v>
      </c>
      <c r="J1077" s="14">
        <v>119478</v>
      </c>
      <c r="K1077" s="14">
        <v>145397</v>
      </c>
      <c r="L1077" s="14">
        <v>158974</v>
      </c>
      <c r="M1077" s="14">
        <v>177752</v>
      </c>
      <c r="N1077" s="14">
        <v>142129</v>
      </c>
      <c r="O1077" s="14">
        <v>198010</v>
      </c>
      <c r="P1077" s="14">
        <v>265985</v>
      </c>
      <c r="Q1077" s="14">
        <v>328110</v>
      </c>
      <c r="R1077" s="14">
        <v>369347</v>
      </c>
      <c r="S1077" s="14">
        <v>324726</v>
      </c>
      <c r="T1077" s="14">
        <v>279824</v>
      </c>
      <c r="U1077" s="14">
        <v>224128</v>
      </c>
      <c r="V1077" s="14">
        <v>284538</v>
      </c>
      <c r="W1077" s="14">
        <v>465026</v>
      </c>
      <c r="X1077" s="14">
        <v>505195</v>
      </c>
      <c r="Y1077" s="14">
        <v>476145</v>
      </c>
      <c r="Z1077" s="14">
        <v>757491</v>
      </c>
      <c r="AA1077" s="14">
        <v>695059</v>
      </c>
      <c r="AB1077" s="14">
        <v>668530</v>
      </c>
    </row>
    <row r="1078" spans="1:30">
      <c r="A1078" s="45" t="s">
        <v>133</v>
      </c>
      <c r="B1078" s="45" t="s">
        <v>134</v>
      </c>
      <c r="C1078" s="45" t="s">
        <v>490</v>
      </c>
      <c r="D1078" s="45" t="s">
        <v>494</v>
      </c>
      <c r="E1078" s="45" t="s">
        <v>492</v>
      </c>
      <c r="F1078" s="45" t="s">
        <v>493</v>
      </c>
      <c r="G1078" s="14">
        <v>81778</v>
      </c>
      <c r="H1078" s="14">
        <v>85947</v>
      </c>
      <c r="I1078" s="14">
        <v>96494</v>
      </c>
      <c r="J1078" s="14">
        <v>114817</v>
      </c>
      <c r="K1078" s="14">
        <v>139485</v>
      </c>
      <c r="L1078" s="14">
        <v>150621</v>
      </c>
      <c r="M1078" s="14">
        <v>170705</v>
      </c>
      <c r="N1078" s="14">
        <v>133885</v>
      </c>
      <c r="O1078" s="14">
        <v>187805</v>
      </c>
      <c r="P1078" s="14">
        <v>254462</v>
      </c>
      <c r="Q1078" s="14">
        <v>309910</v>
      </c>
      <c r="R1078" s="14">
        <v>347534</v>
      </c>
      <c r="S1078" s="14">
        <v>303166</v>
      </c>
      <c r="T1078" s="14">
        <v>257342</v>
      </c>
      <c r="U1078" s="14">
        <v>204890</v>
      </c>
      <c r="V1078" s="14">
        <v>258006</v>
      </c>
      <c r="W1078" s="14">
        <v>437064</v>
      </c>
      <c r="X1078" s="14">
        <v>475812</v>
      </c>
      <c r="Y1078" s="14">
        <v>448686</v>
      </c>
      <c r="Z1078" s="14">
        <v>703548</v>
      </c>
      <c r="AA1078" s="14"/>
      <c r="AB1078" s="14"/>
    </row>
    <row r="1079" spans="1:30">
      <c r="A1079" s="45" t="s">
        <v>133</v>
      </c>
      <c r="B1079" s="45" t="s">
        <v>134</v>
      </c>
      <c r="C1079" s="45" t="s">
        <v>490</v>
      </c>
      <c r="D1079" s="45" t="s">
        <v>495</v>
      </c>
      <c r="E1079" s="45" t="s">
        <v>492</v>
      </c>
      <c r="F1079" s="45" t="s">
        <v>493</v>
      </c>
      <c r="G1079" s="14">
        <v>48942</v>
      </c>
      <c r="H1079" s="14">
        <v>45760</v>
      </c>
      <c r="I1079" s="14">
        <v>49870</v>
      </c>
      <c r="J1079" s="14">
        <v>63960</v>
      </c>
      <c r="K1079" s="14">
        <v>80933</v>
      </c>
      <c r="L1079" s="14">
        <v>85434</v>
      </c>
      <c r="M1079" s="14">
        <v>100662</v>
      </c>
      <c r="N1079" s="14">
        <v>56470</v>
      </c>
      <c r="O1079" s="14">
        <v>92842</v>
      </c>
      <c r="P1079" s="14">
        <v>139721</v>
      </c>
      <c r="Q1079" s="14">
        <v>179197</v>
      </c>
      <c r="R1079" s="14">
        <v>189863</v>
      </c>
      <c r="S1079" s="14">
        <v>150875</v>
      </c>
      <c r="T1079" s="14">
        <v>106282</v>
      </c>
      <c r="U1079" s="14">
        <v>49542</v>
      </c>
      <c r="V1079" s="14">
        <v>85475</v>
      </c>
      <c r="W1079" s="14">
        <v>132771</v>
      </c>
      <c r="X1079" s="14">
        <v>149215</v>
      </c>
      <c r="Y1079" s="14">
        <v>130583</v>
      </c>
      <c r="Z1079" s="14">
        <v>223525</v>
      </c>
      <c r="AA1079" s="14"/>
      <c r="AB1079" s="14"/>
    </row>
    <row r="1080" spans="1:30">
      <c r="A1080" s="45" t="s">
        <v>133</v>
      </c>
      <c r="B1080" s="45" t="s">
        <v>134</v>
      </c>
      <c r="C1080" s="45" t="s">
        <v>490</v>
      </c>
      <c r="D1080" s="45" t="s">
        <v>496</v>
      </c>
      <c r="E1080" s="45" t="s">
        <v>492</v>
      </c>
      <c r="F1080" s="45" t="s">
        <v>493</v>
      </c>
      <c r="G1080" s="14">
        <v>13819</v>
      </c>
      <c r="H1080" s="14">
        <v>14694</v>
      </c>
      <c r="I1080" s="14">
        <v>19394</v>
      </c>
      <c r="J1080" s="14">
        <v>20209</v>
      </c>
      <c r="K1080" s="14">
        <v>24747</v>
      </c>
      <c r="L1080" s="14">
        <v>25268</v>
      </c>
      <c r="M1080" s="14">
        <v>25220</v>
      </c>
      <c r="N1080" s="14">
        <v>23544</v>
      </c>
      <c r="O1080" s="14">
        <v>34284</v>
      </c>
      <c r="P1080" s="14">
        <v>48220</v>
      </c>
      <c r="Q1080" s="14">
        <v>56342</v>
      </c>
      <c r="R1080" s="14">
        <v>68074</v>
      </c>
      <c r="S1080" s="14">
        <v>57344</v>
      </c>
      <c r="T1080" s="14">
        <v>51180</v>
      </c>
      <c r="U1080" s="14">
        <v>45390</v>
      </c>
      <c r="V1080" s="14">
        <v>56048</v>
      </c>
      <c r="W1080" s="14">
        <v>71155</v>
      </c>
      <c r="X1080" s="14">
        <v>83973</v>
      </c>
      <c r="Y1080" s="14">
        <v>80468</v>
      </c>
      <c r="Z1080" s="14">
        <v>104514</v>
      </c>
      <c r="AA1080" s="14"/>
      <c r="AB1080" s="14"/>
    </row>
    <row r="1081" spans="1:30">
      <c r="A1081" s="45" t="s">
        <v>133</v>
      </c>
      <c r="B1081" s="45" t="s">
        <v>134</v>
      </c>
      <c r="C1081" s="45" t="s">
        <v>490</v>
      </c>
      <c r="D1081" s="45" t="s">
        <v>497</v>
      </c>
      <c r="E1081" s="45" t="s">
        <v>492</v>
      </c>
      <c r="F1081" s="45" t="s">
        <v>493</v>
      </c>
      <c r="G1081" s="14">
        <v>13425</v>
      </c>
      <c r="H1081" s="14">
        <v>15156</v>
      </c>
      <c r="I1081" s="14">
        <v>17409</v>
      </c>
      <c r="J1081" s="14">
        <v>20813</v>
      </c>
      <c r="K1081" s="14">
        <v>23231</v>
      </c>
      <c r="L1081" s="14">
        <v>29436</v>
      </c>
      <c r="M1081" s="14">
        <v>33586</v>
      </c>
      <c r="N1081" s="14">
        <v>38444</v>
      </c>
      <c r="O1081" s="14">
        <v>45053</v>
      </c>
      <c r="P1081" s="14">
        <v>50975</v>
      </c>
      <c r="Q1081" s="14">
        <v>56139</v>
      </c>
      <c r="R1081" s="14">
        <v>66418</v>
      </c>
      <c r="S1081" s="14">
        <v>68124</v>
      </c>
      <c r="T1081" s="14">
        <v>72299</v>
      </c>
      <c r="U1081" s="14">
        <v>74416</v>
      </c>
      <c r="V1081" s="14">
        <v>81445</v>
      </c>
      <c r="W1081" s="14">
        <v>83580</v>
      </c>
      <c r="X1081" s="14">
        <v>91543</v>
      </c>
      <c r="Y1081" s="14">
        <v>94158</v>
      </c>
      <c r="Z1081" s="14">
        <v>98121</v>
      </c>
      <c r="AA1081" s="14"/>
      <c r="AB1081" s="14"/>
    </row>
    <row r="1082" spans="1:30">
      <c r="A1082" s="45" t="s">
        <v>133</v>
      </c>
      <c r="B1082" s="45" t="s">
        <v>134</v>
      </c>
      <c r="C1082" s="45" t="s">
        <v>498</v>
      </c>
      <c r="D1082" s="45" t="s">
        <v>491</v>
      </c>
      <c r="E1082" s="45" t="s">
        <v>499</v>
      </c>
      <c r="F1082" s="45" t="s">
        <v>500</v>
      </c>
      <c r="G1082" s="14">
        <v>159703.79999999999</v>
      </c>
      <c r="H1082" s="14">
        <v>148932.6</v>
      </c>
      <c r="I1082" s="14">
        <v>156295.79999999999</v>
      </c>
      <c r="J1082" s="14">
        <v>171860.3</v>
      </c>
      <c r="K1082" s="14">
        <v>195873.5</v>
      </c>
      <c r="L1082" s="14">
        <v>201208.4</v>
      </c>
      <c r="M1082" s="14">
        <v>206819.5</v>
      </c>
      <c r="N1082" s="14">
        <v>154101</v>
      </c>
      <c r="O1082" s="14">
        <v>198010</v>
      </c>
      <c r="P1082" s="14">
        <v>245558</v>
      </c>
      <c r="Q1082" s="14">
        <v>280621.8</v>
      </c>
      <c r="R1082" s="14">
        <v>293839.2</v>
      </c>
      <c r="S1082" s="14">
        <v>239544</v>
      </c>
      <c r="T1082" s="14">
        <v>191901.1</v>
      </c>
      <c r="U1082" s="14">
        <v>142183.20000000001</v>
      </c>
      <c r="V1082" s="14">
        <v>174114</v>
      </c>
      <c r="W1082" s="14">
        <v>272321</v>
      </c>
      <c r="X1082" s="14">
        <v>283853.5</v>
      </c>
      <c r="Y1082" s="14">
        <v>251267.9</v>
      </c>
      <c r="Z1082" s="14">
        <v>353602.3</v>
      </c>
      <c r="AA1082" s="14"/>
      <c r="AB1082" s="14"/>
      <c r="AC1082" s="15">
        <f>IFERROR(Z1082/G1082-1,"")</f>
        <v>1.2141132521580578</v>
      </c>
      <c r="AD1082" s="15">
        <f>IFERROR((Z1082/G1082)^(1/19)-1,"")</f>
        <v>4.2721701131988254E-2</v>
      </c>
    </row>
    <row r="1083" spans="1:30">
      <c r="A1083" s="45" t="s">
        <v>133</v>
      </c>
      <c r="B1083" s="45" t="s">
        <v>134</v>
      </c>
      <c r="C1083" s="45" t="s">
        <v>498</v>
      </c>
      <c r="D1083" s="45" t="s">
        <v>495</v>
      </c>
      <c r="E1083" s="45" t="s">
        <v>499</v>
      </c>
      <c r="F1083" s="45" t="s">
        <v>500</v>
      </c>
      <c r="G1083" s="14">
        <v>92977.1</v>
      </c>
      <c r="H1083" s="14">
        <v>76195.399999999994</v>
      </c>
      <c r="I1083" s="14">
        <v>77064.7</v>
      </c>
      <c r="J1083" s="14">
        <v>92001.3</v>
      </c>
      <c r="K1083" s="14">
        <v>109030.2</v>
      </c>
      <c r="L1083" s="14">
        <v>108131.5</v>
      </c>
      <c r="M1083" s="14">
        <v>117122.6</v>
      </c>
      <c r="N1083" s="14">
        <v>61226.7</v>
      </c>
      <c r="O1083" s="14">
        <v>92842</v>
      </c>
      <c r="P1083" s="14">
        <v>128990.8</v>
      </c>
      <c r="Q1083" s="14">
        <v>153261.4</v>
      </c>
      <c r="R1083" s="14">
        <v>151048.20000000001</v>
      </c>
      <c r="S1083" s="14">
        <v>111297.5</v>
      </c>
      <c r="T1083" s="14">
        <v>72887.399999999994</v>
      </c>
      <c r="U1083" s="14">
        <v>31428.7</v>
      </c>
      <c r="V1083" s="14">
        <v>52303.7</v>
      </c>
      <c r="W1083" s="14">
        <v>77751.199999999997</v>
      </c>
      <c r="X1083" s="14">
        <v>83839.3</v>
      </c>
      <c r="Y1083" s="14">
        <v>68910.3</v>
      </c>
      <c r="Z1083" s="14">
        <v>104343.1</v>
      </c>
      <c r="AA1083" s="14"/>
      <c r="AB1083" s="14"/>
      <c r="AC1083" s="15">
        <f>IFERROR(Z1083/G1083-1,"")</f>
        <v>0.12224515498977695</v>
      </c>
      <c r="AD1083" s="15">
        <f>IFERROR((Z1083/G1083)^(1/19)-1,"")</f>
        <v>6.0885276363196184E-3</v>
      </c>
    </row>
    <row r="1084" spans="1:30">
      <c r="A1084" s="45" t="s">
        <v>133</v>
      </c>
      <c r="B1084" s="45" t="s">
        <v>134</v>
      </c>
      <c r="C1084" s="45" t="s">
        <v>498</v>
      </c>
      <c r="D1084" s="45" t="s">
        <v>496</v>
      </c>
      <c r="E1084" s="45" t="s">
        <v>499</v>
      </c>
      <c r="F1084" s="45" t="s">
        <v>500</v>
      </c>
      <c r="G1084" s="14">
        <v>26252.799999999999</v>
      </c>
      <c r="H1084" s="14">
        <v>24467.599999999999</v>
      </c>
      <c r="I1084" s="14">
        <v>29969.7</v>
      </c>
      <c r="J1084" s="14">
        <v>29069.599999999999</v>
      </c>
      <c r="K1084" s="14">
        <v>33338</v>
      </c>
      <c r="L1084" s="14">
        <v>31980.6</v>
      </c>
      <c r="M1084" s="14">
        <v>29344.2</v>
      </c>
      <c r="N1084" s="14">
        <v>25527.200000000001</v>
      </c>
      <c r="O1084" s="14">
        <v>34284</v>
      </c>
      <c r="P1084" s="14">
        <v>44516.800000000003</v>
      </c>
      <c r="Q1084" s="14">
        <v>48187.5</v>
      </c>
      <c r="R1084" s="14">
        <v>54157.2</v>
      </c>
      <c r="S1084" s="14">
        <v>42301.5</v>
      </c>
      <c r="T1084" s="14">
        <v>35098.800000000003</v>
      </c>
      <c r="U1084" s="14">
        <v>28794.7</v>
      </c>
      <c r="V1084" s="14">
        <v>34296.800000000003</v>
      </c>
      <c r="W1084" s="14">
        <v>41668.6</v>
      </c>
      <c r="X1084" s="14">
        <v>47181.8</v>
      </c>
      <c r="Y1084" s="14">
        <v>42464</v>
      </c>
      <c r="Z1084" s="14">
        <v>48788.4</v>
      </c>
      <c r="AA1084" s="14"/>
      <c r="AB1084" s="14"/>
      <c r="AC1084" s="15">
        <f>IFERROR(Z1084/G1084-1,"")</f>
        <v>0.8584074841540712</v>
      </c>
      <c r="AD1084" s="15">
        <f>IFERROR((Z1084/G1084)^(1/19)-1,"")</f>
        <v>3.3154598226299958E-2</v>
      </c>
    </row>
    <row r="1085" spans="1:30">
      <c r="A1085" s="45" t="s">
        <v>133</v>
      </c>
      <c r="B1085" s="45" t="s">
        <v>134</v>
      </c>
      <c r="C1085" s="45" t="s">
        <v>498</v>
      </c>
      <c r="D1085" s="45" t="s">
        <v>497</v>
      </c>
      <c r="E1085" s="45" t="s">
        <v>499</v>
      </c>
      <c r="F1085" s="45" t="s">
        <v>500</v>
      </c>
      <c r="G1085" s="14">
        <v>25503.200000000001</v>
      </c>
      <c r="H1085" s="14">
        <v>25236.9</v>
      </c>
      <c r="I1085" s="14">
        <v>26902.3</v>
      </c>
      <c r="J1085" s="14">
        <v>29938</v>
      </c>
      <c r="K1085" s="14">
        <v>31296.5</v>
      </c>
      <c r="L1085" s="14">
        <v>37256.1</v>
      </c>
      <c r="M1085" s="14">
        <v>39077.9</v>
      </c>
      <c r="N1085" s="14">
        <v>41682.300000000003</v>
      </c>
      <c r="O1085" s="14">
        <v>45053</v>
      </c>
      <c r="P1085" s="14">
        <v>47060.2</v>
      </c>
      <c r="Q1085" s="14">
        <v>48013.9</v>
      </c>
      <c r="R1085" s="14">
        <v>52839.8</v>
      </c>
      <c r="S1085" s="14">
        <v>50253.7</v>
      </c>
      <c r="T1085" s="14">
        <v>49582.1</v>
      </c>
      <c r="U1085" s="14">
        <v>47208.3</v>
      </c>
      <c r="V1085" s="14">
        <v>49837.7</v>
      </c>
      <c r="W1085" s="14">
        <v>48944.800000000003</v>
      </c>
      <c r="X1085" s="14">
        <v>51435.199999999997</v>
      </c>
      <c r="Y1085" s="14">
        <v>49688.4</v>
      </c>
      <c r="Z1085" s="14">
        <v>45805</v>
      </c>
      <c r="AA1085" s="14"/>
      <c r="AB1085" s="14"/>
      <c r="AC1085" s="15">
        <f>IFERROR(Z1085/G1085-1,"")</f>
        <v>0.79604912324727861</v>
      </c>
      <c r="AD1085" s="15">
        <f>IFERROR((Z1085/G1085)^(1/19)-1,"")</f>
        <v>3.1300359137917955E-2</v>
      </c>
    </row>
    <row r="1086" spans="1:30">
      <c r="A1086" s="45" t="s">
        <v>133</v>
      </c>
      <c r="B1086" s="45" t="s">
        <v>134</v>
      </c>
      <c r="C1086" s="45" t="s">
        <v>498</v>
      </c>
      <c r="D1086" s="45" t="s">
        <v>501</v>
      </c>
      <c r="E1086" s="45" t="s">
        <v>499</v>
      </c>
      <c r="F1086" s="45" t="s">
        <v>500</v>
      </c>
      <c r="G1086" s="14">
        <v>10625</v>
      </c>
      <c r="H1086" s="14">
        <v>17212.2</v>
      </c>
      <c r="I1086" s="14">
        <v>15176.7</v>
      </c>
      <c r="J1086" s="14">
        <v>14147.1</v>
      </c>
      <c r="K1086" s="14">
        <v>14245.4</v>
      </c>
      <c r="L1086" s="14">
        <v>13268.9</v>
      </c>
      <c r="M1086" s="14">
        <v>13075.6</v>
      </c>
      <c r="N1086" s="14">
        <v>16726.5</v>
      </c>
      <c r="O1086" s="14">
        <v>15625</v>
      </c>
      <c r="P1086" s="14">
        <v>14352.1</v>
      </c>
      <c r="Q1086" s="14">
        <v>15592.4</v>
      </c>
      <c r="R1086" s="14">
        <v>18440.400000000001</v>
      </c>
      <c r="S1086" s="14">
        <v>19786.099999999999</v>
      </c>
      <c r="T1086" s="14">
        <v>18914.8</v>
      </c>
      <c r="U1086" s="14">
        <v>22547.3</v>
      </c>
      <c r="V1086" s="14">
        <v>21441</v>
      </c>
      <c r="W1086" s="14">
        <v>87581.8</v>
      </c>
      <c r="X1086" s="14">
        <v>84887.7</v>
      </c>
      <c r="Y1086" s="14">
        <v>75714.7</v>
      </c>
      <c r="Z1086" s="14">
        <v>129486.7</v>
      </c>
      <c r="AA1086" s="14"/>
      <c r="AB1086" s="14"/>
      <c r="AC1086" s="15">
        <f>IFERROR(Z1086/G1086-1,"")</f>
        <v>11.186983529411764</v>
      </c>
      <c r="AD1086" s="15">
        <f>IFERROR((Z1086/G1086)^(1/19)-1,"")</f>
        <v>0.14065007363640025</v>
      </c>
    </row>
    <row r="1087" spans="1:30">
      <c r="A1087" s="45" t="s">
        <v>409</v>
      </c>
      <c r="B1087" s="45" t="s">
        <v>410</v>
      </c>
      <c r="C1087" s="45" t="s">
        <v>490</v>
      </c>
      <c r="D1087" s="45" t="s">
        <v>491</v>
      </c>
      <c r="E1087" s="45" t="s">
        <v>492</v>
      </c>
      <c r="F1087" s="45" t="s">
        <v>493</v>
      </c>
      <c r="G1087" s="14">
        <v>6203</v>
      </c>
      <c r="H1087" s="14">
        <v>7454</v>
      </c>
      <c r="I1087" s="14">
        <v>8900</v>
      </c>
      <c r="J1087" s="14">
        <v>9387</v>
      </c>
      <c r="K1087" s="14">
        <v>11731</v>
      </c>
      <c r="L1087" s="14">
        <v>12942</v>
      </c>
      <c r="M1087" s="14">
        <v>15483</v>
      </c>
      <c r="N1087" s="14">
        <v>17732</v>
      </c>
      <c r="O1087" s="14">
        <v>18322</v>
      </c>
      <c r="P1087" s="14">
        <v>32947</v>
      </c>
      <c r="Q1087" s="14">
        <v>23802</v>
      </c>
      <c r="R1087" s="14">
        <v>25246</v>
      </c>
      <c r="S1087" s="14">
        <v>29870</v>
      </c>
      <c r="T1087" s="14">
        <v>32006</v>
      </c>
      <c r="U1087" s="14">
        <v>32865</v>
      </c>
      <c r="V1087" s="14">
        <v>35075</v>
      </c>
      <c r="W1087" s="14">
        <v>35012</v>
      </c>
      <c r="X1087" s="14">
        <v>35940</v>
      </c>
      <c r="Y1087" s="14">
        <v>41533</v>
      </c>
      <c r="Z1087" s="14">
        <v>41829</v>
      </c>
      <c r="AA1087" s="14">
        <v>43979</v>
      </c>
      <c r="AB1087" s="14">
        <v>50550</v>
      </c>
    </row>
    <row r="1088" spans="1:30">
      <c r="A1088" s="45" t="s">
        <v>409</v>
      </c>
      <c r="B1088" s="45" t="s">
        <v>410</v>
      </c>
      <c r="C1088" s="45" t="s">
        <v>490</v>
      </c>
      <c r="D1088" s="45" t="s">
        <v>494</v>
      </c>
      <c r="E1088" s="45" t="s">
        <v>492</v>
      </c>
      <c r="F1088" s="45" t="s">
        <v>493</v>
      </c>
      <c r="G1088" s="14">
        <v>5995</v>
      </c>
      <c r="H1088" s="14">
        <v>7252</v>
      </c>
      <c r="I1088" s="14">
        <v>8636</v>
      </c>
      <c r="J1088" s="14">
        <v>9102</v>
      </c>
      <c r="K1088" s="14">
        <v>11209</v>
      </c>
      <c r="L1088" s="14">
        <v>12254</v>
      </c>
      <c r="M1088" s="14">
        <v>14563</v>
      </c>
      <c r="N1088" s="14">
        <v>16781</v>
      </c>
      <c r="O1088" s="14">
        <v>17369</v>
      </c>
      <c r="P1088" s="14">
        <v>30218</v>
      </c>
      <c r="Q1088" s="14">
        <v>22565</v>
      </c>
      <c r="R1088" s="14">
        <v>24015</v>
      </c>
      <c r="S1088" s="14">
        <v>27914</v>
      </c>
      <c r="T1088" s="14">
        <v>30256</v>
      </c>
      <c r="U1088" s="14">
        <v>31348</v>
      </c>
      <c r="V1088" s="14">
        <v>33765</v>
      </c>
      <c r="W1088" s="14">
        <v>33653</v>
      </c>
      <c r="X1088" s="14">
        <v>34495</v>
      </c>
      <c r="Y1088" s="14">
        <v>39237</v>
      </c>
      <c r="Z1088" s="14">
        <v>39511</v>
      </c>
      <c r="AA1088" s="14"/>
      <c r="AB1088" s="14"/>
    </row>
    <row r="1089" spans="1:30">
      <c r="A1089" s="45" t="s">
        <v>409</v>
      </c>
      <c r="B1089" s="45" t="s">
        <v>410</v>
      </c>
      <c r="C1089" s="45" t="s">
        <v>490</v>
      </c>
      <c r="D1089" s="45" t="s">
        <v>495</v>
      </c>
      <c r="E1089" s="45" t="s">
        <v>492</v>
      </c>
      <c r="F1089" s="45" t="s">
        <v>493</v>
      </c>
      <c r="G1089" s="14">
        <v>295</v>
      </c>
      <c r="H1089" s="14">
        <v>261</v>
      </c>
      <c r="I1089" s="14">
        <v>325</v>
      </c>
      <c r="J1089" s="14">
        <v>354</v>
      </c>
      <c r="K1089" s="14">
        <v>408</v>
      </c>
      <c r="L1089" s="14">
        <v>463</v>
      </c>
      <c r="M1089" s="14">
        <v>501</v>
      </c>
      <c r="N1089" s="14">
        <v>607</v>
      </c>
      <c r="O1089" s="14">
        <v>646</v>
      </c>
      <c r="P1089" s="14">
        <v>1134</v>
      </c>
      <c r="Q1089" s="14">
        <v>951</v>
      </c>
      <c r="R1089" s="14">
        <v>818</v>
      </c>
      <c r="S1089" s="14">
        <v>901</v>
      </c>
      <c r="T1089" s="14">
        <v>2244</v>
      </c>
      <c r="U1089" s="14">
        <v>920</v>
      </c>
      <c r="V1089" s="14">
        <v>662</v>
      </c>
      <c r="W1089" s="14">
        <v>584</v>
      </c>
      <c r="X1089" s="14">
        <v>716</v>
      </c>
      <c r="Y1089" s="14">
        <v>1073</v>
      </c>
      <c r="Z1089" s="14">
        <v>1290</v>
      </c>
      <c r="AA1089" s="14"/>
      <c r="AB1089" s="14"/>
    </row>
    <row r="1090" spans="1:30">
      <c r="A1090" s="45" t="s">
        <v>409</v>
      </c>
      <c r="B1090" s="45" t="s">
        <v>410</v>
      </c>
      <c r="C1090" s="45" t="s">
        <v>490</v>
      </c>
      <c r="D1090" s="45" t="s">
        <v>496</v>
      </c>
      <c r="E1090" s="45" t="s">
        <v>492</v>
      </c>
      <c r="F1090" s="45" t="s">
        <v>493</v>
      </c>
      <c r="G1090" s="14">
        <v>991</v>
      </c>
      <c r="H1090" s="14">
        <v>1403</v>
      </c>
      <c r="I1090" s="14">
        <v>1700</v>
      </c>
      <c r="J1090" s="14">
        <v>1787</v>
      </c>
      <c r="K1090" s="14">
        <v>2140</v>
      </c>
      <c r="L1090" s="14">
        <v>2437</v>
      </c>
      <c r="M1090" s="14">
        <v>2769</v>
      </c>
      <c r="N1090" s="14">
        <v>3645</v>
      </c>
      <c r="O1090" s="14">
        <v>3958</v>
      </c>
      <c r="P1090" s="14">
        <v>15370</v>
      </c>
      <c r="Q1090" s="14">
        <v>7241</v>
      </c>
      <c r="R1090" s="14">
        <v>7149</v>
      </c>
      <c r="S1090" s="14">
        <v>8309</v>
      </c>
      <c r="T1090" s="14">
        <v>7819</v>
      </c>
      <c r="U1090" s="14">
        <v>8794</v>
      </c>
      <c r="V1090" s="14">
        <v>9165</v>
      </c>
      <c r="W1090" s="14">
        <v>8781</v>
      </c>
      <c r="X1090" s="14">
        <v>9307</v>
      </c>
      <c r="Y1090" s="14">
        <v>12252</v>
      </c>
      <c r="Z1090" s="14">
        <v>11231</v>
      </c>
      <c r="AA1090" s="14"/>
      <c r="AB1090" s="14"/>
    </row>
    <row r="1091" spans="1:30">
      <c r="A1091" s="45" t="s">
        <v>409</v>
      </c>
      <c r="B1091" s="45" t="s">
        <v>410</v>
      </c>
      <c r="C1091" s="45" t="s">
        <v>490</v>
      </c>
      <c r="D1091" s="45" t="s">
        <v>497</v>
      </c>
      <c r="E1091" s="45" t="s">
        <v>492</v>
      </c>
      <c r="F1091" s="45" t="s">
        <v>493</v>
      </c>
      <c r="G1091" s="14">
        <v>3864</v>
      </c>
      <c r="H1091" s="14">
        <v>4455</v>
      </c>
      <c r="I1091" s="14">
        <v>5344</v>
      </c>
      <c r="J1091" s="14">
        <v>6167</v>
      </c>
      <c r="K1091" s="14">
        <v>7303</v>
      </c>
      <c r="L1091" s="14">
        <v>8294</v>
      </c>
      <c r="M1091" s="14">
        <v>9476</v>
      </c>
      <c r="N1091" s="14">
        <v>10680</v>
      </c>
      <c r="O1091" s="14">
        <v>11616</v>
      </c>
      <c r="P1091" s="14">
        <v>12711</v>
      </c>
      <c r="Q1091" s="14">
        <v>13710</v>
      </c>
      <c r="R1091" s="14">
        <v>15303</v>
      </c>
      <c r="S1091" s="14">
        <v>16967</v>
      </c>
      <c r="T1091" s="14">
        <v>18770</v>
      </c>
      <c r="U1091" s="14">
        <v>20258</v>
      </c>
      <c r="V1091" s="14">
        <v>21868</v>
      </c>
      <c r="W1091" s="14">
        <v>22356</v>
      </c>
      <c r="X1091" s="14">
        <v>23029</v>
      </c>
      <c r="Y1091" s="14">
        <v>24311</v>
      </c>
      <c r="Z1091" s="14">
        <v>25145</v>
      </c>
      <c r="AA1091" s="14"/>
      <c r="AB1091" s="14"/>
    </row>
    <row r="1092" spans="1:30">
      <c r="A1092" s="45" t="s">
        <v>409</v>
      </c>
      <c r="B1092" s="45" t="s">
        <v>410</v>
      </c>
      <c r="C1092" s="45" t="s">
        <v>498</v>
      </c>
      <c r="D1092" s="45" t="s">
        <v>491</v>
      </c>
      <c r="E1092" s="45" t="s">
        <v>499</v>
      </c>
      <c r="F1092" s="45" t="s">
        <v>500</v>
      </c>
      <c r="G1092" s="14">
        <v>11783.9</v>
      </c>
      <c r="H1092" s="14">
        <v>12411</v>
      </c>
      <c r="I1092" s="14">
        <v>13752.7</v>
      </c>
      <c r="J1092" s="14">
        <v>13502</v>
      </c>
      <c r="K1092" s="14">
        <v>15803</v>
      </c>
      <c r="L1092" s="14">
        <v>16380</v>
      </c>
      <c r="M1092" s="14">
        <v>18014.7</v>
      </c>
      <c r="N1092" s="14">
        <v>19225.599999999999</v>
      </c>
      <c r="O1092" s="14">
        <v>18322</v>
      </c>
      <c r="P1092" s="14">
        <v>30416.799999999999</v>
      </c>
      <c r="Q1092" s="14">
        <v>20357.099999999999</v>
      </c>
      <c r="R1092" s="14">
        <v>20084.8</v>
      </c>
      <c r="S1092" s="14">
        <v>22034.5</v>
      </c>
      <c r="T1092" s="14">
        <v>21949.5</v>
      </c>
      <c r="U1092" s="14">
        <v>20849</v>
      </c>
      <c r="V1092" s="14">
        <v>21463</v>
      </c>
      <c r="W1092" s="14">
        <v>20503.2</v>
      </c>
      <c r="X1092" s="14">
        <v>20193.599999999999</v>
      </c>
      <c r="Y1092" s="14">
        <v>21917.5</v>
      </c>
      <c r="Z1092" s="14">
        <v>19526.099999999999</v>
      </c>
      <c r="AA1092" s="14"/>
      <c r="AB1092" s="14"/>
      <c r="AC1092" s="15">
        <f>IFERROR(Z1092/G1092-1,"")</f>
        <v>0.65701507989714769</v>
      </c>
      <c r="AD1092" s="15">
        <f>IFERROR((Z1092/G1092)^(1/19)-1,"")</f>
        <v>2.6936282093770858E-2</v>
      </c>
    </row>
    <row r="1093" spans="1:30">
      <c r="A1093" s="45" t="s">
        <v>409</v>
      </c>
      <c r="B1093" s="45" t="s">
        <v>410</v>
      </c>
      <c r="C1093" s="45" t="s">
        <v>498</v>
      </c>
      <c r="D1093" s="45" t="s">
        <v>495</v>
      </c>
      <c r="E1093" s="45" t="s">
        <v>499</v>
      </c>
      <c r="F1093" s="45" t="s">
        <v>500</v>
      </c>
      <c r="G1093" s="14">
        <v>560.4</v>
      </c>
      <c r="H1093" s="14">
        <v>435.2</v>
      </c>
      <c r="I1093" s="14">
        <v>502.3</v>
      </c>
      <c r="J1093" s="14">
        <v>509.1</v>
      </c>
      <c r="K1093" s="14">
        <v>549.4</v>
      </c>
      <c r="L1093" s="14">
        <v>585.4</v>
      </c>
      <c r="M1093" s="14">
        <v>582.4</v>
      </c>
      <c r="N1093" s="14">
        <v>658.1</v>
      </c>
      <c r="O1093" s="14">
        <v>646</v>
      </c>
      <c r="P1093" s="14">
        <v>1046.9000000000001</v>
      </c>
      <c r="Q1093" s="14">
        <v>813.4</v>
      </c>
      <c r="R1093" s="14">
        <v>650.79999999999995</v>
      </c>
      <c r="S1093" s="14">
        <v>664.6</v>
      </c>
      <c r="T1093" s="14">
        <v>1538.9</v>
      </c>
      <c r="U1093" s="14">
        <v>583.6</v>
      </c>
      <c r="V1093" s="14">
        <v>405.1</v>
      </c>
      <c r="W1093" s="14">
        <v>342</v>
      </c>
      <c r="X1093" s="14">
        <v>402.3</v>
      </c>
      <c r="Y1093" s="14">
        <v>566.20000000000005</v>
      </c>
      <c r="Z1093" s="14">
        <v>602.20000000000005</v>
      </c>
      <c r="AA1093" s="14"/>
      <c r="AB1093" s="14"/>
      <c r="AC1093" s="15">
        <f>IFERROR(Z1093/G1093-1,"")</f>
        <v>7.4589578872234163E-2</v>
      </c>
      <c r="AD1093" s="15">
        <f>IFERROR((Z1093/G1093)^(1/19)-1,"")</f>
        <v>3.7934296248054444E-3</v>
      </c>
    </row>
    <row r="1094" spans="1:30">
      <c r="A1094" s="45" t="s">
        <v>409</v>
      </c>
      <c r="B1094" s="45" t="s">
        <v>410</v>
      </c>
      <c r="C1094" s="45" t="s">
        <v>498</v>
      </c>
      <c r="D1094" s="45" t="s">
        <v>496</v>
      </c>
      <c r="E1094" s="45" t="s">
        <v>499</v>
      </c>
      <c r="F1094" s="45" t="s">
        <v>500</v>
      </c>
      <c r="G1094" s="14">
        <v>1881.8</v>
      </c>
      <c r="H1094" s="14">
        <v>2335.5</v>
      </c>
      <c r="I1094" s="14">
        <v>2627.8</v>
      </c>
      <c r="J1094" s="14">
        <v>2570.5</v>
      </c>
      <c r="K1094" s="14">
        <v>2883.2</v>
      </c>
      <c r="L1094" s="14">
        <v>3084.9</v>
      </c>
      <c r="M1094" s="14">
        <v>3221.6</v>
      </c>
      <c r="N1094" s="14">
        <v>3952</v>
      </c>
      <c r="O1094" s="14">
        <v>3958</v>
      </c>
      <c r="P1094" s="14">
        <v>14189.6</v>
      </c>
      <c r="Q1094" s="14">
        <v>6193</v>
      </c>
      <c r="R1094" s="14">
        <v>5687.5</v>
      </c>
      <c r="S1094" s="14">
        <v>6129.4</v>
      </c>
      <c r="T1094" s="14">
        <v>5362.2</v>
      </c>
      <c r="U1094" s="14">
        <v>5578.8</v>
      </c>
      <c r="V1094" s="14">
        <v>5608.2</v>
      </c>
      <c r="W1094" s="14">
        <v>5142.2</v>
      </c>
      <c r="X1094" s="14">
        <v>5229.3</v>
      </c>
      <c r="Y1094" s="14">
        <v>6465.5</v>
      </c>
      <c r="Z1094" s="14">
        <v>5242.7</v>
      </c>
      <c r="AA1094" s="14"/>
      <c r="AB1094" s="14"/>
      <c r="AC1094" s="15">
        <f>IFERROR(Z1094/G1094-1,"")</f>
        <v>1.7860027633117226</v>
      </c>
      <c r="AD1094" s="15">
        <f>IFERROR((Z1094/G1094)^(1/19)-1,"")</f>
        <v>5.5407269476605014E-2</v>
      </c>
    </row>
    <row r="1095" spans="1:30">
      <c r="A1095" s="45" t="s">
        <v>409</v>
      </c>
      <c r="B1095" s="45" t="s">
        <v>410</v>
      </c>
      <c r="C1095" s="45" t="s">
        <v>498</v>
      </c>
      <c r="D1095" s="45" t="s">
        <v>497</v>
      </c>
      <c r="E1095" s="45" t="s">
        <v>499</v>
      </c>
      <c r="F1095" s="45" t="s">
        <v>500</v>
      </c>
      <c r="G1095" s="14">
        <v>7339.9</v>
      </c>
      <c r="H1095" s="14">
        <v>7418</v>
      </c>
      <c r="I1095" s="14">
        <v>8258.2000000000007</v>
      </c>
      <c r="J1095" s="14">
        <v>8870.2999999999993</v>
      </c>
      <c r="K1095" s="14">
        <v>9838.2000000000007</v>
      </c>
      <c r="L1095" s="14">
        <v>10497.9</v>
      </c>
      <c r="M1095" s="14">
        <v>11025.2</v>
      </c>
      <c r="N1095" s="14">
        <v>11579.6</v>
      </c>
      <c r="O1095" s="14">
        <v>11616</v>
      </c>
      <c r="P1095" s="14">
        <v>11734.8</v>
      </c>
      <c r="Q1095" s="14">
        <v>11725.7</v>
      </c>
      <c r="R1095" s="14">
        <v>12174.5</v>
      </c>
      <c r="S1095" s="14">
        <v>12516.2</v>
      </c>
      <c r="T1095" s="14">
        <v>12872.3</v>
      </c>
      <c r="U1095" s="14">
        <v>12851.4</v>
      </c>
      <c r="V1095" s="14">
        <v>13381.4</v>
      </c>
      <c r="W1095" s="14">
        <v>13091.8</v>
      </c>
      <c r="X1095" s="14">
        <v>12939.3</v>
      </c>
      <c r="Y1095" s="14">
        <v>12829.2</v>
      </c>
      <c r="Z1095" s="14">
        <v>11738.3</v>
      </c>
      <c r="AA1095" s="14"/>
      <c r="AB1095" s="14"/>
      <c r="AC1095" s="15">
        <f>IFERROR(Z1095/G1095-1,"")</f>
        <v>0.59924522132454117</v>
      </c>
      <c r="AD1095" s="15">
        <f>IFERROR((Z1095/G1095)^(1/19)-1,"")</f>
        <v>2.5020076281090153E-2</v>
      </c>
    </row>
    <row r="1096" spans="1:30">
      <c r="A1096" s="45" t="s">
        <v>409</v>
      </c>
      <c r="B1096" s="45" t="s">
        <v>410</v>
      </c>
      <c r="C1096" s="45" t="s">
        <v>498</v>
      </c>
      <c r="D1096" s="45" t="s">
        <v>501</v>
      </c>
      <c r="E1096" s="45" t="s">
        <v>499</v>
      </c>
      <c r="F1096" s="45" t="s">
        <v>500</v>
      </c>
      <c r="G1096" s="14">
        <v>1607.2</v>
      </c>
      <c r="H1096" s="14">
        <v>1887</v>
      </c>
      <c r="I1096" s="14">
        <v>1957.7</v>
      </c>
      <c r="J1096" s="14">
        <v>1142.8</v>
      </c>
      <c r="K1096" s="14">
        <v>1829.7</v>
      </c>
      <c r="L1096" s="14">
        <v>1341.6</v>
      </c>
      <c r="M1096" s="14">
        <v>2114.9</v>
      </c>
      <c r="N1096" s="14">
        <v>2004.7</v>
      </c>
      <c r="O1096" s="14">
        <v>1150</v>
      </c>
      <c r="P1096" s="14">
        <v>926</v>
      </c>
      <c r="Q1096" s="14">
        <v>567</v>
      </c>
      <c r="R1096" s="14">
        <v>593.5</v>
      </c>
      <c r="S1096" s="14">
        <v>1281.4000000000001</v>
      </c>
      <c r="T1096" s="14">
        <v>976.6</v>
      </c>
      <c r="U1096" s="14">
        <v>872.9</v>
      </c>
      <c r="V1096" s="14">
        <v>1266.7</v>
      </c>
      <c r="W1096" s="14">
        <v>1131.4000000000001</v>
      </c>
      <c r="X1096" s="14">
        <v>810.8</v>
      </c>
      <c r="Y1096" s="14">
        <v>844.9</v>
      </c>
      <c r="Z1096" s="14">
        <v>861.7</v>
      </c>
      <c r="AA1096" s="14"/>
      <c r="AB1096" s="14"/>
      <c r="AC1096" s="15">
        <f>IFERROR(Z1096/G1096-1,"")</f>
        <v>-0.46385017421602781</v>
      </c>
      <c r="AD1096" s="15">
        <f>IFERROR((Z1096/G1096)^(1/19)-1,"")</f>
        <v>-3.2275127062730724E-2</v>
      </c>
    </row>
    <row r="1097" spans="1:30">
      <c r="A1097" s="45" t="s">
        <v>247</v>
      </c>
      <c r="B1097" s="45" t="s">
        <v>248</v>
      </c>
      <c r="C1097" s="45" t="s">
        <v>490</v>
      </c>
      <c r="D1097" s="45" t="s">
        <v>491</v>
      </c>
      <c r="E1097" s="45" t="s">
        <v>492</v>
      </c>
      <c r="F1097" s="45" t="s">
        <v>493</v>
      </c>
      <c r="G1097" s="14">
        <v>21237</v>
      </c>
      <c r="H1097" s="14">
        <v>22961</v>
      </c>
      <c r="I1097" s="14">
        <v>25510</v>
      </c>
      <c r="J1097" s="14">
        <v>31773</v>
      </c>
      <c r="K1097" s="14">
        <v>37470</v>
      </c>
      <c r="L1097" s="14">
        <v>41413</v>
      </c>
      <c r="M1097" s="14">
        <v>43212</v>
      </c>
      <c r="N1097" s="14">
        <v>50562</v>
      </c>
      <c r="O1097" s="14">
        <v>57422</v>
      </c>
      <c r="P1097" s="14">
        <v>64827</v>
      </c>
      <c r="Q1097" s="14">
        <v>71652</v>
      </c>
      <c r="R1097" s="14">
        <v>82757</v>
      </c>
      <c r="S1097" s="14">
        <v>89516</v>
      </c>
      <c r="T1097" s="14">
        <v>93298</v>
      </c>
      <c r="U1097" s="14">
        <v>96626</v>
      </c>
      <c r="V1097" s="14">
        <v>107190</v>
      </c>
      <c r="W1097" s="14">
        <v>106065</v>
      </c>
      <c r="X1097" s="14">
        <v>117504</v>
      </c>
      <c r="Y1097" s="14">
        <v>131628</v>
      </c>
      <c r="Z1097" s="14">
        <v>131859</v>
      </c>
      <c r="AA1097" s="14">
        <v>143411</v>
      </c>
      <c r="AB1097" s="14">
        <v>161103</v>
      </c>
    </row>
    <row r="1098" spans="1:30">
      <c r="A1098" s="45" t="s">
        <v>247</v>
      </c>
      <c r="B1098" s="45" t="s">
        <v>248</v>
      </c>
      <c r="C1098" s="45" t="s">
        <v>490</v>
      </c>
      <c r="D1098" s="45" t="s">
        <v>494</v>
      </c>
      <c r="E1098" s="45" t="s">
        <v>492</v>
      </c>
      <c r="F1098" s="45" t="s">
        <v>493</v>
      </c>
      <c r="G1098" s="14">
        <v>20150</v>
      </c>
      <c r="H1098" s="14">
        <v>22080</v>
      </c>
      <c r="I1098" s="14">
        <v>24516</v>
      </c>
      <c r="J1098" s="14">
        <v>30451</v>
      </c>
      <c r="K1098" s="14">
        <v>35507</v>
      </c>
      <c r="L1098" s="14">
        <v>38949</v>
      </c>
      <c r="M1098" s="14">
        <v>41044</v>
      </c>
      <c r="N1098" s="14">
        <v>48332</v>
      </c>
      <c r="O1098" s="14">
        <v>54453</v>
      </c>
      <c r="P1098" s="14">
        <v>61596</v>
      </c>
      <c r="Q1098" s="14">
        <v>67781</v>
      </c>
      <c r="R1098" s="14">
        <v>78541</v>
      </c>
      <c r="S1098" s="14">
        <v>85733</v>
      </c>
      <c r="T1098" s="14">
        <v>88694</v>
      </c>
      <c r="U1098" s="14">
        <v>94098</v>
      </c>
      <c r="V1098" s="14">
        <v>104664</v>
      </c>
      <c r="W1098" s="14">
        <v>103554</v>
      </c>
      <c r="X1098" s="14">
        <v>114403</v>
      </c>
      <c r="Y1098" s="14">
        <v>128265</v>
      </c>
      <c r="Z1098" s="14">
        <v>127015</v>
      </c>
      <c r="AA1098" s="14"/>
      <c r="AB1098" s="14"/>
    </row>
    <row r="1099" spans="1:30">
      <c r="A1099" s="45" t="s">
        <v>247</v>
      </c>
      <c r="B1099" s="45" t="s">
        <v>248</v>
      </c>
      <c r="C1099" s="45" t="s">
        <v>490</v>
      </c>
      <c r="D1099" s="45" t="s">
        <v>495</v>
      </c>
      <c r="E1099" s="45" t="s">
        <v>492</v>
      </c>
      <c r="F1099" s="45" t="s">
        <v>493</v>
      </c>
      <c r="G1099" s="14">
        <v>818</v>
      </c>
      <c r="H1099" s="14">
        <v>618</v>
      </c>
      <c r="I1099" s="14">
        <v>748</v>
      </c>
      <c r="J1099" s="14">
        <v>945</v>
      </c>
      <c r="K1099" s="14">
        <v>1126</v>
      </c>
      <c r="L1099" s="14">
        <v>1264</v>
      </c>
      <c r="M1099" s="14">
        <v>1238</v>
      </c>
      <c r="N1099" s="14">
        <v>1517</v>
      </c>
      <c r="O1099" s="14">
        <v>1373</v>
      </c>
      <c r="P1099" s="14">
        <v>1665</v>
      </c>
      <c r="Q1099" s="14">
        <v>3187</v>
      </c>
      <c r="R1099" s="14">
        <v>4032</v>
      </c>
      <c r="S1099" s="14">
        <v>6418</v>
      </c>
      <c r="T1099" s="14">
        <v>4103</v>
      </c>
      <c r="U1099" s="14">
        <v>3894</v>
      </c>
      <c r="V1099" s="14">
        <v>4366</v>
      </c>
      <c r="W1099" s="14">
        <v>3064</v>
      </c>
      <c r="X1099" s="14">
        <v>3399</v>
      </c>
      <c r="Y1099" s="14">
        <v>6333</v>
      </c>
      <c r="Z1099" s="14">
        <v>5353</v>
      </c>
      <c r="AA1099" s="14"/>
      <c r="AB1099" s="14"/>
    </row>
    <row r="1100" spans="1:30">
      <c r="A1100" s="45" t="s">
        <v>247</v>
      </c>
      <c r="B1100" s="45" t="s">
        <v>248</v>
      </c>
      <c r="C1100" s="45" t="s">
        <v>490</v>
      </c>
      <c r="D1100" s="45" t="s">
        <v>496</v>
      </c>
      <c r="E1100" s="45" t="s">
        <v>492</v>
      </c>
      <c r="F1100" s="45" t="s">
        <v>493</v>
      </c>
      <c r="G1100" s="14">
        <v>4914</v>
      </c>
      <c r="H1100" s="14">
        <v>4844</v>
      </c>
      <c r="I1100" s="14">
        <v>5433</v>
      </c>
      <c r="J1100" s="14">
        <v>7071</v>
      </c>
      <c r="K1100" s="14">
        <v>8129</v>
      </c>
      <c r="L1100" s="14">
        <v>8920</v>
      </c>
      <c r="M1100" s="14">
        <v>6794</v>
      </c>
      <c r="N1100" s="14">
        <v>8560</v>
      </c>
      <c r="O1100" s="14">
        <v>10371</v>
      </c>
      <c r="P1100" s="14">
        <v>11403</v>
      </c>
      <c r="Q1100" s="14">
        <v>12995</v>
      </c>
      <c r="R1100" s="14">
        <v>15422</v>
      </c>
      <c r="S1100" s="14">
        <v>16335</v>
      </c>
      <c r="T1100" s="14">
        <v>16367</v>
      </c>
      <c r="U1100" s="14">
        <v>17342</v>
      </c>
      <c r="V1100" s="14">
        <v>19374</v>
      </c>
      <c r="W1100" s="14">
        <v>19341</v>
      </c>
      <c r="X1100" s="14">
        <v>20405</v>
      </c>
      <c r="Y1100" s="14">
        <v>23614</v>
      </c>
      <c r="Z1100" s="14">
        <v>23998</v>
      </c>
      <c r="AA1100" s="14"/>
      <c r="AB1100" s="14"/>
    </row>
    <row r="1101" spans="1:30">
      <c r="A1101" s="45" t="s">
        <v>247</v>
      </c>
      <c r="B1101" s="45" t="s">
        <v>248</v>
      </c>
      <c r="C1101" s="45" t="s">
        <v>490</v>
      </c>
      <c r="D1101" s="45" t="s">
        <v>497</v>
      </c>
      <c r="E1101" s="45" t="s">
        <v>492</v>
      </c>
      <c r="F1101" s="45" t="s">
        <v>493</v>
      </c>
      <c r="G1101" s="14">
        <v>12972</v>
      </c>
      <c r="H1101" s="14">
        <v>14167</v>
      </c>
      <c r="I1101" s="14">
        <v>15727</v>
      </c>
      <c r="J1101" s="14">
        <v>19636</v>
      </c>
      <c r="K1101" s="14">
        <v>22542</v>
      </c>
      <c r="L1101" s="14">
        <v>25376</v>
      </c>
      <c r="M1101" s="14">
        <v>28578</v>
      </c>
      <c r="N1101" s="14">
        <v>33372</v>
      </c>
      <c r="O1101" s="14">
        <v>38358</v>
      </c>
      <c r="P1101" s="14">
        <v>43614</v>
      </c>
      <c r="Q1101" s="14">
        <v>47395</v>
      </c>
      <c r="R1101" s="14">
        <v>54274</v>
      </c>
      <c r="S1101" s="14">
        <v>59164</v>
      </c>
      <c r="T1101" s="14">
        <v>62937</v>
      </c>
      <c r="U1101" s="14">
        <v>66578</v>
      </c>
      <c r="V1101" s="14">
        <v>74129</v>
      </c>
      <c r="W1101" s="14">
        <v>74864</v>
      </c>
      <c r="X1101" s="14">
        <v>82542</v>
      </c>
      <c r="Y1101" s="14">
        <v>85724</v>
      </c>
      <c r="Z1101" s="14">
        <v>85973</v>
      </c>
      <c r="AA1101" s="14"/>
      <c r="AB1101" s="14"/>
    </row>
    <row r="1102" spans="1:30">
      <c r="A1102" s="45" t="s">
        <v>247</v>
      </c>
      <c r="B1102" s="45" t="s">
        <v>248</v>
      </c>
      <c r="C1102" s="45" t="s">
        <v>498</v>
      </c>
      <c r="D1102" s="45" t="s">
        <v>491</v>
      </c>
      <c r="E1102" s="45" t="s">
        <v>499</v>
      </c>
      <c r="F1102" s="45" t="s">
        <v>500</v>
      </c>
      <c r="G1102" s="14">
        <v>40344.5</v>
      </c>
      <c r="H1102" s="14">
        <v>38232.800000000003</v>
      </c>
      <c r="I1102" s="14">
        <v>39421.5</v>
      </c>
      <c r="J1102" s="14">
        <v>45703.199999999997</v>
      </c>
      <c r="K1102" s="14">
        <v>50478</v>
      </c>
      <c r="L1102" s="14">
        <v>52415.7</v>
      </c>
      <c r="M1102" s="14">
        <v>50278.9</v>
      </c>
      <c r="N1102" s="14">
        <v>54821</v>
      </c>
      <c r="O1102" s="14">
        <v>57422</v>
      </c>
      <c r="P1102" s="14">
        <v>59848.5</v>
      </c>
      <c r="Q1102" s="14">
        <v>61281.599999999999</v>
      </c>
      <c r="R1102" s="14">
        <v>65838.5</v>
      </c>
      <c r="S1102" s="14">
        <v>66034.2</v>
      </c>
      <c r="T1102" s="14">
        <v>63983</v>
      </c>
      <c r="U1102" s="14">
        <v>61298</v>
      </c>
      <c r="V1102" s="14">
        <v>65591.5</v>
      </c>
      <c r="W1102" s="14">
        <v>62112.1</v>
      </c>
      <c r="X1102" s="14">
        <v>66021.899999999994</v>
      </c>
      <c r="Y1102" s="14">
        <v>69461.8</v>
      </c>
      <c r="Z1102" s="14">
        <v>61552.7</v>
      </c>
      <c r="AA1102" s="14"/>
      <c r="AB1102" s="14"/>
      <c r="AC1102" s="15">
        <f>IFERROR(Z1102/G1102-1,"")</f>
        <v>0.52567760165573985</v>
      </c>
      <c r="AD1102" s="15">
        <f>IFERROR((Z1102/G1102)^(1/19)-1,"")</f>
        <v>2.2482621445331752E-2</v>
      </c>
    </row>
    <row r="1103" spans="1:30">
      <c r="A1103" s="45" t="s">
        <v>247</v>
      </c>
      <c r="B1103" s="45" t="s">
        <v>248</v>
      </c>
      <c r="C1103" s="45" t="s">
        <v>498</v>
      </c>
      <c r="D1103" s="45" t="s">
        <v>495</v>
      </c>
      <c r="E1103" s="45" t="s">
        <v>499</v>
      </c>
      <c r="F1103" s="45" t="s">
        <v>500</v>
      </c>
      <c r="G1103" s="14">
        <v>1553.5</v>
      </c>
      <c r="H1103" s="14">
        <v>1029.3</v>
      </c>
      <c r="I1103" s="14">
        <v>1155.3</v>
      </c>
      <c r="J1103" s="14">
        <v>1358.9</v>
      </c>
      <c r="K1103" s="14">
        <v>1516.3</v>
      </c>
      <c r="L1103" s="14">
        <v>1600</v>
      </c>
      <c r="M1103" s="14">
        <v>1440.5</v>
      </c>
      <c r="N1103" s="14">
        <v>1644.8</v>
      </c>
      <c r="O1103" s="14">
        <v>1373</v>
      </c>
      <c r="P1103" s="14">
        <v>1537.1</v>
      </c>
      <c r="Q1103" s="14">
        <v>2725.7</v>
      </c>
      <c r="R1103" s="14">
        <v>3207.7</v>
      </c>
      <c r="S1103" s="14">
        <v>4734.3999999999996</v>
      </c>
      <c r="T1103" s="14">
        <v>2813.8</v>
      </c>
      <c r="U1103" s="14">
        <v>2470.3000000000002</v>
      </c>
      <c r="V1103" s="14">
        <v>2671.6</v>
      </c>
      <c r="W1103" s="14">
        <v>1794.3</v>
      </c>
      <c r="X1103" s="14">
        <v>1909.8</v>
      </c>
      <c r="Y1103" s="14">
        <v>3342</v>
      </c>
      <c r="Z1103" s="14">
        <v>2499.3000000000002</v>
      </c>
      <c r="AA1103" s="14"/>
      <c r="AB1103" s="14"/>
      <c r="AC1103" s="15">
        <f>IFERROR(Z1103/G1103-1,"")</f>
        <v>0.60881879626649504</v>
      </c>
      <c r="AD1103" s="15">
        <f>IFERROR((Z1103/G1103)^(1/19)-1,"")</f>
        <v>2.5342115959963163E-2</v>
      </c>
    </row>
    <row r="1104" spans="1:30">
      <c r="A1104" s="45" t="s">
        <v>247</v>
      </c>
      <c r="B1104" s="45" t="s">
        <v>248</v>
      </c>
      <c r="C1104" s="45" t="s">
        <v>498</v>
      </c>
      <c r="D1104" s="45" t="s">
        <v>496</v>
      </c>
      <c r="E1104" s="45" t="s">
        <v>499</v>
      </c>
      <c r="F1104" s="45" t="s">
        <v>500</v>
      </c>
      <c r="G1104" s="14">
        <v>9335</v>
      </c>
      <c r="H1104" s="14">
        <v>8065.1</v>
      </c>
      <c r="I1104" s="14">
        <v>8395</v>
      </c>
      <c r="J1104" s="14">
        <v>10170.5</v>
      </c>
      <c r="K1104" s="14">
        <v>10951.7</v>
      </c>
      <c r="L1104" s="14">
        <v>11290.4</v>
      </c>
      <c r="M1104" s="14">
        <v>7905.2</v>
      </c>
      <c r="N1104" s="14">
        <v>9281</v>
      </c>
      <c r="O1104" s="14">
        <v>10371</v>
      </c>
      <c r="P1104" s="14">
        <v>10527.3</v>
      </c>
      <c r="Q1104" s="14">
        <v>11114.2</v>
      </c>
      <c r="R1104" s="14">
        <v>12269.2</v>
      </c>
      <c r="S1104" s="14">
        <v>12050</v>
      </c>
      <c r="T1104" s="14">
        <v>11224.4</v>
      </c>
      <c r="U1104" s="14">
        <v>11001.5</v>
      </c>
      <c r="V1104" s="14">
        <v>11855.3</v>
      </c>
      <c r="W1104" s="14">
        <v>11326.2</v>
      </c>
      <c r="X1104" s="14">
        <v>11464.9</v>
      </c>
      <c r="Y1104" s="14">
        <v>12461.4</v>
      </c>
      <c r="Z1104" s="14">
        <v>11202.4</v>
      </c>
      <c r="AA1104" s="14"/>
      <c r="AB1104" s="14"/>
      <c r="AC1104" s="15">
        <f>IFERROR(Z1104/G1104-1,"")</f>
        <v>0.20004284949116236</v>
      </c>
      <c r="AD1104" s="15">
        <f>IFERROR((Z1104/G1104)^(1/19)-1,"")</f>
        <v>9.6439568565598321E-3</v>
      </c>
    </row>
    <row r="1105" spans="1:30">
      <c r="A1105" s="45" t="s">
        <v>247</v>
      </c>
      <c r="B1105" s="45" t="s">
        <v>248</v>
      </c>
      <c r="C1105" s="45" t="s">
        <v>498</v>
      </c>
      <c r="D1105" s="45" t="s">
        <v>497</v>
      </c>
      <c r="E1105" s="45" t="s">
        <v>499</v>
      </c>
      <c r="F1105" s="45" t="s">
        <v>500</v>
      </c>
      <c r="G1105" s="14">
        <v>24642.7</v>
      </c>
      <c r="H1105" s="14">
        <v>23589.3</v>
      </c>
      <c r="I1105" s="14">
        <v>24304</v>
      </c>
      <c r="J1105" s="14">
        <v>28245.3</v>
      </c>
      <c r="K1105" s="14">
        <v>30368.400000000001</v>
      </c>
      <c r="L1105" s="14">
        <v>32118.1</v>
      </c>
      <c r="M1105" s="14">
        <v>33251.699999999997</v>
      </c>
      <c r="N1105" s="14">
        <v>36183</v>
      </c>
      <c r="O1105" s="14">
        <v>38358</v>
      </c>
      <c r="P1105" s="14">
        <v>40264.6</v>
      </c>
      <c r="Q1105" s="14">
        <v>40535.4</v>
      </c>
      <c r="R1105" s="14">
        <v>43178.400000000001</v>
      </c>
      <c r="S1105" s="14">
        <v>43644.1</v>
      </c>
      <c r="T1105" s="14">
        <v>43161.7</v>
      </c>
      <c r="U1105" s="14">
        <v>42236</v>
      </c>
      <c r="V1105" s="14">
        <v>45360.9</v>
      </c>
      <c r="W1105" s="14">
        <v>43840.7</v>
      </c>
      <c r="X1105" s="14">
        <v>46377.8</v>
      </c>
      <c r="Y1105" s="14">
        <v>45237.7</v>
      </c>
      <c r="Z1105" s="14">
        <v>40133.800000000003</v>
      </c>
      <c r="AA1105" s="14"/>
      <c r="AB1105" s="14"/>
      <c r="AC1105" s="15">
        <f>IFERROR(Z1105/G1105-1,"")</f>
        <v>0.62862835647067894</v>
      </c>
      <c r="AD1105" s="15">
        <f>IFERROR((Z1105/G1105)^(1/19)-1,"")</f>
        <v>2.6002752558589082E-2</v>
      </c>
    </row>
    <row r="1106" spans="1:30">
      <c r="A1106" s="45" t="s">
        <v>247</v>
      </c>
      <c r="B1106" s="45" t="s">
        <v>248</v>
      </c>
      <c r="C1106" s="45" t="s">
        <v>498</v>
      </c>
      <c r="D1106" s="45" t="s">
        <v>501</v>
      </c>
      <c r="E1106" s="45" t="s">
        <v>499</v>
      </c>
      <c r="F1106" s="45" t="s">
        <v>500</v>
      </c>
      <c r="G1106" s="14">
        <v>2748</v>
      </c>
      <c r="H1106" s="14">
        <v>4081.6</v>
      </c>
      <c r="I1106" s="14">
        <v>4030</v>
      </c>
      <c r="J1106" s="14">
        <v>4027.4</v>
      </c>
      <c r="K1106" s="14">
        <v>4997.2</v>
      </c>
      <c r="L1106" s="14">
        <v>4288.3</v>
      </c>
      <c r="M1106" s="14">
        <v>5157.8</v>
      </c>
      <c r="N1106" s="14">
        <v>5294.3</v>
      </c>
      <c r="O1106" s="14">
        <v>4352</v>
      </c>
      <c r="P1106" s="14">
        <v>4536.6000000000004</v>
      </c>
      <c r="Q1106" s="14">
        <v>3595.5</v>
      </c>
      <c r="R1106" s="14">
        <v>3829</v>
      </c>
      <c r="S1106" s="14">
        <v>2814.3</v>
      </c>
      <c r="T1106" s="14">
        <v>3625.8</v>
      </c>
      <c r="U1106" s="14">
        <v>3986.5</v>
      </c>
      <c r="V1106" s="14">
        <v>4158.6000000000004</v>
      </c>
      <c r="W1106" s="14">
        <v>3679.9</v>
      </c>
      <c r="X1106" s="14">
        <v>4527</v>
      </c>
      <c r="Y1106" s="14">
        <v>6646</v>
      </c>
      <c r="Z1106" s="14">
        <v>5457.4</v>
      </c>
      <c r="AA1106" s="14"/>
      <c r="AB1106" s="14"/>
      <c r="AC1106" s="15">
        <f>IFERROR(Z1106/G1106-1,"")</f>
        <v>0.9859534206695777</v>
      </c>
      <c r="AD1106" s="15">
        <f>IFERROR((Z1106/G1106)^(1/19)-1,"")</f>
        <v>3.6770382092199405E-2</v>
      </c>
    </row>
    <row r="1107" spans="1:30">
      <c r="A1107" s="45" t="s">
        <v>317</v>
      </c>
      <c r="B1107" s="45" t="s">
        <v>318</v>
      </c>
      <c r="C1107" s="45" t="s">
        <v>490</v>
      </c>
      <c r="D1107" s="45" t="s">
        <v>491</v>
      </c>
      <c r="E1107" s="45" t="s">
        <v>492</v>
      </c>
      <c r="F1107" s="45" t="s">
        <v>493</v>
      </c>
      <c r="G1107" s="14">
        <v>13192</v>
      </c>
      <c r="H1107" s="14">
        <v>14016</v>
      </c>
      <c r="I1107" s="14">
        <v>16249</v>
      </c>
      <c r="J1107" s="14">
        <v>16981</v>
      </c>
      <c r="K1107" s="14">
        <v>19812</v>
      </c>
      <c r="L1107" s="14">
        <v>23999</v>
      </c>
      <c r="M1107" s="14">
        <v>26422</v>
      </c>
      <c r="N1107" s="14">
        <v>30449</v>
      </c>
      <c r="O1107" s="14">
        <v>36710</v>
      </c>
      <c r="P1107" s="14">
        <v>38948</v>
      </c>
      <c r="Q1107" s="14">
        <v>43697</v>
      </c>
      <c r="R1107" s="14">
        <v>46087</v>
      </c>
      <c r="S1107" s="14">
        <v>47547</v>
      </c>
      <c r="T1107" s="14">
        <v>53194</v>
      </c>
      <c r="U1107" s="14">
        <v>53888</v>
      </c>
      <c r="V1107" s="14">
        <v>59757</v>
      </c>
      <c r="W1107" s="14">
        <v>65663</v>
      </c>
      <c r="X1107" s="14">
        <v>69679</v>
      </c>
      <c r="Y1107" s="14">
        <v>70515</v>
      </c>
      <c r="Z1107" s="14">
        <v>78933</v>
      </c>
      <c r="AA1107" s="14">
        <v>91230</v>
      </c>
      <c r="AB1107" s="14">
        <v>99832</v>
      </c>
    </row>
    <row r="1108" spans="1:30">
      <c r="A1108" s="45" t="s">
        <v>317</v>
      </c>
      <c r="B1108" s="45" t="s">
        <v>318</v>
      </c>
      <c r="C1108" s="45" t="s">
        <v>490</v>
      </c>
      <c r="D1108" s="45" t="s">
        <v>494</v>
      </c>
      <c r="E1108" s="45" t="s">
        <v>492</v>
      </c>
      <c r="F1108" s="45" t="s">
        <v>493</v>
      </c>
      <c r="G1108" s="14">
        <v>12785</v>
      </c>
      <c r="H1108" s="14">
        <v>13624</v>
      </c>
      <c r="I1108" s="14">
        <v>15727</v>
      </c>
      <c r="J1108" s="14">
        <v>16395</v>
      </c>
      <c r="K1108" s="14">
        <v>18895</v>
      </c>
      <c r="L1108" s="14">
        <v>22871</v>
      </c>
      <c r="M1108" s="14">
        <v>24929</v>
      </c>
      <c r="N1108" s="14">
        <v>28931</v>
      </c>
      <c r="O1108" s="14">
        <v>35368</v>
      </c>
      <c r="P1108" s="14">
        <v>37427</v>
      </c>
      <c r="Q1108" s="14">
        <v>42038</v>
      </c>
      <c r="R1108" s="14">
        <v>44540</v>
      </c>
      <c r="S1108" s="14">
        <v>45616</v>
      </c>
      <c r="T1108" s="14">
        <v>51314</v>
      </c>
      <c r="U1108" s="14">
        <v>52279</v>
      </c>
      <c r="V1108" s="14">
        <v>58157</v>
      </c>
      <c r="W1108" s="14">
        <v>62605</v>
      </c>
      <c r="X1108" s="14">
        <v>66627</v>
      </c>
      <c r="Y1108" s="14">
        <v>67531</v>
      </c>
      <c r="Z1108" s="14">
        <v>75053</v>
      </c>
      <c r="AA1108" s="14"/>
      <c r="AB1108" s="14"/>
    </row>
    <row r="1109" spans="1:30">
      <c r="A1109" s="45" t="s">
        <v>317</v>
      </c>
      <c r="B1109" s="45" t="s">
        <v>318</v>
      </c>
      <c r="C1109" s="45" t="s">
        <v>490</v>
      </c>
      <c r="D1109" s="45" t="s">
        <v>495</v>
      </c>
      <c r="E1109" s="45" t="s">
        <v>492</v>
      </c>
      <c r="F1109" s="45" t="s">
        <v>493</v>
      </c>
      <c r="G1109" s="14">
        <v>872</v>
      </c>
      <c r="H1109" s="14">
        <v>767</v>
      </c>
      <c r="I1109" s="14">
        <v>1384</v>
      </c>
      <c r="J1109" s="14">
        <v>932</v>
      </c>
      <c r="K1109" s="14">
        <v>913</v>
      </c>
      <c r="L1109" s="14">
        <v>1325</v>
      </c>
      <c r="M1109" s="14">
        <v>1210</v>
      </c>
      <c r="N1109" s="14">
        <v>1735</v>
      </c>
      <c r="O1109" s="14">
        <v>5476</v>
      </c>
      <c r="P1109" s="14">
        <v>4061</v>
      </c>
      <c r="Q1109" s="14">
        <v>5466</v>
      </c>
      <c r="R1109" s="14">
        <v>4945</v>
      </c>
      <c r="S1109" s="14">
        <v>4717</v>
      </c>
      <c r="T1109" s="14">
        <v>6259</v>
      </c>
      <c r="U1109" s="14">
        <v>5356</v>
      </c>
      <c r="V1109" s="14">
        <v>8421</v>
      </c>
      <c r="W1109" s="14">
        <v>8201</v>
      </c>
      <c r="X1109" s="14">
        <v>5764</v>
      </c>
      <c r="Y1109" s="14">
        <v>5707</v>
      </c>
      <c r="Z1109" s="14">
        <v>6033</v>
      </c>
      <c r="AA1109" s="14"/>
      <c r="AB1109" s="14"/>
    </row>
    <row r="1110" spans="1:30">
      <c r="A1110" s="45" t="s">
        <v>317</v>
      </c>
      <c r="B1110" s="45" t="s">
        <v>318</v>
      </c>
      <c r="C1110" s="45" t="s">
        <v>490</v>
      </c>
      <c r="D1110" s="45" t="s">
        <v>496</v>
      </c>
      <c r="E1110" s="45" t="s">
        <v>492</v>
      </c>
      <c r="F1110" s="45" t="s">
        <v>493</v>
      </c>
      <c r="G1110" s="14">
        <v>2762</v>
      </c>
      <c r="H1110" s="14">
        <v>3089</v>
      </c>
      <c r="I1110" s="14">
        <v>3463</v>
      </c>
      <c r="J1110" s="14">
        <v>3683</v>
      </c>
      <c r="K1110" s="14">
        <v>4312</v>
      </c>
      <c r="L1110" s="14">
        <v>5070</v>
      </c>
      <c r="M1110" s="14">
        <v>4998</v>
      </c>
      <c r="N1110" s="14">
        <v>5898</v>
      </c>
      <c r="O1110" s="14">
        <v>7194</v>
      </c>
      <c r="P1110" s="14">
        <v>7673</v>
      </c>
      <c r="Q1110" s="14">
        <v>8558</v>
      </c>
      <c r="R1110" s="14">
        <v>9108</v>
      </c>
      <c r="S1110" s="14">
        <v>8803</v>
      </c>
      <c r="T1110" s="14">
        <v>10633</v>
      </c>
      <c r="U1110" s="14">
        <v>11661</v>
      </c>
      <c r="V1110" s="14">
        <v>12071</v>
      </c>
      <c r="W1110" s="14">
        <v>16423</v>
      </c>
      <c r="X1110" s="14">
        <v>18165</v>
      </c>
      <c r="Y1110" s="14">
        <v>17944</v>
      </c>
      <c r="Z1110" s="14">
        <v>21020</v>
      </c>
      <c r="AA1110" s="14"/>
      <c r="AB1110" s="14"/>
    </row>
    <row r="1111" spans="1:30">
      <c r="A1111" s="45" t="s">
        <v>317</v>
      </c>
      <c r="B1111" s="45" t="s">
        <v>318</v>
      </c>
      <c r="C1111" s="45" t="s">
        <v>490</v>
      </c>
      <c r="D1111" s="45" t="s">
        <v>497</v>
      </c>
      <c r="E1111" s="45" t="s">
        <v>492</v>
      </c>
      <c r="F1111" s="45" t="s">
        <v>493</v>
      </c>
      <c r="G1111" s="14">
        <v>8129</v>
      </c>
      <c r="H1111" s="14">
        <v>8662</v>
      </c>
      <c r="I1111" s="14">
        <v>9394</v>
      </c>
      <c r="J1111" s="14">
        <v>10869</v>
      </c>
      <c r="K1111" s="14">
        <v>12355</v>
      </c>
      <c r="L1111" s="14">
        <v>15205</v>
      </c>
      <c r="M1111" s="14">
        <v>16547</v>
      </c>
      <c r="N1111" s="14">
        <v>18621</v>
      </c>
      <c r="O1111" s="14">
        <v>21587</v>
      </c>
      <c r="P1111" s="14">
        <v>24109</v>
      </c>
      <c r="Q1111" s="14">
        <v>27031</v>
      </c>
      <c r="R1111" s="14">
        <v>29302</v>
      </c>
      <c r="S1111" s="14">
        <v>30270</v>
      </c>
      <c r="T1111" s="14">
        <v>33270</v>
      </c>
      <c r="U1111" s="14">
        <v>34228</v>
      </c>
      <c r="V1111" s="14">
        <v>36606</v>
      </c>
      <c r="W1111" s="14">
        <v>36541</v>
      </c>
      <c r="X1111" s="14">
        <v>40967</v>
      </c>
      <c r="Y1111" s="14">
        <v>41699</v>
      </c>
      <c r="Z1111" s="14">
        <v>45523</v>
      </c>
      <c r="AA1111" s="14"/>
      <c r="AB1111" s="14"/>
    </row>
    <row r="1112" spans="1:30">
      <c r="A1112" s="45" t="s">
        <v>317</v>
      </c>
      <c r="B1112" s="45" t="s">
        <v>318</v>
      </c>
      <c r="C1112" s="45" t="s">
        <v>498</v>
      </c>
      <c r="D1112" s="45" t="s">
        <v>491</v>
      </c>
      <c r="E1112" s="45" t="s">
        <v>499</v>
      </c>
      <c r="F1112" s="45" t="s">
        <v>500</v>
      </c>
      <c r="G1112" s="14">
        <v>25061.8</v>
      </c>
      <c r="H1112" s="14">
        <v>23339</v>
      </c>
      <c r="I1112" s="14">
        <v>25109.599999999999</v>
      </c>
      <c r="J1112" s="14">
        <v>24425.200000000001</v>
      </c>
      <c r="K1112" s="14">
        <v>26690.3</v>
      </c>
      <c r="L1112" s="14">
        <v>30375.4</v>
      </c>
      <c r="M1112" s="14">
        <v>30743.200000000001</v>
      </c>
      <c r="N1112" s="14">
        <v>33013.800000000003</v>
      </c>
      <c r="O1112" s="14">
        <v>36710</v>
      </c>
      <c r="P1112" s="14">
        <v>35956.9</v>
      </c>
      <c r="Q1112" s="14">
        <v>37372.6</v>
      </c>
      <c r="R1112" s="14">
        <v>36665.199999999997</v>
      </c>
      <c r="S1112" s="14">
        <v>35074.5</v>
      </c>
      <c r="T1112" s="14">
        <v>36480</v>
      </c>
      <c r="U1112" s="14">
        <v>34185.699999999997</v>
      </c>
      <c r="V1112" s="14">
        <v>36566.400000000001</v>
      </c>
      <c r="W1112" s="14">
        <v>38452.5</v>
      </c>
      <c r="X1112" s="14">
        <v>39150.5</v>
      </c>
      <c r="Y1112" s="14">
        <v>37211.699999999997</v>
      </c>
      <c r="Z1112" s="14">
        <v>36846.5</v>
      </c>
      <c r="AA1112" s="14"/>
      <c r="AB1112" s="14"/>
      <c r="AC1112" s="15">
        <f>IFERROR(Z1112/G1112-1,"")</f>
        <v>0.47022560231108712</v>
      </c>
      <c r="AD1112" s="15">
        <f>IFERROR((Z1112/G1112)^(1/19)-1,"")</f>
        <v>2.0492185034887589E-2</v>
      </c>
    </row>
    <row r="1113" spans="1:30">
      <c r="A1113" s="45" t="s">
        <v>317</v>
      </c>
      <c r="B1113" s="45" t="s">
        <v>318</v>
      </c>
      <c r="C1113" s="45" t="s">
        <v>498</v>
      </c>
      <c r="D1113" s="45" t="s">
        <v>495</v>
      </c>
      <c r="E1113" s="45" t="s">
        <v>499</v>
      </c>
      <c r="F1113" s="45" t="s">
        <v>500</v>
      </c>
      <c r="G1113" s="14">
        <v>1656.9</v>
      </c>
      <c r="H1113" s="14">
        <v>1276.7</v>
      </c>
      <c r="I1113" s="14">
        <v>2138.6</v>
      </c>
      <c r="J1113" s="14">
        <v>1340.4</v>
      </c>
      <c r="K1113" s="14">
        <v>1230</v>
      </c>
      <c r="L1113" s="14">
        <v>1676.6</v>
      </c>
      <c r="M1113" s="14">
        <v>1408.4</v>
      </c>
      <c r="N1113" s="14">
        <v>1881.1</v>
      </c>
      <c r="O1113" s="14">
        <v>5476</v>
      </c>
      <c r="P1113" s="14">
        <v>3749.1</v>
      </c>
      <c r="Q1113" s="14">
        <v>4674.8999999999996</v>
      </c>
      <c r="R1113" s="14">
        <v>3934.1</v>
      </c>
      <c r="S1113" s="14">
        <v>3479.6</v>
      </c>
      <c r="T1113" s="14">
        <v>4292.3999999999996</v>
      </c>
      <c r="U1113" s="14">
        <v>3397.8</v>
      </c>
      <c r="V1113" s="14">
        <v>5153</v>
      </c>
      <c r="W1113" s="14">
        <v>4802.5</v>
      </c>
      <c r="X1113" s="14">
        <v>3238.6</v>
      </c>
      <c r="Y1113" s="14">
        <v>3011.7</v>
      </c>
      <c r="Z1113" s="14">
        <v>2816.2</v>
      </c>
      <c r="AA1113" s="14"/>
      <c r="AB1113" s="14"/>
      <c r="AC1113" s="15">
        <f>IFERROR(Z1113/G1113-1,"")</f>
        <v>0.69968012553563863</v>
      </c>
      <c r="AD1113" s="15">
        <f>IFERROR((Z1113/G1113)^(1/19)-1,"")</f>
        <v>2.831125508115595E-2</v>
      </c>
    </row>
    <row r="1114" spans="1:30">
      <c r="A1114" s="45" t="s">
        <v>317</v>
      </c>
      <c r="B1114" s="45" t="s">
        <v>318</v>
      </c>
      <c r="C1114" s="45" t="s">
        <v>498</v>
      </c>
      <c r="D1114" s="45" t="s">
        <v>496</v>
      </c>
      <c r="E1114" s="45" t="s">
        <v>499</v>
      </c>
      <c r="F1114" s="45" t="s">
        <v>500</v>
      </c>
      <c r="G1114" s="14">
        <v>5246.2</v>
      </c>
      <c r="H1114" s="14">
        <v>5144.1000000000004</v>
      </c>
      <c r="I1114" s="14">
        <v>5351</v>
      </c>
      <c r="J1114" s="14">
        <v>5297.4</v>
      </c>
      <c r="K1114" s="14">
        <v>5809.5</v>
      </c>
      <c r="L1114" s="14">
        <v>6417</v>
      </c>
      <c r="M1114" s="14">
        <v>5815.9</v>
      </c>
      <c r="N1114" s="14">
        <v>6394.8</v>
      </c>
      <c r="O1114" s="14">
        <v>7194</v>
      </c>
      <c r="P1114" s="14">
        <v>7083.7</v>
      </c>
      <c r="Q1114" s="14">
        <v>7319.4</v>
      </c>
      <c r="R1114" s="14">
        <v>7246</v>
      </c>
      <c r="S1114" s="14">
        <v>6493.8</v>
      </c>
      <c r="T1114" s="14">
        <v>7292</v>
      </c>
      <c r="U1114" s="14">
        <v>7397.6</v>
      </c>
      <c r="V1114" s="14">
        <v>7386.5</v>
      </c>
      <c r="W1114" s="14">
        <v>9617.4</v>
      </c>
      <c r="X1114" s="14">
        <v>10206.4</v>
      </c>
      <c r="Y1114" s="14">
        <v>9469.2999999999993</v>
      </c>
      <c r="Z1114" s="14">
        <v>9812.7999999999993</v>
      </c>
      <c r="AA1114" s="14"/>
      <c r="AB1114" s="14"/>
      <c r="AC1114" s="15">
        <f>IFERROR(Z1114/G1114-1,"")</f>
        <v>0.8704586176661202</v>
      </c>
      <c r="AD1114" s="15">
        <f>IFERROR((Z1114/G1114)^(1/19)-1,"")</f>
        <v>3.3506132928628141E-2</v>
      </c>
    </row>
    <row r="1115" spans="1:30">
      <c r="A1115" s="45" t="s">
        <v>317</v>
      </c>
      <c r="B1115" s="45" t="s">
        <v>318</v>
      </c>
      <c r="C1115" s="45" t="s">
        <v>498</v>
      </c>
      <c r="D1115" s="45" t="s">
        <v>497</v>
      </c>
      <c r="E1115" s="45" t="s">
        <v>499</v>
      </c>
      <c r="F1115" s="45" t="s">
        <v>500</v>
      </c>
      <c r="G1115" s="14">
        <v>15442.5</v>
      </c>
      <c r="H1115" s="14">
        <v>14422.5</v>
      </c>
      <c r="I1115" s="14">
        <v>14516.5</v>
      </c>
      <c r="J1115" s="14">
        <v>15634</v>
      </c>
      <c r="K1115" s="14">
        <v>16644.599999999999</v>
      </c>
      <c r="L1115" s="14">
        <v>19244.099999999999</v>
      </c>
      <c r="M1115" s="14">
        <v>19252.5</v>
      </c>
      <c r="N1115" s="14">
        <v>20189.5</v>
      </c>
      <c r="O1115" s="14">
        <v>21587</v>
      </c>
      <c r="P1115" s="14">
        <v>22257.5</v>
      </c>
      <c r="Q1115" s="14">
        <v>23118.7</v>
      </c>
      <c r="R1115" s="14">
        <v>23311.599999999999</v>
      </c>
      <c r="S1115" s="14">
        <v>22329.599999999999</v>
      </c>
      <c r="T1115" s="14">
        <v>22816.3</v>
      </c>
      <c r="U1115" s="14">
        <v>21713.7</v>
      </c>
      <c r="V1115" s="14">
        <v>22399.9</v>
      </c>
      <c r="W1115" s="14">
        <v>21398.6</v>
      </c>
      <c r="X1115" s="14">
        <v>23018.1</v>
      </c>
      <c r="Y1115" s="14">
        <v>22005.1</v>
      </c>
      <c r="Z1115" s="14">
        <v>21250.9</v>
      </c>
      <c r="AA1115" s="14"/>
      <c r="AB1115" s="14"/>
      <c r="AC1115" s="15">
        <f>IFERROR(Z1115/G1115-1,"")</f>
        <v>0.376130807835519</v>
      </c>
      <c r="AD1115" s="15">
        <f>IFERROR((Z1115/G1115)^(1/19)-1,"")</f>
        <v>1.6945970610628969E-2</v>
      </c>
    </row>
    <row r="1116" spans="1:30">
      <c r="A1116" s="45" t="s">
        <v>317</v>
      </c>
      <c r="B1116" s="45" t="s">
        <v>318</v>
      </c>
      <c r="C1116" s="45" t="s">
        <v>498</v>
      </c>
      <c r="D1116" s="45" t="s">
        <v>501</v>
      </c>
      <c r="E1116" s="45" t="s">
        <v>499</v>
      </c>
      <c r="F1116" s="45" t="s">
        <v>500</v>
      </c>
      <c r="G1116" s="14">
        <v>1942</v>
      </c>
      <c r="H1116" s="14">
        <v>1842.1</v>
      </c>
      <c r="I1116" s="14">
        <v>2297.6</v>
      </c>
      <c r="J1116" s="14">
        <v>1311.8</v>
      </c>
      <c r="K1116" s="14">
        <v>1770.6</v>
      </c>
      <c r="L1116" s="14">
        <v>1610</v>
      </c>
      <c r="M1116" s="14">
        <v>2529.1</v>
      </c>
      <c r="N1116" s="14">
        <v>2902.5</v>
      </c>
      <c r="O1116" s="14">
        <v>1112</v>
      </c>
      <c r="P1116" s="14">
        <v>1461.4</v>
      </c>
      <c r="Q1116" s="14">
        <v>839.9</v>
      </c>
      <c r="R1116" s="14">
        <v>942.7</v>
      </c>
      <c r="S1116" s="14">
        <v>1347</v>
      </c>
      <c r="T1116" s="14">
        <v>790</v>
      </c>
      <c r="U1116" s="14">
        <v>655.29999999999995</v>
      </c>
      <c r="V1116" s="14">
        <v>648.6</v>
      </c>
      <c r="W1116" s="14">
        <v>843.3</v>
      </c>
      <c r="X1116" s="14">
        <v>972.6</v>
      </c>
      <c r="Y1116" s="14">
        <v>1151.5</v>
      </c>
      <c r="Z1116" s="14">
        <v>1155.8</v>
      </c>
      <c r="AA1116" s="14"/>
      <c r="AB1116" s="14"/>
      <c r="AC1116" s="15">
        <f>IFERROR(Z1116/G1116-1,"")</f>
        <v>-0.40484037075180224</v>
      </c>
      <c r="AD1116" s="15">
        <f>IFERROR((Z1116/G1116)^(1/19)-1,"")</f>
        <v>-2.6942278178639811E-2</v>
      </c>
    </row>
    <row r="1117" spans="1:30">
      <c r="A1117" s="45" t="s">
        <v>229</v>
      </c>
      <c r="B1117" s="45" t="s">
        <v>230</v>
      </c>
      <c r="C1117" s="45" t="s">
        <v>490</v>
      </c>
      <c r="D1117" s="45" t="s">
        <v>491</v>
      </c>
      <c r="E1117" s="45" t="s">
        <v>492</v>
      </c>
      <c r="F1117" s="45" t="s">
        <v>493</v>
      </c>
      <c r="G1117" s="14">
        <v>97930</v>
      </c>
      <c r="H1117" s="14">
        <v>121407</v>
      </c>
      <c r="I1117" s="14">
        <v>221218</v>
      </c>
      <c r="J1117" s="14">
        <v>313337</v>
      </c>
      <c r="K1117" s="14">
        <v>307590</v>
      </c>
      <c r="L1117" s="14">
        <v>234476</v>
      </c>
      <c r="M1117" s="14">
        <v>242439</v>
      </c>
      <c r="N1117" s="14">
        <v>137026</v>
      </c>
      <c r="O1117" s="14">
        <v>200608</v>
      </c>
      <c r="P1117" s="14">
        <v>282331</v>
      </c>
      <c r="Q1117" s="14">
        <v>272060</v>
      </c>
      <c r="R1117" s="14">
        <v>249993</v>
      </c>
      <c r="S1117" s="14">
        <v>207416</v>
      </c>
      <c r="T1117" s="14">
        <v>123185</v>
      </c>
      <c r="U1117" s="14">
        <v>83444</v>
      </c>
      <c r="V1117" s="14">
        <v>117667</v>
      </c>
      <c r="W1117" s="14">
        <v>154660</v>
      </c>
      <c r="X1117" s="14">
        <v>153761</v>
      </c>
      <c r="Y1117" s="14">
        <v>126576</v>
      </c>
      <c r="Z1117" s="14">
        <v>149471</v>
      </c>
      <c r="AA1117" s="14">
        <v>172748</v>
      </c>
      <c r="AB1117" s="14">
        <v>170409</v>
      </c>
    </row>
    <row r="1118" spans="1:30">
      <c r="A1118" s="45" t="s">
        <v>229</v>
      </c>
      <c r="B1118" s="45" t="s">
        <v>230</v>
      </c>
      <c r="C1118" s="45" t="s">
        <v>490</v>
      </c>
      <c r="D1118" s="45" t="s">
        <v>494</v>
      </c>
      <c r="E1118" s="45" t="s">
        <v>492</v>
      </c>
      <c r="F1118" s="45" t="s">
        <v>493</v>
      </c>
      <c r="G1118" s="14">
        <v>96475</v>
      </c>
      <c r="H1118" s="14">
        <v>119617</v>
      </c>
      <c r="I1118" s="14">
        <v>218000</v>
      </c>
      <c r="J1118" s="14">
        <v>310062</v>
      </c>
      <c r="K1118" s="14">
        <v>304437</v>
      </c>
      <c r="L1118" s="14">
        <v>231560</v>
      </c>
      <c r="M1118" s="14">
        <v>239279</v>
      </c>
      <c r="N1118" s="14">
        <v>134271</v>
      </c>
      <c r="O1118" s="14">
        <v>197397</v>
      </c>
      <c r="P1118" s="14">
        <v>278524</v>
      </c>
      <c r="Q1118" s="14">
        <v>267456</v>
      </c>
      <c r="R1118" s="14">
        <v>244657</v>
      </c>
      <c r="S1118" s="14">
        <v>202956</v>
      </c>
      <c r="T1118" s="14">
        <v>118617</v>
      </c>
      <c r="U1118" s="14">
        <v>80652</v>
      </c>
      <c r="V1118" s="14">
        <v>114290</v>
      </c>
      <c r="W1118" s="14">
        <v>150217</v>
      </c>
      <c r="X1118" s="14">
        <v>148775</v>
      </c>
      <c r="Y1118" s="14">
        <v>122035</v>
      </c>
      <c r="Z1118" s="14">
        <v>142925</v>
      </c>
      <c r="AA1118" s="14"/>
      <c r="AB1118" s="14"/>
    </row>
    <row r="1119" spans="1:30">
      <c r="A1119" s="45" t="s">
        <v>229</v>
      </c>
      <c r="B1119" s="45" t="s">
        <v>230</v>
      </c>
      <c r="C1119" s="45" t="s">
        <v>490</v>
      </c>
      <c r="D1119" s="45" t="s">
        <v>495</v>
      </c>
      <c r="E1119" s="45" t="s">
        <v>492</v>
      </c>
      <c r="F1119" s="45" t="s">
        <v>493</v>
      </c>
      <c r="G1119" s="14">
        <v>74701</v>
      </c>
      <c r="H1119" s="14">
        <v>92238</v>
      </c>
      <c r="I1119" s="14">
        <v>164186</v>
      </c>
      <c r="J1119" s="14">
        <v>249360</v>
      </c>
      <c r="K1119" s="14">
        <v>238901</v>
      </c>
      <c r="L1119" s="14">
        <v>178388</v>
      </c>
      <c r="M1119" s="14">
        <v>187683</v>
      </c>
      <c r="N1119" s="14">
        <v>91326</v>
      </c>
      <c r="O1119" s="14">
        <v>139729</v>
      </c>
      <c r="P1119" s="14">
        <v>204287</v>
      </c>
      <c r="Q1119" s="14">
        <v>195430</v>
      </c>
      <c r="R1119" s="14">
        <v>167006</v>
      </c>
      <c r="S1119" s="14">
        <v>130928</v>
      </c>
      <c r="T1119" s="14">
        <v>59858</v>
      </c>
      <c r="U1119" s="14">
        <v>25380</v>
      </c>
      <c r="V1119" s="14">
        <v>43220</v>
      </c>
      <c r="W1119" s="14">
        <v>71472</v>
      </c>
      <c r="X1119" s="14">
        <v>64630</v>
      </c>
      <c r="Y1119" s="14">
        <v>42664</v>
      </c>
      <c r="Z1119" s="14">
        <v>59725</v>
      </c>
      <c r="AA1119" s="14"/>
      <c r="AB1119" s="14"/>
    </row>
    <row r="1120" spans="1:30">
      <c r="A1120" s="45" t="s">
        <v>229</v>
      </c>
      <c r="B1120" s="45" t="s">
        <v>230</v>
      </c>
      <c r="C1120" s="45" t="s">
        <v>490</v>
      </c>
      <c r="D1120" s="45" t="s">
        <v>496</v>
      </c>
      <c r="E1120" s="45" t="s">
        <v>492</v>
      </c>
      <c r="F1120" s="45" t="s">
        <v>493</v>
      </c>
      <c r="G1120" s="14">
        <v>14793</v>
      </c>
      <c r="H1120" s="14">
        <v>18421</v>
      </c>
      <c r="I1120" s="14">
        <v>44028</v>
      </c>
      <c r="J1120" s="14">
        <v>48789</v>
      </c>
      <c r="K1120" s="14">
        <v>49658</v>
      </c>
      <c r="L1120" s="14">
        <v>36785</v>
      </c>
      <c r="M1120" s="14">
        <v>31606</v>
      </c>
      <c r="N1120" s="14">
        <v>22222</v>
      </c>
      <c r="O1120" s="14">
        <v>34544</v>
      </c>
      <c r="P1120" s="14">
        <v>48701</v>
      </c>
      <c r="Q1120" s="14">
        <v>45737</v>
      </c>
      <c r="R1120" s="14">
        <v>47196</v>
      </c>
      <c r="S1120" s="14">
        <v>38226</v>
      </c>
      <c r="T1120" s="14">
        <v>24491</v>
      </c>
      <c r="U1120" s="14">
        <v>16914</v>
      </c>
      <c r="V1120" s="14">
        <v>24013</v>
      </c>
      <c r="W1120" s="14">
        <v>30580</v>
      </c>
      <c r="X1120" s="14">
        <v>32072</v>
      </c>
      <c r="Y1120" s="14">
        <v>28451</v>
      </c>
      <c r="Z1120" s="14">
        <v>31046</v>
      </c>
      <c r="AA1120" s="14"/>
      <c r="AB1120" s="14"/>
    </row>
    <row r="1121" spans="1:30">
      <c r="A1121" s="45" t="s">
        <v>229</v>
      </c>
      <c r="B1121" s="45" t="s">
        <v>230</v>
      </c>
      <c r="C1121" s="45" t="s">
        <v>490</v>
      </c>
      <c r="D1121" s="45" t="s">
        <v>497</v>
      </c>
      <c r="E1121" s="45" t="s">
        <v>492</v>
      </c>
      <c r="F1121" s="45" t="s">
        <v>493</v>
      </c>
      <c r="G1121" s="14">
        <v>5791</v>
      </c>
      <c r="H1121" s="14">
        <v>6703</v>
      </c>
      <c r="I1121" s="14">
        <v>7664</v>
      </c>
      <c r="J1121" s="14">
        <v>9662</v>
      </c>
      <c r="K1121" s="14">
        <v>13134</v>
      </c>
      <c r="L1121" s="14">
        <v>13968</v>
      </c>
      <c r="M1121" s="14">
        <v>17361</v>
      </c>
      <c r="N1121" s="14">
        <v>17075</v>
      </c>
      <c r="O1121" s="14">
        <v>19743</v>
      </c>
      <c r="P1121" s="14">
        <v>21381</v>
      </c>
      <c r="Q1121" s="14">
        <v>22395</v>
      </c>
      <c r="R1121" s="14">
        <v>25318</v>
      </c>
      <c r="S1121" s="14">
        <v>28748</v>
      </c>
      <c r="T1121" s="14">
        <v>29584</v>
      </c>
      <c r="U1121" s="14">
        <v>33105</v>
      </c>
      <c r="V1121" s="14">
        <v>38792</v>
      </c>
      <c r="W1121" s="14">
        <v>39981</v>
      </c>
      <c r="X1121" s="14">
        <v>42914</v>
      </c>
      <c r="Y1121" s="14">
        <v>42621</v>
      </c>
      <c r="Z1121" s="14">
        <v>44488</v>
      </c>
      <c r="AA1121" s="14"/>
      <c r="AB1121" s="14"/>
    </row>
    <row r="1122" spans="1:30">
      <c r="A1122" s="45" t="s">
        <v>229</v>
      </c>
      <c r="B1122" s="45" t="s">
        <v>230</v>
      </c>
      <c r="C1122" s="45" t="s">
        <v>498</v>
      </c>
      <c r="D1122" s="45" t="s">
        <v>491</v>
      </c>
      <c r="E1122" s="45" t="s">
        <v>499</v>
      </c>
      <c r="F1122" s="45" t="s">
        <v>500</v>
      </c>
      <c r="G1122" s="14">
        <v>186043</v>
      </c>
      <c r="H1122" s="14">
        <v>202155.9</v>
      </c>
      <c r="I1122" s="14">
        <v>341853</v>
      </c>
      <c r="J1122" s="14">
        <v>450712.6</v>
      </c>
      <c r="K1122" s="14">
        <v>414375.1</v>
      </c>
      <c r="L1122" s="14">
        <v>296769.09999999998</v>
      </c>
      <c r="M1122" s="14">
        <v>282084.8</v>
      </c>
      <c r="N1122" s="14">
        <v>148568.20000000001</v>
      </c>
      <c r="O1122" s="14">
        <v>200608</v>
      </c>
      <c r="P1122" s="14">
        <v>260648.7</v>
      </c>
      <c r="Q1122" s="14">
        <v>232684.1</v>
      </c>
      <c r="R1122" s="14">
        <v>198885.4</v>
      </c>
      <c r="S1122" s="14">
        <v>153006.70000000001</v>
      </c>
      <c r="T1122" s="14">
        <v>84479.3</v>
      </c>
      <c r="U1122" s="14">
        <v>52935.5</v>
      </c>
      <c r="V1122" s="14">
        <v>72002.600000000006</v>
      </c>
      <c r="W1122" s="14">
        <v>90569.5</v>
      </c>
      <c r="X1122" s="14">
        <v>86393.600000000006</v>
      </c>
      <c r="Y1122" s="14">
        <v>66795.8</v>
      </c>
      <c r="Z1122" s="14">
        <v>69774.2</v>
      </c>
      <c r="AA1122" s="14"/>
      <c r="AB1122" s="14"/>
      <c r="AC1122" s="15">
        <f>IFERROR(Z1122/G1122-1,"")</f>
        <v>-0.6249565960557506</v>
      </c>
      <c r="AD1122" s="15">
        <f>IFERROR((Z1122/G1122)^(1/19)-1,"")</f>
        <v>-5.0306996510438684E-2</v>
      </c>
    </row>
    <row r="1123" spans="1:30">
      <c r="A1123" s="45" t="s">
        <v>229</v>
      </c>
      <c r="B1123" s="45" t="s">
        <v>230</v>
      </c>
      <c r="C1123" s="45" t="s">
        <v>498</v>
      </c>
      <c r="D1123" s="45" t="s">
        <v>495</v>
      </c>
      <c r="E1123" s="45" t="s">
        <v>499</v>
      </c>
      <c r="F1123" s="45" t="s">
        <v>500</v>
      </c>
      <c r="G1123" s="14">
        <v>141913.5</v>
      </c>
      <c r="H1123" s="14">
        <v>153587.5</v>
      </c>
      <c r="I1123" s="14">
        <v>253720.3</v>
      </c>
      <c r="J1123" s="14">
        <v>358686.5</v>
      </c>
      <c r="K1123" s="14">
        <v>321840</v>
      </c>
      <c r="L1123" s="14">
        <v>225780.1</v>
      </c>
      <c r="M1123" s="14">
        <v>218375.1</v>
      </c>
      <c r="N1123" s="14">
        <v>99018.7</v>
      </c>
      <c r="O1123" s="14">
        <v>139729</v>
      </c>
      <c r="P1123" s="14">
        <v>188598.3</v>
      </c>
      <c r="Q1123" s="14">
        <v>167144.9</v>
      </c>
      <c r="R1123" s="14">
        <v>132864</v>
      </c>
      <c r="S1123" s="14">
        <v>96583</v>
      </c>
      <c r="T1123" s="14">
        <v>41050.1</v>
      </c>
      <c r="U1123" s="14">
        <v>16100.7</v>
      </c>
      <c r="V1123" s="14">
        <v>26447.1</v>
      </c>
      <c r="W1123" s="14">
        <v>41854.300000000003</v>
      </c>
      <c r="X1123" s="14">
        <v>36313.599999999999</v>
      </c>
      <c r="Y1123" s="14">
        <v>22514.3</v>
      </c>
      <c r="Z1123" s="14">
        <v>27880.1</v>
      </c>
      <c r="AA1123" s="14"/>
      <c r="AB1123" s="14"/>
      <c r="AC1123" s="15">
        <f>IFERROR(Z1123/G1123-1,"")</f>
        <v>-0.80354159399916147</v>
      </c>
      <c r="AD1123" s="15">
        <f>IFERROR((Z1123/G1123)^(1/19)-1,"")</f>
        <v>-8.2082358564970259E-2</v>
      </c>
    </row>
    <row r="1124" spans="1:30">
      <c r="A1124" s="45" t="s">
        <v>229</v>
      </c>
      <c r="B1124" s="45" t="s">
        <v>230</v>
      </c>
      <c r="C1124" s="45" t="s">
        <v>498</v>
      </c>
      <c r="D1124" s="45" t="s">
        <v>496</v>
      </c>
      <c r="E1124" s="45" t="s">
        <v>499</v>
      </c>
      <c r="F1124" s="45" t="s">
        <v>500</v>
      </c>
      <c r="G1124" s="14">
        <v>28102.1</v>
      </c>
      <c r="H1124" s="14">
        <v>30673.8</v>
      </c>
      <c r="I1124" s="14">
        <v>68037.5</v>
      </c>
      <c r="J1124" s="14">
        <v>70179.5</v>
      </c>
      <c r="K1124" s="14">
        <v>66898</v>
      </c>
      <c r="L1124" s="14">
        <v>46557.8</v>
      </c>
      <c r="M1124" s="14">
        <v>36774</v>
      </c>
      <c r="N1124" s="14">
        <v>24093.8</v>
      </c>
      <c r="O1124" s="14">
        <v>34544</v>
      </c>
      <c r="P1124" s="14">
        <v>44960.9</v>
      </c>
      <c r="Q1124" s="14">
        <v>39117.4</v>
      </c>
      <c r="R1124" s="14">
        <v>37547.4</v>
      </c>
      <c r="S1124" s="14">
        <v>28198.6</v>
      </c>
      <c r="T1124" s="14">
        <v>16795.7</v>
      </c>
      <c r="U1124" s="14">
        <v>10730</v>
      </c>
      <c r="V1124" s="14">
        <v>14694</v>
      </c>
      <c r="W1124" s="14">
        <v>17907.8</v>
      </c>
      <c r="X1124" s="14">
        <v>18020.3</v>
      </c>
      <c r="Y1124" s="14">
        <v>15014</v>
      </c>
      <c r="Z1124" s="14">
        <v>14492.5</v>
      </c>
      <c r="AA1124" s="14"/>
      <c r="AB1124" s="14"/>
      <c r="AC1124" s="15">
        <f>IFERROR(Z1124/G1124-1,"")</f>
        <v>-0.48429120955373439</v>
      </c>
      <c r="AD1124" s="15">
        <f>IFERROR((Z1124/G1124)^(1/19)-1,"")</f>
        <v>-3.4252935933099748E-2</v>
      </c>
    </row>
    <row r="1125" spans="1:30">
      <c r="A1125" s="45" t="s">
        <v>229</v>
      </c>
      <c r="B1125" s="45" t="s">
        <v>230</v>
      </c>
      <c r="C1125" s="45" t="s">
        <v>498</v>
      </c>
      <c r="D1125" s="45" t="s">
        <v>497</v>
      </c>
      <c r="E1125" s="45" t="s">
        <v>499</v>
      </c>
      <c r="F1125" s="45" t="s">
        <v>500</v>
      </c>
      <c r="G1125" s="14">
        <v>11000.8</v>
      </c>
      <c r="H1125" s="14">
        <v>11161.1</v>
      </c>
      <c r="I1125" s="14">
        <v>11843.2</v>
      </c>
      <c r="J1125" s="14">
        <v>13898.2</v>
      </c>
      <c r="K1125" s="14">
        <v>17693.8</v>
      </c>
      <c r="L1125" s="14">
        <v>17678.599999999999</v>
      </c>
      <c r="M1125" s="14">
        <v>20199.599999999999</v>
      </c>
      <c r="N1125" s="14">
        <v>18513.3</v>
      </c>
      <c r="O1125" s="14">
        <v>19743</v>
      </c>
      <c r="P1125" s="14">
        <v>19739</v>
      </c>
      <c r="Q1125" s="14">
        <v>19153.7</v>
      </c>
      <c r="R1125" s="14">
        <v>20142.099999999999</v>
      </c>
      <c r="S1125" s="14">
        <v>21206.799999999999</v>
      </c>
      <c r="T1125" s="14">
        <v>20288.5</v>
      </c>
      <c r="U1125" s="14">
        <v>21001.3</v>
      </c>
      <c r="V1125" s="14">
        <v>23737.5</v>
      </c>
      <c r="W1125" s="14">
        <v>23413</v>
      </c>
      <c r="X1125" s="14">
        <v>24112.1</v>
      </c>
      <c r="Y1125" s="14">
        <v>22491.7</v>
      </c>
      <c r="Z1125" s="14">
        <v>20767.8</v>
      </c>
      <c r="AA1125" s="14"/>
      <c r="AB1125" s="14"/>
      <c r="AC1125" s="15">
        <f>IFERROR(Z1125/G1125-1,"")</f>
        <v>0.88784452039851658</v>
      </c>
      <c r="AD1125" s="15">
        <f>IFERROR((Z1125/G1125)^(1/19)-1,"")</f>
        <v>3.40095219435812E-2</v>
      </c>
    </row>
    <row r="1126" spans="1:30">
      <c r="A1126" s="45" t="s">
        <v>229</v>
      </c>
      <c r="B1126" s="45" t="s">
        <v>230</v>
      </c>
      <c r="C1126" s="45" t="s">
        <v>498</v>
      </c>
      <c r="D1126" s="45" t="s">
        <v>501</v>
      </c>
      <c r="E1126" s="45" t="s">
        <v>499</v>
      </c>
      <c r="F1126" s="45" t="s">
        <v>500</v>
      </c>
      <c r="G1126" s="14">
        <v>2261.1999999999998</v>
      </c>
      <c r="H1126" s="14">
        <v>3753.3</v>
      </c>
      <c r="I1126" s="14">
        <v>3278.8</v>
      </c>
      <c r="J1126" s="14">
        <v>3237.4</v>
      </c>
      <c r="K1126" s="14">
        <v>3696</v>
      </c>
      <c r="L1126" s="14">
        <v>3061.6</v>
      </c>
      <c r="M1126" s="14">
        <v>3059</v>
      </c>
      <c r="N1126" s="14">
        <v>3956.4</v>
      </c>
      <c r="O1126" s="14">
        <v>3381</v>
      </c>
      <c r="P1126" s="14">
        <v>3835.9</v>
      </c>
      <c r="Q1126" s="14">
        <v>3329.6</v>
      </c>
      <c r="R1126" s="14">
        <v>4086.8</v>
      </c>
      <c r="S1126" s="14">
        <v>3728.2</v>
      </c>
      <c r="T1126" s="14">
        <v>3212.3</v>
      </c>
      <c r="U1126" s="14">
        <v>3332.4</v>
      </c>
      <c r="V1126" s="14">
        <v>5058.1000000000004</v>
      </c>
      <c r="W1126" s="14">
        <v>4793.2</v>
      </c>
      <c r="X1126" s="14">
        <v>5145.6000000000004</v>
      </c>
      <c r="Y1126" s="14">
        <v>4379.5</v>
      </c>
      <c r="Z1126" s="14">
        <v>3578.5</v>
      </c>
      <c r="AA1126" s="14"/>
      <c r="AB1126" s="14"/>
      <c r="AC1126" s="15">
        <f>IFERROR(Z1126/G1126-1,"")</f>
        <v>0.58256677870157447</v>
      </c>
      <c r="AD1126" s="15">
        <f>IFERROR((Z1126/G1126)^(1/19)-1,"")</f>
        <v>2.4454652704833491E-2</v>
      </c>
    </row>
    <row r="1127" spans="1:30">
      <c r="A1127" s="45" t="s">
        <v>275</v>
      </c>
      <c r="B1127" s="45" t="s">
        <v>276</v>
      </c>
      <c r="C1127" s="45" t="s">
        <v>490</v>
      </c>
      <c r="D1127" s="45" t="s">
        <v>491</v>
      </c>
      <c r="E1127" s="45" t="s">
        <v>492</v>
      </c>
      <c r="F1127" s="45" t="s">
        <v>493</v>
      </c>
      <c r="G1127" s="14">
        <v>16015</v>
      </c>
      <c r="H1127" s="14">
        <v>22455</v>
      </c>
      <c r="I1127" s="14">
        <v>23162</v>
      </c>
      <c r="J1127" s="14">
        <v>25214</v>
      </c>
      <c r="K1127" s="14">
        <v>27470</v>
      </c>
      <c r="L1127" s="14">
        <v>35098</v>
      </c>
      <c r="M1127" s="14">
        <v>39794</v>
      </c>
      <c r="N1127" s="14">
        <v>40457</v>
      </c>
      <c r="O1127" s="14">
        <v>42737</v>
      </c>
      <c r="P1127" s="14">
        <v>46096</v>
      </c>
      <c r="Q1127" s="14">
        <v>51239</v>
      </c>
      <c r="R1127" s="14">
        <v>55984</v>
      </c>
      <c r="S1127" s="14">
        <v>59477</v>
      </c>
      <c r="T1127" s="14">
        <v>66639</v>
      </c>
      <c r="U1127" s="14">
        <v>71644</v>
      </c>
      <c r="V1127" s="14">
        <v>77804</v>
      </c>
      <c r="W1127" s="14">
        <v>79916</v>
      </c>
      <c r="X1127" s="14">
        <v>89545</v>
      </c>
      <c r="Y1127" s="14">
        <v>100669</v>
      </c>
      <c r="Z1127" s="14">
        <v>109306</v>
      </c>
      <c r="AA1127" s="14">
        <v>137082</v>
      </c>
      <c r="AB1127" s="14">
        <v>150413</v>
      </c>
    </row>
    <row r="1128" spans="1:30">
      <c r="A1128" s="45" t="s">
        <v>275</v>
      </c>
      <c r="B1128" s="45" t="s">
        <v>276</v>
      </c>
      <c r="C1128" s="45" t="s">
        <v>490</v>
      </c>
      <c r="D1128" s="45" t="s">
        <v>494</v>
      </c>
      <c r="E1128" s="45" t="s">
        <v>492</v>
      </c>
      <c r="F1128" s="45" t="s">
        <v>493</v>
      </c>
      <c r="G1128" s="14">
        <v>15332</v>
      </c>
      <c r="H1128" s="14">
        <v>21661</v>
      </c>
      <c r="I1128" s="14">
        <v>22291</v>
      </c>
      <c r="J1128" s="14">
        <v>24201</v>
      </c>
      <c r="K1128" s="14">
        <v>25874</v>
      </c>
      <c r="L1128" s="14">
        <v>32190</v>
      </c>
      <c r="M1128" s="14">
        <v>36739</v>
      </c>
      <c r="N1128" s="14">
        <v>38108</v>
      </c>
      <c r="O1128" s="14">
        <v>39924</v>
      </c>
      <c r="P1128" s="14">
        <v>42970</v>
      </c>
      <c r="Q1128" s="14">
        <v>47458</v>
      </c>
      <c r="R1128" s="14">
        <v>53070</v>
      </c>
      <c r="S1128" s="14">
        <v>56298</v>
      </c>
      <c r="T1128" s="14">
        <v>63121</v>
      </c>
      <c r="U1128" s="14">
        <v>69052</v>
      </c>
      <c r="V1128" s="14">
        <v>75353</v>
      </c>
      <c r="W1128" s="14">
        <v>76828</v>
      </c>
      <c r="X1128" s="14">
        <v>85698</v>
      </c>
      <c r="Y1128" s="14">
        <v>95145</v>
      </c>
      <c r="Z1128" s="14">
        <v>101996</v>
      </c>
      <c r="AA1128" s="14"/>
      <c r="AB1128" s="14"/>
    </row>
    <row r="1129" spans="1:30">
      <c r="A1129" s="45" t="s">
        <v>275</v>
      </c>
      <c r="B1129" s="45" t="s">
        <v>276</v>
      </c>
      <c r="C1129" s="45" t="s">
        <v>490</v>
      </c>
      <c r="D1129" s="45" t="s">
        <v>495</v>
      </c>
      <c r="E1129" s="45" t="s">
        <v>492</v>
      </c>
      <c r="F1129" s="45" t="s">
        <v>493</v>
      </c>
      <c r="G1129" s="14">
        <v>970</v>
      </c>
      <c r="H1129" s="14">
        <v>865</v>
      </c>
      <c r="I1129" s="14">
        <v>920</v>
      </c>
      <c r="J1129" s="14">
        <v>1012</v>
      </c>
      <c r="K1129" s="14">
        <v>1103</v>
      </c>
      <c r="L1129" s="14">
        <v>1353</v>
      </c>
      <c r="M1129" s="14">
        <v>1393</v>
      </c>
      <c r="N1129" s="14">
        <v>1458</v>
      </c>
      <c r="O1129" s="14">
        <v>1338</v>
      </c>
      <c r="P1129" s="14">
        <v>1493</v>
      </c>
      <c r="Q1129" s="14">
        <v>1758</v>
      </c>
      <c r="R1129" s="14">
        <v>1758</v>
      </c>
      <c r="S1129" s="14">
        <v>1839</v>
      </c>
      <c r="T1129" s="14">
        <v>2244</v>
      </c>
      <c r="U1129" s="14">
        <v>2804</v>
      </c>
      <c r="V1129" s="14">
        <v>2904</v>
      </c>
      <c r="W1129" s="14">
        <v>3144</v>
      </c>
      <c r="X1129" s="14">
        <v>4085</v>
      </c>
      <c r="Y1129" s="14">
        <v>6818</v>
      </c>
      <c r="Z1129" s="14">
        <v>7404</v>
      </c>
      <c r="AA1129" s="14"/>
      <c r="AB1129" s="14"/>
    </row>
    <row r="1130" spans="1:30">
      <c r="A1130" s="45" t="s">
        <v>275</v>
      </c>
      <c r="B1130" s="45" t="s">
        <v>276</v>
      </c>
      <c r="C1130" s="45" t="s">
        <v>490</v>
      </c>
      <c r="D1130" s="45" t="s">
        <v>496</v>
      </c>
      <c r="E1130" s="45" t="s">
        <v>492</v>
      </c>
      <c r="F1130" s="45" t="s">
        <v>493</v>
      </c>
      <c r="G1130" s="14">
        <v>2959</v>
      </c>
      <c r="H1130" s="14">
        <v>4074</v>
      </c>
      <c r="I1130" s="14">
        <v>4158</v>
      </c>
      <c r="J1130" s="14">
        <v>4649</v>
      </c>
      <c r="K1130" s="14">
        <v>5287</v>
      </c>
      <c r="L1130" s="14">
        <v>6152</v>
      </c>
      <c r="M1130" s="14">
        <v>6312</v>
      </c>
      <c r="N1130" s="14">
        <v>6697</v>
      </c>
      <c r="O1130" s="14">
        <v>8063</v>
      </c>
      <c r="P1130" s="14">
        <v>8411</v>
      </c>
      <c r="Q1130" s="14">
        <v>9942</v>
      </c>
      <c r="R1130" s="14">
        <v>10429</v>
      </c>
      <c r="S1130" s="14">
        <v>11194</v>
      </c>
      <c r="T1130" s="14">
        <v>13421</v>
      </c>
      <c r="U1130" s="14">
        <v>14919</v>
      </c>
      <c r="V1130" s="14">
        <v>16123</v>
      </c>
      <c r="W1130" s="14">
        <v>17165</v>
      </c>
      <c r="X1130" s="14">
        <v>20056</v>
      </c>
      <c r="Y1130" s="14">
        <v>22996</v>
      </c>
      <c r="Z1130" s="14">
        <v>26790</v>
      </c>
      <c r="AA1130" s="14"/>
      <c r="AB1130" s="14"/>
    </row>
    <row r="1131" spans="1:30">
      <c r="A1131" s="45" t="s">
        <v>275</v>
      </c>
      <c r="B1131" s="45" t="s">
        <v>276</v>
      </c>
      <c r="C1131" s="45" t="s">
        <v>490</v>
      </c>
      <c r="D1131" s="45" t="s">
        <v>497</v>
      </c>
      <c r="E1131" s="45" t="s">
        <v>492</v>
      </c>
      <c r="F1131" s="45" t="s">
        <v>493</v>
      </c>
      <c r="G1131" s="14">
        <v>8324</v>
      </c>
      <c r="H1131" s="14">
        <v>9569</v>
      </c>
      <c r="I1131" s="14">
        <v>10837</v>
      </c>
      <c r="J1131" s="14">
        <v>12739</v>
      </c>
      <c r="K1131" s="14">
        <v>14960</v>
      </c>
      <c r="L1131" s="14">
        <v>18918</v>
      </c>
      <c r="M1131" s="14">
        <v>21087</v>
      </c>
      <c r="N1131" s="14">
        <v>23573</v>
      </c>
      <c r="O1131" s="14">
        <v>26655</v>
      </c>
      <c r="P1131" s="14">
        <v>28125</v>
      </c>
      <c r="Q1131" s="14">
        <v>31835</v>
      </c>
      <c r="R1131" s="14">
        <v>37744</v>
      </c>
      <c r="S1131" s="14">
        <v>40076</v>
      </c>
      <c r="T1131" s="14">
        <v>44505</v>
      </c>
      <c r="U1131" s="14">
        <v>48091</v>
      </c>
      <c r="V1131" s="14">
        <v>52479</v>
      </c>
      <c r="W1131" s="14">
        <v>52503</v>
      </c>
      <c r="X1131" s="14">
        <v>57280</v>
      </c>
      <c r="Y1131" s="14">
        <v>58857</v>
      </c>
      <c r="Z1131" s="14">
        <v>62406</v>
      </c>
      <c r="AA1131" s="14"/>
      <c r="AB1131" s="14"/>
    </row>
    <row r="1132" spans="1:30">
      <c r="A1132" s="45" t="s">
        <v>275</v>
      </c>
      <c r="B1132" s="45" t="s">
        <v>276</v>
      </c>
      <c r="C1132" s="45" t="s">
        <v>498</v>
      </c>
      <c r="D1132" s="45" t="s">
        <v>491</v>
      </c>
      <c r="E1132" s="45" t="s">
        <v>499</v>
      </c>
      <c r="F1132" s="45" t="s">
        <v>500</v>
      </c>
      <c r="G1132" s="14">
        <v>30424.3</v>
      </c>
      <c r="H1132" s="14">
        <v>37390.300000000003</v>
      </c>
      <c r="I1132" s="14">
        <v>35792.199999999997</v>
      </c>
      <c r="J1132" s="14">
        <v>36268.9</v>
      </c>
      <c r="K1132" s="14">
        <v>37006.800000000003</v>
      </c>
      <c r="L1132" s="14">
        <v>44422.1</v>
      </c>
      <c r="M1132" s="14">
        <v>46301.2</v>
      </c>
      <c r="N1132" s="14">
        <v>43864.800000000003</v>
      </c>
      <c r="O1132" s="14">
        <v>42737</v>
      </c>
      <c r="P1132" s="14">
        <v>42555.9</v>
      </c>
      <c r="Q1132" s="14">
        <v>43823.1</v>
      </c>
      <c r="R1132" s="14">
        <v>44538.9</v>
      </c>
      <c r="S1132" s="14">
        <v>43875</v>
      </c>
      <c r="T1132" s="14">
        <v>45700.5</v>
      </c>
      <c r="U1132" s="14">
        <v>45449.8</v>
      </c>
      <c r="V1132" s="14">
        <v>47609.7</v>
      </c>
      <c r="W1132" s="14">
        <v>46799.1</v>
      </c>
      <c r="X1132" s="14">
        <v>50312.6</v>
      </c>
      <c r="Y1132" s="14">
        <v>53124.3</v>
      </c>
      <c r="Z1132" s="14">
        <v>51024.800000000003</v>
      </c>
      <c r="AA1132" s="14"/>
      <c r="AB1132" s="14"/>
      <c r="AC1132" s="15">
        <f>IFERROR(Z1132/G1132-1,"")</f>
        <v>0.6771067863516993</v>
      </c>
      <c r="AD1132" s="15">
        <f>IFERROR((Z1132/G1132)^(1/19)-1,"")</f>
        <v>2.7587907869763839E-2</v>
      </c>
    </row>
    <row r="1133" spans="1:30">
      <c r="A1133" s="45" t="s">
        <v>275</v>
      </c>
      <c r="B1133" s="45" t="s">
        <v>276</v>
      </c>
      <c r="C1133" s="45" t="s">
        <v>498</v>
      </c>
      <c r="D1133" s="45" t="s">
        <v>495</v>
      </c>
      <c r="E1133" s="45" t="s">
        <v>499</v>
      </c>
      <c r="F1133" s="45" t="s">
        <v>500</v>
      </c>
      <c r="G1133" s="14">
        <v>1842</v>
      </c>
      <c r="H1133" s="14">
        <v>1440.9</v>
      </c>
      <c r="I1133" s="14">
        <v>1421.1</v>
      </c>
      <c r="J1133" s="14">
        <v>1456.4</v>
      </c>
      <c r="K1133" s="14">
        <v>1485.8</v>
      </c>
      <c r="L1133" s="14">
        <v>1712.9</v>
      </c>
      <c r="M1133" s="14">
        <v>1620.2</v>
      </c>
      <c r="N1133" s="14">
        <v>1580.8</v>
      </c>
      <c r="O1133" s="14">
        <v>1338</v>
      </c>
      <c r="P1133" s="14">
        <v>1378.3</v>
      </c>
      <c r="Q1133" s="14">
        <v>1503.6</v>
      </c>
      <c r="R1133" s="14">
        <v>1398.6</v>
      </c>
      <c r="S1133" s="14">
        <v>1356.6</v>
      </c>
      <c r="T1133" s="14">
        <v>1538.9</v>
      </c>
      <c r="U1133" s="14">
        <v>1778.8</v>
      </c>
      <c r="V1133" s="14">
        <v>1777</v>
      </c>
      <c r="W1133" s="14">
        <v>1841.1</v>
      </c>
      <c r="X1133" s="14">
        <v>2295.1999999999998</v>
      </c>
      <c r="Y1133" s="14">
        <v>3597.9</v>
      </c>
      <c r="Z1133" s="14">
        <v>3456.2</v>
      </c>
      <c r="AA1133" s="14"/>
      <c r="AB1133" s="14"/>
      <c r="AC1133" s="15">
        <f>IFERROR(Z1133/G1133-1,"")</f>
        <v>0.87633007600434309</v>
      </c>
      <c r="AD1133" s="15">
        <f>IFERROR((Z1133/G1133)^(1/19)-1,"")</f>
        <v>3.3676628228381134E-2</v>
      </c>
    </row>
    <row r="1134" spans="1:30">
      <c r="A1134" s="45" t="s">
        <v>275</v>
      </c>
      <c r="B1134" s="45" t="s">
        <v>276</v>
      </c>
      <c r="C1134" s="45" t="s">
        <v>498</v>
      </c>
      <c r="D1134" s="45" t="s">
        <v>496</v>
      </c>
      <c r="E1134" s="45" t="s">
        <v>499</v>
      </c>
      <c r="F1134" s="45" t="s">
        <v>500</v>
      </c>
      <c r="G1134" s="14">
        <v>5621.7</v>
      </c>
      <c r="H1134" s="14">
        <v>6782.9</v>
      </c>
      <c r="I1134" s="14">
        <v>6426.1</v>
      </c>
      <c r="J1134" s="14">
        <v>6686.9</v>
      </c>
      <c r="K1134" s="14">
        <v>7122.1</v>
      </c>
      <c r="L1134" s="14">
        <v>7786.6</v>
      </c>
      <c r="M1134" s="14">
        <v>7343.7</v>
      </c>
      <c r="N1134" s="14">
        <v>7261.1</v>
      </c>
      <c r="O1134" s="14">
        <v>8063</v>
      </c>
      <c r="P1134" s="14">
        <v>7765.1</v>
      </c>
      <c r="Q1134" s="14">
        <v>8503.1</v>
      </c>
      <c r="R1134" s="14">
        <v>8296.9</v>
      </c>
      <c r="S1134" s="14">
        <v>8257.6</v>
      </c>
      <c r="T1134" s="14">
        <v>9204</v>
      </c>
      <c r="U1134" s="14">
        <v>9464.4</v>
      </c>
      <c r="V1134" s="14">
        <v>9866</v>
      </c>
      <c r="W1134" s="14">
        <v>10051.9</v>
      </c>
      <c r="X1134" s="14">
        <v>11268.8</v>
      </c>
      <c r="Y1134" s="14">
        <v>12135.3</v>
      </c>
      <c r="Z1134" s="14">
        <v>12505.8</v>
      </c>
      <c r="AA1134" s="14"/>
      <c r="AB1134" s="14"/>
      <c r="AC1134" s="15">
        <f>IFERROR(Z1134/G1134-1,"")</f>
        <v>1.2245584075991247</v>
      </c>
      <c r="AD1134" s="15">
        <f>IFERROR((Z1134/G1134)^(1/19)-1,"")</f>
        <v>4.2980023067313189E-2</v>
      </c>
    </row>
    <row r="1135" spans="1:30">
      <c r="A1135" s="45" t="s">
        <v>275</v>
      </c>
      <c r="B1135" s="45" t="s">
        <v>276</v>
      </c>
      <c r="C1135" s="45" t="s">
        <v>498</v>
      </c>
      <c r="D1135" s="45" t="s">
        <v>497</v>
      </c>
      <c r="E1135" s="45" t="s">
        <v>499</v>
      </c>
      <c r="F1135" s="45" t="s">
        <v>500</v>
      </c>
      <c r="G1135" s="14">
        <v>15813.9</v>
      </c>
      <c r="H1135" s="14">
        <v>15933.3</v>
      </c>
      <c r="I1135" s="14">
        <v>16747.099999999999</v>
      </c>
      <c r="J1135" s="14">
        <v>18324.5</v>
      </c>
      <c r="K1135" s="14">
        <v>20153</v>
      </c>
      <c r="L1135" s="14">
        <v>23943.8</v>
      </c>
      <c r="M1135" s="14">
        <v>24534.9</v>
      </c>
      <c r="N1135" s="14">
        <v>25558.6</v>
      </c>
      <c r="O1135" s="14">
        <v>26655</v>
      </c>
      <c r="P1135" s="14">
        <v>25965.1</v>
      </c>
      <c r="Q1135" s="14">
        <v>27227.4</v>
      </c>
      <c r="R1135" s="14">
        <v>30027.8</v>
      </c>
      <c r="S1135" s="14">
        <v>29563.3</v>
      </c>
      <c r="T1135" s="14">
        <v>30521.200000000001</v>
      </c>
      <c r="U1135" s="14">
        <v>30508.2</v>
      </c>
      <c r="V1135" s="14">
        <v>32112.9</v>
      </c>
      <c r="W1135" s="14">
        <v>30746</v>
      </c>
      <c r="X1135" s="14">
        <v>32183.9</v>
      </c>
      <c r="Y1135" s="14">
        <v>31059.599999999999</v>
      </c>
      <c r="Z1135" s="14">
        <v>29132</v>
      </c>
      <c r="AA1135" s="14"/>
      <c r="AB1135" s="14"/>
      <c r="AC1135" s="15">
        <f>IFERROR(Z1135/G1135-1,"")</f>
        <v>0.84217681912747655</v>
      </c>
      <c r="AD1135" s="15">
        <f>IFERROR((Z1135/G1135)^(1/19)-1,"")</f>
        <v>3.26777169674759E-2</v>
      </c>
    </row>
    <row r="1136" spans="1:30">
      <c r="A1136" s="45" t="s">
        <v>275</v>
      </c>
      <c r="B1136" s="45" t="s">
        <v>276</v>
      </c>
      <c r="C1136" s="45" t="s">
        <v>498</v>
      </c>
      <c r="D1136" s="45" t="s">
        <v>501</v>
      </c>
      <c r="E1136" s="45" t="s">
        <v>499</v>
      </c>
      <c r="F1136" s="45" t="s">
        <v>500</v>
      </c>
      <c r="G1136" s="14">
        <v>5849</v>
      </c>
      <c r="H1136" s="14">
        <v>11910.7</v>
      </c>
      <c r="I1136" s="14">
        <v>9853.2000000000007</v>
      </c>
      <c r="J1136" s="14">
        <v>8343.4</v>
      </c>
      <c r="K1136" s="14">
        <v>6095.1</v>
      </c>
      <c r="L1136" s="14">
        <v>7299.1</v>
      </c>
      <c r="M1136" s="14">
        <v>9247.7000000000007</v>
      </c>
      <c r="N1136" s="14">
        <v>6918.5</v>
      </c>
      <c r="O1136" s="14">
        <v>3867</v>
      </c>
      <c r="P1136" s="14">
        <v>4561.5</v>
      </c>
      <c r="Q1136" s="14">
        <v>3355.2</v>
      </c>
      <c r="R1136" s="14">
        <v>2496.5</v>
      </c>
      <c r="S1136" s="14">
        <v>2351.6999999999998</v>
      </c>
      <c r="T1136" s="14">
        <v>2023.8</v>
      </c>
      <c r="U1136" s="14">
        <v>2053.5</v>
      </c>
      <c r="V1136" s="14">
        <v>2354.6999999999998</v>
      </c>
      <c r="W1136" s="14">
        <v>2351.8000000000002</v>
      </c>
      <c r="X1136" s="14">
        <v>2403.1</v>
      </c>
      <c r="Y1136" s="14">
        <v>3416.9</v>
      </c>
      <c r="Z1136" s="14">
        <v>2519.4</v>
      </c>
      <c r="AA1136" s="14"/>
      <c r="AB1136" s="14"/>
      <c r="AC1136" s="15">
        <f>IFERROR(Z1136/G1136-1,"")</f>
        <v>-0.56925970251325009</v>
      </c>
      <c r="AD1136" s="15">
        <f>IFERROR((Z1136/G1136)^(1/19)-1,"")</f>
        <v>-4.3360774645648581E-2</v>
      </c>
    </row>
    <row r="1137" spans="1:30">
      <c r="A1137" s="45" t="s">
        <v>211</v>
      </c>
      <c r="B1137" s="45" t="s">
        <v>212</v>
      </c>
      <c r="C1137" s="45" t="s">
        <v>490</v>
      </c>
      <c r="D1137" s="45" t="s">
        <v>491</v>
      </c>
      <c r="E1137" s="45" t="s">
        <v>492</v>
      </c>
      <c r="F1137" s="45" t="s">
        <v>493</v>
      </c>
      <c r="G1137" s="14">
        <v>15011</v>
      </c>
      <c r="H1137" s="14">
        <v>17995</v>
      </c>
      <c r="I1137" s="14">
        <v>20556</v>
      </c>
      <c r="J1137" s="14">
        <v>22630</v>
      </c>
      <c r="K1137" s="14">
        <v>27351</v>
      </c>
      <c r="L1137" s="14">
        <v>31949</v>
      </c>
      <c r="M1137" s="14">
        <v>35529</v>
      </c>
      <c r="N1137" s="14">
        <v>38992</v>
      </c>
      <c r="O1137" s="14">
        <v>43459</v>
      </c>
      <c r="P1137" s="14">
        <v>50961</v>
      </c>
      <c r="Q1137" s="14">
        <v>53459</v>
      </c>
      <c r="R1137" s="14">
        <v>65568</v>
      </c>
      <c r="S1137" s="14">
        <v>61877</v>
      </c>
      <c r="T1137" s="14">
        <v>70626</v>
      </c>
      <c r="U1137" s="14">
        <v>79489</v>
      </c>
      <c r="V1137" s="14">
        <v>127852</v>
      </c>
      <c r="W1137" s="14">
        <v>120962</v>
      </c>
      <c r="X1137" s="14">
        <v>127799</v>
      </c>
      <c r="Y1137" s="14">
        <v>138750</v>
      </c>
      <c r="Z1137" s="14">
        <v>169428</v>
      </c>
      <c r="AA1137" s="14">
        <v>136764</v>
      </c>
      <c r="AB1137" s="14">
        <v>182889</v>
      </c>
    </row>
    <row r="1138" spans="1:30">
      <c r="A1138" s="45" t="s">
        <v>211</v>
      </c>
      <c r="B1138" s="45" t="s">
        <v>212</v>
      </c>
      <c r="C1138" s="45" t="s">
        <v>490</v>
      </c>
      <c r="D1138" s="45" t="s">
        <v>494</v>
      </c>
      <c r="E1138" s="45" t="s">
        <v>492</v>
      </c>
      <c r="F1138" s="45" t="s">
        <v>493</v>
      </c>
      <c r="G1138" s="14">
        <v>14488</v>
      </c>
      <c r="H1138" s="14">
        <v>17447</v>
      </c>
      <c r="I1138" s="14">
        <v>19826</v>
      </c>
      <c r="J1138" s="14">
        <v>21781</v>
      </c>
      <c r="K1138" s="14">
        <v>25608</v>
      </c>
      <c r="L1138" s="14">
        <v>29419</v>
      </c>
      <c r="M1138" s="14">
        <v>33054</v>
      </c>
      <c r="N1138" s="14">
        <v>36582</v>
      </c>
      <c r="O1138" s="14">
        <v>39977</v>
      </c>
      <c r="P1138" s="14">
        <v>46880</v>
      </c>
      <c r="Q1138" s="14">
        <v>48424</v>
      </c>
      <c r="R1138" s="14">
        <v>58903</v>
      </c>
      <c r="S1138" s="14">
        <v>57430</v>
      </c>
      <c r="T1138" s="14">
        <v>63845</v>
      </c>
      <c r="U1138" s="14">
        <v>76187</v>
      </c>
      <c r="V1138" s="14">
        <v>123520</v>
      </c>
      <c r="W1138" s="14">
        <v>116802</v>
      </c>
      <c r="X1138" s="14">
        <v>122374</v>
      </c>
      <c r="Y1138" s="14">
        <v>133555</v>
      </c>
      <c r="Z1138" s="14">
        <v>159003</v>
      </c>
      <c r="AA1138" s="14"/>
      <c r="AB1138" s="14"/>
    </row>
    <row r="1139" spans="1:30">
      <c r="A1139" s="45" t="s">
        <v>211</v>
      </c>
      <c r="B1139" s="45" t="s">
        <v>212</v>
      </c>
      <c r="C1139" s="45" t="s">
        <v>490</v>
      </c>
      <c r="D1139" s="45" t="s">
        <v>495</v>
      </c>
      <c r="E1139" s="45" t="s">
        <v>492</v>
      </c>
      <c r="F1139" s="45" t="s">
        <v>493</v>
      </c>
      <c r="G1139" s="14">
        <v>1476</v>
      </c>
      <c r="H1139" s="14">
        <v>1323</v>
      </c>
      <c r="I1139" s="14">
        <v>1822</v>
      </c>
      <c r="J1139" s="14">
        <v>1605</v>
      </c>
      <c r="K1139" s="14">
        <v>1503</v>
      </c>
      <c r="L1139" s="14">
        <v>1598</v>
      </c>
      <c r="M1139" s="14">
        <v>1668</v>
      </c>
      <c r="N1139" s="14">
        <v>1749</v>
      </c>
      <c r="O1139" s="14">
        <v>1714</v>
      </c>
      <c r="P1139" s="14">
        <v>1915</v>
      </c>
      <c r="Q1139" s="14">
        <v>2679</v>
      </c>
      <c r="R1139" s="14">
        <v>2276</v>
      </c>
      <c r="S1139" s="14">
        <v>1938</v>
      </c>
      <c r="T1139" s="14">
        <v>2100</v>
      </c>
      <c r="U1139" s="14">
        <v>2838</v>
      </c>
      <c r="V1139" s="14">
        <v>4023</v>
      </c>
      <c r="W1139" s="14">
        <v>3463</v>
      </c>
      <c r="X1139" s="14">
        <v>3531</v>
      </c>
      <c r="Y1139" s="14">
        <v>3661</v>
      </c>
      <c r="Z1139" s="14">
        <v>4920</v>
      </c>
      <c r="AA1139" s="14"/>
      <c r="AB1139" s="14"/>
    </row>
    <row r="1140" spans="1:30">
      <c r="A1140" s="45" t="s">
        <v>211</v>
      </c>
      <c r="B1140" s="45" t="s">
        <v>212</v>
      </c>
      <c r="C1140" s="45" t="s">
        <v>490</v>
      </c>
      <c r="D1140" s="45" t="s">
        <v>496</v>
      </c>
      <c r="E1140" s="45" t="s">
        <v>492</v>
      </c>
      <c r="F1140" s="45" t="s">
        <v>493</v>
      </c>
      <c r="G1140" s="14">
        <v>2574</v>
      </c>
      <c r="H1140" s="14">
        <v>3028</v>
      </c>
      <c r="I1140" s="14">
        <v>3616</v>
      </c>
      <c r="J1140" s="14">
        <v>3904</v>
      </c>
      <c r="K1140" s="14">
        <v>4435</v>
      </c>
      <c r="L1140" s="14">
        <v>4706</v>
      </c>
      <c r="M1140" s="14">
        <v>4891</v>
      </c>
      <c r="N1140" s="14">
        <v>5389</v>
      </c>
      <c r="O1140" s="14">
        <v>6212</v>
      </c>
      <c r="P1140" s="14">
        <v>8161</v>
      </c>
      <c r="Q1140" s="14">
        <v>8778</v>
      </c>
      <c r="R1140" s="14">
        <v>10732</v>
      </c>
      <c r="S1140" s="14">
        <v>9643</v>
      </c>
      <c r="T1140" s="14">
        <v>11027</v>
      </c>
      <c r="U1140" s="14">
        <v>12878</v>
      </c>
      <c r="V1140" s="14">
        <v>17646</v>
      </c>
      <c r="W1140" s="14">
        <v>18738</v>
      </c>
      <c r="X1140" s="14">
        <v>20360</v>
      </c>
      <c r="Y1140" s="14">
        <v>22739</v>
      </c>
      <c r="Z1140" s="14">
        <v>24359</v>
      </c>
      <c r="AA1140" s="14"/>
      <c r="AB1140" s="14"/>
    </row>
    <row r="1141" spans="1:30">
      <c r="A1141" s="45" t="s">
        <v>211</v>
      </c>
      <c r="B1141" s="45" t="s">
        <v>212</v>
      </c>
      <c r="C1141" s="45" t="s">
        <v>490</v>
      </c>
      <c r="D1141" s="45" t="s">
        <v>497</v>
      </c>
      <c r="E1141" s="45" t="s">
        <v>492</v>
      </c>
      <c r="F1141" s="45" t="s">
        <v>493</v>
      </c>
      <c r="G1141" s="14">
        <v>8284</v>
      </c>
      <c r="H1141" s="14">
        <v>9403</v>
      </c>
      <c r="I1141" s="14">
        <v>10502</v>
      </c>
      <c r="J1141" s="14">
        <v>12527</v>
      </c>
      <c r="K1141" s="14">
        <v>14118</v>
      </c>
      <c r="L1141" s="14">
        <v>18169</v>
      </c>
      <c r="M1141" s="14">
        <v>20672</v>
      </c>
      <c r="N1141" s="14">
        <v>22555</v>
      </c>
      <c r="O1141" s="14">
        <v>24807</v>
      </c>
      <c r="P1141" s="14">
        <v>28703</v>
      </c>
      <c r="Q1141" s="14">
        <v>30224</v>
      </c>
      <c r="R1141" s="14">
        <v>35814</v>
      </c>
      <c r="S1141" s="14">
        <v>39500</v>
      </c>
      <c r="T1141" s="14">
        <v>41190</v>
      </c>
      <c r="U1141" s="14">
        <v>44949</v>
      </c>
      <c r="V1141" s="14">
        <v>51324</v>
      </c>
      <c r="W1141" s="14">
        <v>51135</v>
      </c>
      <c r="X1141" s="14">
        <v>55510</v>
      </c>
      <c r="Y1141" s="14">
        <v>58581</v>
      </c>
      <c r="Z1141" s="14">
        <v>63397</v>
      </c>
      <c r="AA1141" s="14"/>
      <c r="AB1141" s="14"/>
    </row>
    <row r="1142" spans="1:30">
      <c r="A1142" s="45" t="s">
        <v>211</v>
      </c>
      <c r="B1142" s="45" t="s">
        <v>212</v>
      </c>
      <c r="C1142" s="45" t="s">
        <v>498</v>
      </c>
      <c r="D1142" s="45" t="s">
        <v>491</v>
      </c>
      <c r="E1142" s="45" t="s">
        <v>499</v>
      </c>
      <c r="F1142" s="45" t="s">
        <v>500</v>
      </c>
      <c r="G1142" s="14">
        <v>28516.2</v>
      </c>
      <c r="H1142" s="14">
        <v>29964.5</v>
      </c>
      <c r="I1142" s="14">
        <v>31765.200000000001</v>
      </c>
      <c r="J1142" s="14">
        <v>32551.4</v>
      </c>
      <c r="K1142" s="14">
        <v>36846.699999999997</v>
      </c>
      <c r="L1142" s="14">
        <v>40436.400000000001</v>
      </c>
      <c r="M1142" s="14">
        <v>41339.5</v>
      </c>
      <c r="N1142" s="14">
        <v>42276.4</v>
      </c>
      <c r="O1142" s="14">
        <v>43459</v>
      </c>
      <c r="P1142" s="14">
        <v>47047.3</v>
      </c>
      <c r="Q1142" s="14">
        <v>45721.7</v>
      </c>
      <c r="R1142" s="14">
        <v>52163.5</v>
      </c>
      <c r="S1142" s="14">
        <v>45645.4</v>
      </c>
      <c r="T1142" s="14">
        <v>48434.8</v>
      </c>
      <c r="U1142" s="14">
        <v>50426.6</v>
      </c>
      <c r="V1142" s="14">
        <v>78235</v>
      </c>
      <c r="W1142" s="14">
        <v>70835.8</v>
      </c>
      <c r="X1142" s="14">
        <v>71806.3</v>
      </c>
      <c r="Y1142" s="14">
        <v>73220.2</v>
      </c>
      <c r="Z1142" s="14">
        <v>79090.2</v>
      </c>
      <c r="AA1142" s="14"/>
      <c r="AB1142" s="14"/>
      <c r="AC1142" s="15">
        <f>IFERROR(Z1142/G1142-1,"")</f>
        <v>1.7735182107012855</v>
      </c>
      <c r="AD1142" s="15">
        <f>IFERROR((Z1142/G1142)^(1/19)-1,"")</f>
        <v>5.5157820636853039E-2</v>
      </c>
    </row>
    <row r="1143" spans="1:30">
      <c r="A1143" s="45" t="s">
        <v>211</v>
      </c>
      <c r="B1143" s="45" t="s">
        <v>212</v>
      </c>
      <c r="C1143" s="45" t="s">
        <v>498</v>
      </c>
      <c r="D1143" s="45" t="s">
        <v>495</v>
      </c>
      <c r="E1143" s="45" t="s">
        <v>499</v>
      </c>
      <c r="F1143" s="45" t="s">
        <v>500</v>
      </c>
      <c r="G1143" s="14">
        <v>2803.9</v>
      </c>
      <c r="H1143" s="14">
        <v>2202.8000000000002</v>
      </c>
      <c r="I1143" s="14">
        <v>2815.6</v>
      </c>
      <c r="J1143" s="14">
        <v>2309.3000000000002</v>
      </c>
      <c r="K1143" s="14">
        <v>2025.1</v>
      </c>
      <c r="L1143" s="14">
        <v>2022.6</v>
      </c>
      <c r="M1143" s="14">
        <v>1940.6</v>
      </c>
      <c r="N1143" s="14">
        <v>1896.3</v>
      </c>
      <c r="O1143" s="14">
        <v>1714</v>
      </c>
      <c r="P1143" s="14">
        <v>1767.9</v>
      </c>
      <c r="Q1143" s="14">
        <v>2291.3000000000002</v>
      </c>
      <c r="R1143" s="14">
        <v>1810.7</v>
      </c>
      <c r="S1143" s="14">
        <v>1429.6</v>
      </c>
      <c r="T1143" s="14">
        <v>1440.2</v>
      </c>
      <c r="U1143" s="14">
        <v>1800.4</v>
      </c>
      <c r="V1143" s="14">
        <v>2461.6999999999998</v>
      </c>
      <c r="W1143" s="14">
        <v>2027.9</v>
      </c>
      <c r="X1143" s="14">
        <v>1984</v>
      </c>
      <c r="Y1143" s="14">
        <v>1932</v>
      </c>
      <c r="Z1143" s="14">
        <v>2296.6999999999998</v>
      </c>
      <c r="AA1143" s="14"/>
      <c r="AB1143" s="14"/>
      <c r="AC1143" s="15">
        <f>IFERROR(Z1143/G1143-1,"")</f>
        <v>-0.18089090195798718</v>
      </c>
      <c r="AD1143" s="15">
        <f>IFERROR((Z1143/G1143)^(1/19)-1,"")</f>
        <v>-1.0447046287810791E-2</v>
      </c>
    </row>
    <row r="1144" spans="1:30">
      <c r="A1144" s="45" t="s">
        <v>211</v>
      </c>
      <c r="B1144" s="45" t="s">
        <v>212</v>
      </c>
      <c r="C1144" s="45" t="s">
        <v>498</v>
      </c>
      <c r="D1144" s="45" t="s">
        <v>496</v>
      </c>
      <c r="E1144" s="45" t="s">
        <v>499</v>
      </c>
      <c r="F1144" s="45" t="s">
        <v>500</v>
      </c>
      <c r="G1144" s="14">
        <v>4889.5</v>
      </c>
      <c r="H1144" s="14">
        <v>5042</v>
      </c>
      <c r="I1144" s="14">
        <v>5588.2</v>
      </c>
      <c r="J1144" s="14">
        <v>5614.9</v>
      </c>
      <c r="K1144" s="14">
        <v>5974.5</v>
      </c>
      <c r="L1144" s="14">
        <v>5956.3</v>
      </c>
      <c r="M1144" s="14">
        <v>5690.9</v>
      </c>
      <c r="N1144" s="14">
        <v>5842.9</v>
      </c>
      <c r="O1144" s="14">
        <v>6212</v>
      </c>
      <c r="P1144" s="14">
        <v>7534.3</v>
      </c>
      <c r="Q1144" s="14">
        <v>7507.5</v>
      </c>
      <c r="R1144" s="14">
        <v>8538</v>
      </c>
      <c r="S1144" s="14">
        <v>7113.5</v>
      </c>
      <c r="T1144" s="14">
        <v>7562.2</v>
      </c>
      <c r="U1144" s="14">
        <v>8169.6</v>
      </c>
      <c r="V1144" s="14">
        <v>10797.9</v>
      </c>
      <c r="W1144" s="14">
        <v>10973</v>
      </c>
      <c r="X1144" s="14">
        <v>11439.7</v>
      </c>
      <c r="Y1144" s="14">
        <v>11999.7</v>
      </c>
      <c r="Z1144" s="14">
        <v>11371.4</v>
      </c>
      <c r="AA1144" s="14"/>
      <c r="AB1144" s="14"/>
      <c r="AC1144" s="15">
        <f>IFERROR(Z1144/G1144-1,"")</f>
        <v>1.3256774721341649</v>
      </c>
      <c r="AD1144" s="15">
        <f>IFERROR((Z1144/G1144)^(1/19)-1,"")</f>
        <v>4.5423066390438915E-2</v>
      </c>
    </row>
    <row r="1145" spans="1:30">
      <c r="A1145" s="45" t="s">
        <v>211</v>
      </c>
      <c r="B1145" s="45" t="s">
        <v>212</v>
      </c>
      <c r="C1145" s="45" t="s">
        <v>498</v>
      </c>
      <c r="D1145" s="45" t="s">
        <v>497</v>
      </c>
      <c r="E1145" s="45" t="s">
        <v>499</v>
      </c>
      <c r="F1145" s="45" t="s">
        <v>500</v>
      </c>
      <c r="G1145" s="14">
        <v>15736.9</v>
      </c>
      <c r="H1145" s="14">
        <v>15656.9</v>
      </c>
      <c r="I1145" s="14">
        <v>16228.8</v>
      </c>
      <c r="J1145" s="14">
        <v>18018.599999999999</v>
      </c>
      <c r="K1145" s="14">
        <v>19019.900000000001</v>
      </c>
      <c r="L1145" s="14">
        <v>22995.599999999999</v>
      </c>
      <c r="M1145" s="14">
        <v>24052</v>
      </c>
      <c r="N1145" s="14">
        <v>24454.9</v>
      </c>
      <c r="O1145" s="14">
        <v>24807</v>
      </c>
      <c r="P1145" s="14">
        <v>26498.7</v>
      </c>
      <c r="Q1145" s="14">
        <v>25849.599999999999</v>
      </c>
      <c r="R1145" s="14">
        <v>28492.3</v>
      </c>
      <c r="S1145" s="14">
        <v>29138.400000000001</v>
      </c>
      <c r="T1145" s="14">
        <v>28247.8</v>
      </c>
      <c r="U1145" s="14">
        <v>28514.9</v>
      </c>
      <c r="V1145" s="14">
        <v>31406.1</v>
      </c>
      <c r="W1145" s="14">
        <v>29944.9</v>
      </c>
      <c r="X1145" s="14">
        <v>31189.4</v>
      </c>
      <c r="Y1145" s="14">
        <v>30913.9</v>
      </c>
      <c r="Z1145" s="14">
        <v>29595.1</v>
      </c>
      <c r="AA1145" s="14"/>
      <c r="AB1145" s="14"/>
      <c r="AC1145" s="15">
        <f>IFERROR(Z1145/G1145-1,"")</f>
        <v>0.88061816494989476</v>
      </c>
      <c r="AD1145" s="15">
        <f>IFERROR((Z1145/G1145)^(1/19)-1,"")</f>
        <v>3.380082661171957E-2</v>
      </c>
    </row>
    <row r="1146" spans="1:30">
      <c r="A1146" s="45" t="s">
        <v>211</v>
      </c>
      <c r="B1146" s="45" t="s">
        <v>212</v>
      </c>
      <c r="C1146" s="45" t="s">
        <v>498</v>
      </c>
      <c r="D1146" s="45" t="s">
        <v>501</v>
      </c>
      <c r="E1146" s="45" t="s">
        <v>499</v>
      </c>
      <c r="F1146" s="45" t="s">
        <v>500</v>
      </c>
      <c r="G1146" s="14">
        <v>4092.7</v>
      </c>
      <c r="H1146" s="14">
        <v>6149.3</v>
      </c>
      <c r="I1146" s="14">
        <v>6004.8</v>
      </c>
      <c r="J1146" s="14">
        <v>5387.7</v>
      </c>
      <c r="K1146" s="14">
        <v>7479</v>
      </c>
      <c r="L1146" s="14">
        <v>6259.7</v>
      </c>
      <c r="M1146" s="14">
        <v>6775.4</v>
      </c>
      <c r="N1146" s="14">
        <v>7469.3</v>
      </c>
      <c r="O1146" s="14">
        <v>7244</v>
      </c>
      <c r="P1146" s="14">
        <v>7477.9</v>
      </c>
      <c r="Q1146" s="14">
        <v>5767.9</v>
      </c>
      <c r="R1146" s="14">
        <v>8020.1</v>
      </c>
      <c r="S1146" s="14">
        <v>4683.5</v>
      </c>
      <c r="T1146" s="14">
        <v>6533.5</v>
      </c>
      <c r="U1146" s="14">
        <v>9846.9</v>
      </c>
      <c r="V1146" s="14">
        <v>30918.400000000001</v>
      </c>
      <c r="W1146" s="14">
        <v>25453.9</v>
      </c>
      <c r="X1146" s="14">
        <v>24145.200000000001</v>
      </c>
      <c r="Y1146" s="14">
        <v>25632.6</v>
      </c>
      <c r="Z1146" s="14">
        <v>30961.9</v>
      </c>
      <c r="AA1146" s="14"/>
      <c r="AB1146" s="14"/>
      <c r="AC1146" s="15">
        <f>IFERROR(Z1146/G1146-1,"")</f>
        <v>6.5651525887555895</v>
      </c>
      <c r="AD1146" s="15">
        <f>IFERROR((Z1146/G1146)^(1/19)-1,"")</f>
        <v>0.11238100114416794</v>
      </c>
    </row>
    <row r="1147" spans="1:30">
      <c r="A1147" s="45" t="s">
        <v>365</v>
      </c>
      <c r="B1147" s="45" t="s">
        <v>366</v>
      </c>
      <c r="C1147" s="45" t="s">
        <v>490</v>
      </c>
      <c r="D1147" s="45" t="s">
        <v>491</v>
      </c>
      <c r="E1147" s="45" t="s">
        <v>492</v>
      </c>
      <c r="F1147" s="45" t="s">
        <v>493</v>
      </c>
      <c r="G1147" s="14">
        <v>9073</v>
      </c>
      <c r="H1147" s="14">
        <v>10076</v>
      </c>
      <c r="I1147" s="14">
        <v>13108</v>
      </c>
      <c r="J1147" s="14">
        <v>13521</v>
      </c>
      <c r="K1147" s="14">
        <v>14626</v>
      </c>
      <c r="L1147" s="14">
        <v>16734</v>
      </c>
      <c r="M1147" s="14">
        <v>17613</v>
      </c>
      <c r="N1147" s="14">
        <v>20471</v>
      </c>
      <c r="O1147" s="14">
        <v>22842</v>
      </c>
      <c r="P1147" s="14">
        <v>25207</v>
      </c>
      <c r="Q1147" s="14">
        <v>27611</v>
      </c>
      <c r="R1147" s="14">
        <v>31341</v>
      </c>
      <c r="S1147" s="14">
        <v>32938</v>
      </c>
      <c r="T1147" s="14">
        <v>37580</v>
      </c>
      <c r="U1147" s="14">
        <v>39365</v>
      </c>
      <c r="V1147" s="14">
        <v>40514</v>
      </c>
      <c r="W1147" s="14">
        <v>45575</v>
      </c>
      <c r="X1147" s="14">
        <v>52651</v>
      </c>
      <c r="Y1147" s="14">
        <v>50066</v>
      </c>
      <c r="Z1147" s="14">
        <v>53271</v>
      </c>
      <c r="AA1147" s="14">
        <v>57950</v>
      </c>
      <c r="AB1147" s="14">
        <v>61865</v>
      </c>
    </row>
    <row r="1148" spans="1:30">
      <c r="A1148" s="45" t="s">
        <v>365</v>
      </c>
      <c r="B1148" s="45" t="s">
        <v>366</v>
      </c>
      <c r="C1148" s="45" t="s">
        <v>490</v>
      </c>
      <c r="D1148" s="45" t="s">
        <v>494</v>
      </c>
      <c r="E1148" s="45" t="s">
        <v>492</v>
      </c>
      <c r="F1148" s="45" t="s">
        <v>493</v>
      </c>
      <c r="G1148" s="14">
        <v>8809</v>
      </c>
      <c r="H1148" s="14">
        <v>9839</v>
      </c>
      <c r="I1148" s="14">
        <v>12805</v>
      </c>
      <c r="J1148" s="14">
        <v>13158</v>
      </c>
      <c r="K1148" s="14">
        <v>13985</v>
      </c>
      <c r="L1148" s="14">
        <v>15738</v>
      </c>
      <c r="M1148" s="14">
        <v>16553</v>
      </c>
      <c r="N1148" s="14">
        <v>19289</v>
      </c>
      <c r="O1148" s="14">
        <v>21015</v>
      </c>
      <c r="P1148" s="14">
        <v>23198</v>
      </c>
      <c r="Q1148" s="14">
        <v>25036</v>
      </c>
      <c r="R1148" s="14">
        <v>28310</v>
      </c>
      <c r="S1148" s="14">
        <v>30645</v>
      </c>
      <c r="T1148" s="14">
        <v>34816</v>
      </c>
      <c r="U1148" s="14">
        <v>37386</v>
      </c>
      <c r="V1148" s="14">
        <v>38889</v>
      </c>
      <c r="W1148" s="14">
        <v>43088</v>
      </c>
      <c r="X1148" s="14">
        <v>50072</v>
      </c>
      <c r="Y1148" s="14">
        <v>47598</v>
      </c>
      <c r="Z1148" s="14">
        <v>49705</v>
      </c>
      <c r="AA1148" s="14"/>
      <c r="AB1148" s="14"/>
    </row>
    <row r="1149" spans="1:30">
      <c r="A1149" s="45" t="s">
        <v>365</v>
      </c>
      <c r="B1149" s="45" t="s">
        <v>366</v>
      </c>
      <c r="C1149" s="45" t="s">
        <v>490</v>
      </c>
      <c r="D1149" s="45" t="s">
        <v>495</v>
      </c>
      <c r="E1149" s="45" t="s">
        <v>492</v>
      </c>
      <c r="F1149" s="45" t="s">
        <v>493</v>
      </c>
      <c r="G1149" s="14">
        <v>617</v>
      </c>
      <c r="H1149" s="14">
        <v>480</v>
      </c>
      <c r="I1149" s="14">
        <v>1985</v>
      </c>
      <c r="J1149" s="14">
        <v>1232</v>
      </c>
      <c r="K1149" s="14">
        <v>498</v>
      </c>
      <c r="L1149" s="14">
        <v>550</v>
      </c>
      <c r="M1149" s="14">
        <v>552</v>
      </c>
      <c r="N1149" s="14">
        <v>570</v>
      </c>
      <c r="O1149" s="14">
        <v>753</v>
      </c>
      <c r="P1149" s="14">
        <v>1046</v>
      </c>
      <c r="Q1149" s="14">
        <v>909</v>
      </c>
      <c r="R1149" s="14">
        <v>938</v>
      </c>
      <c r="S1149" s="14">
        <v>1514</v>
      </c>
      <c r="T1149" s="14">
        <v>2402</v>
      </c>
      <c r="U1149" s="14">
        <v>2463</v>
      </c>
      <c r="V1149" s="14">
        <v>1409</v>
      </c>
      <c r="W1149" s="14">
        <v>1304</v>
      </c>
      <c r="X1149" s="14">
        <v>2277</v>
      </c>
      <c r="Y1149" s="14">
        <v>1743</v>
      </c>
      <c r="Z1149" s="14">
        <v>1871</v>
      </c>
      <c r="AA1149" s="14"/>
      <c r="AB1149" s="14"/>
    </row>
    <row r="1150" spans="1:30">
      <c r="A1150" s="45" t="s">
        <v>365</v>
      </c>
      <c r="B1150" s="45" t="s">
        <v>366</v>
      </c>
      <c r="C1150" s="45" t="s">
        <v>490</v>
      </c>
      <c r="D1150" s="45" t="s">
        <v>496</v>
      </c>
      <c r="E1150" s="45" t="s">
        <v>492</v>
      </c>
      <c r="F1150" s="45" t="s">
        <v>493</v>
      </c>
      <c r="G1150" s="14">
        <v>1665</v>
      </c>
      <c r="H1150" s="14">
        <v>1804</v>
      </c>
      <c r="I1150" s="14">
        <v>2384</v>
      </c>
      <c r="J1150" s="14">
        <v>2425</v>
      </c>
      <c r="K1150" s="14">
        <v>2700</v>
      </c>
      <c r="L1150" s="14">
        <v>3147</v>
      </c>
      <c r="M1150" s="14">
        <v>2952</v>
      </c>
      <c r="N1150" s="14">
        <v>3495</v>
      </c>
      <c r="O1150" s="14">
        <v>4110</v>
      </c>
      <c r="P1150" s="14">
        <v>5067</v>
      </c>
      <c r="Q1150" s="14">
        <v>6478</v>
      </c>
      <c r="R1150" s="14">
        <v>6665</v>
      </c>
      <c r="S1150" s="14">
        <v>6910</v>
      </c>
      <c r="T1150" s="14">
        <v>9121</v>
      </c>
      <c r="U1150" s="14">
        <v>10468</v>
      </c>
      <c r="V1150" s="14">
        <v>10670</v>
      </c>
      <c r="W1150" s="14">
        <v>13718</v>
      </c>
      <c r="X1150" s="14">
        <v>15413</v>
      </c>
      <c r="Y1150" s="14">
        <v>14596</v>
      </c>
      <c r="Z1150" s="14">
        <v>16590</v>
      </c>
      <c r="AA1150" s="14"/>
      <c r="AB1150" s="14"/>
    </row>
    <row r="1151" spans="1:30">
      <c r="A1151" s="45" t="s">
        <v>365</v>
      </c>
      <c r="B1151" s="45" t="s">
        <v>366</v>
      </c>
      <c r="C1151" s="45" t="s">
        <v>490</v>
      </c>
      <c r="D1151" s="45" t="s">
        <v>497</v>
      </c>
      <c r="E1151" s="45" t="s">
        <v>492</v>
      </c>
      <c r="F1151" s="45" t="s">
        <v>493</v>
      </c>
      <c r="G1151" s="14">
        <v>5113</v>
      </c>
      <c r="H1151" s="14">
        <v>5342</v>
      </c>
      <c r="I1151" s="14">
        <v>6274</v>
      </c>
      <c r="J1151" s="14">
        <v>7429</v>
      </c>
      <c r="K1151" s="14">
        <v>8731</v>
      </c>
      <c r="L1151" s="14">
        <v>10118</v>
      </c>
      <c r="M1151" s="14">
        <v>10391</v>
      </c>
      <c r="N1151" s="14">
        <v>11864</v>
      </c>
      <c r="O1151" s="14">
        <v>13132</v>
      </c>
      <c r="P1151" s="14">
        <v>13826</v>
      </c>
      <c r="Q1151" s="14">
        <v>14724</v>
      </c>
      <c r="R1151" s="14">
        <v>17178</v>
      </c>
      <c r="S1151" s="14">
        <v>18751</v>
      </c>
      <c r="T1151" s="14">
        <v>19894</v>
      </c>
      <c r="U1151" s="14">
        <v>20961</v>
      </c>
      <c r="V1151" s="14">
        <v>22463</v>
      </c>
      <c r="W1151" s="14">
        <v>22957</v>
      </c>
      <c r="X1151" s="14">
        <v>27335</v>
      </c>
      <c r="Y1151" s="14">
        <v>26317</v>
      </c>
      <c r="Z1151" s="14">
        <v>25663</v>
      </c>
      <c r="AA1151" s="14"/>
      <c r="AB1151" s="14"/>
    </row>
    <row r="1152" spans="1:30">
      <c r="A1152" s="45" t="s">
        <v>365</v>
      </c>
      <c r="B1152" s="45" t="s">
        <v>366</v>
      </c>
      <c r="C1152" s="45" t="s">
        <v>498</v>
      </c>
      <c r="D1152" s="45" t="s">
        <v>491</v>
      </c>
      <c r="E1152" s="45" t="s">
        <v>499</v>
      </c>
      <c r="F1152" s="45" t="s">
        <v>500</v>
      </c>
      <c r="G1152" s="14">
        <v>17236.099999999999</v>
      </c>
      <c r="H1152" s="14">
        <v>16778.099999999999</v>
      </c>
      <c r="I1152" s="14">
        <v>20255.599999999999</v>
      </c>
      <c r="J1152" s="14">
        <v>19449.099999999999</v>
      </c>
      <c r="K1152" s="14">
        <v>19704</v>
      </c>
      <c r="L1152" s="14">
        <v>21179.4</v>
      </c>
      <c r="M1152" s="14">
        <v>20492.900000000001</v>
      </c>
      <c r="N1152" s="14">
        <v>22195.3</v>
      </c>
      <c r="O1152" s="14">
        <v>22842</v>
      </c>
      <c r="P1152" s="14">
        <v>23271.200000000001</v>
      </c>
      <c r="Q1152" s="14">
        <v>23614.799999999999</v>
      </c>
      <c r="R1152" s="14">
        <v>24933.8</v>
      </c>
      <c r="S1152" s="14">
        <v>24297.7</v>
      </c>
      <c r="T1152" s="14">
        <v>25772.1</v>
      </c>
      <c r="U1152" s="14">
        <v>24972.5</v>
      </c>
      <c r="V1152" s="14">
        <v>24791.3</v>
      </c>
      <c r="W1152" s="14">
        <v>26688.9</v>
      </c>
      <c r="X1152" s="14">
        <v>29583</v>
      </c>
      <c r="Y1152" s="14">
        <v>26420.5</v>
      </c>
      <c r="Z1152" s="14">
        <v>24867.3</v>
      </c>
      <c r="AA1152" s="14"/>
      <c r="AB1152" s="14"/>
      <c r="AC1152" s="15">
        <f>IFERROR(Z1152/G1152-1,"")</f>
        <v>0.4427451685706163</v>
      </c>
      <c r="AD1152" s="15">
        <f>IFERROR((Z1152/G1152)^(1/19)-1,"")</f>
        <v>1.947927518278747E-2</v>
      </c>
    </row>
    <row r="1153" spans="1:30">
      <c r="A1153" s="45" t="s">
        <v>365</v>
      </c>
      <c r="B1153" s="45" t="s">
        <v>366</v>
      </c>
      <c r="C1153" s="45" t="s">
        <v>498</v>
      </c>
      <c r="D1153" s="45" t="s">
        <v>495</v>
      </c>
      <c r="E1153" s="45" t="s">
        <v>499</v>
      </c>
      <c r="F1153" s="45" t="s">
        <v>500</v>
      </c>
      <c r="G1153" s="14">
        <v>1172.0999999999999</v>
      </c>
      <c r="H1153" s="14">
        <v>800.1</v>
      </c>
      <c r="I1153" s="14">
        <v>3066.9</v>
      </c>
      <c r="J1153" s="14">
        <v>1771.6</v>
      </c>
      <c r="K1153" s="14">
        <v>670.8</v>
      </c>
      <c r="L1153" s="14">
        <v>696.4</v>
      </c>
      <c r="M1153" s="14">
        <v>642.5</v>
      </c>
      <c r="N1153" s="14">
        <v>618</v>
      </c>
      <c r="O1153" s="14">
        <v>753</v>
      </c>
      <c r="P1153" s="14">
        <v>965.7</v>
      </c>
      <c r="Q1153" s="14">
        <v>777.4</v>
      </c>
      <c r="R1153" s="14">
        <v>746.2</v>
      </c>
      <c r="S1153" s="14">
        <v>1116.8</v>
      </c>
      <c r="T1153" s="14">
        <v>1647.3</v>
      </c>
      <c r="U1153" s="14">
        <v>1562.5</v>
      </c>
      <c r="V1153" s="14">
        <v>862.2</v>
      </c>
      <c r="W1153" s="14">
        <v>763.6</v>
      </c>
      <c r="X1153" s="14">
        <v>1279.4000000000001</v>
      </c>
      <c r="Y1153" s="14">
        <v>919.8</v>
      </c>
      <c r="Z1153" s="14">
        <v>873.4</v>
      </c>
      <c r="AA1153" s="14"/>
      <c r="AB1153" s="14"/>
      <c r="AC1153" s="15">
        <f>IFERROR(Z1153/G1153-1,"")</f>
        <v>-0.25484173705315238</v>
      </c>
      <c r="AD1153" s="15">
        <f>IFERROR((Z1153/G1153)^(1/19)-1,"")</f>
        <v>-1.5362803605889597E-2</v>
      </c>
    </row>
    <row r="1154" spans="1:30">
      <c r="A1154" s="45" t="s">
        <v>365</v>
      </c>
      <c r="B1154" s="45" t="s">
        <v>366</v>
      </c>
      <c r="C1154" s="45" t="s">
        <v>498</v>
      </c>
      <c r="D1154" s="45" t="s">
        <v>496</v>
      </c>
      <c r="E1154" s="45" t="s">
        <v>499</v>
      </c>
      <c r="F1154" s="45" t="s">
        <v>500</v>
      </c>
      <c r="G1154" s="14">
        <v>3163.7</v>
      </c>
      <c r="H1154" s="14">
        <v>3003.8</v>
      </c>
      <c r="I1154" s="14">
        <v>3684.6</v>
      </c>
      <c r="J1154" s="14">
        <v>3488.6</v>
      </c>
      <c r="K1154" s="14">
        <v>3637.3</v>
      </c>
      <c r="L1154" s="14">
        <v>3983.3</v>
      </c>
      <c r="M1154" s="14">
        <v>3434.7</v>
      </c>
      <c r="N1154" s="14">
        <v>3789.4</v>
      </c>
      <c r="O1154" s="14">
        <v>4110</v>
      </c>
      <c r="P1154" s="14">
        <v>4677.8999999999996</v>
      </c>
      <c r="Q1154" s="14">
        <v>5540.4</v>
      </c>
      <c r="R1154" s="14">
        <v>5302.4</v>
      </c>
      <c r="S1154" s="14">
        <v>5097.3999999999996</v>
      </c>
      <c r="T1154" s="14">
        <v>6255.1</v>
      </c>
      <c r="U1154" s="14">
        <v>6640.7</v>
      </c>
      <c r="V1154" s="14">
        <v>6529.2</v>
      </c>
      <c r="W1154" s="14">
        <v>8033.3</v>
      </c>
      <c r="X1154" s="14">
        <v>8660.1</v>
      </c>
      <c r="Y1154" s="14">
        <v>7702.5</v>
      </c>
      <c r="Z1154" s="14">
        <v>7744.3</v>
      </c>
      <c r="AA1154" s="14"/>
      <c r="AB1154" s="14"/>
      <c r="AC1154" s="15">
        <f>IFERROR(Z1154/G1154-1,"")</f>
        <v>1.4478616809431997</v>
      </c>
      <c r="AD1154" s="15">
        <f>IFERROR((Z1154/G1154)^(1/19)-1,"")</f>
        <v>4.8244197448327197E-2</v>
      </c>
    </row>
    <row r="1155" spans="1:30">
      <c r="A1155" s="45" t="s">
        <v>365</v>
      </c>
      <c r="B1155" s="45" t="s">
        <v>366</v>
      </c>
      <c r="C1155" s="45" t="s">
        <v>498</v>
      </c>
      <c r="D1155" s="45" t="s">
        <v>497</v>
      </c>
      <c r="E1155" s="45" t="s">
        <v>499</v>
      </c>
      <c r="F1155" s="45" t="s">
        <v>500</v>
      </c>
      <c r="G1155" s="14">
        <v>9714.2000000000007</v>
      </c>
      <c r="H1155" s="14">
        <v>8895.4</v>
      </c>
      <c r="I1155" s="14">
        <v>9694.9</v>
      </c>
      <c r="J1155" s="14">
        <v>10685.5</v>
      </c>
      <c r="K1155" s="14">
        <v>11762.4</v>
      </c>
      <c r="L1155" s="14">
        <v>12805.7</v>
      </c>
      <c r="M1155" s="14">
        <v>12090.7</v>
      </c>
      <c r="N1155" s="14">
        <v>12863.3</v>
      </c>
      <c r="O1155" s="14">
        <v>13132</v>
      </c>
      <c r="P1155" s="14">
        <v>12764.2</v>
      </c>
      <c r="Q1155" s="14">
        <v>12593</v>
      </c>
      <c r="R1155" s="14">
        <v>13666.2</v>
      </c>
      <c r="S1155" s="14">
        <v>13832.2</v>
      </c>
      <c r="T1155" s="14">
        <v>13643.1</v>
      </c>
      <c r="U1155" s="14">
        <v>13297.3</v>
      </c>
      <c r="V1155" s="14">
        <v>13745.5</v>
      </c>
      <c r="W1155" s="14">
        <v>13443.7</v>
      </c>
      <c r="X1155" s="14">
        <v>15358.7</v>
      </c>
      <c r="Y1155" s="14">
        <v>13887.8</v>
      </c>
      <c r="Z1155" s="14">
        <v>11979.7</v>
      </c>
      <c r="AA1155" s="14"/>
      <c r="AB1155" s="14"/>
      <c r="AC1155" s="15">
        <f>IFERROR(Z1155/G1155-1,"")</f>
        <v>0.23321529307611533</v>
      </c>
      <c r="AD1155" s="15">
        <f>IFERROR((Z1155/G1155)^(1/19)-1,"")</f>
        <v>1.1093971887448983E-2</v>
      </c>
    </row>
    <row r="1156" spans="1:30">
      <c r="A1156" s="45" t="s">
        <v>365</v>
      </c>
      <c r="B1156" s="45" t="s">
        <v>366</v>
      </c>
      <c r="C1156" s="45" t="s">
        <v>498</v>
      </c>
      <c r="D1156" s="45" t="s">
        <v>501</v>
      </c>
      <c r="E1156" s="45" t="s">
        <v>499</v>
      </c>
      <c r="F1156" s="45" t="s">
        <v>500</v>
      </c>
      <c r="G1156" s="14">
        <v>2685.1</v>
      </c>
      <c r="H1156" s="14">
        <v>3683.9</v>
      </c>
      <c r="I1156" s="14">
        <v>3341.7</v>
      </c>
      <c r="J1156" s="14">
        <v>2981.2</v>
      </c>
      <c r="K1156" s="14">
        <v>2770.3</v>
      </c>
      <c r="L1156" s="14">
        <v>2433.6</v>
      </c>
      <c r="M1156" s="14">
        <v>3091.8</v>
      </c>
      <c r="N1156" s="14">
        <v>3643</v>
      </c>
      <c r="O1156" s="14">
        <v>3020</v>
      </c>
      <c r="P1156" s="14">
        <v>3008.7</v>
      </c>
      <c r="Q1156" s="14">
        <v>2501.6999999999998</v>
      </c>
      <c r="R1156" s="14">
        <v>2807.5</v>
      </c>
      <c r="S1156" s="14">
        <v>2559.8000000000002</v>
      </c>
      <c r="T1156" s="14">
        <v>2331</v>
      </c>
      <c r="U1156" s="14">
        <v>2216.5</v>
      </c>
      <c r="V1156" s="14">
        <v>2660</v>
      </c>
      <c r="W1156" s="14">
        <v>2991.9</v>
      </c>
      <c r="X1156" s="14">
        <v>2835.2</v>
      </c>
      <c r="Y1156" s="14">
        <v>2608</v>
      </c>
      <c r="Z1156" s="14">
        <v>2604.8000000000002</v>
      </c>
      <c r="AA1156" s="14"/>
      <c r="AB1156" s="14"/>
      <c r="AC1156" s="15">
        <f>IFERROR(Z1156/G1156-1,"")</f>
        <v>-2.9905776321179744E-2</v>
      </c>
      <c r="AD1156" s="15">
        <f>IFERROR((Z1156/G1156)^(1/19)-1,"")</f>
        <v>-1.5967277868006446E-3</v>
      </c>
    </row>
    <row r="1157" spans="1:30">
      <c r="A1157" s="45" t="s">
        <v>403</v>
      </c>
      <c r="B1157" s="45" t="s">
        <v>404</v>
      </c>
      <c r="C1157" s="45" t="s">
        <v>490</v>
      </c>
      <c r="D1157" s="45" t="s">
        <v>491</v>
      </c>
      <c r="E1157" s="45" t="s">
        <v>492</v>
      </c>
      <c r="F1157" s="45" t="s">
        <v>493</v>
      </c>
      <c r="G1157" s="14">
        <v>5762</v>
      </c>
      <c r="H1157" s="14">
        <v>6396</v>
      </c>
      <c r="I1157" s="14">
        <v>7392</v>
      </c>
      <c r="J1157" s="14">
        <v>8402</v>
      </c>
      <c r="K1157" s="14">
        <v>9974</v>
      </c>
      <c r="L1157" s="14">
        <v>11924</v>
      </c>
      <c r="M1157" s="14">
        <v>13899</v>
      </c>
      <c r="N1157" s="14">
        <v>14317</v>
      </c>
      <c r="O1157" s="14">
        <v>14760</v>
      </c>
      <c r="P1157" s="14">
        <v>16937</v>
      </c>
      <c r="Q1157" s="14">
        <v>19185</v>
      </c>
      <c r="R1157" s="14">
        <v>21466</v>
      </c>
      <c r="S1157" s="14">
        <v>22284</v>
      </c>
      <c r="T1157" s="14">
        <v>23645</v>
      </c>
      <c r="U1157" s="14">
        <v>26685</v>
      </c>
      <c r="V1157" s="14">
        <v>28890</v>
      </c>
      <c r="W1157" s="14">
        <v>32717</v>
      </c>
      <c r="X1157" s="14">
        <v>36459</v>
      </c>
      <c r="Y1157" s="14">
        <v>39073</v>
      </c>
      <c r="Z1157" s="14">
        <v>43450</v>
      </c>
      <c r="AA1157" s="14">
        <v>45690</v>
      </c>
      <c r="AB1157" s="14">
        <v>48290</v>
      </c>
    </row>
    <row r="1158" spans="1:30">
      <c r="A1158" s="45" t="s">
        <v>403</v>
      </c>
      <c r="B1158" s="45" t="s">
        <v>404</v>
      </c>
      <c r="C1158" s="45" t="s">
        <v>490</v>
      </c>
      <c r="D1158" s="45" t="s">
        <v>494</v>
      </c>
      <c r="E1158" s="45" t="s">
        <v>492</v>
      </c>
      <c r="F1158" s="45" t="s">
        <v>493</v>
      </c>
      <c r="G1158" s="14">
        <v>5597</v>
      </c>
      <c r="H1158" s="14">
        <v>6232</v>
      </c>
      <c r="I1158" s="14">
        <v>7160</v>
      </c>
      <c r="J1158" s="14">
        <v>8155</v>
      </c>
      <c r="K1158" s="14">
        <v>9545</v>
      </c>
      <c r="L1158" s="14">
        <v>11369</v>
      </c>
      <c r="M1158" s="14">
        <v>13168</v>
      </c>
      <c r="N1158" s="14">
        <v>13655</v>
      </c>
      <c r="O1158" s="14">
        <v>13942</v>
      </c>
      <c r="P1158" s="14">
        <v>16000</v>
      </c>
      <c r="Q1158" s="14">
        <v>18164</v>
      </c>
      <c r="R1158" s="14">
        <v>20453</v>
      </c>
      <c r="S1158" s="14">
        <v>21234</v>
      </c>
      <c r="T1158" s="14">
        <v>22491</v>
      </c>
      <c r="U1158" s="14">
        <v>25916</v>
      </c>
      <c r="V1158" s="14">
        <v>28112</v>
      </c>
      <c r="W1158" s="14">
        <v>31539</v>
      </c>
      <c r="X1158" s="14">
        <v>35248</v>
      </c>
      <c r="Y1158" s="14">
        <v>37825</v>
      </c>
      <c r="Z1158" s="14">
        <v>41725</v>
      </c>
      <c r="AA1158" s="14"/>
      <c r="AB1158" s="14"/>
    </row>
    <row r="1159" spans="1:30">
      <c r="A1159" s="45" t="s">
        <v>403</v>
      </c>
      <c r="B1159" s="45" t="s">
        <v>404</v>
      </c>
      <c r="C1159" s="45" t="s">
        <v>490</v>
      </c>
      <c r="D1159" s="45" t="s">
        <v>495</v>
      </c>
      <c r="E1159" s="45" t="s">
        <v>492</v>
      </c>
      <c r="F1159" s="45" t="s">
        <v>493</v>
      </c>
      <c r="G1159" s="14">
        <v>286</v>
      </c>
      <c r="H1159" s="14">
        <v>220</v>
      </c>
      <c r="I1159" s="14">
        <v>282</v>
      </c>
      <c r="J1159" s="14">
        <v>303</v>
      </c>
      <c r="K1159" s="14">
        <v>342</v>
      </c>
      <c r="L1159" s="14">
        <v>396</v>
      </c>
      <c r="M1159" s="14">
        <v>415</v>
      </c>
      <c r="N1159" s="14">
        <v>436</v>
      </c>
      <c r="O1159" s="14">
        <v>403</v>
      </c>
      <c r="P1159" s="14">
        <v>546</v>
      </c>
      <c r="Q1159" s="14">
        <v>706</v>
      </c>
      <c r="R1159" s="14">
        <v>613</v>
      </c>
      <c r="S1159" s="14">
        <v>725</v>
      </c>
      <c r="T1159" s="14">
        <v>667</v>
      </c>
      <c r="U1159" s="14">
        <v>868</v>
      </c>
      <c r="V1159" s="14">
        <v>954</v>
      </c>
      <c r="W1159" s="14">
        <v>1052</v>
      </c>
      <c r="X1159" s="14">
        <v>2982</v>
      </c>
      <c r="Y1159" s="14">
        <v>3069</v>
      </c>
      <c r="Z1159" s="14">
        <v>3794</v>
      </c>
      <c r="AA1159" s="14"/>
      <c r="AB1159" s="14"/>
    </row>
    <row r="1160" spans="1:30">
      <c r="A1160" s="45" t="s">
        <v>403</v>
      </c>
      <c r="B1160" s="45" t="s">
        <v>404</v>
      </c>
      <c r="C1160" s="45" t="s">
        <v>490</v>
      </c>
      <c r="D1160" s="45" t="s">
        <v>496</v>
      </c>
      <c r="E1160" s="45" t="s">
        <v>492</v>
      </c>
      <c r="F1160" s="45" t="s">
        <v>493</v>
      </c>
      <c r="G1160" s="14">
        <v>1061</v>
      </c>
      <c r="H1160" s="14">
        <v>1221</v>
      </c>
      <c r="I1160" s="14">
        <v>1513</v>
      </c>
      <c r="J1160" s="14">
        <v>1653</v>
      </c>
      <c r="K1160" s="14">
        <v>1863</v>
      </c>
      <c r="L1160" s="14">
        <v>2220</v>
      </c>
      <c r="M1160" s="14">
        <v>2358</v>
      </c>
      <c r="N1160" s="14">
        <v>2447</v>
      </c>
      <c r="O1160" s="14">
        <v>2778</v>
      </c>
      <c r="P1160" s="14">
        <v>3557</v>
      </c>
      <c r="Q1160" s="14">
        <v>4377</v>
      </c>
      <c r="R1160" s="14">
        <v>4770</v>
      </c>
      <c r="S1160" s="14">
        <v>4389</v>
      </c>
      <c r="T1160" s="14">
        <v>4889</v>
      </c>
      <c r="U1160" s="14">
        <v>5811</v>
      </c>
      <c r="V1160" s="14">
        <v>6303</v>
      </c>
      <c r="W1160" s="14">
        <v>8017</v>
      </c>
      <c r="X1160" s="14">
        <v>8393</v>
      </c>
      <c r="Y1160" s="14">
        <v>8856</v>
      </c>
      <c r="Z1160" s="14">
        <v>9584</v>
      </c>
      <c r="AA1160" s="14"/>
      <c r="AB1160" s="14"/>
    </row>
    <row r="1161" spans="1:30">
      <c r="A1161" s="45" t="s">
        <v>403</v>
      </c>
      <c r="B1161" s="45" t="s">
        <v>404</v>
      </c>
      <c r="C1161" s="45" t="s">
        <v>490</v>
      </c>
      <c r="D1161" s="45" t="s">
        <v>497</v>
      </c>
      <c r="E1161" s="45" t="s">
        <v>492</v>
      </c>
      <c r="F1161" s="45" t="s">
        <v>493</v>
      </c>
      <c r="G1161" s="14">
        <v>3681</v>
      </c>
      <c r="H1161" s="14">
        <v>3980</v>
      </c>
      <c r="I1161" s="14">
        <v>4387</v>
      </c>
      <c r="J1161" s="14">
        <v>5321</v>
      </c>
      <c r="K1161" s="14">
        <v>6123</v>
      </c>
      <c r="L1161" s="14">
        <v>7865</v>
      </c>
      <c r="M1161" s="14">
        <v>8794</v>
      </c>
      <c r="N1161" s="14">
        <v>9230</v>
      </c>
      <c r="O1161" s="14">
        <v>9566</v>
      </c>
      <c r="P1161" s="14">
        <v>10610</v>
      </c>
      <c r="Q1161" s="14">
        <v>12101</v>
      </c>
      <c r="R1161" s="14">
        <v>14089</v>
      </c>
      <c r="S1161" s="14">
        <v>14898</v>
      </c>
      <c r="T1161" s="14">
        <v>15779</v>
      </c>
      <c r="U1161" s="14">
        <v>18068</v>
      </c>
      <c r="V1161" s="14">
        <v>19524</v>
      </c>
      <c r="W1161" s="14">
        <v>20500</v>
      </c>
      <c r="X1161" s="14">
        <v>21690</v>
      </c>
      <c r="Y1161" s="14">
        <v>22728</v>
      </c>
      <c r="Z1161" s="14">
        <v>25054</v>
      </c>
      <c r="AA1161" s="14"/>
      <c r="AB1161" s="14"/>
    </row>
    <row r="1162" spans="1:30">
      <c r="A1162" s="45" t="s">
        <v>403</v>
      </c>
      <c r="B1162" s="45" t="s">
        <v>404</v>
      </c>
      <c r="C1162" s="45" t="s">
        <v>498</v>
      </c>
      <c r="D1162" s="45" t="s">
        <v>491</v>
      </c>
      <c r="E1162" s="45" t="s">
        <v>499</v>
      </c>
      <c r="F1162" s="45" t="s">
        <v>500</v>
      </c>
      <c r="G1162" s="14">
        <v>10946.1</v>
      </c>
      <c r="H1162" s="14">
        <v>10650</v>
      </c>
      <c r="I1162" s="14">
        <v>11422.9</v>
      </c>
      <c r="J1162" s="14">
        <v>12085.7</v>
      </c>
      <c r="K1162" s="14">
        <v>13436.4</v>
      </c>
      <c r="L1162" s="14">
        <v>15092.2</v>
      </c>
      <c r="M1162" s="14">
        <v>16171.6</v>
      </c>
      <c r="N1162" s="14">
        <v>15523</v>
      </c>
      <c r="O1162" s="14">
        <v>14760</v>
      </c>
      <c r="P1162" s="14">
        <v>15636.3</v>
      </c>
      <c r="Q1162" s="14">
        <v>16408.3</v>
      </c>
      <c r="R1162" s="14">
        <v>17077.599999999999</v>
      </c>
      <c r="S1162" s="14">
        <v>16438.5</v>
      </c>
      <c r="T1162" s="14">
        <v>16215.6</v>
      </c>
      <c r="U1162" s="14">
        <v>16928.5</v>
      </c>
      <c r="V1162" s="14">
        <v>17678.3</v>
      </c>
      <c r="W1162" s="14">
        <v>19159.2</v>
      </c>
      <c r="X1162" s="14">
        <v>20485.2</v>
      </c>
      <c r="Y1162" s="14">
        <v>20619.3</v>
      </c>
      <c r="Z1162" s="14">
        <v>20282.8</v>
      </c>
      <c r="AA1162" s="14"/>
      <c r="AB1162" s="14"/>
      <c r="AC1162" s="15">
        <f>IFERROR(Z1162/G1162-1,"")</f>
        <v>0.85297046436630386</v>
      </c>
      <c r="AD1162" s="15">
        <f>IFERROR((Z1162/G1162)^(1/19)-1,"")</f>
        <v>3.2995291444709807E-2</v>
      </c>
    </row>
    <row r="1163" spans="1:30">
      <c r="A1163" s="45" t="s">
        <v>403</v>
      </c>
      <c r="B1163" s="45" t="s">
        <v>404</v>
      </c>
      <c r="C1163" s="45" t="s">
        <v>498</v>
      </c>
      <c r="D1163" s="45" t="s">
        <v>495</v>
      </c>
      <c r="E1163" s="45" t="s">
        <v>499</v>
      </c>
      <c r="F1163" s="45" t="s">
        <v>500</v>
      </c>
      <c r="G1163" s="14">
        <v>543.6</v>
      </c>
      <c r="H1163" s="14">
        <v>365.6</v>
      </c>
      <c r="I1163" s="14">
        <v>435.4</v>
      </c>
      <c r="J1163" s="14">
        <v>435.2</v>
      </c>
      <c r="K1163" s="14">
        <v>460.4</v>
      </c>
      <c r="L1163" s="14">
        <v>500.6</v>
      </c>
      <c r="M1163" s="14">
        <v>482.4</v>
      </c>
      <c r="N1163" s="14">
        <v>472.7</v>
      </c>
      <c r="O1163" s="14">
        <v>403</v>
      </c>
      <c r="P1163" s="14">
        <v>504.1</v>
      </c>
      <c r="Q1163" s="14">
        <v>603.79999999999995</v>
      </c>
      <c r="R1163" s="14">
        <v>487.7</v>
      </c>
      <c r="S1163" s="14">
        <v>534.79999999999995</v>
      </c>
      <c r="T1163" s="14">
        <v>457.4</v>
      </c>
      <c r="U1163" s="14">
        <v>550.6</v>
      </c>
      <c r="V1163" s="14">
        <v>583.79999999999995</v>
      </c>
      <c r="W1163" s="14">
        <v>616.1</v>
      </c>
      <c r="X1163" s="14">
        <v>1675.5</v>
      </c>
      <c r="Y1163" s="14">
        <v>1619.6</v>
      </c>
      <c r="Z1163" s="14">
        <v>1771.1</v>
      </c>
      <c r="AA1163" s="14"/>
      <c r="AB1163" s="14"/>
      <c r="AC1163" s="15">
        <f>IFERROR(Z1163/G1163-1,"")</f>
        <v>2.2580941869021336</v>
      </c>
      <c r="AD1163" s="15">
        <f>IFERROR((Z1163/G1163)^(1/19)-1,"")</f>
        <v>6.413832852722523E-2</v>
      </c>
    </row>
    <row r="1164" spans="1:30">
      <c r="A1164" s="45" t="s">
        <v>403</v>
      </c>
      <c r="B1164" s="45" t="s">
        <v>404</v>
      </c>
      <c r="C1164" s="45" t="s">
        <v>498</v>
      </c>
      <c r="D1164" s="45" t="s">
        <v>496</v>
      </c>
      <c r="E1164" s="45" t="s">
        <v>499</v>
      </c>
      <c r="F1164" s="45" t="s">
        <v>500</v>
      </c>
      <c r="G1164" s="14">
        <v>2016.3</v>
      </c>
      <c r="H1164" s="14">
        <v>2032.5</v>
      </c>
      <c r="I1164" s="14">
        <v>2338.5</v>
      </c>
      <c r="J1164" s="14">
        <v>2378.1</v>
      </c>
      <c r="K1164" s="14">
        <v>2509.8000000000002</v>
      </c>
      <c r="L1164" s="14">
        <v>2809.9</v>
      </c>
      <c r="M1164" s="14">
        <v>2743.7</v>
      </c>
      <c r="N1164" s="14">
        <v>2653.1</v>
      </c>
      <c r="O1164" s="14">
        <v>2778</v>
      </c>
      <c r="P1164" s="14">
        <v>3283.8</v>
      </c>
      <c r="Q1164" s="14">
        <v>3743.5</v>
      </c>
      <c r="R1164" s="14">
        <v>3794.8</v>
      </c>
      <c r="S1164" s="14">
        <v>3237.7</v>
      </c>
      <c r="T1164" s="14">
        <v>3352.8</v>
      </c>
      <c r="U1164" s="14">
        <v>3686.4</v>
      </c>
      <c r="V1164" s="14">
        <v>3856.9</v>
      </c>
      <c r="W1164" s="14">
        <v>4694.8</v>
      </c>
      <c r="X1164" s="14">
        <v>4715.8</v>
      </c>
      <c r="Y1164" s="14">
        <v>4673.3999999999996</v>
      </c>
      <c r="Z1164" s="14">
        <v>4473.8999999999996</v>
      </c>
      <c r="AA1164" s="14"/>
      <c r="AB1164" s="14"/>
      <c r="AC1164" s="15">
        <f>IFERROR(Z1164/G1164-1,"")</f>
        <v>1.2188662401428356</v>
      </c>
      <c r="AD1164" s="15">
        <f>IFERROR((Z1164/G1164)^(1/19)-1,"")</f>
        <v>4.2839391379293268E-2</v>
      </c>
    </row>
    <row r="1165" spans="1:30">
      <c r="A1165" s="45" t="s">
        <v>403</v>
      </c>
      <c r="B1165" s="45" t="s">
        <v>404</v>
      </c>
      <c r="C1165" s="45" t="s">
        <v>498</v>
      </c>
      <c r="D1165" s="45" t="s">
        <v>497</v>
      </c>
      <c r="E1165" s="45" t="s">
        <v>499</v>
      </c>
      <c r="F1165" s="45" t="s">
        <v>500</v>
      </c>
      <c r="G1165" s="14">
        <v>6993.5</v>
      </c>
      <c r="H1165" s="14">
        <v>6627.4</v>
      </c>
      <c r="I1165" s="14">
        <v>6779</v>
      </c>
      <c r="J1165" s="14">
        <v>7653.8</v>
      </c>
      <c r="K1165" s="14">
        <v>8249.2000000000007</v>
      </c>
      <c r="L1165" s="14">
        <v>9954.4</v>
      </c>
      <c r="M1165" s="14">
        <v>10231.6</v>
      </c>
      <c r="N1165" s="14">
        <v>10007.5</v>
      </c>
      <c r="O1165" s="14">
        <v>9566</v>
      </c>
      <c r="P1165" s="14">
        <v>9795.2000000000007</v>
      </c>
      <c r="Q1165" s="14">
        <v>10349.6</v>
      </c>
      <c r="R1165" s="14">
        <v>11208.7</v>
      </c>
      <c r="S1165" s="14">
        <v>10990</v>
      </c>
      <c r="T1165" s="14">
        <v>10821.1</v>
      </c>
      <c r="U1165" s="14">
        <v>11462.1</v>
      </c>
      <c r="V1165" s="14">
        <v>11947.1</v>
      </c>
      <c r="W1165" s="14">
        <v>12004.9</v>
      </c>
      <c r="X1165" s="14">
        <v>12186.9</v>
      </c>
      <c r="Y1165" s="14">
        <v>11993.9</v>
      </c>
      <c r="Z1165" s="14">
        <v>11695.9</v>
      </c>
      <c r="AA1165" s="14"/>
      <c r="AB1165" s="14"/>
      <c r="AC1165" s="15">
        <f>IFERROR(Z1165/G1165-1,"")</f>
        <v>0.67239579609637512</v>
      </c>
      <c r="AD1165" s="15">
        <f>IFERROR((Z1165/G1165)^(1/19)-1,"")</f>
        <v>2.7435784685754472E-2</v>
      </c>
    </row>
    <row r="1166" spans="1:30">
      <c r="A1166" s="45" t="s">
        <v>403</v>
      </c>
      <c r="B1166" s="45" t="s">
        <v>404</v>
      </c>
      <c r="C1166" s="45" t="s">
        <v>498</v>
      </c>
      <c r="D1166" s="45" t="s">
        <v>501</v>
      </c>
      <c r="E1166" s="45" t="s">
        <v>499</v>
      </c>
      <c r="F1166" s="45" t="s">
        <v>500</v>
      </c>
      <c r="G1166" s="14">
        <v>1078.9000000000001</v>
      </c>
      <c r="H1166" s="14">
        <v>1350.8</v>
      </c>
      <c r="I1166" s="14">
        <v>1511.5</v>
      </c>
      <c r="J1166" s="14">
        <v>1263.9000000000001</v>
      </c>
      <c r="K1166" s="14">
        <v>1639.9</v>
      </c>
      <c r="L1166" s="14">
        <v>1124.8</v>
      </c>
      <c r="M1166" s="14">
        <v>1863.6</v>
      </c>
      <c r="N1166" s="14">
        <v>1671.9</v>
      </c>
      <c r="O1166" s="14">
        <v>1195</v>
      </c>
      <c r="P1166" s="14">
        <v>1187.2</v>
      </c>
      <c r="Q1166" s="14">
        <v>838.2</v>
      </c>
      <c r="R1166" s="14">
        <v>780.4</v>
      </c>
      <c r="S1166" s="14">
        <v>901.4</v>
      </c>
      <c r="T1166" s="14">
        <v>792.1</v>
      </c>
      <c r="U1166" s="14">
        <v>741.6</v>
      </c>
      <c r="V1166" s="14">
        <v>813.9</v>
      </c>
      <c r="W1166" s="14">
        <v>1154.2</v>
      </c>
      <c r="X1166" s="14">
        <v>1226.5999999999999</v>
      </c>
      <c r="Y1166" s="14">
        <v>1673.9</v>
      </c>
      <c r="Z1166" s="14">
        <v>1537.2</v>
      </c>
      <c r="AA1166" s="14"/>
      <c r="AB1166" s="14"/>
      <c r="AC1166" s="15">
        <f>IFERROR(Z1166/G1166-1,"")</f>
        <v>0.42478450273426627</v>
      </c>
      <c r="AD1166" s="15">
        <f>IFERROR((Z1166/G1166)^(1/19)-1,"")</f>
        <v>1.8807333123221248E-2</v>
      </c>
    </row>
    <row r="1167" spans="1:30">
      <c r="A1167" s="45" t="s">
        <v>415</v>
      </c>
      <c r="B1167" s="45" t="s">
        <v>416</v>
      </c>
      <c r="C1167" s="45" t="s">
        <v>490</v>
      </c>
      <c r="D1167" s="45" t="s">
        <v>491</v>
      </c>
      <c r="E1167" s="45" t="s">
        <v>492</v>
      </c>
      <c r="F1167" s="45" t="s">
        <v>493</v>
      </c>
      <c r="G1167" s="14">
        <v>5446</v>
      </c>
      <c r="H1167" s="14">
        <v>5877</v>
      </c>
      <c r="I1167" s="14">
        <v>6649</v>
      </c>
      <c r="J1167" s="14">
        <v>7608</v>
      </c>
      <c r="K1167" s="14">
        <v>8734</v>
      </c>
      <c r="L1167" s="14">
        <v>11220</v>
      </c>
      <c r="M1167" s="14">
        <v>12884</v>
      </c>
      <c r="N1167" s="14">
        <v>13947</v>
      </c>
      <c r="O1167" s="14">
        <v>14423</v>
      </c>
      <c r="P1167" s="14">
        <v>17367</v>
      </c>
      <c r="Q1167" s="14">
        <v>19617</v>
      </c>
      <c r="R1167" s="14">
        <v>22154</v>
      </c>
      <c r="S1167" s="14">
        <v>24034</v>
      </c>
      <c r="T1167" s="14">
        <v>26267</v>
      </c>
      <c r="U1167" s="14">
        <v>27888</v>
      </c>
      <c r="V1167" s="14">
        <v>30481</v>
      </c>
      <c r="W1167" s="14">
        <v>31466</v>
      </c>
      <c r="X1167" s="14">
        <v>34419</v>
      </c>
      <c r="Y1167" s="14">
        <v>35809</v>
      </c>
      <c r="Z1167" s="14">
        <v>37507</v>
      </c>
      <c r="AA1167" s="14">
        <v>37690</v>
      </c>
      <c r="AB1167" s="14">
        <v>42857</v>
      </c>
    </row>
    <row r="1168" spans="1:30">
      <c r="A1168" s="45" t="s">
        <v>415</v>
      </c>
      <c r="B1168" s="45" t="s">
        <v>416</v>
      </c>
      <c r="C1168" s="45" t="s">
        <v>490</v>
      </c>
      <c r="D1168" s="45" t="s">
        <v>494</v>
      </c>
      <c r="E1168" s="45" t="s">
        <v>492</v>
      </c>
      <c r="F1168" s="45" t="s">
        <v>493</v>
      </c>
      <c r="G1168" s="14">
        <v>5284</v>
      </c>
      <c r="H1168" s="14">
        <v>5721</v>
      </c>
      <c r="I1168" s="14">
        <v>6444</v>
      </c>
      <c r="J1168" s="14">
        <v>7327</v>
      </c>
      <c r="K1168" s="14">
        <v>8355</v>
      </c>
      <c r="L1168" s="14">
        <v>10689</v>
      </c>
      <c r="M1168" s="14">
        <v>12210</v>
      </c>
      <c r="N1168" s="14">
        <v>13246</v>
      </c>
      <c r="O1168" s="14">
        <v>13657</v>
      </c>
      <c r="P1168" s="14">
        <v>16460</v>
      </c>
      <c r="Q1168" s="14">
        <v>18633</v>
      </c>
      <c r="R1168" s="14">
        <v>21069</v>
      </c>
      <c r="S1168" s="14">
        <v>22756</v>
      </c>
      <c r="T1168" s="14">
        <v>24943</v>
      </c>
      <c r="U1168" s="14">
        <v>26931</v>
      </c>
      <c r="V1168" s="14">
        <v>29506</v>
      </c>
      <c r="W1168" s="14">
        <v>30345</v>
      </c>
      <c r="X1168" s="14">
        <v>33231</v>
      </c>
      <c r="Y1168" s="14">
        <v>34696</v>
      </c>
      <c r="Z1168" s="14">
        <v>36126</v>
      </c>
      <c r="AA1168" s="14"/>
      <c r="AB1168" s="14"/>
    </row>
    <row r="1169" spans="1:30">
      <c r="A1169" s="45" t="s">
        <v>415</v>
      </c>
      <c r="B1169" s="45" t="s">
        <v>416</v>
      </c>
      <c r="C1169" s="45" t="s">
        <v>490</v>
      </c>
      <c r="D1169" s="45" t="s">
        <v>495</v>
      </c>
      <c r="E1169" s="45" t="s">
        <v>492</v>
      </c>
      <c r="F1169" s="45" t="s">
        <v>493</v>
      </c>
      <c r="G1169" s="14">
        <v>273</v>
      </c>
      <c r="H1169" s="14">
        <v>237</v>
      </c>
      <c r="I1169" s="14">
        <v>282</v>
      </c>
      <c r="J1169" s="14">
        <v>397</v>
      </c>
      <c r="K1169" s="14">
        <v>417</v>
      </c>
      <c r="L1169" s="14">
        <v>419</v>
      </c>
      <c r="M1169" s="14">
        <v>440</v>
      </c>
      <c r="N1169" s="14">
        <v>487</v>
      </c>
      <c r="O1169" s="14">
        <v>440</v>
      </c>
      <c r="P1169" s="14">
        <v>569</v>
      </c>
      <c r="Q1169" s="14">
        <v>789</v>
      </c>
      <c r="R1169" s="14">
        <v>724</v>
      </c>
      <c r="S1169" s="14">
        <v>718</v>
      </c>
      <c r="T1169" s="14">
        <v>1197</v>
      </c>
      <c r="U1169" s="14">
        <v>1500</v>
      </c>
      <c r="V1169" s="14">
        <v>1674</v>
      </c>
      <c r="W1169" s="14">
        <v>1623</v>
      </c>
      <c r="X1169" s="14">
        <v>1644</v>
      </c>
      <c r="Y1169" s="14">
        <v>1547</v>
      </c>
      <c r="Z1169" s="14">
        <v>1679</v>
      </c>
      <c r="AA1169" s="14"/>
      <c r="AB1169" s="14"/>
    </row>
    <row r="1170" spans="1:30">
      <c r="A1170" s="45" t="s">
        <v>415</v>
      </c>
      <c r="B1170" s="45" t="s">
        <v>416</v>
      </c>
      <c r="C1170" s="45" t="s">
        <v>490</v>
      </c>
      <c r="D1170" s="45" t="s">
        <v>496</v>
      </c>
      <c r="E1170" s="45" t="s">
        <v>492</v>
      </c>
      <c r="F1170" s="45" t="s">
        <v>493</v>
      </c>
      <c r="G1170" s="14">
        <v>1062</v>
      </c>
      <c r="H1170" s="14">
        <v>1159</v>
      </c>
      <c r="I1170" s="14">
        <v>1358</v>
      </c>
      <c r="J1170" s="14">
        <v>1530</v>
      </c>
      <c r="K1170" s="14">
        <v>1740</v>
      </c>
      <c r="L1170" s="14">
        <v>2109</v>
      </c>
      <c r="M1170" s="14">
        <v>2154</v>
      </c>
      <c r="N1170" s="14">
        <v>2374</v>
      </c>
      <c r="O1170" s="14">
        <v>2599</v>
      </c>
      <c r="P1170" s="14">
        <v>3468</v>
      </c>
      <c r="Q1170" s="14">
        <v>4233</v>
      </c>
      <c r="R1170" s="14">
        <v>4644</v>
      </c>
      <c r="S1170" s="14">
        <v>4824</v>
      </c>
      <c r="T1170" s="14">
        <v>5346</v>
      </c>
      <c r="U1170" s="14">
        <v>6056</v>
      </c>
      <c r="V1170" s="14">
        <v>6226</v>
      </c>
      <c r="W1170" s="14">
        <v>6742</v>
      </c>
      <c r="X1170" s="14">
        <v>7441</v>
      </c>
      <c r="Y1170" s="14">
        <v>7597</v>
      </c>
      <c r="Z1170" s="14">
        <v>7704</v>
      </c>
      <c r="AA1170" s="14"/>
      <c r="AB1170" s="14"/>
    </row>
    <row r="1171" spans="1:30">
      <c r="A1171" s="45" t="s">
        <v>415</v>
      </c>
      <c r="B1171" s="45" t="s">
        <v>416</v>
      </c>
      <c r="C1171" s="45" t="s">
        <v>490</v>
      </c>
      <c r="D1171" s="45" t="s">
        <v>497</v>
      </c>
      <c r="E1171" s="45" t="s">
        <v>492</v>
      </c>
      <c r="F1171" s="45" t="s">
        <v>493</v>
      </c>
      <c r="G1171" s="14">
        <v>3416</v>
      </c>
      <c r="H1171" s="14">
        <v>3597</v>
      </c>
      <c r="I1171" s="14">
        <v>4004</v>
      </c>
      <c r="J1171" s="14">
        <v>4759</v>
      </c>
      <c r="K1171" s="14">
        <v>5426</v>
      </c>
      <c r="L1171" s="14">
        <v>7456</v>
      </c>
      <c r="M1171" s="14">
        <v>8367</v>
      </c>
      <c r="N1171" s="14">
        <v>9002</v>
      </c>
      <c r="O1171" s="14">
        <v>9773</v>
      </c>
      <c r="P1171" s="14">
        <v>11275</v>
      </c>
      <c r="Q1171" s="14">
        <v>12816</v>
      </c>
      <c r="R1171" s="14">
        <v>14754</v>
      </c>
      <c r="S1171" s="14">
        <v>15985</v>
      </c>
      <c r="T1171" s="14">
        <v>17215</v>
      </c>
      <c r="U1171" s="14">
        <v>18372</v>
      </c>
      <c r="V1171" s="14">
        <v>20322</v>
      </c>
      <c r="W1171" s="14">
        <v>20342</v>
      </c>
      <c r="X1171" s="14">
        <v>22433</v>
      </c>
      <c r="Y1171" s="14">
        <v>23653</v>
      </c>
      <c r="Z1171" s="14">
        <v>24804</v>
      </c>
      <c r="AA1171" s="14"/>
      <c r="AB1171" s="14"/>
    </row>
    <row r="1172" spans="1:30">
      <c r="A1172" s="45" t="s">
        <v>415</v>
      </c>
      <c r="B1172" s="45" t="s">
        <v>416</v>
      </c>
      <c r="C1172" s="45" t="s">
        <v>498</v>
      </c>
      <c r="D1172" s="45" t="s">
        <v>491</v>
      </c>
      <c r="E1172" s="45" t="s">
        <v>499</v>
      </c>
      <c r="F1172" s="45" t="s">
        <v>500</v>
      </c>
      <c r="G1172" s="14">
        <v>10345.1</v>
      </c>
      <c r="H1172" s="14">
        <v>9785.6</v>
      </c>
      <c r="I1172" s="14">
        <v>10274.200000000001</v>
      </c>
      <c r="J1172" s="14">
        <v>10943.2</v>
      </c>
      <c r="K1172" s="14">
        <v>11766.6</v>
      </c>
      <c r="L1172" s="14">
        <v>14200.9</v>
      </c>
      <c r="M1172" s="14">
        <v>14991.2</v>
      </c>
      <c r="N1172" s="14">
        <v>15121.8</v>
      </c>
      <c r="O1172" s="14">
        <v>14423</v>
      </c>
      <c r="P1172" s="14">
        <v>16033.3</v>
      </c>
      <c r="Q1172" s="14">
        <v>16777.8</v>
      </c>
      <c r="R1172" s="14">
        <v>17624.900000000001</v>
      </c>
      <c r="S1172" s="14">
        <v>17729.400000000001</v>
      </c>
      <c r="T1172" s="14">
        <v>18013.7</v>
      </c>
      <c r="U1172" s="14">
        <v>17691.7</v>
      </c>
      <c r="V1172" s="14">
        <v>18651.900000000001</v>
      </c>
      <c r="W1172" s="14">
        <v>18426.599999999999</v>
      </c>
      <c r="X1172" s="14">
        <v>19339</v>
      </c>
      <c r="Y1172" s="14">
        <v>18896.900000000001</v>
      </c>
      <c r="Z1172" s="14">
        <v>17508.5</v>
      </c>
      <c r="AA1172" s="14"/>
      <c r="AB1172" s="14"/>
      <c r="AC1172" s="15">
        <f>IFERROR(Z1172/G1172-1,"")</f>
        <v>0.69244376564750465</v>
      </c>
      <c r="AD1172" s="15">
        <f>IFERROR((Z1172/G1172)^(1/19)-1,"")</f>
        <v>2.8080367096029013E-2</v>
      </c>
    </row>
    <row r="1173" spans="1:30">
      <c r="A1173" s="45" t="s">
        <v>415</v>
      </c>
      <c r="B1173" s="45" t="s">
        <v>416</v>
      </c>
      <c r="C1173" s="45" t="s">
        <v>498</v>
      </c>
      <c r="D1173" s="45" t="s">
        <v>495</v>
      </c>
      <c r="E1173" s="45" t="s">
        <v>499</v>
      </c>
      <c r="F1173" s="45" t="s">
        <v>500</v>
      </c>
      <c r="G1173" s="14">
        <v>518.70000000000005</v>
      </c>
      <c r="H1173" s="14">
        <v>394.9</v>
      </c>
      <c r="I1173" s="14">
        <v>435.9</v>
      </c>
      <c r="J1173" s="14">
        <v>570.70000000000005</v>
      </c>
      <c r="K1173" s="14">
        <v>562.4</v>
      </c>
      <c r="L1173" s="14">
        <v>530.70000000000005</v>
      </c>
      <c r="M1173" s="14">
        <v>511.6</v>
      </c>
      <c r="N1173" s="14">
        <v>528</v>
      </c>
      <c r="O1173" s="14">
        <v>440</v>
      </c>
      <c r="P1173" s="14">
        <v>525.29999999999995</v>
      </c>
      <c r="Q1173" s="14">
        <v>674.8</v>
      </c>
      <c r="R1173" s="14">
        <v>576</v>
      </c>
      <c r="S1173" s="14">
        <v>529.70000000000005</v>
      </c>
      <c r="T1173" s="14">
        <v>820.9</v>
      </c>
      <c r="U1173" s="14">
        <v>951.6</v>
      </c>
      <c r="V1173" s="14">
        <v>1024.4000000000001</v>
      </c>
      <c r="W1173" s="14">
        <v>950.4</v>
      </c>
      <c r="X1173" s="14">
        <v>923.7</v>
      </c>
      <c r="Y1173" s="14">
        <v>816.4</v>
      </c>
      <c r="Z1173" s="14">
        <v>783.8</v>
      </c>
      <c r="AA1173" s="14"/>
      <c r="AB1173" s="14"/>
      <c r="AC1173" s="15">
        <f>IFERROR(Z1173/G1173-1,"")</f>
        <v>0.51108540582224782</v>
      </c>
      <c r="AD1173" s="15">
        <f>IFERROR((Z1173/G1173)^(1/19)-1,"")</f>
        <v>2.1965567816447651E-2</v>
      </c>
    </row>
    <row r="1174" spans="1:30">
      <c r="A1174" s="45" t="s">
        <v>415</v>
      </c>
      <c r="B1174" s="45" t="s">
        <v>416</v>
      </c>
      <c r="C1174" s="45" t="s">
        <v>498</v>
      </c>
      <c r="D1174" s="45" t="s">
        <v>496</v>
      </c>
      <c r="E1174" s="45" t="s">
        <v>499</v>
      </c>
      <c r="F1174" s="45" t="s">
        <v>500</v>
      </c>
      <c r="G1174" s="14">
        <v>2017.3</v>
      </c>
      <c r="H1174" s="14">
        <v>1929.8</v>
      </c>
      <c r="I1174" s="14">
        <v>2098.3000000000002</v>
      </c>
      <c r="J1174" s="14">
        <v>2200.5</v>
      </c>
      <c r="K1174" s="14">
        <v>2343.6999999999998</v>
      </c>
      <c r="L1174" s="14">
        <v>2668.8</v>
      </c>
      <c r="M1174" s="14">
        <v>2506.1999999999998</v>
      </c>
      <c r="N1174" s="14">
        <v>2574</v>
      </c>
      <c r="O1174" s="14">
        <v>2599</v>
      </c>
      <c r="P1174" s="14">
        <v>3201.7</v>
      </c>
      <c r="Q1174" s="14">
        <v>3620.3</v>
      </c>
      <c r="R1174" s="14">
        <v>3694.6</v>
      </c>
      <c r="S1174" s="14">
        <v>3558.6</v>
      </c>
      <c r="T1174" s="14">
        <v>3666.2</v>
      </c>
      <c r="U1174" s="14">
        <v>3841.8</v>
      </c>
      <c r="V1174" s="14">
        <v>3809.8</v>
      </c>
      <c r="W1174" s="14">
        <v>3948.1</v>
      </c>
      <c r="X1174" s="14">
        <v>4180.8999999999996</v>
      </c>
      <c r="Y1174" s="14">
        <v>4009</v>
      </c>
      <c r="Z1174" s="14">
        <v>3596.3</v>
      </c>
      <c r="AA1174" s="14"/>
      <c r="AB1174" s="14"/>
      <c r="AC1174" s="15">
        <f>IFERROR(Z1174/G1174-1,"")</f>
        <v>0.78272939076984094</v>
      </c>
      <c r="AD1174" s="15">
        <f>IFERROR((Z1174/G1174)^(1/19)-1,"")</f>
        <v>3.0896398378987389E-2</v>
      </c>
    </row>
    <row r="1175" spans="1:30">
      <c r="A1175" s="45" t="s">
        <v>415</v>
      </c>
      <c r="B1175" s="45" t="s">
        <v>416</v>
      </c>
      <c r="C1175" s="45" t="s">
        <v>498</v>
      </c>
      <c r="D1175" s="45" t="s">
        <v>497</v>
      </c>
      <c r="E1175" s="45" t="s">
        <v>499</v>
      </c>
      <c r="F1175" s="45" t="s">
        <v>500</v>
      </c>
      <c r="G1175" s="14">
        <v>6489.1</v>
      </c>
      <c r="H1175" s="14">
        <v>5989.8</v>
      </c>
      <c r="I1175" s="14">
        <v>6186.8</v>
      </c>
      <c r="J1175" s="14">
        <v>6845.9</v>
      </c>
      <c r="K1175" s="14">
        <v>7310</v>
      </c>
      <c r="L1175" s="14">
        <v>9437.2000000000007</v>
      </c>
      <c r="M1175" s="14">
        <v>9734.7999999999993</v>
      </c>
      <c r="N1175" s="14">
        <v>9760.2999999999993</v>
      </c>
      <c r="O1175" s="14">
        <v>9773</v>
      </c>
      <c r="P1175" s="14">
        <v>10409.1</v>
      </c>
      <c r="Q1175" s="14">
        <v>10961.1</v>
      </c>
      <c r="R1175" s="14">
        <v>11737.8</v>
      </c>
      <c r="S1175" s="14">
        <v>11791.8</v>
      </c>
      <c r="T1175" s="14">
        <v>11805.9</v>
      </c>
      <c r="U1175" s="14">
        <v>11654.9</v>
      </c>
      <c r="V1175" s="14">
        <v>12435.4</v>
      </c>
      <c r="W1175" s="14">
        <v>11912.4</v>
      </c>
      <c r="X1175" s="14">
        <v>12604.4</v>
      </c>
      <c r="Y1175" s="14">
        <v>12482</v>
      </c>
      <c r="Z1175" s="14">
        <v>11579.2</v>
      </c>
      <c r="AA1175" s="14"/>
      <c r="AB1175" s="14"/>
      <c r="AC1175" s="15">
        <f>IFERROR(Z1175/G1175-1,"")</f>
        <v>0.78440769906458518</v>
      </c>
      <c r="AD1175" s="15">
        <f>IFERROR((Z1175/G1175)^(1/19)-1,"")</f>
        <v>3.094745524394038E-2</v>
      </c>
    </row>
    <row r="1176" spans="1:30">
      <c r="A1176" s="45" t="s">
        <v>415</v>
      </c>
      <c r="B1176" s="45" t="s">
        <v>416</v>
      </c>
      <c r="C1176" s="45" t="s">
        <v>498</v>
      </c>
      <c r="D1176" s="45" t="s">
        <v>501</v>
      </c>
      <c r="E1176" s="45" t="s">
        <v>499</v>
      </c>
      <c r="F1176" s="45" t="s">
        <v>500</v>
      </c>
      <c r="G1176" s="14">
        <v>1012.4</v>
      </c>
      <c r="H1176" s="14">
        <v>1212.4000000000001</v>
      </c>
      <c r="I1176" s="14">
        <v>1236.5</v>
      </c>
      <c r="J1176" s="14">
        <v>922.7</v>
      </c>
      <c r="K1176" s="14">
        <v>1038.8</v>
      </c>
      <c r="L1176" s="14">
        <v>892.3</v>
      </c>
      <c r="M1176" s="14">
        <v>1453.8</v>
      </c>
      <c r="N1176" s="14">
        <v>1499.5</v>
      </c>
      <c r="O1176" s="14">
        <v>846</v>
      </c>
      <c r="P1176" s="14">
        <v>1058.9000000000001</v>
      </c>
      <c r="Q1176" s="14">
        <v>679.9</v>
      </c>
      <c r="R1176" s="14">
        <v>753.4</v>
      </c>
      <c r="S1176" s="14">
        <v>907.3</v>
      </c>
      <c r="T1176" s="14">
        <v>812</v>
      </c>
      <c r="U1176" s="14">
        <v>636.9</v>
      </c>
      <c r="V1176" s="14">
        <v>785.7</v>
      </c>
      <c r="W1176" s="14">
        <v>959.2</v>
      </c>
      <c r="X1176" s="14">
        <v>962.5</v>
      </c>
      <c r="Y1176" s="14">
        <v>1002.1</v>
      </c>
      <c r="Z1176" s="14">
        <v>905.1</v>
      </c>
      <c r="AA1176" s="14"/>
      <c r="AB1176" s="14"/>
      <c r="AC1176" s="15">
        <f>IFERROR(Z1176/G1176-1,"")</f>
        <v>-0.10598577637297502</v>
      </c>
      <c r="AD1176" s="15">
        <f>IFERROR((Z1176/G1176)^(1/19)-1,"")</f>
        <v>-5.8791546723147015E-3</v>
      </c>
    </row>
    <row r="1177" spans="1:30">
      <c r="A1177" s="45" t="s">
        <v>401</v>
      </c>
      <c r="B1177" s="45" t="s">
        <v>402</v>
      </c>
      <c r="C1177" s="45" t="s">
        <v>490</v>
      </c>
      <c r="D1177" s="45" t="s">
        <v>491</v>
      </c>
      <c r="E1177" s="45" t="s">
        <v>492</v>
      </c>
      <c r="F1177" s="45" t="s">
        <v>493</v>
      </c>
      <c r="G1177" s="14">
        <v>8366</v>
      </c>
      <c r="H1177" s="14">
        <v>9503</v>
      </c>
      <c r="I1177" s="14">
        <v>10816</v>
      </c>
      <c r="J1177" s="14">
        <v>12536</v>
      </c>
      <c r="K1177" s="14">
        <v>13949</v>
      </c>
      <c r="L1177" s="14">
        <v>16408</v>
      </c>
      <c r="M1177" s="14">
        <v>18393</v>
      </c>
      <c r="N1177" s="14">
        <v>19305</v>
      </c>
      <c r="O1177" s="14">
        <v>21010</v>
      </c>
      <c r="P1177" s="14">
        <v>23161</v>
      </c>
      <c r="Q1177" s="14">
        <v>25035</v>
      </c>
      <c r="R1177" s="14">
        <v>26933</v>
      </c>
      <c r="S1177" s="14">
        <v>30231</v>
      </c>
      <c r="T1177" s="14">
        <v>29814</v>
      </c>
      <c r="U1177" s="14">
        <v>30152</v>
      </c>
      <c r="V1177" s="14">
        <v>31380</v>
      </c>
      <c r="W1177" s="14">
        <v>36014</v>
      </c>
      <c r="X1177" s="14">
        <v>39616</v>
      </c>
      <c r="Y1177" s="14">
        <v>41117</v>
      </c>
      <c r="Z1177" s="14">
        <v>43512</v>
      </c>
      <c r="AA1177" s="14">
        <v>48437</v>
      </c>
      <c r="AB1177" s="14">
        <v>53836</v>
      </c>
    </row>
    <row r="1178" spans="1:30">
      <c r="A1178" s="45" t="s">
        <v>401</v>
      </c>
      <c r="B1178" s="45" t="s">
        <v>402</v>
      </c>
      <c r="C1178" s="45" t="s">
        <v>490</v>
      </c>
      <c r="D1178" s="45" t="s">
        <v>494</v>
      </c>
      <c r="E1178" s="45" t="s">
        <v>492</v>
      </c>
      <c r="F1178" s="45" t="s">
        <v>493</v>
      </c>
      <c r="G1178" s="14">
        <v>8103</v>
      </c>
      <c r="H1178" s="14">
        <v>9236</v>
      </c>
      <c r="I1178" s="14">
        <v>10482</v>
      </c>
      <c r="J1178" s="14">
        <v>12151</v>
      </c>
      <c r="K1178" s="14">
        <v>13374</v>
      </c>
      <c r="L1178" s="14">
        <v>15680</v>
      </c>
      <c r="M1178" s="14">
        <v>17424</v>
      </c>
      <c r="N1178" s="14">
        <v>18514</v>
      </c>
      <c r="O1178" s="14">
        <v>19903</v>
      </c>
      <c r="P1178" s="14">
        <v>22008</v>
      </c>
      <c r="Q1178" s="14">
        <v>23744</v>
      </c>
      <c r="R1178" s="14">
        <v>25548</v>
      </c>
      <c r="S1178" s="14">
        <v>28517</v>
      </c>
      <c r="T1178" s="14">
        <v>28427</v>
      </c>
      <c r="U1178" s="14">
        <v>29395</v>
      </c>
      <c r="V1178" s="14">
        <v>30625</v>
      </c>
      <c r="W1178" s="14">
        <v>34999</v>
      </c>
      <c r="X1178" s="14">
        <v>38497</v>
      </c>
      <c r="Y1178" s="14">
        <v>40130</v>
      </c>
      <c r="Z1178" s="14">
        <v>42112</v>
      </c>
      <c r="AA1178" s="14"/>
      <c r="AB1178" s="14"/>
    </row>
    <row r="1179" spans="1:30">
      <c r="A1179" s="45" t="s">
        <v>401</v>
      </c>
      <c r="B1179" s="45" t="s">
        <v>402</v>
      </c>
      <c r="C1179" s="45" t="s">
        <v>490</v>
      </c>
      <c r="D1179" s="45" t="s">
        <v>495</v>
      </c>
      <c r="E1179" s="45" t="s">
        <v>492</v>
      </c>
      <c r="F1179" s="45" t="s">
        <v>493</v>
      </c>
      <c r="G1179" s="14">
        <v>417</v>
      </c>
      <c r="H1179" s="14">
        <v>317</v>
      </c>
      <c r="I1179" s="14">
        <v>398</v>
      </c>
      <c r="J1179" s="14">
        <v>460</v>
      </c>
      <c r="K1179" s="14">
        <v>470</v>
      </c>
      <c r="L1179" s="14">
        <v>553</v>
      </c>
      <c r="M1179" s="14">
        <v>549</v>
      </c>
      <c r="N1179" s="14">
        <v>595</v>
      </c>
      <c r="O1179" s="14">
        <v>582</v>
      </c>
      <c r="P1179" s="14">
        <v>636</v>
      </c>
      <c r="Q1179" s="14">
        <v>766</v>
      </c>
      <c r="R1179" s="14">
        <v>619</v>
      </c>
      <c r="S1179" s="14">
        <v>742</v>
      </c>
      <c r="T1179" s="14">
        <v>604</v>
      </c>
      <c r="U1179" s="14">
        <v>790</v>
      </c>
      <c r="V1179" s="14">
        <v>829</v>
      </c>
      <c r="W1179" s="14">
        <v>910</v>
      </c>
      <c r="X1179" s="14">
        <v>1083</v>
      </c>
      <c r="Y1179" s="14">
        <v>927</v>
      </c>
      <c r="Z1179" s="14">
        <v>1136</v>
      </c>
      <c r="AA1179" s="14"/>
      <c r="AB1179" s="14"/>
    </row>
    <row r="1180" spans="1:30">
      <c r="A1180" s="45" t="s">
        <v>401</v>
      </c>
      <c r="B1180" s="45" t="s">
        <v>402</v>
      </c>
      <c r="C1180" s="45" t="s">
        <v>490</v>
      </c>
      <c r="D1180" s="45" t="s">
        <v>496</v>
      </c>
      <c r="E1180" s="45" t="s">
        <v>492</v>
      </c>
      <c r="F1180" s="45" t="s">
        <v>493</v>
      </c>
      <c r="G1180" s="14">
        <v>1566</v>
      </c>
      <c r="H1180" s="14">
        <v>1932</v>
      </c>
      <c r="I1180" s="14">
        <v>2227</v>
      </c>
      <c r="J1180" s="14">
        <v>2473</v>
      </c>
      <c r="K1180" s="14">
        <v>2651</v>
      </c>
      <c r="L1180" s="14">
        <v>3165</v>
      </c>
      <c r="M1180" s="14">
        <v>3082</v>
      </c>
      <c r="N1180" s="14">
        <v>3351</v>
      </c>
      <c r="O1180" s="14">
        <v>3912</v>
      </c>
      <c r="P1180" s="14">
        <v>4281</v>
      </c>
      <c r="Q1180" s="14">
        <v>5039</v>
      </c>
      <c r="R1180" s="14">
        <v>5140</v>
      </c>
      <c r="S1180" s="14">
        <v>5343</v>
      </c>
      <c r="T1180" s="14">
        <v>5968</v>
      </c>
      <c r="U1180" s="14">
        <v>6264</v>
      </c>
      <c r="V1180" s="14">
        <v>6424</v>
      </c>
      <c r="W1180" s="14">
        <v>8031</v>
      </c>
      <c r="X1180" s="14">
        <v>9044</v>
      </c>
      <c r="Y1180" s="14">
        <v>9135</v>
      </c>
      <c r="Z1180" s="14">
        <v>9478</v>
      </c>
      <c r="AA1180" s="14"/>
      <c r="AB1180" s="14"/>
    </row>
    <row r="1181" spans="1:30">
      <c r="A1181" s="45" t="s">
        <v>401</v>
      </c>
      <c r="B1181" s="45" t="s">
        <v>402</v>
      </c>
      <c r="C1181" s="45" t="s">
        <v>490</v>
      </c>
      <c r="D1181" s="45" t="s">
        <v>497</v>
      </c>
      <c r="E1181" s="45" t="s">
        <v>492</v>
      </c>
      <c r="F1181" s="45" t="s">
        <v>493</v>
      </c>
      <c r="G1181" s="14">
        <v>5093</v>
      </c>
      <c r="H1181" s="14">
        <v>5805</v>
      </c>
      <c r="I1181" s="14">
        <v>6605</v>
      </c>
      <c r="J1181" s="14">
        <v>8098</v>
      </c>
      <c r="K1181" s="14">
        <v>8916</v>
      </c>
      <c r="L1181" s="14">
        <v>10961</v>
      </c>
      <c r="M1181" s="14">
        <v>11792</v>
      </c>
      <c r="N1181" s="14">
        <v>12882</v>
      </c>
      <c r="O1181" s="14">
        <v>13770</v>
      </c>
      <c r="P1181" s="14">
        <v>15322</v>
      </c>
      <c r="Q1181" s="14">
        <v>16545</v>
      </c>
      <c r="R1181" s="14">
        <v>18138</v>
      </c>
      <c r="S1181" s="14">
        <v>20124</v>
      </c>
      <c r="T1181" s="14">
        <v>20397</v>
      </c>
      <c r="U1181" s="14">
        <v>21037</v>
      </c>
      <c r="V1181" s="14">
        <v>22010</v>
      </c>
      <c r="W1181" s="14">
        <v>24086</v>
      </c>
      <c r="X1181" s="14">
        <v>26533</v>
      </c>
      <c r="Y1181" s="14">
        <v>27791</v>
      </c>
      <c r="Z1181" s="14">
        <v>28696</v>
      </c>
      <c r="AA1181" s="14"/>
      <c r="AB1181" s="14"/>
    </row>
    <row r="1182" spans="1:30">
      <c r="A1182" s="45" t="s">
        <v>401</v>
      </c>
      <c r="B1182" s="45" t="s">
        <v>402</v>
      </c>
      <c r="C1182" s="45" t="s">
        <v>498</v>
      </c>
      <c r="D1182" s="45" t="s">
        <v>491</v>
      </c>
      <c r="E1182" s="45" t="s">
        <v>499</v>
      </c>
      <c r="F1182" s="45" t="s">
        <v>500</v>
      </c>
      <c r="G1182" s="14">
        <v>15893</v>
      </c>
      <c r="H1182" s="14">
        <v>15823.2</v>
      </c>
      <c r="I1182" s="14">
        <v>16714.900000000001</v>
      </c>
      <c r="J1182" s="14">
        <v>18031.7</v>
      </c>
      <c r="K1182" s="14">
        <v>18791.400000000001</v>
      </c>
      <c r="L1182" s="14">
        <v>20767</v>
      </c>
      <c r="M1182" s="14">
        <v>21401.200000000001</v>
      </c>
      <c r="N1182" s="14">
        <v>20931.099999999999</v>
      </c>
      <c r="O1182" s="14">
        <v>21010</v>
      </c>
      <c r="P1182" s="14">
        <v>21382.3</v>
      </c>
      <c r="Q1182" s="14">
        <v>21411.599999999999</v>
      </c>
      <c r="R1182" s="14">
        <v>21426.9</v>
      </c>
      <c r="S1182" s="14">
        <v>22300.799999999999</v>
      </c>
      <c r="T1182" s="14">
        <v>20446.2</v>
      </c>
      <c r="U1182" s="14">
        <v>19127.900000000001</v>
      </c>
      <c r="V1182" s="14">
        <v>19202</v>
      </c>
      <c r="W1182" s="14">
        <v>21089.9</v>
      </c>
      <c r="X1182" s="14">
        <v>22259</v>
      </c>
      <c r="Y1182" s="14">
        <v>21698</v>
      </c>
      <c r="Z1182" s="14">
        <v>20311.7</v>
      </c>
      <c r="AA1182" s="14"/>
      <c r="AB1182" s="14"/>
      <c r="AC1182" s="15">
        <f>IFERROR(Z1182/G1182-1,"")</f>
        <v>0.27802806266909963</v>
      </c>
      <c r="AD1182" s="15">
        <f>IFERROR((Z1182/G1182)^(1/19)-1,"")</f>
        <v>1.2995203398770583E-2</v>
      </c>
    </row>
    <row r="1183" spans="1:30">
      <c r="A1183" s="45" t="s">
        <v>401</v>
      </c>
      <c r="B1183" s="45" t="s">
        <v>402</v>
      </c>
      <c r="C1183" s="45" t="s">
        <v>498</v>
      </c>
      <c r="D1183" s="45" t="s">
        <v>495</v>
      </c>
      <c r="E1183" s="45" t="s">
        <v>499</v>
      </c>
      <c r="F1183" s="45" t="s">
        <v>500</v>
      </c>
      <c r="G1183" s="14">
        <v>791.7</v>
      </c>
      <c r="H1183" s="14">
        <v>528.4</v>
      </c>
      <c r="I1183" s="14">
        <v>615.5</v>
      </c>
      <c r="J1183" s="14">
        <v>662.1</v>
      </c>
      <c r="K1183" s="14">
        <v>633.20000000000005</v>
      </c>
      <c r="L1183" s="14">
        <v>699.8</v>
      </c>
      <c r="M1183" s="14">
        <v>638.29999999999995</v>
      </c>
      <c r="N1183" s="14">
        <v>645.1</v>
      </c>
      <c r="O1183" s="14">
        <v>582</v>
      </c>
      <c r="P1183" s="14">
        <v>587.20000000000005</v>
      </c>
      <c r="Q1183" s="14">
        <v>655.1</v>
      </c>
      <c r="R1183" s="14">
        <v>492.5</v>
      </c>
      <c r="S1183" s="14">
        <v>547.4</v>
      </c>
      <c r="T1183" s="14">
        <v>414.2</v>
      </c>
      <c r="U1183" s="14">
        <v>501.2</v>
      </c>
      <c r="V1183" s="14">
        <v>507.3</v>
      </c>
      <c r="W1183" s="14">
        <v>532.9</v>
      </c>
      <c r="X1183" s="14">
        <v>608.5</v>
      </c>
      <c r="Y1183" s="14">
        <v>489.2</v>
      </c>
      <c r="Z1183" s="14">
        <v>530.29999999999995</v>
      </c>
      <c r="AA1183" s="14"/>
      <c r="AB1183" s="14"/>
      <c r="AC1183" s="15">
        <f>IFERROR(Z1183/G1183-1,"")</f>
        <v>-0.33017557155488197</v>
      </c>
      <c r="AD1183" s="15">
        <f>IFERROR((Z1183/G1183)^(1/19)-1,"")</f>
        <v>-2.08706890285838E-2</v>
      </c>
    </row>
    <row r="1184" spans="1:30">
      <c r="A1184" s="45" t="s">
        <v>401</v>
      </c>
      <c r="B1184" s="45" t="s">
        <v>402</v>
      </c>
      <c r="C1184" s="45" t="s">
        <v>498</v>
      </c>
      <c r="D1184" s="45" t="s">
        <v>496</v>
      </c>
      <c r="E1184" s="45" t="s">
        <v>499</v>
      </c>
      <c r="F1184" s="45" t="s">
        <v>500</v>
      </c>
      <c r="G1184" s="14">
        <v>2975.6</v>
      </c>
      <c r="H1184" s="14">
        <v>3217.2</v>
      </c>
      <c r="I1184" s="14">
        <v>3441.6</v>
      </c>
      <c r="J1184" s="14">
        <v>3557.3</v>
      </c>
      <c r="K1184" s="14">
        <v>3571.4</v>
      </c>
      <c r="L1184" s="14">
        <v>4005.6</v>
      </c>
      <c r="M1184" s="14">
        <v>3586</v>
      </c>
      <c r="N1184" s="14">
        <v>3633.3</v>
      </c>
      <c r="O1184" s="14">
        <v>3912</v>
      </c>
      <c r="P1184" s="14">
        <v>3952.2</v>
      </c>
      <c r="Q1184" s="14">
        <v>4309.7</v>
      </c>
      <c r="R1184" s="14">
        <v>4089.2</v>
      </c>
      <c r="S1184" s="14">
        <v>3941.4</v>
      </c>
      <c r="T1184" s="14">
        <v>4092.8</v>
      </c>
      <c r="U1184" s="14">
        <v>3973.8</v>
      </c>
      <c r="V1184" s="14">
        <v>3931</v>
      </c>
      <c r="W1184" s="14">
        <v>4703</v>
      </c>
      <c r="X1184" s="14">
        <v>5081.5</v>
      </c>
      <c r="Y1184" s="14">
        <v>4820.7</v>
      </c>
      <c r="Z1184" s="14">
        <v>4424.3999999999996</v>
      </c>
      <c r="AA1184" s="14"/>
      <c r="AB1184" s="14"/>
      <c r="AC1184" s="15">
        <f>IFERROR(Z1184/G1184-1,"")</f>
        <v>0.4868933996504905</v>
      </c>
      <c r="AD1184" s="15">
        <f>IFERROR((Z1184/G1184)^(1/19)-1,"")</f>
        <v>2.1097845089126377E-2</v>
      </c>
    </row>
    <row r="1185" spans="1:30">
      <c r="A1185" s="45" t="s">
        <v>401</v>
      </c>
      <c r="B1185" s="45" t="s">
        <v>402</v>
      </c>
      <c r="C1185" s="45" t="s">
        <v>498</v>
      </c>
      <c r="D1185" s="45" t="s">
        <v>497</v>
      </c>
      <c r="E1185" s="45" t="s">
        <v>499</v>
      </c>
      <c r="F1185" s="45" t="s">
        <v>500</v>
      </c>
      <c r="G1185" s="14">
        <v>9675.5</v>
      </c>
      <c r="H1185" s="14">
        <v>9666.2000000000007</v>
      </c>
      <c r="I1185" s="14">
        <v>10206.1</v>
      </c>
      <c r="J1185" s="14">
        <v>11648.8</v>
      </c>
      <c r="K1185" s="14">
        <v>12011.5</v>
      </c>
      <c r="L1185" s="14">
        <v>13873.2</v>
      </c>
      <c r="M1185" s="14">
        <v>13719.8</v>
      </c>
      <c r="N1185" s="14">
        <v>13967.1</v>
      </c>
      <c r="O1185" s="14">
        <v>13770</v>
      </c>
      <c r="P1185" s="14">
        <v>14145.3</v>
      </c>
      <c r="Q1185" s="14">
        <v>14150.4</v>
      </c>
      <c r="R1185" s="14">
        <v>14429.9</v>
      </c>
      <c r="S1185" s="14">
        <v>14845.1</v>
      </c>
      <c r="T1185" s="14">
        <v>13988.1</v>
      </c>
      <c r="U1185" s="14">
        <v>13345.5</v>
      </c>
      <c r="V1185" s="14">
        <v>13468.3</v>
      </c>
      <c r="W1185" s="14">
        <v>14104.9</v>
      </c>
      <c r="X1185" s="14">
        <v>14908.1</v>
      </c>
      <c r="Y1185" s="14">
        <v>14665.7</v>
      </c>
      <c r="Z1185" s="14">
        <v>13396</v>
      </c>
      <c r="AA1185" s="14"/>
      <c r="AB1185" s="14"/>
      <c r="AC1185" s="15">
        <f>IFERROR(Z1185/G1185-1,"")</f>
        <v>0.38452793137305563</v>
      </c>
      <c r="AD1185" s="15">
        <f>IFERROR((Z1185/G1185)^(1/19)-1,"")</f>
        <v>1.7271629517245035E-2</v>
      </c>
    </row>
    <row r="1186" spans="1:30">
      <c r="A1186" s="45" t="s">
        <v>401</v>
      </c>
      <c r="B1186" s="45" t="s">
        <v>402</v>
      </c>
      <c r="C1186" s="45" t="s">
        <v>498</v>
      </c>
      <c r="D1186" s="45" t="s">
        <v>501</v>
      </c>
      <c r="E1186" s="45" t="s">
        <v>499</v>
      </c>
      <c r="F1186" s="45" t="s">
        <v>500</v>
      </c>
      <c r="G1186" s="14">
        <v>1950.6</v>
      </c>
      <c r="H1186" s="14">
        <v>1966.5</v>
      </c>
      <c r="I1186" s="14">
        <v>1934.7</v>
      </c>
      <c r="J1186" s="14">
        <v>1610.3</v>
      </c>
      <c r="K1186" s="14">
        <v>1800.3</v>
      </c>
      <c r="L1186" s="14">
        <v>1267.5999999999999</v>
      </c>
      <c r="M1186" s="14">
        <v>2329.1999999999998</v>
      </c>
      <c r="N1186" s="14">
        <v>1828</v>
      </c>
      <c r="O1186" s="14">
        <v>1639</v>
      </c>
      <c r="P1186" s="14">
        <v>1632.2</v>
      </c>
      <c r="Q1186" s="14">
        <v>1191.4000000000001</v>
      </c>
      <c r="R1186" s="14">
        <v>1314.3</v>
      </c>
      <c r="S1186" s="14">
        <v>1701.8</v>
      </c>
      <c r="T1186" s="14">
        <v>999.9</v>
      </c>
      <c r="U1186" s="14">
        <v>827.2</v>
      </c>
      <c r="V1186" s="14">
        <v>832.8</v>
      </c>
      <c r="W1186" s="14">
        <v>1154.8</v>
      </c>
      <c r="X1186" s="14">
        <v>1032.2</v>
      </c>
      <c r="Y1186" s="14">
        <v>1201.5999999999999</v>
      </c>
      <c r="Z1186" s="14">
        <v>1308</v>
      </c>
      <c r="AA1186" s="14"/>
      <c r="AB1186" s="14"/>
      <c r="AC1186" s="15">
        <f>IFERROR(Z1186/G1186-1,"")</f>
        <v>-0.32943709627806828</v>
      </c>
      <c r="AD1186" s="15">
        <f>IFERROR((Z1186/G1186)^(1/19)-1,"")</f>
        <v>-2.081390388487947E-2</v>
      </c>
    </row>
    <row r="1187" spans="1:30">
      <c r="A1187" s="45" t="s">
        <v>201</v>
      </c>
      <c r="B1187" s="45" t="s">
        <v>202</v>
      </c>
      <c r="C1187" s="45" t="s">
        <v>490</v>
      </c>
      <c r="D1187" s="45" t="s">
        <v>491</v>
      </c>
      <c r="E1187" s="45" t="s">
        <v>492</v>
      </c>
      <c r="F1187" s="45" t="s">
        <v>493</v>
      </c>
      <c r="G1187" s="14">
        <v>12056</v>
      </c>
      <c r="H1187" s="14">
        <v>13239</v>
      </c>
      <c r="I1187" s="14">
        <v>15835</v>
      </c>
      <c r="J1187" s="14">
        <v>17332</v>
      </c>
      <c r="K1187" s="14">
        <v>19490</v>
      </c>
      <c r="L1187" s="14">
        <v>24922</v>
      </c>
      <c r="M1187" s="14">
        <v>27170</v>
      </c>
      <c r="N1187" s="14">
        <v>28455</v>
      </c>
      <c r="O1187" s="14">
        <v>32286</v>
      </c>
      <c r="P1187" s="14">
        <v>40862</v>
      </c>
      <c r="Q1187" s="14">
        <v>46118</v>
      </c>
      <c r="R1187" s="14">
        <v>49977</v>
      </c>
      <c r="S1187" s="14">
        <v>52351</v>
      </c>
      <c r="T1187" s="14">
        <v>55890</v>
      </c>
      <c r="U1187" s="14">
        <v>60695</v>
      </c>
      <c r="V1187" s="14">
        <v>64291</v>
      </c>
      <c r="W1187" s="14">
        <v>65991</v>
      </c>
      <c r="X1187" s="14">
        <v>71128</v>
      </c>
      <c r="Y1187" s="14">
        <v>89948</v>
      </c>
      <c r="Z1187" s="14">
        <v>192156</v>
      </c>
      <c r="AA1187" s="14">
        <v>345300</v>
      </c>
      <c r="AB1187" s="14">
        <v>319931</v>
      </c>
    </row>
    <row r="1188" spans="1:30">
      <c r="A1188" s="45" t="s">
        <v>201</v>
      </c>
      <c r="B1188" s="45" t="s">
        <v>202</v>
      </c>
      <c r="C1188" s="45" t="s">
        <v>490</v>
      </c>
      <c r="D1188" s="45" t="s">
        <v>494</v>
      </c>
      <c r="E1188" s="45" t="s">
        <v>492</v>
      </c>
      <c r="F1188" s="45" t="s">
        <v>493</v>
      </c>
      <c r="G1188" s="14">
        <v>11475</v>
      </c>
      <c r="H1188" s="14">
        <v>12724</v>
      </c>
      <c r="I1188" s="14">
        <v>15215</v>
      </c>
      <c r="J1188" s="14">
        <v>16667</v>
      </c>
      <c r="K1188" s="14">
        <v>18506</v>
      </c>
      <c r="L1188" s="14">
        <v>23613</v>
      </c>
      <c r="M1188" s="14">
        <v>25722</v>
      </c>
      <c r="N1188" s="14">
        <v>27323</v>
      </c>
      <c r="O1188" s="14">
        <v>30654</v>
      </c>
      <c r="P1188" s="14">
        <v>38907</v>
      </c>
      <c r="Q1188" s="14">
        <v>43966</v>
      </c>
      <c r="R1188" s="14">
        <v>47642</v>
      </c>
      <c r="S1188" s="14">
        <v>49957</v>
      </c>
      <c r="T1188" s="14">
        <v>53032</v>
      </c>
      <c r="U1188" s="14">
        <v>57465</v>
      </c>
      <c r="V1188" s="14">
        <v>61445</v>
      </c>
      <c r="W1188" s="14">
        <v>63162</v>
      </c>
      <c r="X1188" s="14">
        <v>68072</v>
      </c>
      <c r="Y1188" s="14">
        <v>81142</v>
      </c>
      <c r="Z1188" s="14">
        <v>180300</v>
      </c>
      <c r="AA1188" s="14"/>
      <c r="AB1188" s="14"/>
    </row>
    <row r="1189" spans="1:30">
      <c r="A1189" s="45" t="s">
        <v>201</v>
      </c>
      <c r="B1189" s="45" t="s">
        <v>202</v>
      </c>
      <c r="C1189" s="45" t="s">
        <v>490</v>
      </c>
      <c r="D1189" s="45" t="s">
        <v>495</v>
      </c>
      <c r="E1189" s="45" t="s">
        <v>492</v>
      </c>
      <c r="F1189" s="45" t="s">
        <v>493</v>
      </c>
      <c r="G1189" s="14">
        <v>1044</v>
      </c>
      <c r="H1189" s="14">
        <v>800</v>
      </c>
      <c r="I1189" s="14">
        <v>803</v>
      </c>
      <c r="J1189" s="14">
        <v>804</v>
      </c>
      <c r="K1189" s="14">
        <v>950</v>
      </c>
      <c r="L1189" s="14">
        <v>1137</v>
      </c>
      <c r="M1189" s="14">
        <v>1070</v>
      </c>
      <c r="N1189" s="14">
        <v>1036</v>
      </c>
      <c r="O1189" s="14">
        <v>1220</v>
      </c>
      <c r="P1189" s="14">
        <v>4276</v>
      </c>
      <c r="Q1189" s="14">
        <v>4336</v>
      </c>
      <c r="R1189" s="14">
        <v>3261</v>
      </c>
      <c r="S1189" s="14">
        <v>2881</v>
      </c>
      <c r="T1189" s="14">
        <v>2456</v>
      </c>
      <c r="U1189" s="14">
        <v>2267</v>
      </c>
      <c r="V1189" s="14">
        <v>2084</v>
      </c>
      <c r="W1189" s="14">
        <v>2310</v>
      </c>
      <c r="X1189" s="14">
        <v>2529</v>
      </c>
      <c r="Y1189" s="14">
        <v>3552</v>
      </c>
      <c r="Z1189" s="14">
        <v>84834</v>
      </c>
      <c r="AA1189" s="14"/>
      <c r="AB1189" s="14"/>
    </row>
    <row r="1190" spans="1:30">
      <c r="A1190" s="45" t="s">
        <v>201</v>
      </c>
      <c r="B1190" s="45" t="s">
        <v>202</v>
      </c>
      <c r="C1190" s="45" t="s">
        <v>490</v>
      </c>
      <c r="D1190" s="45" t="s">
        <v>496</v>
      </c>
      <c r="E1190" s="45" t="s">
        <v>492</v>
      </c>
      <c r="F1190" s="45" t="s">
        <v>493</v>
      </c>
      <c r="G1190" s="14">
        <v>2252</v>
      </c>
      <c r="H1190" s="14">
        <v>2450</v>
      </c>
      <c r="I1190" s="14">
        <v>3037</v>
      </c>
      <c r="J1190" s="14">
        <v>3236</v>
      </c>
      <c r="K1190" s="14">
        <v>3708</v>
      </c>
      <c r="L1190" s="14">
        <v>4310</v>
      </c>
      <c r="M1190" s="14">
        <v>4237</v>
      </c>
      <c r="N1190" s="14">
        <v>4575</v>
      </c>
      <c r="O1190" s="14">
        <v>5518</v>
      </c>
      <c r="P1190" s="14">
        <v>7765</v>
      </c>
      <c r="Q1190" s="14">
        <v>11274</v>
      </c>
      <c r="R1190" s="14">
        <v>12233</v>
      </c>
      <c r="S1190" s="14">
        <v>13090</v>
      </c>
      <c r="T1190" s="14">
        <v>14398</v>
      </c>
      <c r="U1190" s="14">
        <v>16484</v>
      </c>
      <c r="V1190" s="14">
        <v>17015</v>
      </c>
      <c r="W1190" s="14">
        <v>16920</v>
      </c>
      <c r="X1190" s="14">
        <v>18633</v>
      </c>
      <c r="Y1190" s="14">
        <v>28122</v>
      </c>
      <c r="Z1190" s="14">
        <v>39733</v>
      </c>
      <c r="AA1190" s="14"/>
      <c r="AB1190" s="14"/>
    </row>
    <row r="1191" spans="1:30">
      <c r="A1191" s="45" t="s">
        <v>201</v>
      </c>
      <c r="B1191" s="45" t="s">
        <v>202</v>
      </c>
      <c r="C1191" s="45" t="s">
        <v>490</v>
      </c>
      <c r="D1191" s="45" t="s">
        <v>497</v>
      </c>
      <c r="E1191" s="45" t="s">
        <v>492</v>
      </c>
      <c r="F1191" s="45" t="s">
        <v>493</v>
      </c>
      <c r="G1191" s="14">
        <v>6730</v>
      </c>
      <c r="H1191" s="14">
        <v>7536</v>
      </c>
      <c r="I1191" s="14">
        <v>8449</v>
      </c>
      <c r="J1191" s="14">
        <v>9979</v>
      </c>
      <c r="K1191" s="14">
        <v>11673</v>
      </c>
      <c r="L1191" s="14">
        <v>16171</v>
      </c>
      <c r="M1191" s="14">
        <v>17494</v>
      </c>
      <c r="N1191" s="14">
        <v>19782</v>
      </c>
      <c r="O1191" s="14">
        <v>22256</v>
      </c>
      <c r="P1191" s="14">
        <v>24820</v>
      </c>
      <c r="Q1191" s="14">
        <v>27224</v>
      </c>
      <c r="R1191" s="14">
        <v>30666</v>
      </c>
      <c r="S1191" s="14">
        <v>32769</v>
      </c>
      <c r="T1191" s="14">
        <v>34773</v>
      </c>
      <c r="U1191" s="14">
        <v>37201</v>
      </c>
      <c r="V1191" s="14">
        <v>40748</v>
      </c>
      <c r="W1191" s="14">
        <v>42694</v>
      </c>
      <c r="X1191" s="14">
        <v>45291</v>
      </c>
      <c r="Y1191" s="14">
        <v>46725</v>
      </c>
      <c r="Z1191" s="14">
        <v>53625</v>
      </c>
      <c r="AA1191" s="14"/>
      <c r="AB1191" s="14"/>
    </row>
    <row r="1192" spans="1:30">
      <c r="A1192" s="45" t="s">
        <v>201</v>
      </c>
      <c r="B1192" s="45" t="s">
        <v>202</v>
      </c>
      <c r="C1192" s="45" t="s">
        <v>498</v>
      </c>
      <c r="D1192" s="45" t="s">
        <v>491</v>
      </c>
      <c r="E1192" s="45" t="s">
        <v>499</v>
      </c>
      <c r="F1192" s="45" t="s">
        <v>500</v>
      </c>
      <c r="G1192" s="14">
        <v>22903.7</v>
      </c>
      <c r="H1192" s="14">
        <v>22044.5</v>
      </c>
      <c r="I1192" s="14">
        <v>24469.5</v>
      </c>
      <c r="J1192" s="14">
        <v>24930.5</v>
      </c>
      <c r="K1192" s="14">
        <v>26256.1</v>
      </c>
      <c r="L1192" s="14">
        <v>31542.799999999999</v>
      </c>
      <c r="M1192" s="14">
        <v>31612.9</v>
      </c>
      <c r="N1192" s="14">
        <v>30851.9</v>
      </c>
      <c r="O1192" s="14">
        <v>32286</v>
      </c>
      <c r="P1192" s="14">
        <v>37723.9</v>
      </c>
      <c r="Q1192" s="14">
        <v>39443.199999999997</v>
      </c>
      <c r="R1192" s="14">
        <v>39759.9</v>
      </c>
      <c r="S1192" s="14">
        <v>38618.300000000003</v>
      </c>
      <c r="T1192" s="14">
        <v>38328.9</v>
      </c>
      <c r="U1192" s="14">
        <v>38503.9</v>
      </c>
      <c r="V1192" s="14">
        <v>39340.800000000003</v>
      </c>
      <c r="W1192" s="14">
        <v>38644.6</v>
      </c>
      <c r="X1192" s="14">
        <v>39964.6</v>
      </c>
      <c r="Y1192" s="14">
        <v>47466.7</v>
      </c>
      <c r="Z1192" s="14">
        <v>89699.8</v>
      </c>
      <c r="AA1192" s="14"/>
      <c r="AB1192" s="14"/>
      <c r="AC1192" s="15">
        <f>IFERROR(Z1192/G1192-1,"")</f>
        <v>2.9163890550435081</v>
      </c>
      <c r="AD1192" s="15">
        <f>IFERROR((Z1192/G1192)^(1/19)-1,"")</f>
        <v>7.4495292848542505E-2</v>
      </c>
    </row>
    <row r="1193" spans="1:30">
      <c r="A1193" s="45" t="s">
        <v>201</v>
      </c>
      <c r="B1193" s="45" t="s">
        <v>202</v>
      </c>
      <c r="C1193" s="45" t="s">
        <v>498</v>
      </c>
      <c r="D1193" s="45" t="s">
        <v>495</v>
      </c>
      <c r="E1193" s="45" t="s">
        <v>499</v>
      </c>
      <c r="F1193" s="45" t="s">
        <v>500</v>
      </c>
      <c r="G1193" s="14">
        <v>1982.9</v>
      </c>
      <c r="H1193" s="14">
        <v>1332.7</v>
      </c>
      <c r="I1193" s="14">
        <v>1240.5</v>
      </c>
      <c r="J1193" s="14">
        <v>1157.2</v>
      </c>
      <c r="K1193" s="14">
        <v>1279.5</v>
      </c>
      <c r="L1193" s="14">
        <v>1438.7</v>
      </c>
      <c r="M1193" s="14">
        <v>1245</v>
      </c>
      <c r="N1193" s="14">
        <v>1123.3</v>
      </c>
      <c r="O1193" s="14">
        <v>1220</v>
      </c>
      <c r="P1193" s="14">
        <v>3947.6</v>
      </c>
      <c r="Q1193" s="14">
        <v>3708.4</v>
      </c>
      <c r="R1193" s="14">
        <v>2594.3000000000002</v>
      </c>
      <c r="S1193" s="14">
        <v>2125.3000000000002</v>
      </c>
      <c r="T1193" s="14">
        <v>1684.3</v>
      </c>
      <c r="U1193" s="14">
        <v>1438.1</v>
      </c>
      <c r="V1193" s="14">
        <v>1275.2</v>
      </c>
      <c r="W1193" s="14">
        <v>1352.7</v>
      </c>
      <c r="X1193" s="14">
        <v>1421</v>
      </c>
      <c r="Y1193" s="14">
        <v>1874.4</v>
      </c>
      <c r="Z1193" s="14">
        <v>39601.1</v>
      </c>
      <c r="AA1193" s="14"/>
      <c r="AB1193" s="14"/>
      <c r="AC1193" s="15">
        <f>IFERROR(Z1193/G1193-1,"")</f>
        <v>18.971304654798526</v>
      </c>
      <c r="AD1193" s="15">
        <f>IFERROR((Z1193/G1193)^(1/19)-1,"")</f>
        <v>0.17069144322868235</v>
      </c>
    </row>
    <row r="1194" spans="1:30">
      <c r="A1194" s="45" t="s">
        <v>201</v>
      </c>
      <c r="B1194" s="45" t="s">
        <v>202</v>
      </c>
      <c r="C1194" s="45" t="s">
        <v>498</v>
      </c>
      <c r="D1194" s="45" t="s">
        <v>496</v>
      </c>
      <c r="E1194" s="45" t="s">
        <v>499</v>
      </c>
      <c r="F1194" s="45" t="s">
        <v>500</v>
      </c>
      <c r="G1194" s="14">
        <v>4278.1000000000004</v>
      </c>
      <c r="H1194" s="14">
        <v>4080.1</v>
      </c>
      <c r="I1194" s="14">
        <v>4692.5</v>
      </c>
      <c r="J1194" s="14">
        <v>4654.5</v>
      </c>
      <c r="K1194" s="14">
        <v>4995</v>
      </c>
      <c r="L1194" s="14">
        <v>5455</v>
      </c>
      <c r="M1194" s="14">
        <v>4930.2</v>
      </c>
      <c r="N1194" s="14">
        <v>4960.3999999999996</v>
      </c>
      <c r="O1194" s="14">
        <v>5518</v>
      </c>
      <c r="P1194" s="14">
        <v>7168.7</v>
      </c>
      <c r="Q1194" s="14">
        <v>9642.2999999999993</v>
      </c>
      <c r="R1194" s="14">
        <v>9732.1</v>
      </c>
      <c r="S1194" s="14">
        <v>9656.2000000000007</v>
      </c>
      <c r="T1194" s="14">
        <v>9874</v>
      </c>
      <c r="U1194" s="14">
        <v>10457.200000000001</v>
      </c>
      <c r="V1194" s="14">
        <v>10411.799999999999</v>
      </c>
      <c r="W1194" s="14">
        <v>9908.4</v>
      </c>
      <c r="X1194" s="14">
        <v>10469.299999999999</v>
      </c>
      <c r="Y1194" s="14">
        <v>14840.3</v>
      </c>
      <c r="Z1194" s="14">
        <v>18547.7</v>
      </c>
      <c r="AA1194" s="14"/>
      <c r="AB1194" s="14"/>
      <c r="AC1194" s="15">
        <f>IFERROR(Z1194/G1194-1,"")</f>
        <v>3.335499403941002</v>
      </c>
      <c r="AD1194" s="15">
        <f>IFERROR((Z1194/G1194)^(1/19)-1,"")</f>
        <v>8.0260199062704762E-2</v>
      </c>
    </row>
    <row r="1195" spans="1:30">
      <c r="A1195" s="45" t="s">
        <v>201</v>
      </c>
      <c r="B1195" s="45" t="s">
        <v>202</v>
      </c>
      <c r="C1195" s="45" t="s">
        <v>498</v>
      </c>
      <c r="D1195" s="45" t="s">
        <v>497</v>
      </c>
      <c r="E1195" s="45" t="s">
        <v>499</v>
      </c>
      <c r="F1195" s="45" t="s">
        <v>500</v>
      </c>
      <c r="G1195" s="14">
        <v>12785.7</v>
      </c>
      <c r="H1195" s="14">
        <v>12547.6</v>
      </c>
      <c r="I1195" s="14">
        <v>13056.3</v>
      </c>
      <c r="J1195" s="14">
        <v>14354.4</v>
      </c>
      <c r="K1195" s="14">
        <v>15726</v>
      </c>
      <c r="L1195" s="14">
        <v>20467.099999999999</v>
      </c>
      <c r="M1195" s="14">
        <v>20354.2</v>
      </c>
      <c r="N1195" s="14">
        <v>21448.3</v>
      </c>
      <c r="O1195" s="14">
        <v>22256</v>
      </c>
      <c r="P1195" s="14">
        <v>22913.9</v>
      </c>
      <c r="Q1195" s="14">
        <v>23283.8</v>
      </c>
      <c r="R1195" s="14">
        <v>24396.799999999999</v>
      </c>
      <c r="S1195" s="14">
        <v>24173</v>
      </c>
      <c r="T1195" s="14">
        <v>23847</v>
      </c>
      <c r="U1195" s="14">
        <v>23599.7</v>
      </c>
      <c r="V1195" s="14">
        <v>24934.400000000001</v>
      </c>
      <c r="W1195" s="14">
        <v>25001.8</v>
      </c>
      <c r="X1195" s="14">
        <v>25447.599999999999</v>
      </c>
      <c r="Y1195" s="14">
        <v>24657.4</v>
      </c>
      <c r="Z1195" s="14">
        <v>25033</v>
      </c>
      <c r="AA1195" s="14"/>
      <c r="AB1195" s="14"/>
      <c r="AC1195" s="15">
        <f>IFERROR(Z1195/G1195-1,"")</f>
        <v>0.95789045574352594</v>
      </c>
      <c r="AD1195" s="15">
        <f>IFERROR((Z1195/G1195)^(1/19)-1,"")</f>
        <v>3.5994103683801182E-2</v>
      </c>
    </row>
    <row r="1196" spans="1:30">
      <c r="A1196" s="45" t="s">
        <v>201</v>
      </c>
      <c r="B1196" s="45" t="s">
        <v>202</v>
      </c>
      <c r="C1196" s="45" t="s">
        <v>498</v>
      </c>
      <c r="D1196" s="45" t="s">
        <v>501</v>
      </c>
      <c r="E1196" s="45" t="s">
        <v>499</v>
      </c>
      <c r="F1196" s="45" t="s">
        <v>500</v>
      </c>
      <c r="G1196" s="14">
        <v>2752.8</v>
      </c>
      <c r="H1196" s="14">
        <v>3226.4</v>
      </c>
      <c r="I1196" s="14">
        <v>4522.3999999999996</v>
      </c>
      <c r="J1196" s="14">
        <v>3807.7</v>
      </c>
      <c r="K1196" s="14">
        <v>2930.1</v>
      </c>
      <c r="L1196" s="14">
        <v>2524.9</v>
      </c>
      <c r="M1196" s="14">
        <v>3398.7</v>
      </c>
      <c r="N1196" s="14">
        <v>2092.6</v>
      </c>
      <c r="O1196" s="14">
        <v>1660</v>
      </c>
      <c r="P1196" s="14">
        <v>1888.9</v>
      </c>
      <c r="Q1196" s="14">
        <v>968.2</v>
      </c>
      <c r="R1196" s="14">
        <v>1178.2</v>
      </c>
      <c r="S1196" s="14">
        <v>898.5</v>
      </c>
      <c r="T1196" s="14">
        <v>964.2</v>
      </c>
      <c r="U1196" s="14">
        <v>959.8</v>
      </c>
      <c r="V1196" s="14">
        <v>977.8</v>
      </c>
      <c r="W1196" s="14">
        <v>725</v>
      </c>
      <c r="X1196" s="14">
        <v>910.2</v>
      </c>
      <c r="Y1196" s="14">
        <v>1447.5</v>
      </c>
      <c r="Z1196" s="14">
        <v>984</v>
      </c>
      <c r="AA1196" s="14"/>
      <c r="AB1196" s="14"/>
      <c r="AC1196" s="15">
        <f>IFERROR(Z1196/G1196-1,"")</f>
        <v>-0.64254577157802961</v>
      </c>
      <c r="AD1196" s="15">
        <f>IFERROR((Z1196/G1196)^(1/19)-1,"")</f>
        <v>-5.2704910068467892E-2</v>
      </c>
    </row>
    <row r="1197" spans="1:30">
      <c r="A1197" s="45" t="s">
        <v>349</v>
      </c>
      <c r="B1197" s="45" t="s">
        <v>350</v>
      </c>
      <c r="C1197" s="45" t="s">
        <v>490</v>
      </c>
      <c r="D1197" s="45" t="s">
        <v>491</v>
      </c>
      <c r="E1197" s="45" t="s">
        <v>492</v>
      </c>
      <c r="F1197" s="45" t="s">
        <v>493</v>
      </c>
      <c r="G1197" s="14">
        <v>10704</v>
      </c>
      <c r="H1197" s="14">
        <v>11346</v>
      </c>
      <c r="I1197" s="14">
        <v>11090</v>
      </c>
      <c r="J1197" s="14">
        <v>12284</v>
      </c>
      <c r="K1197" s="14">
        <v>13746</v>
      </c>
      <c r="L1197" s="14">
        <v>16505</v>
      </c>
      <c r="M1197" s="14">
        <v>17802</v>
      </c>
      <c r="N1197" s="14">
        <v>20121</v>
      </c>
      <c r="O1197" s="14">
        <v>20867</v>
      </c>
      <c r="P1197" s="14">
        <v>23653</v>
      </c>
      <c r="Q1197" s="14">
        <v>23955</v>
      </c>
      <c r="R1197" s="14">
        <v>29071</v>
      </c>
      <c r="S1197" s="14">
        <v>30641</v>
      </c>
      <c r="T1197" s="14">
        <v>33940</v>
      </c>
      <c r="U1197" s="14">
        <v>35430</v>
      </c>
      <c r="V1197" s="14">
        <v>39998</v>
      </c>
      <c r="W1197" s="14">
        <v>45252</v>
      </c>
      <c r="X1197" s="14">
        <v>48938</v>
      </c>
      <c r="Y1197" s="14">
        <v>52583</v>
      </c>
      <c r="Z1197" s="14">
        <v>59192</v>
      </c>
      <c r="AA1197" s="14">
        <v>64939</v>
      </c>
      <c r="AB1197" s="14">
        <v>67765</v>
      </c>
    </row>
    <row r="1198" spans="1:30">
      <c r="A1198" s="45" t="s">
        <v>349</v>
      </c>
      <c r="B1198" s="45" t="s">
        <v>350</v>
      </c>
      <c r="C1198" s="45" t="s">
        <v>490</v>
      </c>
      <c r="D1198" s="45" t="s">
        <v>494</v>
      </c>
      <c r="E1198" s="45" t="s">
        <v>492</v>
      </c>
      <c r="F1198" s="45" t="s">
        <v>493</v>
      </c>
      <c r="G1198" s="14">
        <v>10255</v>
      </c>
      <c r="H1198" s="14">
        <v>10947</v>
      </c>
      <c r="I1198" s="14">
        <v>10659</v>
      </c>
      <c r="J1198" s="14">
        <v>11778</v>
      </c>
      <c r="K1198" s="14">
        <v>13016</v>
      </c>
      <c r="L1198" s="14">
        <v>15583</v>
      </c>
      <c r="M1198" s="14">
        <v>16835</v>
      </c>
      <c r="N1198" s="14">
        <v>19145</v>
      </c>
      <c r="O1198" s="14">
        <v>19592</v>
      </c>
      <c r="P1198" s="14">
        <v>22109</v>
      </c>
      <c r="Q1198" s="14">
        <v>22518</v>
      </c>
      <c r="R1198" s="14">
        <v>27243</v>
      </c>
      <c r="S1198" s="14">
        <v>28830</v>
      </c>
      <c r="T1198" s="14">
        <v>31716</v>
      </c>
      <c r="U1198" s="14">
        <v>34323</v>
      </c>
      <c r="V1198" s="14">
        <v>38910</v>
      </c>
      <c r="W1198" s="14">
        <v>43216</v>
      </c>
      <c r="X1198" s="14">
        <v>46828</v>
      </c>
      <c r="Y1198" s="14">
        <v>50364</v>
      </c>
      <c r="Z1198" s="14">
        <v>56254</v>
      </c>
      <c r="AA1198" s="14"/>
      <c r="AB1198" s="14"/>
    </row>
    <row r="1199" spans="1:30">
      <c r="A1199" s="45" t="s">
        <v>349</v>
      </c>
      <c r="B1199" s="45" t="s">
        <v>350</v>
      </c>
      <c r="C1199" s="45" t="s">
        <v>490</v>
      </c>
      <c r="D1199" s="45" t="s">
        <v>495</v>
      </c>
      <c r="E1199" s="45" t="s">
        <v>492</v>
      </c>
      <c r="F1199" s="45" t="s">
        <v>493</v>
      </c>
      <c r="G1199" s="14">
        <v>547</v>
      </c>
      <c r="H1199" s="14">
        <v>428</v>
      </c>
      <c r="I1199" s="14">
        <v>464</v>
      </c>
      <c r="J1199" s="14">
        <v>595</v>
      </c>
      <c r="K1199" s="14">
        <v>497</v>
      </c>
      <c r="L1199" s="14">
        <v>563</v>
      </c>
      <c r="M1199" s="14">
        <v>569</v>
      </c>
      <c r="N1199" s="14">
        <v>650</v>
      </c>
      <c r="O1199" s="14">
        <v>627</v>
      </c>
      <c r="P1199" s="14">
        <v>798</v>
      </c>
      <c r="Q1199" s="14">
        <v>953</v>
      </c>
      <c r="R1199" s="14">
        <v>1087</v>
      </c>
      <c r="S1199" s="14">
        <v>986</v>
      </c>
      <c r="T1199" s="14">
        <v>1143</v>
      </c>
      <c r="U1199" s="14">
        <v>1457</v>
      </c>
      <c r="V1199" s="14">
        <v>1583</v>
      </c>
      <c r="W1199" s="14">
        <v>1591</v>
      </c>
      <c r="X1199" s="14">
        <v>1763</v>
      </c>
      <c r="Y1199" s="14">
        <v>1840</v>
      </c>
      <c r="Z1199" s="14">
        <v>2095</v>
      </c>
      <c r="AA1199" s="14"/>
      <c r="AB1199" s="14"/>
    </row>
    <row r="1200" spans="1:30">
      <c r="A1200" s="45" t="s">
        <v>349</v>
      </c>
      <c r="B1200" s="45" t="s">
        <v>350</v>
      </c>
      <c r="C1200" s="45" t="s">
        <v>490</v>
      </c>
      <c r="D1200" s="45" t="s">
        <v>496</v>
      </c>
      <c r="E1200" s="45" t="s">
        <v>492</v>
      </c>
      <c r="F1200" s="45" t="s">
        <v>493</v>
      </c>
      <c r="G1200" s="14">
        <v>2314</v>
      </c>
      <c r="H1200" s="14">
        <v>2516</v>
      </c>
      <c r="I1200" s="14">
        <v>2518</v>
      </c>
      <c r="J1200" s="14">
        <v>2683</v>
      </c>
      <c r="K1200" s="14">
        <v>3010</v>
      </c>
      <c r="L1200" s="14">
        <v>3421</v>
      </c>
      <c r="M1200" s="14">
        <v>3408</v>
      </c>
      <c r="N1200" s="14">
        <v>3856</v>
      </c>
      <c r="O1200" s="14">
        <v>4255</v>
      </c>
      <c r="P1200" s="14">
        <v>4463</v>
      </c>
      <c r="Q1200" s="14">
        <v>4872</v>
      </c>
      <c r="R1200" s="14">
        <v>6121</v>
      </c>
      <c r="S1200" s="14">
        <v>5868</v>
      </c>
      <c r="T1200" s="14">
        <v>7219</v>
      </c>
      <c r="U1200" s="14">
        <v>7681</v>
      </c>
      <c r="V1200" s="14">
        <v>8619</v>
      </c>
      <c r="W1200" s="14">
        <v>12644</v>
      </c>
      <c r="X1200" s="14">
        <v>13661</v>
      </c>
      <c r="Y1200" s="14">
        <v>14190</v>
      </c>
      <c r="Z1200" s="14">
        <v>15464</v>
      </c>
      <c r="AA1200" s="14"/>
      <c r="AB1200" s="14"/>
    </row>
    <row r="1201" spans="1:30">
      <c r="A1201" s="45" t="s">
        <v>349</v>
      </c>
      <c r="B1201" s="45" t="s">
        <v>350</v>
      </c>
      <c r="C1201" s="45" t="s">
        <v>490</v>
      </c>
      <c r="D1201" s="45" t="s">
        <v>497</v>
      </c>
      <c r="E1201" s="45" t="s">
        <v>492</v>
      </c>
      <c r="F1201" s="45" t="s">
        <v>493</v>
      </c>
      <c r="G1201" s="14">
        <v>5810</v>
      </c>
      <c r="H1201" s="14">
        <v>6093</v>
      </c>
      <c r="I1201" s="14">
        <v>6212</v>
      </c>
      <c r="J1201" s="14">
        <v>7058</v>
      </c>
      <c r="K1201" s="14">
        <v>7916</v>
      </c>
      <c r="L1201" s="14">
        <v>10262</v>
      </c>
      <c r="M1201" s="14">
        <v>11183</v>
      </c>
      <c r="N1201" s="14">
        <v>12682</v>
      </c>
      <c r="O1201" s="14">
        <v>13120</v>
      </c>
      <c r="P1201" s="14">
        <v>14666</v>
      </c>
      <c r="Q1201" s="14">
        <v>15076</v>
      </c>
      <c r="R1201" s="14">
        <v>17921</v>
      </c>
      <c r="S1201" s="14">
        <v>19513</v>
      </c>
      <c r="T1201" s="14">
        <v>20775</v>
      </c>
      <c r="U1201" s="14">
        <v>22615</v>
      </c>
      <c r="V1201" s="14">
        <v>25415</v>
      </c>
      <c r="W1201" s="14">
        <v>25698</v>
      </c>
      <c r="X1201" s="14">
        <v>28063</v>
      </c>
      <c r="Y1201" s="14">
        <v>29362</v>
      </c>
      <c r="Z1201" s="14">
        <v>33146</v>
      </c>
      <c r="AA1201" s="14"/>
      <c r="AB1201" s="14"/>
    </row>
    <row r="1202" spans="1:30">
      <c r="A1202" s="45" t="s">
        <v>349</v>
      </c>
      <c r="B1202" s="45" t="s">
        <v>350</v>
      </c>
      <c r="C1202" s="45" t="s">
        <v>498</v>
      </c>
      <c r="D1202" s="45" t="s">
        <v>491</v>
      </c>
      <c r="E1202" s="45" t="s">
        <v>499</v>
      </c>
      <c r="F1202" s="45" t="s">
        <v>500</v>
      </c>
      <c r="G1202" s="14">
        <v>20334.5</v>
      </c>
      <c r="H1202" s="14">
        <v>18891.7</v>
      </c>
      <c r="I1202" s="14">
        <v>17137.7</v>
      </c>
      <c r="J1202" s="14">
        <v>17669.5</v>
      </c>
      <c r="K1202" s="14">
        <v>18517.900000000001</v>
      </c>
      <c r="L1202" s="14">
        <v>20889.599999999999</v>
      </c>
      <c r="M1202" s="14">
        <v>20713.2</v>
      </c>
      <c r="N1202" s="14">
        <v>21815.9</v>
      </c>
      <c r="O1202" s="14">
        <v>20867</v>
      </c>
      <c r="P1202" s="14">
        <v>21836.5</v>
      </c>
      <c r="Q1202" s="14">
        <v>20487.900000000001</v>
      </c>
      <c r="R1202" s="14">
        <v>23127.8</v>
      </c>
      <c r="S1202" s="14">
        <v>22603.3</v>
      </c>
      <c r="T1202" s="14">
        <v>23275.8</v>
      </c>
      <c r="U1202" s="14">
        <v>22476.2</v>
      </c>
      <c r="V1202" s="14">
        <v>24475.5</v>
      </c>
      <c r="W1202" s="14">
        <v>26499.7</v>
      </c>
      <c r="X1202" s="14">
        <v>27496.799999999999</v>
      </c>
      <c r="Y1202" s="14">
        <v>27748.7</v>
      </c>
      <c r="Z1202" s="14">
        <v>27631.3</v>
      </c>
      <c r="AA1202" s="14"/>
      <c r="AB1202" s="14"/>
      <c r="AC1202" s="15">
        <f>IFERROR(Z1202/G1202-1,"")</f>
        <v>0.35883842730335136</v>
      </c>
      <c r="AD1202" s="15">
        <f>IFERROR((Z1202/G1202)^(1/19)-1,"")</f>
        <v>1.6269361432301732E-2</v>
      </c>
    </row>
    <row r="1203" spans="1:30">
      <c r="A1203" s="45" t="s">
        <v>349</v>
      </c>
      <c r="B1203" s="45" t="s">
        <v>350</v>
      </c>
      <c r="C1203" s="45" t="s">
        <v>498</v>
      </c>
      <c r="D1203" s="45" t="s">
        <v>495</v>
      </c>
      <c r="E1203" s="45" t="s">
        <v>499</v>
      </c>
      <c r="F1203" s="45" t="s">
        <v>500</v>
      </c>
      <c r="G1203" s="14">
        <v>1039.5999999999999</v>
      </c>
      <c r="H1203" s="14">
        <v>712.2</v>
      </c>
      <c r="I1203" s="14">
        <v>716.8</v>
      </c>
      <c r="J1203" s="14">
        <v>856.4</v>
      </c>
      <c r="K1203" s="14">
        <v>669</v>
      </c>
      <c r="L1203" s="14">
        <v>712.4</v>
      </c>
      <c r="M1203" s="14">
        <v>662.4</v>
      </c>
      <c r="N1203" s="14">
        <v>704.8</v>
      </c>
      <c r="O1203" s="14">
        <v>627</v>
      </c>
      <c r="P1203" s="14">
        <v>736.7</v>
      </c>
      <c r="Q1203" s="14">
        <v>815.1</v>
      </c>
      <c r="R1203" s="14">
        <v>864.8</v>
      </c>
      <c r="S1203" s="14">
        <v>727.4</v>
      </c>
      <c r="T1203" s="14">
        <v>783.9</v>
      </c>
      <c r="U1203" s="14">
        <v>924.3</v>
      </c>
      <c r="V1203" s="14">
        <v>968.7</v>
      </c>
      <c r="W1203" s="14">
        <v>931.7</v>
      </c>
      <c r="X1203" s="14">
        <v>990.6</v>
      </c>
      <c r="Y1203" s="14">
        <v>971</v>
      </c>
      <c r="Z1203" s="14">
        <v>978</v>
      </c>
      <c r="AA1203" s="14"/>
      <c r="AB1203" s="14"/>
      <c r="AC1203" s="15">
        <f>IFERROR(Z1203/G1203-1,"")</f>
        <v>-5.9253559061177241E-2</v>
      </c>
      <c r="AD1203" s="15">
        <f>IFERROR((Z1203/G1203)^(1/19)-1,"")</f>
        <v>-3.2096607657873255E-3</v>
      </c>
    </row>
    <row r="1204" spans="1:30">
      <c r="A1204" s="45" t="s">
        <v>349</v>
      </c>
      <c r="B1204" s="45" t="s">
        <v>350</v>
      </c>
      <c r="C1204" s="45" t="s">
        <v>498</v>
      </c>
      <c r="D1204" s="45" t="s">
        <v>496</v>
      </c>
      <c r="E1204" s="45" t="s">
        <v>499</v>
      </c>
      <c r="F1204" s="45" t="s">
        <v>500</v>
      </c>
      <c r="G1204" s="14">
        <v>4395.6000000000004</v>
      </c>
      <c r="H1204" s="14">
        <v>4189.6000000000004</v>
      </c>
      <c r="I1204" s="14">
        <v>3891.9</v>
      </c>
      <c r="J1204" s="14">
        <v>3859.2</v>
      </c>
      <c r="K1204" s="14">
        <v>4054.5</v>
      </c>
      <c r="L1204" s="14">
        <v>4330</v>
      </c>
      <c r="M1204" s="14">
        <v>3965.4</v>
      </c>
      <c r="N1204" s="14">
        <v>4180.8</v>
      </c>
      <c r="O1204" s="14">
        <v>4255</v>
      </c>
      <c r="P1204" s="14">
        <v>4120.3</v>
      </c>
      <c r="Q1204" s="14">
        <v>4166.8999999999996</v>
      </c>
      <c r="R1204" s="14">
        <v>4869.6000000000004</v>
      </c>
      <c r="S1204" s="14">
        <v>4328.7</v>
      </c>
      <c r="T1204" s="14">
        <v>4950.7</v>
      </c>
      <c r="U1204" s="14">
        <v>4872.7</v>
      </c>
      <c r="V1204" s="14">
        <v>5274.1</v>
      </c>
      <c r="W1204" s="14">
        <v>7404.4</v>
      </c>
      <c r="X1204" s="14">
        <v>7675.7</v>
      </c>
      <c r="Y1204" s="14">
        <v>7488.2</v>
      </c>
      <c r="Z1204" s="14">
        <v>7218.7</v>
      </c>
      <c r="AA1204" s="14"/>
      <c r="AB1204" s="14"/>
      <c r="AC1204" s="15">
        <f>IFERROR(Z1204/G1204-1,"")</f>
        <v>0.64225589225589208</v>
      </c>
      <c r="AD1204" s="15">
        <f>IFERROR((Z1204/G1204)^(1/19)-1,"")</f>
        <v>2.6452817128057138E-2</v>
      </c>
    </row>
    <row r="1205" spans="1:30">
      <c r="A1205" s="45" t="s">
        <v>349</v>
      </c>
      <c r="B1205" s="45" t="s">
        <v>350</v>
      </c>
      <c r="C1205" s="45" t="s">
        <v>498</v>
      </c>
      <c r="D1205" s="45" t="s">
        <v>497</v>
      </c>
      <c r="E1205" s="45" t="s">
        <v>499</v>
      </c>
      <c r="F1205" s="45" t="s">
        <v>500</v>
      </c>
      <c r="G1205" s="14">
        <v>11037.8</v>
      </c>
      <c r="H1205" s="14">
        <v>10145.5</v>
      </c>
      <c r="I1205" s="14">
        <v>9599.9</v>
      </c>
      <c r="J1205" s="14">
        <v>10152.700000000001</v>
      </c>
      <c r="K1205" s="14">
        <v>10663.6</v>
      </c>
      <c r="L1205" s="14">
        <v>12988.6</v>
      </c>
      <c r="M1205" s="14">
        <v>13012</v>
      </c>
      <c r="N1205" s="14">
        <v>13750.2</v>
      </c>
      <c r="O1205" s="14">
        <v>13120</v>
      </c>
      <c r="P1205" s="14">
        <v>13539.7</v>
      </c>
      <c r="Q1205" s="14">
        <v>12894</v>
      </c>
      <c r="R1205" s="14">
        <v>14257.3</v>
      </c>
      <c r="S1205" s="14">
        <v>14394.4</v>
      </c>
      <c r="T1205" s="14">
        <v>14247.3</v>
      </c>
      <c r="U1205" s="14">
        <v>14346.6</v>
      </c>
      <c r="V1205" s="14">
        <v>15551.9</v>
      </c>
      <c r="W1205" s="14">
        <v>15048.8</v>
      </c>
      <c r="X1205" s="14">
        <v>15767.7</v>
      </c>
      <c r="Y1205" s="14">
        <v>15494.7</v>
      </c>
      <c r="Z1205" s="14">
        <v>15473.7</v>
      </c>
      <c r="AA1205" s="14"/>
      <c r="AB1205" s="14"/>
      <c r="AC1205" s="15">
        <f>IFERROR(Z1205/G1205-1,"")</f>
        <v>0.40188262153690069</v>
      </c>
      <c r="AD1205" s="15">
        <f>IFERROR((Z1205/G1205)^(1/19)-1,"")</f>
        <v>1.7938794242456924E-2</v>
      </c>
    </row>
    <row r="1206" spans="1:30">
      <c r="A1206" s="45" t="s">
        <v>349</v>
      </c>
      <c r="B1206" s="45" t="s">
        <v>350</v>
      </c>
      <c r="C1206" s="45" t="s">
        <v>498</v>
      </c>
      <c r="D1206" s="45" t="s">
        <v>501</v>
      </c>
      <c r="E1206" s="45" t="s">
        <v>499</v>
      </c>
      <c r="F1206" s="45" t="s">
        <v>500</v>
      </c>
      <c r="G1206" s="14">
        <v>3008.1</v>
      </c>
      <c r="H1206" s="14">
        <v>3181.5</v>
      </c>
      <c r="I1206" s="14">
        <v>2262.6999999999998</v>
      </c>
      <c r="J1206" s="14">
        <v>2072.6999999999998</v>
      </c>
      <c r="K1206" s="14">
        <v>2148.1999999999998</v>
      </c>
      <c r="L1206" s="14">
        <v>1691.4</v>
      </c>
      <c r="M1206" s="14">
        <v>1948.3</v>
      </c>
      <c r="N1206" s="14">
        <v>2122.9</v>
      </c>
      <c r="O1206" s="14">
        <v>1590</v>
      </c>
      <c r="P1206" s="14">
        <v>2014.4</v>
      </c>
      <c r="Q1206" s="14">
        <v>1383</v>
      </c>
      <c r="R1206" s="14">
        <v>1681.8</v>
      </c>
      <c r="S1206" s="14">
        <v>1816.9</v>
      </c>
      <c r="T1206" s="14">
        <v>1768.7</v>
      </c>
      <c r="U1206" s="14">
        <v>1629.7</v>
      </c>
      <c r="V1206" s="14">
        <v>2015.7</v>
      </c>
      <c r="W1206" s="14">
        <v>1923.1</v>
      </c>
      <c r="X1206" s="14">
        <v>1877.2</v>
      </c>
      <c r="Y1206" s="14">
        <v>2623.8</v>
      </c>
      <c r="Z1206" s="14">
        <v>2589.8000000000002</v>
      </c>
      <c r="AA1206" s="14"/>
      <c r="AB1206" s="14"/>
      <c r="AC1206" s="15">
        <f>IFERROR(Z1206/G1206-1,"")</f>
        <v>-0.13905787706525707</v>
      </c>
      <c r="AD1206" s="15">
        <f>IFERROR((Z1206/G1206)^(1/19)-1,"")</f>
        <v>-7.8494518106871913E-3</v>
      </c>
    </row>
    <row r="1207" spans="1:30">
      <c r="A1207" s="45" t="s">
        <v>265</v>
      </c>
      <c r="B1207" s="45" t="s">
        <v>266</v>
      </c>
      <c r="C1207" s="45" t="s">
        <v>490</v>
      </c>
      <c r="D1207" s="45" t="s">
        <v>491</v>
      </c>
      <c r="E1207" s="45" t="s">
        <v>492</v>
      </c>
      <c r="F1207" s="45" t="s">
        <v>493</v>
      </c>
      <c r="G1207" s="14">
        <v>15344</v>
      </c>
      <c r="H1207" s="14">
        <v>16356</v>
      </c>
      <c r="I1207" s="14">
        <v>19323</v>
      </c>
      <c r="J1207" s="14">
        <v>23883</v>
      </c>
      <c r="K1207" s="14">
        <v>28564</v>
      </c>
      <c r="L1207" s="14">
        <v>42708</v>
      </c>
      <c r="M1207" s="14">
        <v>51457</v>
      </c>
      <c r="N1207" s="14">
        <v>36132</v>
      </c>
      <c r="O1207" s="14">
        <v>37936</v>
      </c>
      <c r="P1207" s="14">
        <v>47610</v>
      </c>
      <c r="Q1207" s="14">
        <v>49585</v>
      </c>
      <c r="R1207" s="14">
        <v>56103</v>
      </c>
      <c r="S1207" s="14">
        <v>62916</v>
      </c>
      <c r="T1207" s="14">
        <v>86357</v>
      </c>
      <c r="U1207" s="14">
        <v>73744</v>
      </c>
      <c r="V1207" s="14">
        <v>79956</v>
      </c>
      <c r="W1207" s="14">
        <v>98723</v>
      </c>
      <c r="X1207" s="14">
        <v>107940</v>
      </c>
      <c r="Y1207" s="14">
        <v>109446</v>
      </c>
      <c r="Z1207" s="14">
        <v>115022</v>
      </c>
      <c r="AA1207" s="14">
        <v>137774</v>
      </c>
      <c r="AB1207" s="14">
        <v>155095</v>
      </c>
    </row>
    <row r="1208" spans="1:30">
      <c r="A1208" s="45" t="s">
        <v>265</v>
      </c>
      <c r="B1208" s="45" t="s">
        <v>266</v>
      </c>
      <c r="C1208" s="45" t="s">
        <v>490</v>
      </c>
      <c r="D1208" s="45" t="s">
        <v>494</v>
      </c>
      <c r="E1208" s="45" t="s">
        <v>492</v>
      </c>
      <c r="F1208" s="45" t="s">
        <v>493</v>
      </c>
      <c r="G1208" s="14">
        <v>14828</v>
      </c>
      <c r="H1208" s="14">
        <v>15698</v>
      </c>
      <c r="I1208" s="14">
        <v>18529</v>
      </c>
      <c r="J1208" s="14">
        <v>23005</v>
      </c>
      <c r="K1208" s="14">
        <v>27041</v>
      </c>
      <c r="L1208" s="14">
        <v>40598</v>
      </c>
      <c r="M1208" s="14">
        <v>50023</v>
      </c>
      <c r="N1208" s="14">
        <v>34595</v>
      </c>
      <c r="O1208" s="14">
        <v>36556</v>
      </c>
      <c r="P1208" s="14">
        <v>45698</v>
      </c>
      <c r="Q1208" s="14">
        <v>47070</v>
      </c>
      <c r="R1208" s="14">
        <v>53076</v>
      </c>
      <c r="S1208" s="14">
        <v>57579</v>
      </c>
      <c r="T1208" s="14">
        <v>73714</v>
      </c>
      <c r="U1208" s="14">
        <v>68511</v>
      </c>
      <c r="V1208" s="14">
        <v>75196</v>
      </c>
      <c r="W1208" s="14">
        <v>92334</v>
      </c>
      <c r="X1208" s="14">
        <v>100355</v>
      </c>
      <c r="Y1208" s="14">
        <v>102249</v>
      </c>
      <c r="Z1208" s="14">
        <v>103326</v>
      </c>
      <c r="AA1208" s="14"/>
      <c r="AB1208" s="14"/>
    </row>
    <row r="1209" spans="1:30">
      <c r="A1209" s="45" t="s">
        <v>265</v>
      </c>
      <c r="B1209" s="45" t="s">
        <v>266</v>
      </c>
      <c r="C1209" s="45" t="s">
        <v>490</v>
      </c>
      <c r="D1209" s="45" t="s">
        <v>495</v>
      </c>
      <c r="E1209" s="45" t="s">
        <v>492</v>
      </c>
      <c r="F1209" s="45" t="s">
        <v>493</v>
      </c>
      <c r="G1209" s="14">
        <v>5045</v>
      </c>
      <c r="H1209" s="14">
        <v>4847</v>
      </c>
      <c r="I1209" s="14">
        <v>6020</v>
      </c>
      <c r="J1209" s="14">
        <v>8753</v>
      </c>
      <c r="K1209" s="14">
        <v>11031</v>
      </c>
      <c r="L1209" s="14">
        <v>21606</v>
      </c>
      <c r="M1209" s="14">
        <v>27922</v>
      </c>
      <c r="N1209" s="14">
        <v>13922</v>
      </c>
      <c r="O1209" s="14">
        <v>14944</v>
      </c>
      <c r="P1209" s="14">
        <v>16159</v>
      </c>
      <c r="Q1209" s="14">
        <v>13086</v>
      </c>
      <c r="R1209" s="14">
        <v>12965</v>
      </c>
      <c r="S1209" s="14">
        <v>11769</v>
      </c>
      <c r="T1209" s="14">
        <v>11717</v>
      </c>
      <c r="U1209" s="14">
        <v>6064</v>
      </c>
      <c r="V1209" s="14">
        <v>7726</v>
      </c>
      <c r="W1209" s="14">
        <v>13664</v>
      </c>
      <c r="X1209" s="14">
        <v>13662</v>
      </c>
      <c r="Y1209" s="14">
        <v>6361</v>
      </c>
      <c r="Z1209" s="14">
        <v>6620</v>
      </c>
      <c r="AA1209" s="14"/>
      <c r="AB1209" s="14"/>
    </row>
    <row r="1210" spans="1:30">
      <c r="A1210" s="45" t="s">
        <v>265</v>
      </c>
      <c r="B1210" s="45" t="s">
        <v>266</v>
      </c>
      <c r="C1210" s="45" t="s">
        <v>490</v>
      </c>
      <c r="D1210" s="45" t="s">
        <v>496</v>
      </c>
      <c r="E1210" s="45" t="s">
        <v>492</v>
      </c>
      <c r="F1210" s="45" t="s">
        <v>493</v>
      </c>
      <c r="G1210" s="14">
        <v>4161</v>
      </c>
      <c r="H1210" s="14">
        <v>4631</v>
      </c>
      <c r="I1210" s="14">
        <v>5663</v>
      </c>
      <c r="J1210" s="14">
        <v>6102</v>
      </c>
      <c r="K1210" s="14">
        <v>6545</v>
      </c>
      <c r="L1210" s="14">
        <v>9590</v>
      </c>
      <c r="M1210" s="14">
        <v>12113</v>
      </c>
      <c r="N1210" s="14">
        <v>9350</v>
      </c>
      <c r="O1210" s="14">
        <v>10303</v>
      </c>
      <c r="P1210" s="14">
        <v>12586</v>
      </c>
      <c r="Q1210" s="14">
        <v>16615</v>
      </c>
      <c r="R1210" s="14">
        <v>19436</v>
      </c>
      <c r="S1210" s="14">
        <v>18918</v>
      </c>
      <c r="T1210" s="14">
        <v>24453</v>
      </c>
      <c r="U1210" s="14">
        <v>23558</v>
      </c>
      <c r="V1210" s="14">
        <v>28590</v>
      </c>
      <c r="W1210" s="14">
        <v>32009</v>
      </c>
      <c r="X1210" s="14">
        <v>35518</v>
      </c>
      <c r="Y1210" s="14">
        <v>37478</v>
      </c>
      <c r="Z1210" s="14">
        <v>43278</v>
      </c>
      <c r="AA1210" s="14"/>
      <c r="AB1210" s="14"/>
    </row>
    <row r="1211" spans="1:30">
      <c r="A1211" s="45" t="s">
        <v>265</v>
      </c>
      <c r="B1211" s="45" t="s">
        <v>266</v>
      </c>
      <c r="C1211" s="45" t="s">
        <v>490</v>
      </c>
      <c r="D1211" s="45" t="s">
        <v>497</v>
      </c>
      <c r="E1211" s="45" t="s">
        <v>492</v>
      </c>
      <c r="F1211" s="45" t="s">
        <v>493</v>
      </c>
      <c r="G1211" s="14">
        <v>4587</v>
      </c>
      <c r="H1211" s="14">
        <v>5226</v>
      </c>
      <c r="I1211" s="14">
        <v>5878</v>
      </c>
      <c r="J1211" s="14">
        <v>7059</v>
      </c>
      <c r="K1211" s="14">
        <v>8266</v>
      </c>
      <c r="L1211" s="14">
        <v>8276</v>
      </c>
      <c r="M1211" s="14">
        <v>8775</v>
      </c>
      <c r="N1211" s="14">
        <v>9806</v>
      </c>
      <c r="O1211" s="14">
        <v>10132</v>
      </c>
      <c r="P1211" s="14">
        <v>14930</v>
      </c>
      <c r="Q1211" s="14">
        <v>15841</v>
      </c>
      <c r="R1211" s="14">
        <v>18538</v>
      </c>
      <c r="S1211" s="14">
        <v>21372</v>
      </c>
      <c r="T1211" s="14">
        <v>24017</v>
      </c>
      <c r="U1211" s="14">
        <v>24107</v>
      </c>
      <c r="V1211" s="14">
        <v>26448</v>
      </c>
      <c r="W1211" s="14">
        <v>28476</v>
      </c>
      <c r="X1211" s="14">
        <v>29520</v>
      </c>
      <c r="Y1211" s="14">
        <v>31431</v>
      </c>
      <c r="Z1211" s="14">
        <v>36367</v>
      </c>
      <c r="AA1211" s="14"/>
      <c r="AB1211" s="14"/>
    </row>
    <row r="1212" spans="1:30">
      <c r="A1212" s="45" t="s">
        <v>265</v>
      </c>
      <c r="B1212" s="45" t="s">
        <v>266</v>
      </c>
      <c r="C1212" s="45" t="s">
        <v>498</v>
      </c>
      <c r="D1212" s="45" t="s">
        <v>491</v>
      </c>
      <c r="E1212" s="45" t="s">
        <v>499</v>
      </c>
      <c r="F1212" s="45" t="s">
        <v>500</v>
      </c>
      <c r="G1212" s="14">
        <v>29150.6</v>
      </c>
      <c r="H1212" s="14">
        <v>27234.3</v>
      </c>
      <c r="I1212" s="14">
        <v>29860.9</v>
      </c>
      <c r="J1212" s="14">
        <v>34353.800000000003</v>
      </c>
      <c r="K1212" s="14">
        <v>38480.300000000003</v>
      </c>
      <c r="L1212" s="14">
        <v>54054.6</v>
      </c>
      <c r="M1212" s="14">
        <v>59872</v>
      </c>
      <c r="N1212" s="14">
        <v>39175.5</v>
      </c>
      <c r="O1212" s="14">
        <v>37936</v>
      </c>
      <c r="P1212" s="14">
        <v>43953.7</v>
      </c>
      <c r="Q1212" s="14">
        <v>42408.4</v>
      </c>
      <c r="R1212" s="14">
        <v>44633.5</v>
      </c>
      <c r="S1212" s="14">
        <v>46411.9</v>
      </c>
      <c r="T1212" s="14">
        <v>59222.9</v>
      </c>
      <c r="U1212" s="14">
        <v>46782</v>
      </c>
      <c r="V1212" s="14">
        <v>48926.5</v>
      </c>
      <c r="W1212" s="14">
        <v>57812.6</v>
      </c>
      <c r="X1212" s="14">
        <v>60648.2</v>
      </c>
      <c r="Y1212" s="14">
        <v>57756.1</v>
      </c>
      <c r="Z1212" s="14">
        <v>53693.1</v>
      </c>
      <c r="AA1212" s="14"/>
      <c r="AB1212" s="14"/>
      <c r="AC1212" s="15">
        <f>IFERROR(Z1212/G1212-1,"")</f>
        <v>0.84192092101020233</v>
      </c>
      <c r="AD1212" s="15">
        <f>IFERROR((Z1212/G1212)^(1/19)-1,"")</f>
        <v>3.2670166470104567E-2</v>
      </c>
    </row>
    <row r="1213" spans="1:30">
      <c r="A1213" s="45" t="s">
        <v>265</v>
      </c>
      <c r="B1213" s="45" t="s">
        <v>266</v>
      </c>
      <c r="C1213" s="45" t="s">
        <v>498</v>
      </c>
      <c r="D1213" s="45" t="s">
        <v>495</v>
      </c>
      <c r="E1213" s="45" t="s">
        <v>499</v>
      </c>
      <c r="F1213" s="45" t="s">
        <v>500</v>
      </c>
      <c r="G1213" s="14">
        <v>9585.1</v>
      </c>
      <c r="H1213" s="14">
        <v>8071.1</v>
      </c>
      <c r="I1213" s="14">
        <v>9302.2000000000007</v>
      </c>
      <c r="J1213" s="14">
        <v>12591.2</v>
      </c>
      <c r="K1213" s="14">
        <v>14861.1</v>
      </c>
      <c r="L1213" s="14">
        <v>27345.599999999999</v>
      </c>
      <c r="M1213" s="14">
        <v>32487.7</v>
      </c>
      <c r="N1213" s="14">
        <v>15094.7</v>
      </c>
      <c r="O1213" s="14">
        <v>14944</v>
      </c>
      <c r="P1213" s="14">
        <v>14918</v>
      </c>
      <c r="Q1213" s="14">
        <v>11192</v>
      </c>
      <c r="R1213" s="14">
        <v>10314.5</v>
      </c>
      <c r="S1213" s="14">
        <v>8681.7999999999993</v>
      </c>
      <c r="T1213" s="14">
        <v>8035.4</v>
      </c>
      <c r="U1213" s="14">
        <v>3846.9</v>
      </c>
      <c r="V1213" s="14">
        <v>4727.7</v>
      </c>
      <c r="W1213" s="14">
        <v>8001.7</v>
      </c>
      <c r="X1213" s="14">
        <v>7676.3</v>
      </c>
      <c r="Y1213" s="14">
        <v>3356.8</v>
      </c>
      <c r="Z1213" s="14">
        <v>3090.3</v>
      </c>
      <c r="AA1213" s="14"/>
      <c r="AB1213" s="14"/>
      <c r="AC1213" s="15">
        <f>IFERROR(Z1213/G1213-1,"")</f>
        <v>-0.67759334800888871</v>
      </c>
      <c r="AD1213" s="15">
        <f>IFERROR((Z1213/G1213)^(1/19)-1,"")</f>
        <v>-5.7835956355035689E-2</v>
      </c>
    </row>
    <row r="1214" spans="1:30">
      <c r="A1214" s="45" t="s">
        <v>265</v>
      </c>
      <c r="B1214" s="45" t="s">
        <v>266</v>
      </c>
      <c r="C1214" s="45" t="s">
        <v>498</v>
      </c>
      <c r="D1214" s="45" t="s">
        <v>496</v>
      </c>
      <c r="E1214" s="45" t="s">
        <v>499</v>
      </c>
      <c r="F1214" s="45" t="s">
        <v>500</v>
      </c>
      <c r="G1214" s="14">
        <v>7905</v>
      </c>
      <c r="H1214" s="14">
        <v>7712</v>
      </c>
      <c r="I1214" s="14">
        <v>8750.9</v>
      </c>
      <c r="J1214" s="14">
        <v>8777.5</v>
      </c>
      <c r="K1214" s="14">
        <v>8817</v>
      </c>
      <c r="L1214" s="14">
        <v>12137.3</v>
      </c>
      <c r="M1214" s="14">
        <v>14094</v>
      </c>
      <c r="N1214" s="14">
        <v>10137.6</v>
      </c>
      <c r="O1214" s="14">
        <v>10303</v>
      </c>
      <c r="P1214" s="14">
        <v>11619.4</v>
      </c>
      <c r="Q1214" s="14">
        <v>14210.3</v>
      </c>
      <c r="R1214" s="14">
        <v>15462.6</v>
      </c>
      <c r="S1214" s="14">
        <v>13955.4</v>
      </c>
      <c r="T1214" s="14">
        <v>16769.7</v>
      </c>
      <c r="U1214" s="14">
        <v>14944.8</v>
      </c>
      <c r="V1214" s="14">
        <v>17494.7</v>
      </c>
      <c r="W1214" s="14">
        <v>18744.599999999999</v>
      </c>
      <c r="X1214" s="14">
        <v>19956.5</v>
      </c>
      <c r="Y1214" s="14">
        <v>19777.599999999999</v>
      </c>
      <c r="Z1214" s="14">
        <v>20203</v>
      </c>
      <c r="AA1214" s="14"/>
      <c r="AB1214" s="14"/>
      <c r="AC1214" s="15">
        <f>IFERROR(Z1214/G1214-1,"")</f>
        <v>1.5557242251739405</v>
      </c>
      <c r="AD1214" s="15">
        <f>IFERROR((Z1214/G1214)^(1/19)-1,"")</f>
        <v>5.0625904596026672E-2</v>
      </c>
    </row>
    <row r="1215" spans="1:30">
      <c r="A1215" s="45" t="s">
        <v>265</v>
      </c>
      <c r="B1215" s="45" t="s">
        <v>266</v>
      </c>
      <c r="C1215" s="45" t="s">
        <v>498</v>
      </c>
      <c r="D1215" s="45" t="s">
        <v>497</v>
      </c>
      <c r="E1215" s="45" t="s">
        <v>499</v>
      </c>
      <c r="F1215" s="45" t="s">
        <v>500</v>
      </c>
      <c r="G1215" s="14">
        <v>8714.4</v>
      </c>
      <c r="H1215" s="14">
        <v>8701.9</v>
      </c>
      <c r="I1215" s="14">
        <v>9082.7999999999993</v>
      </c>
      <c r="J1215" s="14">
        <v>10153.5</v>
      </c>
      <c r="K1215" s="14">
        <v>11135.5</v>
      </c>
      <c r="L1215" s="14">
        <v>10474.1</v>
      </c>
      <c r="M1215" s="14">
        <v>10209.5</v>
      </c>
      <c r="N1215" s="14">
        <v>10632</v>
      </c>
      <c r="O1215" s="14">
        <v>10132</v>
      </c>
      <c r="P1215" s="14">
        <v>13783.4</v>
      </c>
      <c r="Q1215" s="14">
        <v>13548.3</v>
      </c>
      <c r="R1215" s="14">
        <v>14748.2</v>
      </c>
      <c r="S1215" s="14">
        <v>15765.7</v>
      </c>
      <c r="T1215" s="14">
        <v>16470.7</v>
      </c>
      <c r="U1215" s="14">
        <v>15293.1</v>
      </c>
      <c r="V1215" s="14">
        <v>16184</v>
      </c>
      <c r="W1215" s="14">
        <v>16675.7</v>
      </c>
      <c r="X1215" s="14">
        <v>16586.400000000001</v>
      </c>
      <c r="Y1215" s="14">
        <v>16586.5</v>
      </c>
      <c r="Z1215" s="14">
        <v>16977.3</v>
      </c>
      <c r="AA1215" s="14"/>
      <c r="AB1215" s="14"/>
      <c r="AC1215" s="15">
        <f>IFERROR(Z1215/G1215-1,"")</f>
        <v>0.94818920407601204</v>
      </c>
      <c r="AD1215" s="15">
        <f>IFERROR((Z1215/G1215)^(1/19)-1,"")</f>
        <v>3.5723293820608681E-2</v>
      </c>
    </row>
    <row r="1216" spans="1:30">
      <c r="A1216" s="45" t="s">
        <v>265</v>
      </c>
      <c r="B1216" s="45" t="s">
        <v>266</v>
      </c>
      <c r="C1216" s="45" t="s">
        <v>498</v>
      </c>
      <c r="D1216" s="45" t="s">
        <v>501</v>
      </c>
      <c r="E1216" s="45" t="s">
        <v>499</v>
      </c>
      <c r="F1216" s="45" t="s">
        <v>500</v>
      </c>
      <c r="G1216" s="14">
        <v>1964.3</v>
      </c>
      <c r="H1216" s="14">
        <v>1653.5</v>
      </c>
      <c r="I1216" s="14">
        <v>1497.8</v>
      </c>
      <c r="J1216" s="14">
        <v>1569.2</v>
      </c>
      <c r="K1216" s="14">
        <v>1614.6</v>
      </c>
      <c r="L1216" s="14">
        <v>1427.2</v>
      </c>
      <c r="M1216" s="14">
        <v>1412.3</v>
      </c>
      <c r="N1216" s="14">
        <v>1643.7</v>
      </c>
      <c r="O1216" s="14">
        <v>1177</v>
      </c>
      <c r="P1216" s="14">
        <v>1868.6</v>
      </c>
      <c r="Q1216" s="14">
        <v>1306.8</v>
      </c>
      <c r="R1216" s="14">
        <v>1700.1</v>
      </c>
      <c r="S1216" s="14">
        <v>4072</v>
      </c>
      <c r="T1216" s="14">
        <v>9276.7000000000007</v>
      </c>
      <c r="U1216" s="14">
        <v>9378.1</v>
      </c>
      <c r="V1216" s="14">
        <v>7607.4</v>
      </c>
      <c r="W1216" s="14">
        <v>10648.6</v>
      </c>
      <c r="X1216" s="14">
        <v>12166.7</v>
      </c>
      <c r="Y1216" s="14">
        <v>14237.2</v>
      </c>
      <c r="Z1216" s="14">
        <v>7963.7</v>
      </c>
      <c r="AA1216" s="14"/>
      <c r="AB1216" s="14"/>
      <c r="AC1216" s="15">
        <f>IFERROR(Z1216/G1216-1,"")</f>
        <v>3.0542177875069996</v>
      </c>
      <c r="AD1216" s="15">
        <f>IFERROR((Z1216/G1216)^(1/19)-1,"")</f>
        <v>7.6453091095354031E-2</v>
      </c>
    </row>
    <row r="1217" spans="1:30">
      <c r="A1217" s="45" t="s">
        <v>251</v>
      </c>
      <c r="B1217" s="45" t="s">
        <v>252</v>
      </c>
      <c r="C1217" s="45" t="s">
        <v>490</v>
      </c>
      <c r="D1217" s="45" t="s">
        <v>491</v>
      </c>
      <c r="E1217" s="45" t="s">
        <v>492</v>
      </c>
      <c r="F1217" s="45" t="s">
        <v>493</v>
      </c>
      <c r="G1217" s="14">
        <v>7315</v>
      </c>
      <c r="H1217" s="14">
        <v>8601</v>
      </c>
      <c r="I1217" s="14">
        <v>10394</v>
      </c>
      <c r="J1217" s="14">
        <v>11746</v>
      </c>
      <c r="K1217" s="14">
        <v>12642</v>
      </c>
      <c r="L1217" s="14">
        <v>14690</v>
      </c>
      <c r="M1217" s="14">
        <v>16589</v>
      </c>
      <c r="N1217" s="14">
        <v>17593</v>
      </c>
      <c r="O1217" s="14">
        <v>17656</v>
      </c>
      <c r="P1217" s="14">
        <v>21698</v>
      </c>
      <c r="Q1217" s="14">
        <v>22200</v>
      </c>
      <c r="R1217" s="14">
        <v>23985</v>
      </c>
      <c r="S1217" s="14">
        <v>25737</v>
      </c>
      <c r="T1217" s="14">
        <v>27935</v>
      </c>
      <c r="U1217" s="14">
        <v>30443</v>
      </c>
      <c r="V1217" s="14">
        <v>29806</v>
      </c>
      <c r="W1217" s="14">
        <v>32109</v>
      </c>
      <c r="X1217" s="14">
        <v>35845</v>
      </c>
      <c r="Y1217" s="14">
        <v>39772</v>
      </c>
      <c r="Z1217" s="14">
        <v>126772</v>
      </c>
      <c r="AA1217" s="14">
        <v>203594</v>
      </c>
      <c r="AB1217" s="14">
        <v>218239</v>
      </c>
    </row>
    <row r="1218" spans="1:30">
      <c r="A1218" s="45" t="s">
        <v>251</v>
      </c>
      <c r="B1218" s="45" t="s">
        <v>252</v>
      </c>
      <c r="C1218" s="45" t="s">
        <v>490</v>
      </c>
      <c r="D1218" s="45" t="s">
        <v>494</v>
      </c>
      <c r="E1218" s="45" t="s">
        <v>492</v>
      </c>
      <c r="F1218" s="45" t="s">
        <v>493</v>
      </c>
      <c r="G1218" s="14">
        <v>7126</v>
      </c>
      <c r="H1218" s="14">
        <v>8401</v>
      </c>
      <c r="I1218" s="14">
        <v>10118</v>
      </c>
      <c r="J1218" s="14">
        <v>11427</v>
      </c>
      <c r="K1218" s="14">
        <v>12209</v>
      </c>
      <c r="L1218" s="14">
        <v>14071</v>
      </c>
      <c r="M1218" s="14">
        <v>15801</v>
      </c>
      <c r="N1218" s="14">
        <v>17008</v>
      </c>
      <c r="O1218" s="14">
        <v>16949</v>
      </c>
      <c r="P1218" s="14">
        <v>20589</v>
      </c>
      <c r="Q1218" s="14">
        <v>21409</v>
      </c>
      <c r="R1218" s="14">
        <v>23133</v>
      </c>
      <c r="S1218" s="14">
        <v>24948</v>
      </c>
      <c r="T1218" s="14">
        <v>27003</v>
      </c>
      <c r="U1218" s="14">
        <v>29826</v>
      </c>
      <c r="V1218" s="14">
        <v>29289</v>
      </c>
      <c r="W1218" s="14">
        <v>31434</v>
      </c>
      <c r="X1218" s="14">
        <v>35124</v>
      </c>
      <c r="Y1218" s="14">
        <v>38416</v>
      </c>
      <c r="Z1218" s="14">
        <v>124116</v>
      </c>
      <c r="AA1218" s="14"/>
      <c r="AB1218" s="14"/>
    </row>
    <row r="1219" spans="1:30">
      <c r="A1219" s="45" t="s">
        <v>251</v>
      </c>
      <c r="B1219" s="45" t="s">
        <v>252</v>
      </c>
      <c r="C1219" s="45" t="s">
        <v>490</v>
      </c>
      <c r="D1219" s="45" t="s">
        <v>495</v>
      </c>
      <c r="E1219" s="45" t="s">
        <v>492</v>
      </c>
      <c r="F1219" s="45" t="s">
        <v>493</v>
      </c>
      <c r="G1219" s="14">
        <v>481</v>
      </c>
      <c r="H1219" s="14">
        <v>292</v>
      </c>
      <c r="I1219" s="14">
        <v>419</v>
      </c>
      <c r="J1219" s="14">
        <v>437</v>
      </c>
      <c r="K1219" s="14">
        <v>348</v>
      </c>
      <c r="L1219" s="14">
        <v>536</v>
      </c>
      <c r="M1219" s="14">
        <v>506</v>
      </c>
      <c r="N1219" s="14">
        <v>606</v>
      </c>
      <c r="O1219" s="14">
        <v>522</v>
      </c>
      <c r="P1219" s="14">
        <v>549</v>
      </c>
      <c r="Q1219" s="14">
        <v>668</v>
      </c>
      <c r="R1219" s="14">
        <v>764</v>
      </c>
      <c r="S1219" s="14">
        <v>677</v>
      </c>
      <c r="T1219" s="14">
        <v>955</v>
      </c>
      <c r="U1219" s="14">
        <v>1212</v>
      </c>
      <c r="V1219" s="14">
        <v>897</v>
      </c>
      <c r="W1219" s="14">
        <v>888</v>
      </c>
      <c r="X1219" s="14">
        <v>1042</v>
      </c>
      <c r="Y1219" s="14">
        <v>1095</v>
      </c>
      <c r="Z1219" s="14">
        <v>84829</v>
      </c>
      <c r="AA1219" s="14"/>
      <c r="AB1219" s="14"/>
    </row>
    <row r="1220" spans="1:30">
      <c r="A1220" s="45" t="s">
        <v>251</v>
      </c>
      <c r="B1220" s="45" t="s">
        <v>252</v>
      </c>
      <c r="C1220" s="45" t="s">
        <v>490</v>
      </c>
      <c r="D1220" s="45" t="s">
        <v>496</v>
      </c>
      <c r="E1220" s="45" t="s">
        <v>492</v>
      </c>
      <c r="F1220" s="45" t="s">
        <v>493</v>
      </c>
      <c r="G1220" s="14">
        <v>1153</v>
      </c>
      <c r="H1220" s="14">
        <v>1423</v>
      </c>
      <c r="I1220" s="14">
        <v>1811</v>
      </c>
      <c r="J1220" s="14">
        <v>2067</v>
      </c>
      <c r="K1220" s="14">
        <v>2202</v>
      </c>
      <c r="L1220" s="14">
        <v>2499</v>
      </c>
      <c r="M1220" s="14">
        <v>2562</v>
      </c>
      <c r="N1220" s="14">
        <v>2888</v>
      </c>
      <c r="O1220" s="14">
        <v>3043</v>
      </c>
      <c r="P1220" s="14">
        <v>3614</v>
      </c>
      <c r="Q1220" s="14">
        <v>4032</v>
      </c>
      <c r="R1220" s="14">
        <v>4248</v>
      </c>
      <c r="S1220" s="14">
        <v>4378</v>
      </c>
      <c r="T1220" s="14">
        <v>5030</v>
      </c>
      <c r="U1220" s="14">
        <v>5798</v>
      </c>
      <c r="V1220" s="14">
        <v>5484</v>
      </c>
      <c r="W1220" s="14">
        <v>6312</v>
      </c>
      <c r="X1220" s="14">
        <v>7326</v>
      </c>
      <c r="Y1220" s="14">
        <v>8135</v>
      </c>
      <c r="Z1220" s="14">
        <v>8647</v>
      </c>
      <c r="AA1220" s="14"/>
      <c r="AB1220" s="14"/>
    </row>
    <row r="1221" spans="1:30">
      <c r="A1221" s="45" t="s">
        <v>251</v>
      </c>
      <c r="B1221" s="45" t="s">
        <v>252</v>
      </c>
      <c r="C1221" s="45" t="s">
        <v>490</v>
      </c>
      <c r="D1221" s="45" t="s">
        <v>497</v>
      </c>
      <c r="E1221" s="45" t="s">
        <v>492</v>
      </c>
      <c r="F1221" s="45" t="s">
        <v>493</v>
      </c>
      <c r="G1221" s="14">
        <v>4806</v>
      </c>
      <c r="H1221" s="14">
        <v>5653</v>
      </c>
      <c r="I1221" s="14">
        <v>6452</v>
      </c>
      <c r="J1221" s="14">
        <v>7948</v>
      </c>
      <c r="K1221" s="14">
        <v>8778</v>
      </c>
      <c r="L1221" s="14">
        <v>10118</v>
      </c>
      <c r="M1221" s="14">
        <v>11104</v>
      </c>
      <c r="N1221" s="14">
        <v>12454</v>
      </c>
      <c r="O1221" s="14">
        <v>12484</v>
      </c>
      <c r="P1221" s="14">
        <v>14390</v>
      </c>
      <c r="Q1221" s="14">
        <v>15989</v>
      </c>
      <c r="R1221" s="14">
        <v>17232</v>
      </c>
      <c r="S1221" s="14">
        <v>19123</v>
      </c>
      <c r="T1221" s="14">
        <v>20151</v>
      </c>
      <c r="U1221" s="14">
        <v>21862</v>
      </c>
      <c r="V1221" s="14">
        <v>21975</v>
      </c>
      <c r="W1221" s="14">
        <v>23301</v>
      </c>
      <c r="X1221" s="14">
        <v>25333</v>
      </c>
      <c r="Y1221" s="14">
        <v>26747</v>
      </c>
      <c r="Z1221" s="14">
        <v>28489</v>
      </c>
      <c r="AA1221" s="14"/>
      <c r="AB1221" s="14"/>
    </row>
    <row r="1222" spans="1:30">
      <c r="A1222" s="45" t="s">
        <v>251</v>
      </c>
      <c r="B1222" s="45" t="s">
        <v>252</v>
      </c>
      <c r="C1222" s="45" t="s">
        <v>498</v>
      </c>
      <c r="D1222" s="45" t="s">
        <v>491</v>
      </c>
      <c r="E1222" s="45" t="s">
        <v>499</v>
      </c>
      <c r="F1222" s="45" t="s">
        <v>500</v>
      </c>
      <c r="G1222" s="14">
        <v>13897.6</v>
      </c>
      <c r="H1222" s="14">
        <v>14321.5</v>
      </c>
      <c r="I1222" s="14">
        <v>16061.6</v>
      </c>
      <c r="J1222" s="14">
        <v>16895.099999999999</v>
      </c>
      <c r="K1222" s="14">
        <v>17030.8</v>
      </c>
      <c r="L1222" s="14">
        <v>18592.099999999999</v>
      </c>
      <c r="M1222" s="14">
        <v>19301.599999999999</v>
      </c>
      <c r="N1222" s="14">
        <v>19074.900000000001</v>
      </c>
      <c r="O1222" s="14">
        <v>17656</v>
      </c>
      <c r="P1222" s="14">
        <v>20031.599999999999</v>
      </c>
      <c r="Q1222" s="14">
        <v>18986.900000000001</v>
      </c>
      <c r="R1222" s="14">
        <v>19081.599999999999</v>
      </c>
      <c r="S1222" s="14">
        <v>18985.7</v>
      </c>
      <c r="T1222" s="14">
        <v>19157.599999999999</v>
      </c>
      <c r="U1222" s="14">
        <v>19312.599999999999</v>
      </c>
      <c r="V1222" s="14">
        <v>18238.8</v>
      </c>
      <c r="W1222" s="14">
        <v>18803.2</v>
      </c>
      <c r="X1222" s="14">
        <v>20140.2</v>
      </c>
      <c r="Y1222" s="14">
        <v>20988.2</v>
      </c>
      <c r="Z1222" s="14">
        <v>59178.1</v>
      </c>
      <c r="AA1222" s="14"/>
      <c r="AB1222" s="14"/>
      <c r="AC1222" s="15">
        <f>IFERROR(Z1222/G1222-1,"")</f>
        <v>3.258152486760304</v>
      </c>
      <c r="AD1222" s="15">
        <f>IFERROR((Z1222/G1222)^(1/19)-1,"")</f>
        <v>7.9237198128403241E-2</v>
      </c>
    </row>
    <row r="1223" spans="1:30">
      <c r="A1223" s="45" t="s">
        <v>251</v>
      </c>
      <c r="B1223" s="45" t="s">
        <v>252</v>
      </c>
      <c r="C1223" s="45" t="s">
        <v>498</v>
      </c>
      <c r="D1223" s="45" t="s">
        <v>495</v>
      </c>
      <c r="E1223" s="45" t="s">
        <v>499</v>
      </c>
      <c r="F1223" s="45" t="s">
        <v>500</v>
      </c>
      <c r="G1223" s="14">
        <v>912.9</v>
      </c>
      <c r="H1223" s="14">
        <v>486</v>
      </c>
      <c r="I1223" s="14">
        <v>647.70000000000005</v>
      </c>
      <c r="J1223" s="14">
        <v>628.1</v>
      </c>
      <c r="K1223" s="14">
        <v>468.2</v>
      </c>
      <c r="L1223" s="14">
        <v>678.2</v>
      </c>
      <c r="M1223" s="14">
        <v>588.79999999999995</v>
      </c>
      <c r="N1223" s="14">
        <v>657</v>
      </c>
      <c r="O1223" s="14">
        <v>522</v>
      </c>
      <c r="P1223" s="14">
        <v>506.8</v>
      </c>
      <c r="Q1223" s="14">
        <v>571.29999999999995</v>
      </c>
      <c r="R1223" s="14">
        <v>607.79999999999995</v>
      </c>
      <c r="S1223" s="14">
        <v>499.4</v>
      </c>
      <c r="T1223" s="14">
        <v>654.9</v>
      </c>
      <c r="U1223" s="14">
        <v>768.9</v>
      </c>
      <c r="V1223" s="14">
        <v>548.9</v>
      </c>
      <c r="W1223" s="14">
        <v>520</v>
      </c>
      <c r="X1223" s="14">
        <v>585.5</v>
      </c>
      <c r="Y1223" s="14">
        <v>577.79999999999995</v>
      </c>
      <c r="Z1223" s="14">
        <v>39598.800000000003</v>
      </c>
      <c r="AA1223" s="14"/>
      <c r="AB1223" s="14"/>
      <c r="AC1223" s="15">
        <f>IFERROR(Z1223/G1223-1,"")</f>
        <v>42.376930660532373</v>
      </c>
      <c r="AD1223" s="15">
        <f>IFERROR((Z1223/G1223)^(1/19)-1,"")</f>
        <v>0.2194711118877366</v>
      </c>
    </row>
    <row r="1224" spans="1:30">
      <c r="A1224" s="45" t="s">
        <v>251</v>
      </c>
      <c r="B1224" s="45" t="s">
        <v>252</v>
      </c>
      <c r="C1224" s="45" t="s">
        <v>498</v>
      </c>
      <c r="D1224" s="45" t="s">
        <v>496</v>
      </c>
      <c r="E1224" s="45" t="s">
        <v>499</v>
      </c>
      <c r="F1224" s="45" t="s">
        <v>500</v>
      </c>
      <c r="G1224" s="14">
        <v>2189.6</v>
      </c>
      <c r="H1224" s="14">
        <v>2369.6</v>
      </c>
      <c r="I1224" s="14">
        <v>2799</v>
      </c>
      <c r="J1224" s="14">
        <v>2972.9</v>
      </c>
      <c r="K1224" s="14">
        <v>2967.1</v>
      </c>
      <c r="L1224" s="14">
        <v>3162.7</v>
      </c>
      <c r="M1224" s="14">
        <v>2981.2</v>
      </c>
      <c r="N1224" s="14">
        <v>3131.3</v>
      </c>
      <c r="O1224" s="14">
        <v>3043</v>
      </c>
      <c r="P1224" s="14">
        <v>3336.5</v>
      </c>
      <c r="Q1224" s="14">
        <v>3448.4</v>
      </c>
      <c r="R1224" s="14">
        <v>3379.6</v>
      </c>
      <c r="S1224" s="14">
        <v>3229.6</v>
      </c>
      <c r="T1224" s="14">
        <v>3449.5</v>
      </c>
      <c r="U1224" s="14">
        <v>3678.2</v>
      </c>
      <c r="V1224" s="14">
        <v>3355.8</v>
      </c>
      <c r="W1224" s="14">
        <v>3696.3</v>
      </c>
      <c r="X1224" s="14">
        <v>4116.3</v>
      </c>
      <c r="Y1224" s="14">
        <v>4292.8999999999996</v>
      </c>
      <c r="Z1224" s="14">
        <v>4036.9</v>
      </c>
      <c r="AA1224" s="14"/>
      <c r="AB1224" s="14"/>
      <c r="AC1224" s="15">
        <f>IFERROR(Z1224/G1224-1,"")</f>
        <v>0.84367007672634275</v>
      </c>
      <c r="AD1224" s="15">
        <f>IFERROR((Z1224/G1224)^(1/19)-1,"")</f>
        <v>3.2721757030004239E-2</v>
      </c>
    </row>
    <row r="1225" spans="1:30">
      <c r="A1225" s="45" t="s">
        <v>251</v>
      </c>
      <c r="B1225" s="45" t="s">
        <v>252</v>
      </c>
      <c r="C1225" s="45" t="s">
        <v>498</v>
      </c>
      <c r="D1225" s="45" t="s">
        <v>497</v>
      </c>
      <c r="E1225" s="45" t="s">
        <v>499</v>
      </c>
      <c r="F1225" s="45" t="s">
        <v>500</v>
      </c>
      <c r="G1225" s="14">
        <v>9129.4</v>
      </c>
      <c r="H1225" s="14">
        <v>9412.7999999999993</v>
      </c>
      <c r="I1225" s="14">
        <v>9970.7000000000007</v>
      </c>
      <c r="J1225" s="14">
        <v>11432.5</v>
      </c>
      <c r="K1225" s="14">
        <v>11824.9</v>
      </c>
      <c r="L1225" s="14">
        <v>12806.4</v>
      </c>
      <c r="M1225" s="14">
        <v>12919.4</v>
      </c>
      <c r="N1225" s="14">
        <v>13503</v>
      </c>
      <c r="O1225" s="14">
        <v>12484</v>
      </c>
      <c r="P1225" s="14">
        <v>13284.9</v>
      </c>
      <c r="Q1225" s="14">
        <v>13674.9</v>
      </c>
      <c r="R1225" s="14">
        <v>13709.2</v>
      </c>
      <c r="S1225" s="14">
        <v>14106.7</v>
      </c>
      <c r="T1225" s="14">
        <v>13819.4</v>
      </c>
      <c r="U1225" s="14">
        <v>13868.9</v>
      </c>
      <c r="V1225" s="14">
        <v>13446.9</v>
      </c>
      <c r="W1225" s="14">
        <v>13645.2</v>
      </c>
      <c r="X1225" s="14">
        <v>14233.8</v>
      </c>
      <c r="Y1225" s="14">
        <v>14114.7</v>
      </c>
      <c r="Z1225" s="14">
        <v>13299.3</v>
      </c>
      <c r="AA1225" s="14"/>
      <c r="AB1225" s="14"/>
      <c r="AC1225" s="15">
        <f>IFERROR(Z1225/G1225-1,"")</f>
        <v>0.45675509891120991</v>
      </c>
      <c r="AD1225" s="15">
        <f>IFERROR((Z1225/G1225)^(1/19)-1,"")</f>
        <v>1.9997933621885622E-2</v>
      </c>
    </row>
    <row r="1226" spans="1:30">
      <c r="A1226" s="45" t="s">
        <v>251</v>
      </c>
      <c r="B1226" s="45" t="s">
        <v>252</v>
      </c>
      <c r="C1226" s="45" t="s">
        <v>498</v>
      </c>
      <c r="D1226" s="45" t="s">
        <v>501</v>
      </c>
      <c r="E1226" s="45" t="s">
        <v>499</v>
      </c>
      <c r="F1226" s="45" t="s">
        <v>500</v>
      </c>
      <c r="G1226" s="14">
        <v>1306</v>
      </c>
      <c r="H1226" s="14">
        <v>1719.5</v>
      </c>
      <c r="I1226" s="14">
        <v>2217.9</v>
      </c>
      <c r="J1226" s="14">
        <v>1403.8</v>
      </c>
      <c r="K1226" s="14">
        <v>1187.9000000000001</v>
      </c>
      <c r="L1226" s="14">
        <v>1161.8</v>
      </c>
      <c r="M1226" s="14">
        <v>1895</v>
      </c>
      <c r="N1226" s="14">
        <v>1149.3</v>
      </c>
      <c r="O1226" s="14">
        <v>900</v>
      </c>
      <c r="P1226" s="14">
        <v>1880.6</v>
      </c>
      <c r="Q1226" s="14">
        <v>615.79999999999995</v>
      </c>
      <c r="R1226" s="14">
        <v>707.3</v>
      </c>
      <c r="S1226" s="14">
        <v>568</v>
      </c>
      <c r="T1226" s="14">
        <v>593.9</v>
      </c>
      <c r="U1226" s="14">
        <v>605.20000000000005</v>
      </c>
      <c r="V1226" s="14">
        <v>570.9</v>
      </c>
      <c r="W1226" s="14">
        <v>547</v>
      </c>
      <c r="X1226" s="14">
        <v>799</v>
      </c>
      <c r="Y1226" s="14">
        <v>1287.0999999999999</v>
      </c>
      <c r="Z1226" s="14">
        <v>1004.1</v>
      </c>
      <c r="AA1226" s="14"/>
      <c r="AB1226" s="14"/>
      <c r="AC1226" s="15">
        <f>IFERROR(Z1226/G1226-1,"")</f>
        <v>-0.23116385911179171</v>
      </c>
      <c r="AD1226" s="15">
        <f>IFERROR((Z1226/G1226)^(1/19)-1,"")</f>
        <v>-1.3740380554991716E-2</v>
      </c>
    </row>
    <row r="1227" spans="1:30">
      <c r="A1227" s="45" t="s">
        <v>141</v>
      </c>
      <c r="B1227" s="45" t="s">
        <v>142</v>
      </c>
      <c r="C1227" s="45" t="s">
        <v>490</v>
      </c>
      <c r="D1227" s="45" t="s">
        <v>491</v>
      </c>
      <c r="E1227" s="45" t="s">
        <v>492</v>
      </c>
      <c r="F1227" s="45" t="s">
        <v>493</v>
      </c>
      <c r="G1227" s="14">
        <v>71043</v>
      </c>
      <c r="H1227" s="14">
        <v>77286</v>
      </c>
      <c r="I1227" s="14">
        <v>92029</v>
      </c>
      <c r="J1227" s="14">
        <v>100011</v>
      </c>
      <c r="K1227" s="14">
        <v>110192</v>
      </c>
      <c r="L1227" s="14">
        <v>133762</v>
      </c>
      <c r="M1227" s="14">
        <v>144678</v>
      </c>
      <c r="N1227" s="14">
        <v>161014</v>
      </c>
      <c r="O1227" s="14">
        <v>190549</v>
      </c>
      <c r="P1227" s="14">
        <v>258223</v>
      </c>
      <c r="Q1227" s="14">
        <v>294413</v>
      </c>
      <c r="R1227" s="14">
        <v>342496</v>
      </c>
      <c r="S1227" s="14">
        <v>384089</v>
      </c>
      <c r="T1227" s="14">
        <v>414406</v>
      </c>
      <c r="U1227" s="14">
        <v>461489</v>
      </c>
      <c r="V1227" s="14">
        <v>562261</v>
      </c>
      <c r="W1227" s="14">
        <v>502049</v>
      </c>
      <c r="X1227" s="14">
        <v>550074</v>
      </c>
      <c r="Y1227" s="14">
        <v>583899</v>
      </c>
      <c r="Z1227" s="14">
        <v>619036</v>
      </c>
      <c r="AA1227" s="14">
        <v>675850</v>
      </c>
      <c r="AB1227" s="14">
        <v>716309</v>
      </c>
    </row>
    <row r="1228" spans="1:30">
      <c r="A1228" s="45" t="s">
        <v>141</v>
      </c>
      <c r="B1228" s="45" t="s">
        <v>142</v>
      </c>
      <c r="C1228" s="45" t="s">
        <v>490</v>
      </c>
      <c r="D1228" s="45" t="s">
        <v>494</v>
      </c>
      <c r="E1228" s="45" t="s">
        <v>492</v>
      </c>
      <c r="F1228" s="45" t="s">
        <v>493</v>
      </c>
      <c r="G1228" s="14">
        <v>67039</v>
      </c>
      <c r="H1228" s="14">
        <v>72885</v>
      </c>
      <c r="I1228" s="14">
        <v>86850</v>
      </c>
      <c r="J1228" s="14">
        <v>94721</v>
      </c>
      <c r="K1228" s="14">
        <v>103439</v>
      </c>
      <c r="L1228" s="14">
        <v>125372</v>
      </c>
      <c r="M1228" s="14">
        <v>135848</v>
      </c>
      <c r="N1228" s="14">
        <v>152196</v>
      </c>
      <c r="O1228" s="14">
        <v>178006</v>
      </c>
      <c r="P1228" s="14">
        <v>237690</v>
      </c>
      <c r="Q1228" s="14">
        <v>272057</v>
      </c>
      <c r="R1228" s="14">
        <v>317115</v>
      </c>
      <c r="S1228" s="14">
        <v>354738</v>
      </c>
      <c r="T1228" s="14">
        <v>379625</v>
      </c>
      <c r="U1228" s="14">
        <v>415635</v>
      </c>
      <c r="V1228" s="14">
        <v>515035</v>
      </c>
      <c r="W1228" s="14">
        <v>454763</v>
      </c>
      <c r="X1228" s="14">
        <v>502075</v>
      </c>
      <c r="Y1228" s="14">
        <v>530016</v>
      </c>
      <c r="Z1228" s="14">
        <v>557357</v>
      </c>
      <c r="AA1228" s="14"/>
      <c r="AB1228" s="14"/>
    </row>
    <row r="1229" spans="1:30">
      <c r="A1229" s="45" t="s">
        <v>141</v>
      </c>
      <c r="B1229" s="45" t="s">
        <v>142</v>
      </c>
      <c r="C1229" s="45" t="s">
        <v>490</v>
      </c>
      <c r="D1229" s="45" t="s">
        <v>495</v>
      </c>
      <c r="E1229" s="45" t="s">
        <v>492</v>
      </c>
      <c r="F1229" s="45" t="s">
        <v>493</v>
      </c>
      <c r="G1229" s="14">
        <v>6547</v>
      </c>
      <c r="H1229" s="14">
        <v>5972</v>
      </c>
      <c r="I1229" s="14">
        <v>6142</v>
      </c>
      <c r="J1229" s="14">
        <v>6363</v>
      </c>
      <c r="K1229" s="14">
        <v>5880</v>
      </c>
      <c r="L1229" s="14">
        <v>7801</v>
      </c>
      <c r="M1229" s="14">
        <v>8717</v>
      </c>
      <c r="N1229" s="14">
        <v>9530</v>
      </c>
      <c r="O1229" s="14">
        <v>12543</v>
      </c>
      <c r="P1229" s="14">
        <v>13797</v>
      </c>
      <c r="Q1229" s="14">
        <v>16032</v>
      </c>
      <c r="R1229" s="14">
        <v>18780</v>
      </c>
      <c r="S1229" s="14">
        <v>19924</v>
      </c>
      <c r="T1229" s="14">
        <v>20016</v>
      </c>
      <c r="U1229" s="14">
        <v>26177</v>
      </c>
      <c r="V1229" s="14">
        <v>32749</v>
      </c>
      <c r="W1229" s="14">
        <v>29326</v>
      </c>
      <c r="X1229" s="14">
        <v>33458</v>
      </c>
      <c r="Y1229" s="14">
        <v>31568</v>
      </c>
      <c r="Z1229" s="14">
        <v>31230</v>
      </c>
      <c r="AA1229" s="14"/>
      <c r="AB1229" s="14"/>
    </row>
    <row r="1230" spans="1:30">
      <c r="A1230" s="45" t="s">
        <v>141</v>
      </c>
      <c r="B1230" s="45" t="s">
        <v>142</v>
      </c>
      <c r="C1230" s="45" t="s">
        <v>490</v>
      </c>
      <c r="D1230" s="45" t="s">
        <v>496</v>
      </c>
      <c r="E1230" s="45" t="s">
        <v>492</v>
      </c>
      <c r="F1230" s="45" t="s">
        <v>493</v>
      </c>
      <c r="G1230" s="14">
        <v>23575</v>
      </c>
      <c r="H1230" s="14">
        <v>25049</v>
      </c>
      <c r="I1230" s="14">
        <v>30207</v>
      </c>
      <c r="J1230" s="14">
        <v>32527</v>
      </c>
      <c r="K1230" s="14">
        <v>37655</v>
      </c>
      <c r="L1230" s="14">
        <v>44751</v>
      </c>
      <c r="M1230" s="14">
        <v>45294</v>
      </c>
      <c r="N1230" s="14">
        <v>50991</v>
      </c>
      <c r="O1230" s="14">
        <v>65811</v>
      </c>
      <c r="P1230" s="14">
        <v>107865</v>
      </c>
      <c r="Q1230" s="14">
        <v>134559</v>
      </c>
      <c r="R1230" s="14">
        <v>158133</v>
      </c>
      <c r="S1230" s="14">
        <v>181743</v>
      </c>
      <c r="T1230" s="14">
        <v>192053</v>
      </c>
      <c r="U1230" s="14">
        <v>214757</v>
      </c>
      <c r="V1230" s="14">
        <v>293423</v>
      </c>
      <c r="W1230" s="14">
        <v>232983</v>
      </c>
      <c r="X1230" s="14">
        <v>252300</v>
      </c>
      <c r="Y1230" s="14">
        <v>264163</v>
      </c>
      <c r="Z1230" s="14">
        <v>268281</v>
      </c>
      <c r="AA1230" s="14"/>
      <c r="AB1230" s="14"/>
    </row>
    <row r="1231" spans="1:30">
      <c r="A1231" s="45" t="s">
        <v>141</v>
      </c>
      <c r="B1231" s="45" t="s">
        <v>142</v>
      </c>
      <c r="C1231" s="45" t="s">
        <v>490</v>
      </c>
      <c r="D1231" s="45" t="s">
        <v>497</v>
      </c>
      <c r="E1231" s="45" t="s">
        <v>492</v>
      </c>
      <c r="F1231" s="45" t="s">
        <v>493</v>
      </c>
      <c r="G1231" s="14">
        <v>33691</v>
      </c>
      <c r="H1231" s="14">
        <v>36140</v>
      </c>
      <c r="I1231" s="14">
        <v>40949</v>
      </c>
      <c r="J1231" s="14">
        <v>47645</v>
      </c>
      <c r="K1231" s="14">
        <v>54313</v>
      </c>
      <c r="L1231" s="14">
        <v>66131</v>
      </c>
      <c r="M1231" s="14">
        <v>74392</v>
      </c>
      <c r="N1231" s="14">
        <v>84413</v>
      </c>
      <c r="O1231" s="14">
        <v>92465</v>
      </c>
      <c r="P1231" s="14">
        <v>105403</v>
      </c>
      <c r="Q1231" s="14">
        <v>115735</v>
      </c>
      <c r="R1231" s="14">
        <v>133767</v>
      </c>
      <c r="S1231" s="14">
        <v>146514</v>
      </c>
      <c r="T1231" s="14">
        <v>160561</v>
      </c>
      <c r="U1231" s="14">
        <v>167002</v>
      </c>
      <c r="V1231" s="14">
        <v>180667</v>
      </c>
      <c r="W1231" s="14">
        <v>181503</v>
      </c>
      <c r="X1231" s="14">
        <v>200156</v>
      </c>
      <c r="Y1231" s="14">
        <v>214523</v>
      </c>
      <c r="Z1231" s="14">
        <v>224065</v>
      </c>
      <c r="AA1231" s="14"/>
      <c r="AB1231" s="14"/>
    </row>
    <row r="1232" spans="1:30">
      <c r="A1232" s="45" t="s">
        <v>141</v>
      </c>
      <c r="B1232" s="45" t="s">
        <v>142</v>
      </c>
      <c r="C1232" s="45" t="s">
        <v>498</v>
      </c>
      <c r="D1232" s="45" t="s">
        <v>491</v>
      </c>
      <c r="E1232" s="45" t="s">
        <v>499</v>
      </c>
      <c r="F1232" s="45" t="s">
        <v>500</v>
      </c>
      <c r="G1232" s="14">
        <v>134964.29999999999</v>
      </c>
      <c r="H1232" s="14">
        <v>128690.1</v>
      </c>
      <c r="I1232" s="14">
        <v>142213.6</v>
      </c>
      <c r="J1232" s="14">
        <v>143858.9</v>
      </c>
      <c r="K1232" s="14">
        <v>148447.4</v>
      </c>
      <c r="L1232" s="14">
        <v>169298.9</v>
      </c>
      <c r="M1232" s="14">
        <v>168337.1</v>
      </c>
      <c r="N1232" s="14">
        <v>174576.8</v>
      </c>
      <c r="O1232" s="14">
        <v>190549</v>
      </c>
      <c r="P1232" s="14">
        <v>238392.1</v>
      </c>
      <c r="Q1232" s="14">
        <v>251801.9</v>
      </c>
      <c r="R1232" s="14">
        <v>272477.5</v>
      </c>
      <c r="S1232" s="14">
        <v>283334.90000000002</v>
      </c>
      <c r="T1232" s="14">
        <v>284196.40000000002</v>
      </c>
      <c r="U1232" s="14">
        <v>292761.3</v>
      </c>
      <c r="V1232" s="14">
        <v>344057.8</v>
      </c>
      <c r="W1232" s="14">
        <v>294001.90000000002</v>
      </c>
      <c r="X1232" s="14">
        <v>309069.59999999998</v>
      </c>
      <c r="Y1232" s="14">
        <v>308131</v>
      </c>
      <c r="Z1232" s="14">
        <v>288970.5</v>
      </c>
      <c r="AA1232" s="14"/>
      <c r="AB1232" s="14"/>
      <c r="AC1232" s="15">
        <f>IFERROR(Z1232/G1232-1,"")</f>
        <v>1.1410884211602625</v>
      </c>
      <c r="AD1232" s="15">
        <f>IFERROR((Z1232/G1232)^(1/19)-1,"")</f>
        <v>4.088277382326555E-2</v>
      </c>
    </row>
    <row r="1233" spans="1:30">
      <c r="A1233" s="45" t="s">
        <v>141</v>
      </c>
      <c r="B1233" s="45" t="s">
        <v>142</v>
      </c>
      <c r="C1233" s="45" t="s">
        <v>498</v>
      </c>
      <c r="D1233" s="45" t="s">
        <v>495</v>
      </c>
      <c r="E1233" s="45" t="s">
        <v>499</v>
      </c>
      <c r="F1233" s="45" t="s">
        <v>500</v>
      </c>
      <c r="G1233" s="14">
        <v>12437</v>
      </c>
      <c r="H1233" s="14">
        <v>9943.5</v>
      </c>
      <c r="I1233" s="14">
        <v>9491</v>
      </c>
      <c r="J1233" s="14">
        <v>9152.6</v>
      </c>
      <c r="K1233" s="14">
        <v>7921.6</v>
      </c>
      <c r="L1233" s="14">
        <v>9873.2999999999993</v>
      </c>
      <c r="M1233" s="14">
        <v>10142.5</v>
      </c>
      <c r="N1233" s="14">
        <v>10332.700000000001</v>
      </c>
      <c r="O1233" s="14">
        <v>12543</v>
      </c>
      <c r="P1233" s="14">
        <v>12737.4</v>
      </c>
      <c r="Q1233" s="14">
        <v>13711.6</v>
      </c>
      <c r="R1233" s="14">
        <v>14940.7</v>
      </c>
      <c r="S1233" s="14">
        <v>14697.5</v>
      </c>
      <c r="T1233" s="14">
        <v>13726.8</v>
      </c>
      <c r="U1233" s="14">
        <v>16606.3</v>
      </c>
      <c r="V1233" s="14">
        <v>20039.7</v>
      </c>
      <c r="W1233" s="14">
        <v>17173.400000000001</v>
      </c>
      <c r="X1233" s="14">
        <v>18799</v>
      </c>
      <c r="Y1233" s="14">
        <v>16658.8</v>
      </c>
      <c r="Z1233" s="14">
        <v>14578.4</v>
      </c>
      <c r="AA1233" s="14"/>
      <c r="AB1233" s="14"/>
      <c r="AC1233" s="15">
        <f>IFERROR(Z1233/G1233-1,"")</f>
        <v>0.17217978612205509</v>
      </c>
      <c r="AD1233" s="15">
        <f>IFERROR((Z1233/G1233)^(1/19)-1,"")</f>
        <v>8.3963734932053224E-3</v>
      </c>
    </row>
    <row r="1234" spans="1:30">
      <c r="A1234" s="45" t="s">
        <v>141</v>
      </c>
      <c r="B1234" s="45" t="s">
        <v>142</v>
      </c>
      <c r="C1234" s="45" t="s">
        <v>498</v>
      </c>
      <c r="D1234" s="45" t="s">
        <v>496</v>
      </c>
      <c r="E1234" s="45" t="s">
        <v>499</v>
      </c>
      <c r="F1234" s="45" t="s">
        <v>500</v>
      </c>
      <c r="G1234" s="14">
        <v>44785.599999999999</v>
      </c>
      <c r="H1234" s="14">
        <v>41709.199999999997</v>
      </c>
      <c r="I1234" s="14">
        <v>46679.9</v>
      </c>
      <c r="J1234" s="14">
        <v>46787.6</v>
      </c>
      <c r="K1234" s="14">
        <v>50727.1</v>
      </c>
      <c r="L1234" s="14">
        <v>56640.5</v>
      </c>
      <c r="M1234" s="14">
        <v>52700.7</v>
      </c>
      <c r="N1234" s="14">
        <v>55286.1</v>
      </c>
      <c r="O1234" s="14">
        <v>65811</v>
      </c>
      <c r="P1234" s="14">
        <v>99581.2</v>
      </c>
      <c r="Q1234" s="14">
        <v>115083.9</v>
      </c>
      <c r="R1234" s="14">
        <v>125804.9</v>
      </c>
      <c r="S1234" s="14">
        <v>134068.20000000001</v>
      </c>
      <c r="T1234" s="14">
        <v>131708.4</v>
      </c>
      <c r="U1234" s="14">
        <v>136238.39999999999</v>
      </c>
      <c r="V1234" s="14">
        <v>179550.9</v>
      </c>
      <c r="W1234" s="14">
        <v>136435.79999999999</v>
      </c>
      <c r="X1234" s="14">
        <v>141759.6</v>
      </c>
      <c r="Y1234" s="14">
        <v>139402.20000000001</v>
      </c>
      <c r="Z1234" s="14">
        <v>125236.5</v>
      </c>
      <c r="AA1234" s="14"/>
      <c r="AB1234" s="14"/>
      <c r="AC1234" s="15">
        <f>IFERROR(Z1234/G1234-1,"")</f>
        <v>1.7963564181344003</v>
      </c>
      <c r="AD1234" s="15">
        <f>IFERROR((Z1234/G1234)^(1/19)-1,"")</f>
        <v>5.5613339715420596E-2</v>
      </c>
    </row>
    <row r="1235" spans="1:30">
      <c r="A1235" s="45" t="s">
        <v>141</v>
      </c>
      <c r="B1235" s="45" t="s">
        <v>142</v>
      </c>
      <c r="C1235" s="45" t="s">
        <v>498</v>
      </c>
      <c r="D1235" s="45" t="s">
        <v>497</v>
      </c>
      <c r="E1235" s="45" t="s">
        <v>499</v>
      </c>
      <c r="F1235" s="45" t="s">
        <v>500</v>
      </c>
      <c r="G1235" s="14">
        <v>64003.9</v>
      </c>
      <c r="H1235" s="14">
        <v>60176.9</v>
      </c>
      <c r="I1235" s="14">
        <v>63279.4</v>
      </c>
      <c r="J1235" s="14">
        <v>68534</v>
      </c>
      <c r="K1235" s="14">
        <v>73168.899999999994</v>
      </c>
      <c r="L1235" s="14">
        <v>83700</v>
      </c>
      <c r="M1235" s="14">
        <v>86557.2</v>
      </c>
      <c r="N1235" s="14">
        <v>91523.4</v>
      </c>
      <c r="O1235" s="14">
        <v>92465</v>
      </c>
      <c r="P1235" s="14">
        <v>97308.3</v>
      </c>
      <c r="Q1235" s="14">
        <v>98984.4</v>
      </c>
      <c r="R1235" s="14">
        <v>106420.2</v>
      </c>
      <c r="S1235" s="14">
        <v>108080.5</v>
      </c>
      <c r="T1235" s="14">
        <v>110111.5</v>
      </c>
      <c r="U1235" s="14">
        <v>105943.4</v>
      </c>
      <c r="V1235" s="14">
        <v>110553.4</v>
      </c>
      <c r="W1235" s="14">
        <v>106288.9</v>
      </c>
      <c r="X1235" s="14">
        <v>112461.5</v>
      </c>
      <c r="Y1235" s="14">
        <v>113206.6</v>
      </c>
      <c r="Z1235" s="14">
        <v>104597.5</v>
      </c>
      <c r="AA1235" s="14"/>
      <c r="AB1235" s="14"/>
      <c r="AC1235" s="15">
        <f>IFERROR(Z1235/G1235-1,"")</f>
        <v>0.63423635122234745</v>
      </c>
      <c r="AD1235" s="15">
        <f>IFERROR((Z1235/G1235)^(1/19)-1,"")</f>
        <v>2.6188393245646369E-2</v>
      </c>
    </row>
    <row r="1236" spans="1:30">
      <c r="A1236" s="45" t="s">
        <v>141</v>
      </c>
      <c r="B1236" s="45" t="s">
        <v>142</v>
      </c>
      <c r="C1236" s="45" t="s">
        <v>498</v>
      </c>
      <c r="D1236" s="45" t="s">
        <v>501</v>
      </c>
      <c r="E1236" s="45" t="s">
        <v>499</v>
      </c>
      <c r="F1236" s="45" t="s">
        <v>500</v>
      </c>
      <c r="G1236" s="14">
        <v>6131</v>
      </c>
      <c r="H1236" s="14">
        <v>9531.7999999999993</v>
      </c>
      <c r="I1236" s="14">
        <v>14760.9</v>
      </c>
      <c r="J1236" s="14">
        <v>11775.3</v>
      </c>
      <c r="K1236" s="14">
        <v>7531.6</v>
      </c>
      <c r="L1236" s="14">
        <v>8465.1</v>
      </c>
      <c r="M1236" s="14">
        <v>8663</v>
      </c>
      <c r="N1236" s="14">
        <v>7872.6</v>
      </c>
      <c r="O1236" s="14">
        <v>7188</v>
      </c>
      <c r="P1236" s="14">
        <v>9809</v>
      </c>
      <c r="Q1236" s="14">
        <v>4900.7</v>
      </c>
      <c r="R1236" s="14">
        <v>5120.2</v>
      </c>
      <c r="S1236" s="14">
        <v>4837</v>
      </c>
      <c r="T1236" s="14">
        <v>4797.1000000000004</v>
      </c>
      <c r="U1236" s="14">
        <v>4884.8</v>
      </c>
      <c r="V1236" s="14">
        <v>5015.3</v>
      </c>
      <c r="W1236" s="14">
        <v>6412.4</v>
      </c>
      <c r="X1236" s="14">
        <v>9079.7999999999993</v>
      </c>
      <c r="Y1236" s="14">
        <v>10428.1</v>
      </c>
      <c r="Z1236" s="14">
        <v>15769.2</v>
      </c>
      <c r="AA1236" s="14"/>
      <c r="AB1236" s="14"/>
      <c r="AC1236" s="15">
        <f>IFERROR(Z1236/G1236-1,"")</f>
        <v>1.5720437122818467</v>
      </c>
      <c r="AD1236" s="15">
        <f>IFERROR((Z1236/G1236)^(1/19)-1,"")</f>
        <v>5.0977932311299323E-2</v>
      </c>
    </row>
    <row r="1237" spans="1:30">
      <c r="A1237" s="45" t="s">
        <v>231</v>
      </c>
      <c r="B1237" s="45" t="s">
        <v>232</v>
      </c>
      <c r="C1237" s="45" t="s">
        <v>490</v>
      </c>
      <c r="D1237" s="45" t="s">
        <v>491</v>
      </c>
      <c r="E1237" s="45" t="s">
        <v>492</v>
      </c>
      <c r="F1237" s="45" t="s">
        <v>493</v>
      </c>
      <c r="G1237" s="14">
        <v>32250</v>
      </c>
      <c r="H1237" s="14">
        <v>38967</v>
      </c>
      <c r="I1237" s="14">
        <v>43759</v>
      </c>
      <c r="J1237" s="14">
        <v>51090</v>
      </c>
      <c r="K1237" s="14">
        <v>62987</v>
      </c>
      <c r="L1237" s="14">
        <v>64705</v>
      </c>
      <c r="M1237" s="14">
        <v>64924</v>
      </c>
      <c r="N1237" s="14">
        <v>75748</v>
      </c>
      <c r="O1237" s="14">
        <v>151343</v>
      </c>
      <c r="P1237" s="14">
        <v>94986</v>
      </c>
      <c r="Q1237" s="14">
        <v>100269</v>
      </c>
      <c r="R1237" s="14">
        <v>99175</v>
      </c>
      <c r="S1237" s="14">
        <v>141618</v>
      </c>
      <c r="T1237" s="14">
        <v>121012</v>
      </c>
      <c r="U1237" s="14">
        <v>113283</v>
      </c>
      <c r="V1237" s="14">
        <v>124274</v>
      </c>
      <c r="W1237" s="14">
        <v>129756</v>
      </c>
      <c r="X1237" s="14">
        <v>137523</v>
      </c>
      <c r="Y1237" s="14">
        <v>145540</v>
      </c>
      <c r="Z1237" s="14">
        <v>147037</v>
      </c>
      <c r="AA1237" s="14">
        <v>179803</v>
      </c>
      <c r="AB1237" s="14">
        <v>207088</v>
      </c>
    </row>
    <row r="1238" spans="1:30">
      <c r="A1238" s="45" t="s">
        <v>231</v>
      </c>
      <c r="B1238" s="45" t="s">
        <v>232</v>
      </c>
      <c r="C1238" s="45" t="s">
        <v>490</v>
      </c>
      <c r="D1238" s="45" t="s">
        <v>494</v>
      </c>
      <c r="E1238" s="45" t="s">
        <v>492</v>
      </c>
      <c r="F1238" s="45" t="s">
        <v>493</v>
      </c>
      <c r="G1238" s="14">
        <v>30106</v>
      </c>
      <c r="H1238" s="14">
        <v>36220</v>
      </c>
      <c r="I1238" s="14">
        <v>40811</v>
      </c>
      <c r="J1238" s="14">
        <v>47327</v>
      </c>
      <c r="K1238" s="14">
        <v>57608</v>
      </c>
      <c r="L1238" s="14">
        <v>59276</v>
      </c>
      <c r="M1238" s="14">
        <v>60027</v>
      </c>
      <c r="N1238" s="14">
        <v>70418</v>
      </c>
      <c r="O1238" s="14">
        <v>134167</v>
      </c>
      <c r="P1238" s="14">
        <v>86685</v>
      </c>
      <c r="Q1238" s="14">
        <v>88042</v>
      </c>
      <c r="R1238" s="14">
        <v>89117</v>
      </c>
      <c r="S1238" s="14">
        <v>119363</v>
      </c>
      <c r="T1238" s="14">
        <v>109924</v>
      </c>
      <c r="U1238" s="14">
        <v>107046</v>
      </c>
      <c r="V1238" s="14">
        <v>118210</v>
      </c>
      <c r="W1238" s="14">
        <v>121942</v>
      </c>
      <c r="X1238" s="14">
        <v>129551</v>
      </c>
      <c r="Y1238" s="14">
        <v>136148</v>
      </c>
      <c r="Z1238" s="14">
        <v>136257</v>
      </c>
      <c r="AA1238" s="14"/>
      <c r="AB1238" s="14"/>
    </row>
    <row r="1239" spans="1:30">
      <c r="A1239" s="45" t="s">
        <v>231</v>
      </c>
      <c r="B1239" s="45" t="s">
        <v>232</v>
      </c>
      <c r="C1239" s="45" t="s">
        <v>490</v>
      </c>
      <c r="D1239" s="45" t="s">
        <v>495</v>
      </c>
      <c r="E1239" s="45" t="s">
        <v>492</v>
      </c>
      <c r="F1239" s="45" t="s">
        <v>493</v>
      </c>
      <c r="G1239" s="14">
        <v>1592</v>
      </c>
      <c r="H1239" s="14">
        <v>1068</v>
      </c>
      <c r="I1239" s="14">
        <v>1424</v>
      </c>
      <c r="J1239" s="14">
        <v>1635</v>
      </c>
      <c r="K1239" s="14">
        <v>1882</v>
      </c>
      <c r="L1239" s="14">
        <v>2543</v>
      </c>
      <c r="M1239" s="14">
        <v>2175</v>
      </c>
      <c r="N1239" s="14">
        <v>2796</v>
      </c>
      <c r="O1239" s="14">
        <v>4581</v>
      </c>
      <c r="P1239" s="14">
        <v>2799</v>
      </c>
      <c r="Q1239" s="14">
        <v>3185</v>
      </c>
      <c r="R1239" s="14">
        <v>4629</v>
      </c>
      <c r="S1239" s="14">
        <v>22617</v>
      </c>
      <c r="T1239" s="14">
        <v>11302</v>
      </c>
      <c r="U1239" s="14">
        <v>5578</v>
      </c>
      <c r="V1239" s="14">
        <v>4728</v>
      </c>
      <c r="W1239" s="14">
        <v>5832</v>
      </c>
      <c r="X1239" s="14">
        <v>4709</v>
      </c>
      <c r="Y1239" s="14">
        <v>4950</v>
      </c>
      <c r="Z1239" s="14">
        <v>5192</v>
      </c>
      <c r="AA1239" s="14"/>
      <c r="AB1239" s="14"/>
    </row>
    <row r="1240" spans="1:30">
      <c r="A1240" s="45" t="s">
        <v>231</v>
      </c>
      <c r="B1240" s="45" t="s">
        <v>232</v>
      </c>
      <c r="C1240" s="45" t="s">
        <v>490</v>
      </c>
      <c r="D1240" s="45" t="s">
        <v>496</v>
      </c>
      <c r="E1240" s="45" t="s">
        <v>492</v>
      </c>
      <c r="F1240" s="45" t="s">
        <v>493</v>
      </c>
      <c r="G1240" s="14">
        <v>9277</v>
      </c>
      <c r="H1240" s="14">
        <v>12207</v>
      </c>
      <c r="I1240" s="14">
        <v>13269</v>
      </c>
      <c r="J1240" s="14">
        <v>17124</v>
      </c>
      <c r="K1240" s="14">
        <v>23141</v>
      </c>
      <c r="L1240" s="14">
        <v>23402</v>
      </c>
      <c r="M1240" s="14">
        <v>20489</v>
      </c>
      <c r="N1240" s="14">
        <v>26387</v>
      </c>
      <c r="O1240" s="14">
        <v>88303</v>
      </c>
      <c r="P1240" s="14">
        <v>36718</v>
      </c>
      <c r="Q1240" s="14">
        <v>33245</v>
      </c>
      <c r="R1240" s="14">
        <v>23824</v>
      </c>
      <c r="S1240" s="14">
        <v>32131</v>
      </c>
      <c r="T1240" s="14">
        <v>29075</v>
      </c>
      <c r="U1240" s="14">
        <v>29750</v>
      </c>
      <c r="V1240" s="14">
        <v>32991</v>
      </c>
      <c r="W1240" s="14">
        <v>34863</v>
      </c>
      <c r="X1240" s="14">
        <v>37668</v>
      </c>
      <c r="Y1240" s="14">
        <v>42677</v>
      </c>
      <c r="Z1240" s="14">
        <v>40083</v>
      </c>
      <c r="AA1240" s="14"/>
      <c r="AB1240" s="14"/>
    </row>
    <row r="1241" spans="1:30">
      <c r="A1241" s="45" t="s">
        <v>231</v>
      </c>
      <c r="B1241" s="45" t="s">
        <v>232</v>
      </c>
      <c r="C1241" s="45" t="s">
        <v>490</v>
      </c>
      <c r="D1241" s="45" t="s">
        <v>497</v>
      </c>
      <c r="E1241" s="45" t="s">
        <v>492</v>
      </c>
      <c r="F1241" s="45" t="s">
        <v>493</v>
      </c>
      <c r="G1241" s="14">
        <v>16755</v>
      </c>
      <c r="H1241" s="14">
        <v>18940</v>
      </c>
      <c r="I1241" s="14">
        <v>20348</v>
      </c>
      <c r="J1241" s="14">
        <v>23941</v>
      </c>
      <c r="K1241" s="14">
        <v>27349</v>
      </c>
      <c r="L1241" s="14">
        <v>28796</v>
      </c>
      <c r="M1241" s="14">
        <v>32185</v>
      </c>
      <c r="N1241" s="14">
        <v>35036</v>
      </c>
      <c r="O1241" s="14">
        <v>36208</v>
      </c>
      <c r="P1241" s="14">
        <v>40821</v>
      </c>
      <c r="Q1241" s="14">
        <v>45934</v>
      </c>
      <c r="R1241" s="14">
        <v>53773</v>
      </c>
      <c r="S1241" s="14">
        <v>56841</v>
      </c>
      <c r="T1241" s="14">
        <v>60985</v>
      </c>
      <c r="U1241" s="14">
        <v>62617</v>
      </c>
      <c r="V1241" s="14">
        <v>67701</v>
      </c>
      <c r="W1241" s="14">
        <v>67787</v>
      </c>
      <c r="X1241" s="14">
        <v>72307</v>
      </c>
      <c r="Y1241" s="14">
        <v>71785</v>
      </c>
      <c r="Z1241" s="14">
        <v>75868</v>
      </c>
      <c r="AA1241" s="14"/>
      <c r="AB1241" s="14"/>
    </row>
    <row r="1242" spans="1:30">
      <c r="A1242" s="45" t="s">
        <v>231</v>
      </c>
      <c r="B1242" s="45" t="s">
        <v>232</v>
      </c>
      <c r="C1242" s="45" t="s">
        <v>498</v>
      </c>
      <c r="D1242" s="45" t="s">
        <v>491</v>
      </c>
      <c r="E1242" s="45" t="s">
        <v>499</v>
      </c>
      <c r="F1242" s="45" t="s">
        <v>500</v>
      </c>
      <c r="G1242" s="14">
        <v>61266.9</v>
      </c>
      <c r="H1242" s="14">
        <v>64885.3</v>
      </c>
      <c r="I1242" s="14">
        <v>67622.100000000006</v>
      </c>
      <c r="J1242" s="14">
        <v>73489.7</v>
      </c>
      <c r="K1242" s="14">
        <v>84853.7</v>
      </c>
      <c r="L1242" s="14">
        <v>81894.8</v>
      </c>
      <c r="M1242" s="14">
        <v>75540.5</v>
      </c>
      <c r="N1242" s="14">
        <v>82128.5</v>
      </c>
      <c r="O1242" s="14">
        <v>151343</v>
      </c>
      <c r="P1242" s="14">
        <v>87691.3</v>
      </c>
      <c r="Q1242" s="14">
        <v>85756.800000000003</v>
      </c>
      <c r="R1242" s="14">
        <v>78900.100000000006</v>
      </c>
      <c r="S1242" s="14">
        <v>104468.8</v>
      </c>
      <c r="T1242" s="14">
        <v>82989.100000000006</v>
      </c>
      <c r="U1242" s="14">
        <v>71864.899999999994</v>
      </c>
      <c r="V1242" s="14">
        <v>76045.5</v>
      </c>
      <c r="W1242" s="14">
        <v>75985.600000000006</v>
      </c>
      <c r="X1242" s="14">
        <v>77269.899999999994</v>
      </c>
      <c r="Y1242" s="14">
        <v>76803.3</v>
      </c>
      <c r="Z1242" s="14">
        <v>68637.899999999994</v>
      </c>
      <c r="AA1242" s="14"/>
      <c r="AB1242" s="14"/>
      <c r="AC1242" s="15">
        <f>IFERROR(Z1242/G1242-1,"")</f>
        <v>0.12030966149748057</v>
      </c>
      <c r="AD1242" s="15">
        <f>IFERROR((Z1242/G1242)^(1/19)-1,"")</f>
        <v>5.9971285994229184E-3</v>
      </c>
    </row>
    <row r="1243" spans="1:30">
      <c r="A1243" s="45" t="s">
        <v>231</v>
      </c>
      <c r="B1243" s="45" t="s">
        <v>232</v>
      </c>
      <c r="C1243" s="45" t="s">
        <v>498</v>
      </c>
      <c r="D1243" s="45" t="s">
        <v>495</v>
      </c>
      <c r="E1243" s="45" t="s">
        <v>499</v>
      </c>
      <c r="F1243" s="45" t="s">
        <v>500</v>
      </c>
      <c r="G1243" s="14">
        <v>3023.6</v>
      </c>
      <c r="H1243" s="14">
        <v>1778.3</v>
      </c>
      <c r="I1243" s="14">
        <v>2201.3000000000002</v>
      </c>
      <c r="J1243" s="14">
        <v>2352.3000000000002</v>
      </c>
      <c r="K1243" s="14">
        <v>2535</v>
      </c>
      <c r="L1243" s="14">
        <v>3218.2</v>
      </c>
      <c r="M1243" s="14">
        <v>2530.9</v>
      </c>
      <c r="N1243" s="14">
        <v>3031.5</v>
      </c>
      <c r="O1243" s="14">
        <v>4581</v>
      </c>
      <c r="P1243" s="14">
        <v>2584</v>
      </c>
      <c r="Q1243" s="14">
        <v>2724</v>
      </c>
      <c r="R1243" s="14">
        <v>3682.7</v>
      </c>
      <c r="S1243" s="14">
        <v>16684.099999999999</v>
      </c>
      <c r="T1243" s="14">
        <v>7750.8</v>
      </c>
      <c r="U1243" s="14">
        <v>3538.6</v>
      </c>
      <c r="V1243" s="14">
        <v>2893.1</v>
      </c>
      <c r="W1243" s="14">
        <v>3415.2</v>
      </c>
      <c r="X1243" s="14">
        <v>2645.8</v>
      </c>
      <c r="Y1243" s="14">
        <v>2612.1999999999998</v>
      </c>
      <c r="Z1243" s="14">
        <v>2423.6999999999998</v>
      </c>
      <c r="AA1243" s="14"/>
      <c r="AB1243" s="14"/>
      <c r="AC1243" s="15">
        <f>IFERROR(Z1243/G1243-1,"")</f>
        <v>-0.19840587379282981</v>
      </c>
      <c r="AD1243" s="15">
        <f>IFERROR((Z1243/G1243)^(1/19)-1,"")</f>
        <v>-1.1572146692102159E-2</v>
      </c>
    </row>
    <row r="1244" spans="1:30">
      <c r="A1244" s="45" t="s">
        <v>231</v>
      </c>
      <c r="B1244" s="45" t="s">
        <v>232</v>
      </c>
      <c r="C1244" s="45" t="s">
        <v>498</v>
      </c>
      <c r="D1244" s="45" t="s">
        <v>496</v>
      </c>
      <c r="E1244" s="45" t="s">
        <v>499</v>
      </c>
      <c r="F1244" s="45" t="s">
        <v>500</v>
      </c>
      <c r="G1244" s="14">
        <v>17623.3</v>
      </c>
      <c r="H1244" s="14">
        <v>20326.099999999999</v>
      </c>
      <c r="I1244" s="14">
        <v>20505.599999999999</v>
      </c>
      <c r="J1244" s="14">
        <v>24631</v>
      </c>
      <c r="K1244" s="14">
        <v>31174.6</v>
      </c>
      <c r="L1244" s="14">
        <v>29619.200000000001</v>
      </c>
      <c r="M1244" s="14">
        <v>23839.4</v>
      </c>
      <c r="N1244" s="14">
        <v>28609.7</v>
      </c>
      <c r="O1244" s="14">
        <v>88303</v>
      </c>
      <c r="P1244" s="14">
        <v>33898.199999999997</v>
      </c>
      <c r="Q1244" s="14">
        <v>28433.4</v>
      </c>
      <c r="R1244" s="14">
        <v>18953.5</v>
      </c>
      <c r="S1244" s="14">
        <v>23702.400000000001</v>
      </c>
      <c r="T1244" s="14">
        <v>19939.400000000001</v>
      </c>
      <c r="U1244" s="14">
        <v>18872.900000000001</v>
      </c>
      <c r="V1244" s="14">
        <v>20187.8</v>
      </c>
      <c r="W1244" s="14">
        <v>20415.900000000001</v>
      </c>
      <c r="X1244" s="14">
        <v>21164.5</v>
      </c>
      <c r="Y1244" s="14">
        <v>22521.200000000001</v>
      </c>
      <c r="Z1244" s="14">
        <v>18711.5</v>
      </c>
      <c r="AA1244" s="14"/>
      <c r="AB1244" s="14"/>
      <c r="AC1244" s="15">
        <f>IFERROR(Z1244/G1244-1,"")</f>
        <v>6.1747799787780888E-2</v>
      </c>
      <c r="AD1244" s="15">
        <f>IFERROR((Z1244/G1244)^(1/19)-1,"")</f>
        <v>3.1584731803251387E-3</v>
      </c>
    </row>
    <row r="1245" spans="1:30">
      <c r="A1245" s="45" t="s">
        <v>231</v>
      </c>
      <c r="B1245" s="45" t="s">
        <v>232</v>
      </c>
      <c r="C1245" s="45" t="s">
        <v>498</v>
      </c>
      <c r="D1245" s="45" t="s">
        <v>497</v>
      </c>
      <c r="E1245" s="45" t="s">
        <v>499</v>
      </c>
      <c r="F1245" s="45" t="s">
        <v>500</v>
      </c>
      <c r="G1245" s="14">
        <v>31830.2</v>
      </c>
      <c r="H1245" s="14">
        <v>31537.8</v>
      </c>
      <c r="I1245" s="14">
        <v>31444.400000000001</v>
      </c>
      <c r="J1245" s="14">
        <v>34436.9</v>
      </c>
      <c r="K1245" s="14">
        <v>36843.5</v>
      </c>
      <c r="L1245" s="14">
        <v>36445.699999999997</v>
      </c>
      <c r="M1245" s="14">
        <v>37447.699999999997</v>
      </c>
      <c r="N1245" s="14">
        <v>37987.199999999997</v>
      </c>
      <c r="O1245" s="14">
        <v>36208</v>
      </c>
      <c r="P1245" s="14">
        <v>37686.1</v>
      </c>
      <c r="Q1245" s="14">
        <v>39285.9</v>
      </c>
      <c r="R1245" s="14">
        <v>42779.9</v>
      </c>
      <c r="S1245" s="14">
        <v>41930.5</v>
      </c>
      <c r="T1245" s="14">
        <v>41823</v>
      </c>
      <c r="U1245" s="14">
        <v>39723.199999999997</v>
      </c>
      <c r="V1245" s="14">
        <v>41427.5</v>
      </c>
      <c r="W1245" s="14">
        <v>39696.300000000003</v>
      </c>
      <c r="X1245" s="14">
        <v>40627.1</v>
      </c>
      <c r="Y1245" s="14">
        <v>37881.9</v>
      </c>
      <c r="Z1245" s="14">
        <v>35416.699999999997</v>
      </c>
      <c r="AA1245" s="14"/>
      <c r="AB1245" s="14"/>
      <c r="AC1245" s="15">
        <f>IFERROR(Z1245/G1245-1,"")</f>
        <v>0.1126760120891479</v>
      </c>
      <c r="AD1245" s="15">
        <f>IFERROR((Z1245/G1245)^(1/19)-1,"")</f>
        <v>5.6351832819350189E-3</v>
      </c>
    </row>
    <row r="1246" spans="1:30">
      <c r="A1246" s="45" t="s">
        <v>231</v>
      </c>
      <c r="B1246" s="45" t="s">
        <v>232</v>
      </c>
      <c r="C1246" s="45" t="s">
        <v>498</v>
      </c>
      <c r="D1246" s="45" t="s">
        <v>501</v>
      </c>
      <c r="E1246" s="45" t="s">
        <v>499</v>
      </c>
      <c r="F1246" s="45" t="s">
        <v>500</v>
      </c>
      <c r="G1246" s="14">
        <v>4717.1000000000004</v>
      </c>
      <c r="H1246" s="14">
        <v>6669</v>
      </c>
      <c r="I1246" s="14">
        <v>8914.2000000000007</v>
      </c>
      <c r="J1246" s="14">
        <v>6656.4</v>
      </c>
      <c r="K1246" s="14">
        <v>7054.8</v>
      </c>
      <c r="L1246" s="14">
        <v>5740.4</v>
      </c>
      <c r="M1246" s="14">
        <v>6024.9</v>
      </c>
      <c r="N1246" s="14">
        <v>6722.2</v>
      </c>
      <c r="O1246" s="14">
        <v>5075</v>
      </c>
      <c r="P1246" s="14">
        <v>5859.6</v>
      </c>
      <c r="Q1246" s="14">
        <v>4855.3999999999996</v>
      </c>
      <c r="R1246" s="14">
        <v>5482.2</v>
      </c>
      <c r="S1246" s="14">
        <v>5734.7</v>
      </c>
      <c r="T1246" s="14">
        <v>5871.8</v>
      </c>
      <c r="U1246" s="14">
        <v>5774.2</v>
      </c>
      <c r="V1246" s="14">
        <v>7826.4</v>
      </c>
      <c r="W1246" s="14">
        <v>7882.8</v>
      </c>
      <c r="X1246" s="14">
        <v>8352.7000000000007</v>
      </c>
      <c r="Y1246" s="14">
        <v>8831.7999999999993</v>
      </c>
      <c r="Z1246" s="14">
        <v>7055.3</v>
      </c>
      <c r="AA1246" s="14"/>
      <c r="AB1246" s="14"/>
      <c r="AC1246" s="15">
        <f>IFERROR(Z1246/G1246-1,"")</f>
        <v>0.49568590871510021</v>
      </c>
      <c r="AD1246" s="15">
        <f>IFERROR((Z1246/G1246)^(1/19)-1,"")</f>
        <v>2.1414753103031758E-2</v>
      </c>
    </row>
    <row r="1247" spans="1:30">
      <c r="A1247" s="45" t="s">
        <v>417</v>
      </c>
      <c r="B1247" s="45" t="s">
        <v>418</v>
      </c>
      <c r="C1247" s="45" t="s">
        <v>490</v>
      </c>
      <c r="D1247" s="45" t="s">
        <v>491</v>
      </c>
      <c r="E1247" s="45" t="s">
        <v>492</v>
      </c>
      <c r="F1247" s="45" t="s">
        <v>493</v>
      </c>
      <c r="G1247" s="14">
        <v>6373</v>
      </c>
      <c r="H1247" s="14">
        <v>6730</v>
      </c>
      <c r="I1247" s="14">
        <v>7384</v>
      </c>
      <c r="J1247" s="14">
        <v>8903</v>
      </c>
      <c r="K1247" s="14">
        <v>9720</v>
      </c>
      <c r="L1247" s="14">
        <v>12151</v>
      </c>
      <c r="M1247" s="14">
        <v>13760</v>
      </c>
      <c r="N1247" s="14">
        <v>15746</v>
      </c>
      <c r="O1247" s="14">
        <v>18570</v>
      </c>
      <c r="P1247" s="14">
        <v>22736</v>
      </c>
      <c r="Q1247" s="14">
        <v>29515</v>
      </c>
      <c r="R1247" s="14">
        <v>30715</v>
      </c>
      <c r="S1247" s="14">
        <v>31735</v>
      </c>
      <c r="T1247" s="14">
        <v>33381</v>
      </c>
      <c r="U1247" s="14">
        <v>37369</v>
      </c>
      <c r="V1247" s="14">
        <v>38557</v>
      </c>
      <c r="W1247" s="14">
        <v>38289</v>
      </c>
      <c r="X1247" s="14">
        <v>37313</v>
      </c>
      <c r="Y1247" s="14">
        <v>35073</v>
      </c>
      <c r="Z1247" s="14">
        <v>36353</v>
      </c>
      <c r="AA1247" s="14">
        <v>44373</v>
      </c>
      <c r="AB1247" s="14">
        <v>51449</v>
      </c>
    </row>
    <row r="1248" spans="1:30">
      <c r="A1248" s="45" t="s">
        <v>417</v>
      </c>
      <c r="B1248" s="45" t="s">
        <v>418</v>
      </c>
      <c r="C1248" s="45" t="s">
        <v>490</v>
      </c>
      <c r="D1248" s="45" t="s">
        <v>494</v>
      </c>
      <c r="E1248" s="45" t="s">
        <v>492</v>
      </c>
      <c r="F1248" s="45" t="s">
        <v>493</v>
      </c>
      <c r="G1248" s="14">
        <v>6111</v>
      </c>
      <c r="H1248" s="14">
        <v>6491</v>
      </c>
      <c r="I1248" s="14">
        <v>7061</v>
      </c>
      <c r="J1248" s="14">
        <v>8526</v>
      </c>
      <c r="K1248" s="14">
        <v>9090</v>
      </c>
      <c r="L1248" s="14">
        <v>11307</v>
      </c>
      <c r="M1248" s="14">
        <v>12783</v>
      </c>
      <c r="N1248" s="14">
        <v>14654</v>
      </c>
      <c r="O1248" s="14">
        <v>16642</v>
      </c>
      <c r="P1248" s="14">
        <v>20468</v>
      </c>
      <c r="Q1248" s="14">
        <v>26661</v>
      </c>
      <c r="R1248" s="14">
        <v>27822</v>
      </c>
      <c r="S1248" s="14">
        <v>28749</v>
      </c>
      <c r="T1248" s="14">
        <v>30236</v>
      </c>
      <c r="U1248" s="14">
        <v>35088</v>
      </c>
      <c r="V1248" s="14">
        <v>36202</v>
      </c>
      <c r="W1248" s="14">
        <v>35837</v>
      </c>
      <c r="X1248" s="14">
        <v>35226</v>
      </c>
      <c r="Y1248" s="14">
        <v>33303</v>
      </c>
      <c r="Z1248" s="14">
        <v>34553</v>
      </c>
      <c r="AA1248" s="14"/>
      <c r="AB1248" s="14"/>
    </row>
    <row r="1249" spans="1:30">
      <c r="A1249" s="45" t="s">
        <v>417</v>
      </c>
      <c r="B1249" s="45" t="s">
        <v>418</v>
      </c>
      <c r="C1249" s="45" t="s">
        <v>490</v>
      </c>
      <c r="D1249" s="45" t="s">
        <v>495</v>
      </c>
      <c r="E1249" s="45" t="s">
        <v>492</v>
      </c>
      <c r="F1249" s="45" t="s">
        <v>493</v>
      </c>
      <c r="G1249" s="14">
        <v>611</v>
      </c>
      <c r="H1249" s="14">
        <v>465</v>
      </c>
      <c r="I1249" s="14">
        <v>628</v>
      </c>
      <c r="J1249" s="14">
        <v>633</v>
      </c>
      <c r="K1249" s="14">
        <v>741</v>
      </c>
      <c r="L1249" s="14">
        <v>989</v>
      </c>
      <c r="M1249" s="14">
        <v>937</v>
      </c>
      <c r="N1249" s="14">
        <v>1169</v>
      </c>
      <c r="O1249" s="14">
        <v>1871</v>
      </c>
      <c r="P1249" s="14">
        <v>3322</v>
      </c>
      <c r="Q1249" s="14">
        <v>7934</v>
      </c>
      <c r="R1249" s="14">
        <v>6723</v>
      </c>
      <c r="S1249" s="14">
        <v>6833</v>
      </c>
      <c r="T1249" s="14">
        <v>5402</v>
      </c>
      <c r="U1249" s="14">
        <v>8500</v>
      </c>
      <c r="V1249" s="14">
        <v>9782</v>
      </c>
      <c r="W1249" s="14">
        <v>7441</v>
      </c>
      <c r="X1249" s="14">
        <v>5559</v>
      </c>
      <c r="Y1249" s="14">
        <v>3940</v>
      </c>
      <c r="Z1249" s="14">
        <v>3284</v>
      </c>
      <c r="AA1249" s="14"/>
      <c r="AB1249" s="14"/>
    </row>
    <row r="1250" spans="1:30">
      <c r="A1250" s="45" t="s">
        <v>417</v>
      </c>
      <c r="B1250" s="45" t="s">
        <v>418</v>
      </c>
      <c r="C1250" s="45" t="s">
        <v>490</v>
      </c>
      <c r="D1250" s="45" t="s">
        <v>496</v>
      </c>
      <c r="E1250" s="45" t="s">
        <v>492</v>
      </c>
      <c r="F1250" s="45" t="s">
        <v>493</v>
      </c>
      <c r="G1250" s="14">
        <v>1101</v>
      </c>
      <c r="H1250" s="14">
        <v>1157</v>
      </c>
      <c r="I1250" s="14">
        <v>1322</v>
      </c>
      <c r="J1250" s="14">
        <v>1525</v>
      </c>
      <c r="K1250" s="14">
        <v>1572</v>
      </c>
      <c r="L1250" s="14">
        <v>1882</v>
      </c>
      <c r="M1250" s="14">
        <v>1844</v>
      </c>
      <c r="N1250" s="14">
        <v>2146</v>
      </c>
      <c r="O1250" s="14">
        <v>2604</v>
      </c>
      <c r="P1250" s="14">
        <v>3409</v>
      </c>
      <c r="Q1250" s="14">
        <v>4509</v>
      </c>
      <c r="R1250" s="14">
        <v>4903</v>
      </c>
      <c r="S1250" s="14">
        <v>4641</v>
      </c>
      <c r="T1250" s="14">
        <v>5674</v>
      </c>
      <c r="U1250" s="14">
        <v>6836</v>
      </c>
      <c r="V1250" s="14">
        <v>6816</v>
      </c>
      <c r="W1250" s="14">
        <v>7813</v>
      </c>
      <c r="X1250" s="14">
        <v>8421</v>
      </c>
      <c r="Y1250" s="14">
        <v>8120</v>
      </c>
      <c r="Z1250" s="14">
        <v>7772</v>
      </c>
      <c r="AA1250" s="14"/>
      <c r="AB1250" s="14"/>
    </row>
    <row r="1251" spans="1:30">
      <c r="A1251" s="45" t="s">
        <v>417</v>
      </c>
      <c r="B1251" s="45" t="s">
        <v>418</v>
      </c>
      <c r="C1251" s="45" t="s">
        <v>490</v>
      </c>
      <c r="D1251" s="45" t="s">
        <v>497</v>
      </c>
      <c r="E1251" s="45" t="s">
        <v>492</v>
      </c>
      <c r="F1251" s="45" t="s">
        <v>493</v>
      </c>
      <c r="G1251" s="14">
        <v>3577</v>
      </c>
      <c r="H1251" s="14">
        <v>3843</v>
      </c>
      <c r="I1251" s="14">
        <v>3997</v>
      </c>
      <c r="J1251" s="14">
        <v>4993</v>
      </c>
      <c r="K1251" s="14">
        <v>5194</v>
      </c>
      <c r="L1251" s="14">
        <v>7123</v>
      </c>
      <c r="M1251" s="14">
        <v>7994</v>
      </c>
      <c r="N1251" s="14">
        <v>8719</v>
      </c>
      <c r="O1251" s="14">
        <v>9116</v>
      </c>
      <c r="P1251" s="14">
        <v>10216</v>
      </c>
      <c r="Q1251" s="14">
        <v>11179</v>
      </c>
      <c r="R1251" s="14">
        <v>12871</v>
      </c>
      <c r="S1251" s="14">
        <v>13808</v>
      </c>
      <c r="T1251" s="14">
        <v>15152</v>
      </c>
      <c r="U1251" s="14">
        <v>15845</v>
      </c>
      <c r="V1251" s="14">
        <v>15614</v>
      </c>
      <c r="W1251" s="14">
        <v>16486</v>
      </c>
      <c r="X1251" s="14">
        <v>18788</v>
      </c>
      <c r="Y1251" s="14">
        <v>18854</v>
      </c>
      <c r="Z1251" s="14">
        <v>20660</v>
      </c>
      <c r="AA1251" s="14"/>
      <c r="AB1251" s="14"/>
    </row>
    <row r="1252" spans="1:30">
      <c r="A1252" s="45" t="s">
        <v>417</v>
      </c>
      <c r="B1252" s="45" t="s">
        <v>418</v>
      </c>
      <c r="C1252" s="45" t="s">
        <v>498</v>
      </c>
      <c r="D1252" s="45" t="s">
        <v>491</v>
      </c>
      <c r="E1252" s="45" t="s">
        <v>499</v>
      </c>
      <c r="F1252" s="45" t="s">
        <v>500</v>
      </c>
      <c r="G1252" s="14">
        <v>12106.3</v>
      </c>
      <c r="H1252" s="14">
        <v>11205.6</v>
      </c>
      <c r="I1252" s="14">
        <v>11410.3</v>
      </c>
      <c r="J1252" s="14">
        <v>12806</v>
      </c>
      <c r="K1252" s="14">
        <v>13095.1</v>
      </c>
      <c r="L1252" s="14">
        <v>15378.8</v>
      </c>
      <c r="M1252" s="14">
        <v>16010.3</v>
      </c>
      <c r="N1252" s="14">
        <v>17072.3</v>
      </c>
      <c r="O1252" s="14">
        <v>18570</v>
      </c>
      <c r="P1252" s="14">
        <v>20989.9</v>
      </c>
      <c r="Q1252" s="14">
        <v>25243.200000000001</v>
      </c>
      <c r="R1252" s="14">
        <v>24435.7</v>
      </c>
      <c r="S1252" s="14">
        <v>23410.3</v>
      </c>
      <c r="T1252" s="14">
        <v>22892.400000000001</v>
      </c>
      <c r="U1252" s="14">
        <v>23706.3</v>
      </c>
      <c r="V1252" s="14">
        <v>23593.7</v>
      </c>
      <c r="W1252" s="14">
        <v>22422.2</v>
      </c>
      <c r="X1252" s="14">
        <v>20965</v>
      </c>
      <c r="Y1252" s="14">
        <v>18508.5</v>
      </c>
      <c r="Z1252" s="14">
        <v>16969.8</v>
      </c>
      <c r="AA1252" s="14"/>
      <c r="AB1252" s="14"/>
      <c r="AC1252" s="15">
        <f>IFERROR(Z1252/G1252-1,"")</f>
        <v>0.40173298200110685</v>
      </c>
      <c r="AD1252" s="15">
        <f>IFERROR((Z1252/G1252)^(1/19)-1,"")</f>
        <v>1.7933075181508107E-2</v>
      </c>
    </row>
    <row r="1253" spans="1:30">
      <c r="A1253" s="45" t="s">
        <v>417</v>
      </c>
      <c r="B1253" s="45" t="s">
        <v>418</v>
      </c>
      <c r="C1253" s="45" t="s">
        <v>498</v>
      </c>
      <c r="D1253" s="45" t="s">
        <v>495</v>
      </c>
      <c r="E1253" s="45" t="s">
        <v>499</v>
      </c>
      <c r="F1253" s="45" t="s">
        <v>500</v>
      </c>
      <c r="G1253" s="14">
        <v>1160.2</v>
      </c>
      <c r="H1253" s="14">
        <v>773.7</v>
      </c>
      <c r="I1253" s="14">
        <v>970.2</v>
      </c>
      <c r="J1253" s="14">
        <v>910.7</v>
      </c>
      <c r="K1253" s="14">
        <v>997.7</v>
      </c>
      <c r="L1253" s="14">
        <v>1251.4000000000001</v>
      </c>
      <c r="M1253" s="14">
        <v>1090.2</v>
      </c>
      <c r="N1253" s="14">
        <v>1267.5</v>
      </c>
      <c r="O1253" s="14">
        <v>1871</v>
      </c>
      <c r="P1253" s="14">
        <v>3066.9</v>
      </c>
      <c r="Q1253" s="14">
        <v>6785.7</v>
      </c>
      <c r="R1253" s="14">
        <v>5348.6</v>
      </c>
      <c r="S1253" s="14">
        <v>5040.6000000000004</v>
      </c>
      <c r="T1253" s="14">
        <v>3704.6</v>
      </c>
      <c r="U1253" s="14">
        <v>5392.3</v>
      </c>
      <c r="V1253" s="14">
        <v>5985.8</v>
      </c>
      <c r="W1253" s="14">
        <v>4357.5</v>
      </c>
      <c r="X1253" s="14">
        <v>3123.4</v>
      </c>
      <c r="Y1253" s="14">
        <v>2079.1999999999998</v>
      </c>
      <c r="Z1253" s="14">
        <v>1533</v>
      </c>
      <c r="AA1253" s="14"/>
      <c r="AB1253" s="14"/>
      <c r="AC1253" s="15">
        <f>IFERROR(Z1253/G1253-1,"")</f>
        <v>0.32132390967074631</v>
      </c>
      <c r="AD1253" s="15">
        <f>IFERROR((Z1253/G1253)^(1/19)-1,"")</f>
        <v>1.477301574376888E-2</v>
      </c>
    </row>
    <row r="1254" spans="1:30">
      <c r="A1254" s="45" t="s">
        <v>417</v>
      </c>
      <c r="B1254" s="45" t="s">
        <v>418</v>
      </c>
      <c r="C1254" s="45" t="s">
        <v>498</v>
      </c>
      <c r="D1254" s="45" t="s">
        <v>496</v>
      </c>
      <c r="E1254" s="45" t="s">
        <v>499</v>
      </c>
      <c r="F1254" s="45" t="s">
        <v>500</v>
      </c>
      <c r="G1254" s="14">
        <v>2092.4</v>
      </c>
      <c r="H1254" s="14">
        <v>1925.9</v>
      </c>
      <c r="I1254" s="14">
        <v>2042.2</v>
      </c>
      <c r="J1254" s="14">
        <v>2194</v>
      </c>
      <c r="K1254" s="14">
        <v>2117.4</v>
      </c>
      <c r="L1254" s="14">
        <v>2382.5</v>
      </c>
      <c r="M1254" s="14">
        <v>2145</v>
      </c>
      <c r="N1254" s="14">
        <v>2326.8000000000002</v>
      </c>
      <c r="O1254" s="14">
        <v>2604</v>
      </c>
      <c r="P1254" s="14">
        <v>3147.2</v>
      </c>
      <c r="Q1254" s="14">
        <v>3856.4</v>
      </c>
      <c r="R1254" s="14">
        <v>3900.7</v>
      </c>
      <c r="S1254" s="14">
        <v>3423.6</v>
      </c>
      <c r="T1254" s="14">
        <v>3891.2</v>
      </c>
      <c r="U1254" s="14">
        <v>4336.6000000000004</v>
      </c>
      <c r="V1254" s="14">
        <v>4170.8</v>
      </c>
      <c r="W1254" s="14">
        <v>4575.3</v>
      </c>
      <c r="X1254" s="14">
        <v>4731.5</v>
      </c>
      <c r="Y1254" s="14">
        <v>4285</v>
      </c>
      <c r="Z1254" s="14">
        <v>3628.5</v>
      </c>
      <c r="AA1254" s="14"/>
      <c r="AB1254" s="14"/>
      <c r="AC1254" s="15">
        <f>IFERROR(Z1254/G1254-1,"")</f>
        <v>0.73413305295354614</v>
      </c>
      <c r="AD1254" s="15">
        <f>IFERROR((Z1254/G1254)^(1/19)-1,"")</f>
        <v>2.939791686101878E-2</v>
      </c>
    </row>
    <row r="1255" spans="1:30">
      <c r="A1255" s="45" t="s">
        <v>417</v>
      </c>
      <c r="B1255" s="45" t="s">
        <v>418</v>
      </c>
      <c r="C1255" s="45" t="s">
        <v>498</v>
      </c>
      <c r="D1255" s="45" t="s">
        <v>497</v>
      </c>
      <c r="E1255" s="45" t="s">
        <v>499</v>
      </c>
      <c r="F1255" s="45" t="s">
        <v>500</v>
      </c>
      <c r="G1255" s="14">
        <v>6794.7</v>
      </c>
      <c r="H1255" s="14">
        <v>6399.4</v>
      </c>
      <c r="I1255" s="14">
        <v>6176.1</v>
      </c>
      <c r="J1255" s="14">
        <v>7182.6</v>
      </c>
      <c r="K1255" s="14">
        <v>6996.6</v>
      </c>
      <c r="L1255" s="14">
        <v>9015.5</v>
      </c>
      <c r="M1255" s="14">
        <v>9301.5</v>
      </c>
      <c r="N1255" s="14">
        <v>9453.4</v>
      </c>
      <c r="O1255" s="14">
        <v>9116</v>
      </c>
      <c r="P1255" s="14">
        <v>9431.4</v>
      </c>
      <c r="Q1255" s="14">
        <v>9561</v>
      </c>
      <c r="R1255" s="14">
        <v>10239.700000000001</v>
      </c>
      <c r="S1255" s="14">
        <v>10185.9</v>
      </c>
      <c r="T1255" s="14">
        <v>10391.1</v>
      </c>
      <c r="U1255" s="14">
        <v>10051.799999999999</v>
      </c>
      <c r="V1255" s="14">
        <v>9554.5</v>
      </c>
      <c r="W1255" s="14">
        <v>9654.2999999999993</v>
      </c>
      <c r="X1255" s="14">
        <v>10556.4</v>
      </c>
      <c r="Y1255" s="14">
        <v>9949.5</v>
      </c>
      <c r="Z1255" s="14">
        <v>9644.7000000000007</v>
      </c>
      <c r="AA1255" s="14"/>
      <c r="AB1255" s="14"/>
      <c r="AC1255" s="15">
        <f>IFERROR(Z1255/G1255-1,"")</f>
        <v>0.41944456708905475</v>
      </c>
      <c r="AD1255" s="15">
        <f>IFERROR((Z1255/G1255)^(1/19)-1,"")</f>
        <v>1.8606008216836001E-2</v>
      </c>
    </row>
    <row r="1256" spans="1:30">
      <c r="A1256" s="45" t="s">
        <v>417</v>
      </c>
      <c r="B1256" s="45" t="s">
        <v>418</v>
      </c>
      <c r="C1256" s="45" t="s">
        <v>498</v>
      </c>
      <c r="D1256" s="45" t="s">
        <v>501</v>
      </c>
      <c r="E1256" s="45" t="s">
        <v>499</v>
      </c>
      <c r="F1256" s="45" t="s">
        <v>500</v>
      </c>
      <c r="G1256" s="14">
        <v>1562.8</v>
      </c>
      <c r="H1256" s="14">
        <v>1709</v>
      </c>
      <c r="I1256" s="14">
        <v>1722.2</v>
      </c>
      <c r="J1256" s="14">
        <v>1976.3</v>
      </c>
      <c r="K1256" s="14">
        <v>2134.1999999999998</v>
      </c>
      <c r="L1256" s="14">
        <v>1661.7</v>
      </c>
      <c r="M1256" s="14">
        <v>2337.1</v>
      </c>
      <c r="N1256" s="14">
        <v>2840.7</v>
      </c>
      <c r="O1256" s="14">
        <v>3051</v>
      </c>
      <c r="P1256" s="14">
        <v>3249.7</v>
      </c>
      <c r="Q1256" s="14">
        <v>2599.1999999999998</v>
      </c>
      <c r="R1256" s="14">
        <v>2645.3</v>
      </c>
      <c r="S1256" s="14">
        <v>2558.3000000000002</v>
      </c>
      <c r="T1256" s="14">
        <v>2748</v>
      </c>
      <c r="U1256" s="14">
        <v>2478.5</v>
      </c>
      <c r="V1256" s="14">
        <v>2442.1999999999998</v>
      </c>
      <c r="W1256" s="14">
        <v>2399.1999999999998</v>
      </c>
      <c r="X1256" s="14">
        <v>1381.1</v>
      </c>
      <c r="Y1256" s="14">
        <v>1260.7</v>
      </c>
      <c r="Z1256" s="14">
        <v>1323.9</v>
      </c>
      <c r="AA1256" s="14"/>
      <c r="AB1256" s="14"/>
      <c r="AC1256" s="15">
        <f>IFERROR(Z1256/G1256-1,"")</f>
        <v>-0.15286664960327612</v>
      </c>
      <c r="AD1256" s="15">
        <f>IFERROR((Z1256/G1256)^(1/19)-1,"")</f>
        <v>-8.6934211538877149E-3</v>
      </c>
    </row>
    <row r="1257" spans="1:30">
      <c r="A1257" s="45" t="s">
        <v>177</v>
      </c>
      <c r="B1257" s="45" t="s">
        <v>178</v>
      </c>
      <c r="C1257" s="45" t="s">
        <v>490</v>
      </c>
      <c r="D1257" s="45" t="s">
        <v>491</v>
      </c>
      <c r="E1257" s="45" t="s">
        <v>492</v>
      </c>
      <c r="F1257" s="45" t="s">
        <v>493</v>
      </c>
      <c r="G1257" s="14">
        <v>46143</v>
      </c>
      <c r="H1257" s="14">
        <v>45458</v>
      </c>
      <c r="I1257" s="14">
        <v>50999</v>
      </c>
      <c r="J1257" s="14">
        <v>58388</v>
      </c>
      <c r="K1257" s="14">
        <v>67481</v>
      </c>
      <c r="L1257" s="14">
        <v>80711</v>
      </c>
      <c r="M1257" s="14">
        <v>88051</v>
      </c>
      <c r="N1257" s="14">
        <v>98743</v>
      </c>
      <c r="O1257" s="14">
        <v>107847</v>
      </c>
      <c r="P1257" s="14">
        <v>127374</v>
      </c>
      <c r="Q1257" s="14">
        <v>139731</v>
      </c>
      <c r="R1257" s="14">
        <v>162643</v>
      </c>
      <c r="S1257" s="14">
        <v>169983</v>
      </c>
      <c r="T1257" s="14">
        <v>191327</v>
      </c>
      <c r="U1257" s="14">
        <v>209087</v>
      </c>
      <c r="V1257" s="14">
        <v>216175</v>
      </c>
      <c r="W1257" s="14">
        <v>250621</v>
      </c>
      <c r="X1257" s="14">
        <v>271645</v>
      </c>
      <c r="Y1257" s="14">
        <v>293342</v>
      </c>
      <c r="Z1257" s="14">
        <v>302533</v>
      </c>
      <c r="AA1257" s="14">
        <v>328015</v>
      </c>
      <c r="AB1257" s="14">
        <v>339515</v>
      </c>
    </row>
    <row r="1258" spans="1:30">
      <c r="A1258" s="45" t="s">
        <v>177</v>
      </c>
      <c r="B1258" s="45" t="s">
        <v>178</v>
      </c>
      <c r="C1258" s="45" t="s">
        <v>490</v>
      </c>
      <c r="D1258" s="45" t="s">
        <v>494</v>
      </c>
      <c r="E1258" s="45" t="s">
        <v>492</v>
      </c>
      <c r="F1258" s="45" t="s">
        <v>493</v>
      </c>
      <c r="G1258" s="14">
        <v>43970</v>
      </c>
      <c r="H1258" s="14">
        <v>43165</v>
      </c>
      <c r="I1258" s="14">
        <v>48170</v>
      </c>
      <c r="J1258" s="14">
        <v>55203</v>
      </c>
      <c r="K1258" s="14">
        <v>63521</v>
      </c>
      <c r="L1258" s="14">
        <v>76475</v>
      </c>
      <c r="M1258" s="14">
        <v>83207</v>
      </c>
      <c r="N1258" s="14">
        <v>92875</v>
      </c>
      <c r="O1258" s="14">
        <v>101068</v>
      </c>
      <c r="P1258" s="14">
        <v>118739</v>
      </c>
      <c r="Q1258" s="14">
        <v>129776</v>
      </c>
      <c r="R1258" s="14">
        <v>150963</v>
      </c>
      <c r="S1258" s="14">
        <v>158138</v>
      </c>
      <c r="T1258" s="14">
        <v>178240</v>
      </c>
      <c r="U1258" s="14">
        <v>197090</v>
      </c>
      <c r="V1258" s="14">
        <v>206176</v>
      </c>
      <c r="W1258" s="14">
        <v>232243</v>
      </c>
      <c r="X1258" s="14">
        <v>252627</v>
      </c>
      <c r="Y1258" s="14">
        <v>270524</v>
      </c>
      <c r="Z1258" s="14">
        <v>276421</v>
      </c>
      <c r="AA1258" s="14"/>
      <c r="AB1258" s="14"/>
    </row>
    <row r="1259" spans="1:30">
      <c r="A1259" s="45" t="s">
        <v>177</v>
      </c>
      <c r="B1259" s="45" t="s">
        <v>178</v>
      </c>
      <c r="C1259" s="45" t="s">
        <v>490</v>
      </c>
      <c r="D1259" s="45" t="s">
        <v>495</v>
      </c>
      <c r="E1259" s="45" t="s">
        <v>492</v>
      </c>
      <c r="F1259" s="45" t="s">
        <v>493</v>
      </c>
      <c r="G1259" s="14">
        <v>8423</v>
      </c>
      <c r="H1259" s="14">
        <v>7019</v>
      </c>
      <c r="I1259" s="14">
        <v>8504</v>
      </c>
      <c r="J1259" s="14">
        <v>8954</v>
      </c>
      <c r="K1259" s="14">
        <v>8721</v>
      </c>
      <c r="L1259" s="14">
        <v>12442</v>
      </c>
      <c r="M1259" s="14">
        <v>11319</v>
      </c>
      <c r="N1259" s="14">
        <v>9994</v>
      </c>
      <c r="O1259" s="14">
        <v>11386</v>
      </c>
      <c r="P1259" s="14">
        <v>13665</v>
      </c>
      <c r="Q1259" s="14">
        <v>15981</v>
      </c>
      <c r="R1259" s="14">
        <v>12434</v>
      </c>
      <c r="S1259" s="14">
        <v>12590</v>
      </c>
      <c r="T1259" s="14">
        <v>11749</v>
      </c>
      <c r="U1259" s="14">
        <v>13321</v>
      </c>
      <c r="V1259" s="14">
        <v>12251</v>
      </c>
      <c r="W1259" s="14">
        <v>10818</v>
      </c>
      <c r="X1259" s="14">
        <v>12728</v>
      </c>
      <c r="Y1259" s="14">
        <v>10641</v>
      </c>
      <c r="Z1259" s="14">
        <v>11342</v>
      </c>
      <c r="AA1259" s="14"/>
      <c r="AB1259" s="14"/>
    </row>
    <row r="1260" spans="1:30">
      <c r="A1260" s="45" t="s">
        <v>177</v>
      </c>
      <c r="B1260" s="45" t="s">
        <v>178</v>
      </c>
      <c r="C1260" s="45" t="s">
        <v>490</v>
      </c>
      <c r="D1260" s="45" t="s">
        <v>496</v>
      </c>
      <c r="E1260" s="45" t="s">
        <v>492</v>
      </c>
      <c r="F1260" s="45" t="s">
        <v>493</v>
      </c>
      <c r="G1260" s="14">
        <v>11347</v>
      </c>
      <c r="H1260" s="14">
        <v>11193</v>
      </c>
      <c r="I1260" s="14">
        <v>12534</v>
      </c>
      <c r="J1260" s="14">
        <v>14274</v>
      </c>
      <c r="K1260" s="14">
        <v>16815</v>
      </c>
      <c r="L1260" s="14">
        <v>18845</v>
      </c>
      <c r="M1260" s="14">
        <v>19135</v>
      </c>
      <c r="N1260" s="14">
        <v>22155</v>
      </c>
      <c r="O1260" s="14">
        <v>24589</v>
      </c>
      <c r="P1260" s="14">
        <v>30527</v>
      </c>
      <c r="Q1260" s="14">
        <v>35226</v>
      </c>
      <c r="R1260" s="14">
        <v>42980</v>
      </c>
      <c r="S1260" s="14">
        <v>46049</v>
      </c>
      <c r="T1260" s="14">
        <v>54290</v>
      </c>
      <c r="U1260" s="14">
        <v>65150</v>
      </c>
      <c r="V1260" s="14">
        <v>63786</v>
      </c>
      <c r="W1260" s="14">
        <v>89248</v>
      </c>
      <c r="X1260" s="14">
        <v>96710</v>
      </c>
      <c r="Y1260" s="14">
        <v>105831</v>
      </c>
      <c r="Z1260" s="14">
        <v>113420</v>
      </c>
      <c r="AA1260" s="14"/>
      <c r="AB1260" s="14"/>
    </row>
    <row r="1261" spans="1:30">
      <c r="A1261" s="45" t="s">
        <v>177</v>
      </c>
      <c r="B1261" s="45" t="s">
        <v>178</v>
      </c>
      <c r="C1261" s="45" t="s">
        <v>490</v>
      </c>
      <c r="D1261" s="45" t="s">
        <v>497</v>
      </c>
      <c r="E1261" s="45" t="s">
        <v>492</v>
      </c>
      <c r="F1261" s="45" t="s">
        <v>493</v>
      </c>
      <c r="G1261" s="14">
        <v>22750</v>
      </c>
      <c r="H1261" s="14">
        <v>22309</v>
      </c>
      <c r="I1261" s="14">
        <v>24377</v>
      </c>
      <c r="J1261" s="14">
        <v>29486</v>
      </c>
      <c r="K1261" s="14">
        <v>34337</v>
      </c>
      <c r="L1261" s="14">
        <v>41646</v>
      </c>
      <c r="M1261" s="14">
        <v>47416</v>
      </c>
      <c r="N1261" s="14">
        <v>53472</v>
      </c>
      <c r="O1261" s="14">
        <v>59249</v>
      </c>
      <c r="P1261" s="14">
        <v>67276</v>
      </c>
      <c r="Q1261" s="14">
        <v>73277</v>
      </c>
      <c r="R1261" s="14">
        <v>87265</v>
      </c>
      <c r="S1261" s="14">
        <v>92226</v>
      </c>
      <c r="T1261" s="14">
        <v>101679</v>
      </c>
      <c r="U1261" s="14">
        <v>108167</v>
      </c>
      <c r="V1261" s="14">
        <v>118049</v>
      </c>
      <c r="W1261" s="14">
        <v>118611</v>
      </c>
      <c r="X1261" s="14">
        <v>130578</v>
      </c>
      <c r="Y1261" s="14">
        <v>136136</v>
      </c>
      <c r="Z1261" s="14">
        <v>142440</v>
      </c>
      <c r="AA1261" s="14"/>
      <c r="AB1261" s="14"/>
    </row>
    <row r="1262" spans="1:30">
      <c r="A1262" s="45" t="s">
        <v>177</v>
      </c>
      <c r="B1262" s="45" t="s">
        <v>178</v>
      </c>
      <c r="C1262" s="45" t="s">
        <v>498</v>
      </c>
      <c r="D1262" s="45" t="s">
        <v>491</v>
      </c>
      <c r="E1262" s="45" t="s">
        <v>499</v>
      </c>
      <c r="F1262" s="45" t="s">
        <v>500</v>
      </c>
      <c r="G1262" s="14">
        <v>87659.9</v>
      </c>
      <c r="H1262" s="14">
        <v>75693</v>
      </c>
      <c r="I1262" s="14">
        <v>78809.399999999994</v>
      </c>
      <c r="J1262" s="14">
        <v>83986.8</v>
      </c>
      <c r="K1262" s="14">
        <v>90907.9</v>
      </c>
      <c r="L1262" s="14">
        <v>102153.3</v>
      </c>
      <c r="M1262" s="14">
        <v>102449.4</v>
      </c>
      <c r="N1262" s="14">
        <v>107060.5</v>
      </c>
      <c r="O1262" s="14">
        <v>107847</v>
      </c>
      <c r="P1262" s="14">
        <v>117592</v>
      </c>
      <c r="Q1262" s="14">
        <v>119507.4</v>
      </c>
      <c r="R1262" s="14">
        <v>129392.9</v>
      </c>
      <c r="S1262" s="14">
        <v>125393.1</v>
      </c>
      <c r="T1262" s="14">
        <v>131210.5</v>
      </c>
      <c r="U1262" s="14">
        <v>132641.5</v>
      </c>
      <c r="V1262" s="14">
        <v>132281.4</v>
      </c>
      <c r="W1262" s="14">
        <v>146764.6</v>
      </c>
      <c r="X1262" s="14">
        <v>152628.9</v>
      </c>
      <c r="Y1262" s="14">
        <v>154800.4</v>
      </c>
      <c r="Z1262" s="14">
        <v>141224.6</v>
      </c>
      <c r="AA1262" s="14"/>
      <c r="AB1262" s="14"/>
      <c r="AC1262" s="15">
        <f>IFERROR(Z1262/G1262-1,"")</f>
        <v>0.61105134730931709</v>
      </c>
      <c r="AD1262" s="15">
        <f>IFERROR((Z1262/G1262)^(1/19)-1,"")</f>
        <v>2.5416954300582884E-2</v>
      </c>
    </row>
    <row r="1263" spans="1:30">
      <c r="A1263" s="45" t="s">
        <v>177</v>
      </c>
      <c r="B1263" s="45" t="s">
        <v>178</v>
      </c>
      <c r="C1263" s="45" t="s">
        <v>498</v>
      </c>
      <c r="D1263" s="45" t="s">
        <v>495</v>
      </c>
      <c r="E1263" s="45" t="s">
        <v>499</v>
      </c>
      <c r="F1263" s="45" t="s">
        <v>500</v>
      </c>
      <c r="G1263" s="14">
        <v>16002.1</v>
      </c>
      <c r="H1263" s="14">
        <v>11687.5</v>
      </c>
      <c r="I1263" s="14">
        <v>13141.5</v>
      </c>
      <c r="J1263" s="14">
        <v>12879.9</v>
      </c>
      <c r="K1263" s="14">
        <v>11748.3</v>
      </c>
      <c r="L1263" s="14">
        <v>15747.9</v>
      </c>
      <c r="M1263" s="14">
        <v>13170.1</v>
      </c>
      <c r="N1263" s="14">
        <v>10835.8</v>
      </c>
      <c r="O1263" s="14">
        <v>11386</v>
      </c>
      <c r="P1263" s="14">
        <v>12615.6</v>
      </c>
      <c r="Q1263" s="14">
        <v>13668</v>
      </c>
      <c r="R1263" s="14">
        <v>9892</v>
      </c>
      <c r="S1263" s="14">
        <v>9287.4</v>
      </c>
      <c r="T1263" s="14">
        <v>8057.4</v>
      </c>
      <c r="U1263" s="14">
        <v>8450.6</v>
      </c>
      <c r="V1263" s="14">
        <v>7496.6</v>
      </c>
      <c r="W1263" s="14">
        <v>6335.1</v>
      </c>
      <c r="X1263" s="14">
        <v>7151.5</v>
      </c>
      <c r="Y1263" s="14">
        <v>5615.4</v>
      </c>
      <c r="Z1263" s="14">
        <v>5294.5</v>
      </c>
      <c r="AA1263" s="14"/>
      <c r="AB1263" s="14"/>
      <c r="AC1263" s="15">
        <f>IFERROR(Z1263/G1263-1,"")</f>
        <v>-0.66913717574568343</v>
      </c>
      <c r="AD1263" s="15">
        <f>IFERROR((Z1263/G1263)^(1/19)-1,"")</f>
        <v>-5.6551247961020068E-2</v>
      </c>
    </row>
    <row r="1264" spans="1:30">
      <c r="A1264" s="45" t="s">
        <v>177</v>
      </c>
      <c r="B1264" s="45" t="s">
        <v>178</v>
      </c>
      <c r="C1264" s="45" t="s">
        <v>498</v>
      </c>
      <c r="D1264" s="45" t="s">
        <v>496</v>
      </c>
      <c r="E1264" s="45" t="s">
        <v>499</v>
      </c>
      <c r="F1264" s="45" t="s">
        <v>500</v>
      </c>
      <c r="G1264" s="14">
        <v>21556.400000000001</v>
      </c>
      <c r="H1264" s="14">
        <v>18637.400000000001</v>
      </c>
      <c r="I1264" s="14">
        <v>19369.8</v>
      </c>
      <c r="J1264" s="14">
        <v>20532</v>
      </c>
      <c r="K1264" s="14">
        <v>22652.6</v>
      </c>
      <c r="L1264" s="14">
        <v>23852.1</v>
      </c>
      <c r="M1264" s="14">
        <v>22264.3</v>
      </c>
      <c r="N1264" s="14">
        <v>24021.200000000001</v>
      </c>
      <c r="O1264" s="14">
        <v>24589</v>
      </c>
      <c r="P1264" s="14">
        <v>28182.6</v>
      </c>
      <c r="Q1264" s="14">
        <v>30127.7</v>
      </c>
      <c r="R1264" s="14">
        <v>34193.300000000003</v>
      </c>
      <c r="S1264" s="14">
        <v>33969.4</v>
      </c>
      <c r="T1264" s="14">
        <v>37231.699999999997</v>
      </c>
      <c r="U1264" s="14">
        <v>41330.1</v>
      </c>
      <c r="V1264" s="14">
        <v>39031.800000000003</v>
      </c>
      <c r="W1264" s="14">
        <v>52264</v>
      </c>
      <c r="X1264" s="14">
        <v>54338.400000000001</v>
      </c>
      <c r="Y1264" s="14">
        <v>55848.4</v>
      </c>
      <c r="Z1264" s="14">
        <v>52945.7</v>
      </c>
      <c r="AA1264" s="14"/>
      <c r="AB1264" s="14"/>
      <c r="AC1264" s="15">
        <f>IFERROR(Z1264/G1264-1,"")</f>
        <v>1.456147594217958</v>
      </c>
      <c r="AD1264" s="15">
        <f>IFERROR((Z1264/G1264)^(1/19)-1,"")</f>
        <v>4.8430649427107841E-2</v>
      </c>
    </row>
    <row r="1265" spans="1:30">
      <c r="A1265" s="45" t="s">
        <v>177</v>
      </c>
      <c r="B1265" s="45" t="s">
        <v>178</v>
      </c>
      <c r="C1265" s="45" t="s">
        <v>498</v>
      </c>
      <c r="D1265" s="45" t="s">
        <v>497</v>
      </c>
      <c r="E1265" s="45" t="s">
        <v>499</v>
      </c>
      <c r="F1265" s="45" t="s">
        <v>500</v>
      </c>
      <c r="G1265" s="14">
        <v>43218.9</v>
      </c>
      <c r="H1265" s="14">
        <v>37147.800000000003</v>
      </c>
      <c r="I1265" s="14">
        <v>37670.300000000003</v>
      </c>
      <c r="J1265" s="14">
        <v>42413.7</v>
      </c>
      <c r="K1265" s="14">
        <v>46257</v>
      </c>
      <c r="L1265" s="14">
        <v>52710.5</v>
      </c>
      <c r="M1265" s="14">
        <v>55170.400000000001</v>
      </c>
      <c r="N1265" s="14">
        <v>57976.1</v>
      </c>
      <c r="O1265" s="14">
        <v>59249</v>
      </c>
      <c r="P1265" s="14">
        <v>62109.4</v>
      </c>
      <c r="Q1265" s="14">
        <v>62671.4</v>
      </c>
      <c r="R1265" s="14">
        <v>69424.899999999994</v>
      </c>
      <c r="S1265" s="14">
        <v>68033.3</v>
      </c>
      <c r="T1265" s="14">
        <v>69730.7</v>
      </c>
      <c r="U1265" s="14">
        <v>68619.399999999994</v>
      </c>
      <c r="V1265" s="14">
        <v>72236.3</v>
      </c>
      <c r="W1265" s="14">
        <v>69459.100000000006</v>
      </c>
      <c r="X1265" s="14">
        <v>73367.7</v>
      </c>
      <c r="Y1265" s="14">
        <v>71840.7</v>
      </c>
      <c r="Z1265" s="14">
        <v>66493.899999999994</v>
      </c>
      <c r="AA1265" s="14"/>
      <c r="AB1265" s="14"/>
      <c r="AC1265" s="15">
        <f>IFERROR(Z1265/G1265-1,"")</f>
        <v>0.5385375379752837</v>
      </c>
      <c r="AD1265" s="15">
        <f>IFERROR((Z1265/G1265)^(1/19)-1,"")</f>
        <v>2.2934425763062816E-2</v>
      </c>
    </row>
    <row r="1266" spans="1:30">
      <c r="A1266" s="45" t="s">
        <v>177</v>
      </c>
      <c r="B1266" s="45" t="s">
        <v>178</v>
      </c>
      <c r="C1266" s="45" t="s">
        <v>498</v>
      </c>
      <c r="D1266" s="45" t="s">
        <v>501</v>
      </c>
      <c r="E1266" s="45" t="s">
        <v>499</v>
      </c>
      <c r="F1266" s="45" t="s">
        <v>500</v>
      </c>
      <c r="G1266" s="14">
        <v>2754.4</v>
      </c>
      <c r="H1266" s="14">
        <v>4402.3</v>
      </c>
      <c r="I1266" s="14">
        <v>4256.7</v>
      </c>
      <c r="J1266" s="14">
        <v>3580.4</v>
      </c>
      <c r="K1266" s="14">
        <v>4914.8999999999996</v>
      </c>
      <c r="L1266" s="14">
        <v>4481.6000000000004</v>
      </c>
      <c r="M1266" s="14">
        <v>6208.9</v>
      </c>
      <c r="N1266" s="14">
        <v>7865</v>
      </c>
      <c r="O1266" s="14">
        <v>5843</v>
      </c>
      <c r="P1266" s="14">
        <v>6712.6</v>
      </c>
      <c r="Q1266" s="14">
        <v>4526.8999999999996</v>
      </c>
      <c r="R1266" s="14">
        <v>6590.5</v>
      </c>
      <c r="S1266" s="14">
        <v>5365.1</v>
      </c>
      <c r="T1266" s="14">
        <v>7215.9</v>
      </c>
      <c r="U1266" s="14">
        <v>6630.6</v>
      </c>
      <c r="V1266" s="14">
        <v>7398.1</v>
      </c>
      <c r="W1266" s="14">
        <v>7944.3</v>
      </c>
      <c r="X1266" s="14">
        <v>7085.7</v>
      </c>
      <c r="Y1266" s="14">
        <v>9454.5</v>
      </c>
      <c r="Z1266" s="14">
        <v>4303</v>
      </c>
      <c r="AA1266" s="14"/>
      <c r="AB1266" s="14"/>
      <c r="AC1266" s="15">
        <f>IFERROR(Z1266/G1266-1,"")</f>
        <v>0.56222770839384251</v>
      </c>
      <c r="AD1266" s="15">
        <f>IFERROR((Z1266/G1266)^(1/19)-1,"")</f>
        <v>2.3757438556623045E-2</v>
      </c>
    </row>
    <row r="1267" spans="1:30">
      <c r="A1267" s="45" t="s">
        <v>153</v>
      </c>
      <c r="B1267" s="45" t="s">
        <v>154</v>
      </c>
      <c r="C1267" s="45" t="s">
        <v>490</v>
      </c>
      <c r="D1267" s="45" t="s">
        <v>491</v>
      </c>
      <c r="E1267" s="45" t="s">
        <v>492</v>
      </c>
      <c r="F1267" s="45" t="s">
        <v>493</v>
      </c>
      <c r="G1267" s="14">
        <v>9257</v>
      </c>
      <c r="H1267" s="14">
        <v>12021</v>
      </c>
      <c r="I1267" s="14">
        <v>13345</v>
      </c>
      <c r="J1267" s="14">
        <v>21954</v>
      </c>
      <c r="K1267" s="14">
        <v>16498</v>
      </c>
      <c r="L1267" s="14">
        <v>18305</v>
      </c>
      <c r="M1267" s="14">
        <v>19248</v>
      </c>
      <c r="N1267" s="14">
        <v>22974</v>
      </c>
      <c r="O1267" s="14">
        <v>24756</v>
      </c>
      <c r="P1267" s="14">
        <v>26414</v>
      </c>
      <c r="Q1267" s="14">
        <v>30340</v>
      </c>
      <c r="R1267" s="14">
        <v>38139</v>
      </c>
      <c r="S1267" s="14">
        <v>43736</v>
      </c>
      <c r="T1267" s="14">
        <v>76519</v>
      </c>
      <c r="U1267" s="14">
        <v>105101</v>
      </c>
      <c r="V1267" s="14">
        <v>196460</v>
      </c>
      <c r="W1267" s="14">
        <v>158935</v>
      </c>
      <c r="X1267" s="14">
        <v>365438</v>
      </c>
      <c r="Y1267" s="14">
        <v>418182</v>
      </c>
      <c r="Z1267" s="14">
        <v>549241</v>
      </c>
      <c r="AA1267" s="14">
        <v>421481</v>
      </c>
      <c r="AB1267" s="14">
        <v>394853</v>
      </c>
    </row>
    <row r="1268" spans="1:30">
      <c r="A1268" s="45" t="s">
        <v>153</v>
      </c>
      <c r="B1268" s="45" t="s">
        <v>154</v>
      </c>
      <c r="C1268" s="45" t="s">
        <v>490</v>
      </c>
      <c r="D1268" s="45" t="s">
        <v>494</v>
      </c>
      <c r="E1268" s="45" t="s">
        <v>492</v>
      </c>
      <c r="F1268" s="45" t="s">
        <v>493</v>
      </c>
      <c r="G1268" s="14">
        <v>8855</v>
      </c>
      <c r="H1268" s="14">
        <v>11600</v>
      </c>
      <c r="I1268" s="14">
        <v>12830</v>
      </c>
      <c r="J1268" s="14">
        <v>21261</v>
      </c>
      <c r="K1268" s="14">
        <v>15296</v>
      </c>
      <c r="L1268" s="14">
        <v>16394</v>
      </c>
      <c r="M1268" s="14">
        <v>17580</v>
      </c>
      <c r="N1268" s="14">
        <v>21091</v>
      </c>
      <c r="O1268" s="14">
        <v>22036</v>
      </c>
      <c r="P1268" s="14">
        <v>23602</v>
      </c>
      <c r="Q1268" s="14">
        <v>25792</v>
      </c>
      <c r="R1268" s="14">
        <v>30268</v>
      </c>
      <c r="S1268" s="14">
        <v>34860</v>
      </c>
      <c r="T1268" s="14">
        <v>66902</v>
      </c>
      <c r="U1268" s="14">
        <v>97022</v>
      </c>
      <c r="V1268" s="14">
        <v>170583</v>
      </c>
      <c r="W1268" s="14">
        <v>140512</v>
      </c>
      <c r="X1268" s="14">
        <v>344593</v>
      </c>
      <c r="Y1268" s="14">
        <v>378590</v>
      </c>
      <c r="Z1268" s="14">
        <v>509541</v>
      </c>
      <c r="AA1268" s="14"/>
      <c r="AB1268" s="14"/>
    </row>
    <row r="1269" spans="1:30">
      <c r="A1269" s="45" t="s">
        <v>153</v>
      </c>
      <c r="B1269" s="45" t="s">
        <v>154</v>
      </c>
      <c r="C1269" s="45" t="s">
        <v>490</v>
      </c>
      <c r="D1269" s="45" t="s">
        <v>495</v>
      </c>
      <c r="E1269" s="45" t="s">
        <v>492</v>
      </c>
      <c r="F1269" s="45" t="s">
        <v>493</v>
      </c>
      <c r="G1269" s="14">
        <v>430</v>
      </c>
      <c r="H1269" s="14">
        <v>561</v>
      </c>
      <c r="I1269" s="14">
        <v>645</v>
      </c>
      <c r="J1269" s="14">
        <v>7530</v>
      </c>
      <c r="K1269" s="14">
        <v>947</v>
      </c>
      <c r="L1269" s="14">
        <v>780</v>
      </c>
      <c r="M1269" s="14">
        <v>748</v>
      </c>
      <c r="N1269" s="14">
        <v>946</v>
      </c>
      <c r="O1269" s="14">
        <v>922</v>
      </c>
      <c r="P1269" s="14">
        <v>917</v>
      </c>
      <c r="Q1269" s="14">
        <v>1035</v>
      </c>
      <c r="R1269" s="14">
        <v>934</v>
      </c>
      <c r="S1269" s="14">
        <v>925</v>
      </c>
      <c r="T1269" s="14">
        <v>28968</v>
      </c>
      <c r="U1269" s="14">
        <v>56912</v>
      </c>
      <c r="V1269" s="14">
        <v>105205</v>
      </c>
      <c r="W1269" s="14">
        <v>83231</v>
      </c>
      <c r="X1269" s="14">
        <v>286074</v>
      </c>
      <c r="Y1269" s="14">
        <v>319068</v>
      </c>
      <c r="Z1269" s="14">
        <v>452181</v>
      </c>
      <c r="AA1269" s="14"/>
      <c r="AB1269" s="14"/>
    </row>
    <row r="1270" spans="1:30">
      <c r="A1270" s="45" t="s">
        <v>153</v>
      </c>
      <c r="B1270" s="45" t="s">
        <v>154</v>
      </c>
      <c r="C1270" s="45" t="s">
        <v>490</v>
      </c>
      <c r="D1270" s="45" t="s">
        <v>496</v>
      </c>
      <c r="E1270" s="45" t="s">
        <v>492</v>
      </c>
      <c r="F1270" s="45" t="s">
        <v>493</v>
      </c>
      <c r="G1270" s="14">
        <v>1632</v>
      </c>
      <c r="H1270" s="14">
        <v>1816</v>
      </c>
      <c r="I1270" s="14">
        <v>2418</v>
      </c>
      <c r="J1270" s="14">
        <v>3175</v>
      </c>
      <c r="K1270" s="14">
        <v>2534</v>
      </c>
      <c r="L1270" s="14">
        <v>2493</v>
      </c>
      <c r="M1270" s="14">
        <v>2518</v>
      </c>
      <c r="N1270" s="14">
        <v>2928</v>
      </c>
      <c r="O1270" s="14">
        <v>3435</v>
      </c>
      <c r="P1270" s="14">
        <v>3807</v>
      </c>
      <c r="Q1270" s="14">
        <v>4699</v>
      </c>
      <c r="R1270" s="14">
        <v>6030</v>
      </c>
      <c r="S1270" s="14">
        <v>6033</v>
      </c>
      <c r="T1270" s="14">
        <v>7195</v>
      </c>
      <c r="U1270" s="14">
        <v>9921</v>
      </c>
      <c r="V1270" s="14">
        <v>27963</v>
      </c>
      <c r="W1270" s="14">
        <v>21605</v>
      </c>
      <c r="X1270" s="14">
        <v>19968</v>
      </c>
      <c r="Y1270" s="14">
        <v>21590</v>
      </c>
      <c r="Z1270" s="14">
        <v>19561</v>
      </c>
      <c r="AA1270" s="14"/>
      <c r="AB1270" s="14"/>
    </row>
    <row r="1271" spans="1:30">
      <c r="A1271" s="45" t="s">
        <v>153</v>
      </c>
      <c r="B1271" s="45" t="s">
        <v>154</v>
      </c>
      <c r="C1271" s="45" t="s">
        <v>490</v>
      </c>
      <c r="D1271" s="45" t="s">
        <v>497</v>
      </c>
      <c r="E1271" s="45" t="s">
        <v>492</v>
      </c>
      <c r="F1271" s="45" t="s">
        <v>493</v>
      </c>
      <c r="G1271" s="14">
        <v>4596</v>
      </c>
      <c r="H1271" s="14">
        <v>5096</v>
      </c>
      <c r="I1271" s="14">
        <v>5571</v>
      </c>
      <c r="J1271" s="14">
        <v>6557</v>
      </c>
      <c r="K1271" s="14">
        <v>7700</v>
      </c>
      <c r="L1271" s="14">
        <v>9032</v>
      </c>
      <c r="M1271" s="14">
        <v>9983</v>
      </c>
      <c r="N1271" s="14">
        <v>11379</v>
      </c>
      <c r="O1271" s="14">
        <v>11779</v>
      </c>
      <c r="P1271" s="14">
        <v>12975</v>
      </c>
      <c r="Q1271" s="14">
        <v>13025</v>
      </c>
      <c r="R1271" s="14">
        <v>14037</v>
      </c>
      <c r="S1271" s="14">
        <v>15454</v>
      </c>
      <c r="T1271" s="14">
        <v>18217</v>
      </c>
      <c r="U1271" s="14">
        <v>19611</v>
      </c>
      <c r="V1271" s="14">
        <v>23290</v>
      </c>
      <c r="W1271" s="14">
        <v>23743</v>
      </c>
      <c r="X1271" s="14">
        <v>25498</v>
      </c>
      <c r="Y1271" s="14">
        <v>24529</v>
      </c>
      <c r="Z1271" s="14">
        <v>27247</v>
      </c>
      <c r="AA1271" s="14"/>
      <c r="AB1271" s="14"/>
    </row>
    <row r="1272" spans="1:30">
      <c r="A1272" s="45" t="s">
        <v>153</v>
      </c>
      <c r="B1272" s="45" t="s">
        <v>154</v>
      </c>
      <c r="C1272" s="45" t="s">
        <v>498</v>
      </c>
      <c r="D1272" s="45" t="s">
        <v>491</v>
      </c>
      <c r="E1272" s="45" t="s">
        <v>499</v>
      </c>
      <c r="F1272" s="45" t="s">
        <v>500</v>
      </c>
      <c r="G1272" s="14">
        <v>17586.3</v>
      </c>
      <c r="H1272" s="14">
        <v>20015.8</v>
      </c>
      <c r="I1272" s="14">
        <v>20623</v>
      </c>
      <c r="J1272" s="14">
        <v>31579.200000000001</v>
      </c>
      <c r="K1272" s="14">
        <v>22225.200000000001</v>
      </c>
      <c r="L1272" s="14">
        <v>23168.7</v>
      </c>
      <c r="M1272" s="14">
        <v>22395.599999999999</v>
      </c>
      <c r="N1272" s="14">
        <v>24909.200000000001</v>
      </c>
      <c r="O1272" s="14">
        <v>24756</v>
      </c>
      <c r="P1272" s="14">
        <v>24385.5</v>
      </c>
      <c r="Q1272" s="14">
        <v>25948.799999999999</v>
      </c>
      <c r="R1272" s="14">
        <v>30342</v>
      </c>
      <c r="S1272" s="14">
        <v>32263.200000000001</v>
      </c>
      <c r="T1272" s="14">
        <v>52476.1</v>
      </c>
      <c r="U1272" s="14">
        <v>66674.399999999994</v>
      </c>
      <c r="V1272" s="14">
        <v>120217.5</v>
      </c>
      <c r="W1272" s="14">
        <v>93073</v>
      </c>
      <c r="X1272" s="14">
        <v>205328.3</v>
      </c>
      <c r="Y1272" s="14">
        <v>220680</v>
      </c>
      <c r="Z1272" s="14">
        <v>256389.7</v>
      </c>
      <c r="AA1272" s="14"/>
      <c r="AB1272" s="14"/>
      <c r="AC1272" s="15">
        <f>IFERROR(Z1272/G1272-1,"")</f>
        <v>13.578944974212883</v>
      </c>
      <c r="AD1272" s="15">
        <f>IFERROR((Z1272/G1272)^(1/19)-1,"")</f>
        <v>0.15145969805400594</v>
      </c>
    </row>
    <row r="1273" spans="1:30">
      <c r="A1273" s="45" t="s">
        <v>153</v>
      </c>
      <c r="B1273" s="45" t="s">
        <v>154</v>
      </c>
      <c r="C1273" s="45" t="s">
        <v>498</v>
      </c>
      <c r="D1273" s="45" t="s">
        <v>495</v>
      </c>
      <c r="E1273" s="45" t="s">
        <v>499</v>
      </c>
      <c r="F1273" s="45" t="s">
        <v>500</v>
      </c>
      <c r="G1273" s="14">
        <v>817.3</v>
      </c>
      <c r="H1273" s="14">
        <v>933.9</v>
      </c>
      <c r="I1273" s="14">
        <v>996.8</v>
      </c>
      <c r="J1273" s="14">
        <v>10831</v>
      </c>
      <c r="K1273" s="14">
        <v>1275.2</v>
      </c>
      <c r="L1273" s="14">
        <v>987.1</v>
      </c>
      <c r="M1273" s="14">
        <v>870.5</v>
      </c>
      <c r="N1273" s="14">
        <v>1025.7</v>
      </c>
      <c r="O1273" s="14">
        <v>922</v>
      </c>
      <c r="P1273" s="14">
        <v>846.6</v>
      </c>
      <c r="Q1273" s="14">
        <v>885.2</v>
      </c>
      <c r="R1273" s="14">
        <v>743.1</v>
      </c>
      <c r="S1273" s="14">
        <v>682.4</v>
      </c>
      <c r="T1273" s="14">
        <v>19866</v>
      </c>
      <c r="U1273" s="14">
        <v>36104.1</v>
      </c>
      <c r="V1273" s="14">
        <v>64376.9</v>
      </c>
      <c r="W1273" s="14">
        <v>48740.4</v>
      </c>
      <c r="X1273" s="14">
        <v>160736.1</v>
      </c>
      <c r="Y1273" s="14">
        <v>168376.3</v>
      </c>
      <c r="Z1273" s="14">
        <v>211081.4</v>
      </c>
      <c r="AA1273" s="14"/>
      <c r="AB1273" s="14"/>
      <c r="AC1273" s="15">
        <f>IFERROR(Z1273/G1273-1,"")</f>
        <v>257.26673192218283</v>
      </c>
      <c r="AD1273" s="15">
        <f>IFERROR((Z1273/G1273)^(1/19)-1,"")</f>
        <v>0.33952545817853763</v>
      </c>
    </row>
    <row r="1274" spans="1:30">
      <c r="A1274" s="45" t="s">
        <v>153</v>
      </c>
      <c r="B1274" s="45" t="s">
        <v>154</v>
      </c>
      <c r="C1274" s="45" t="s">
        <v>498</v>
      </c>
      <c r="D1274" s="45" t="s">
        <v>496</v>
      </c>
      <c r="E1274" s="45" t="s">
        <v>499</v>
      </c>
      <c r="F1274" s="45" t="s">
        <v>500</v>
      </c>
      <c r="G1274" s="14">
        <v>3100.5</v>
      </c>
      <c r="H1274" s="14">
        <v>3024</v>
      </c>
      <c r="I1274" s="14">
        <v>3736.1</v>
      </c>
      <c r="J1274" s="14">
        <v>4566.5</v>
      </c>
      <c r="K1274" s="14">
        <v>3414.4</v>
      </c>
      <c r="L1274" s="14">
        <v>3154.8</v>
      </c>
      <c r="M1274" s="14">
        <v>2930</v>
      </c>
      <c r="N1274" s="14">
        <v>3174.6</v>
      </c>
      <c r="O1274" s="14">
        <v>3435</v>
      </c>
      <c r="P1274" s="14">
        <v>3514.6</v>
      </c>
      <c r="Q1274" s="14">
        <v>4018.9</v>
      </c>
      <c r="R1274" s="14">
        <v>4797.3</v>
      </c>
      <c r="S1274" s="14">
        <v>4450.3999999999996</v>
      </c>
      <c r="T1274" s="14">
        <v>4934.3</v>
      </c>
      <c r="U1274" s="14">
        <v>6293.7</v>
      </c>
      <c r="V1274" s="14">
        <v>17111.099999999999</v>
      </c>
      <c r="W1274" s="14">
        <v>12652</v>
      </c>
      <c r="X1274" s="14">
        <v>11219.4</v>
      </c>
      <c r="Y1274" s="14">
        <v>11393.3</v>
      </c>
      <c r="Z1274" s="14">
        <v>9131.2000000000007</v>
      </c>
      <c r="AA1274" s="14"/>
      <c r="AB1274" s="14"/>
      <c r="AC1274" s="15">
        <f>IFERROR(Z1274/G1274-1,"")</f>
        <v>1.9450733752620546</v>
      </c>
      <c r="AD1274" s="15">
        <f>IFERROR((Z1274/G1274)^(1/19)-1,"")</f>
        <v>5.849611763689988E-2</v>
      </c>
    </row>
    <row r="1275" spans="1:30">
      <c r="A1275" s="45" t="s">
        <v>153</v>
      </c>
      <c r="B1275" s="45" t="s">
        <v>154</v>
      </c>
      <c r="C1275" s="45" t="s">
        <v>498</v>
      </c>
      <c r="D1275" s="45" t="s">
        <v>497</v>
      </c>
      <c r="E1275" s="45" t="s">
        <v>499</v>
      </c>
      <c r="F1275" s="45" t="s">
        <v>500</v>
      </c>
      <c r="G1275" s="14">
        <v>8730.7000000000007</v>
      </c>
      <c r="H1275" s="14">
        <v>8485</v>
      </c>
      <c r="I1275" s="14">
        <v>8608.2999999999993</v>
      </c>
      <c r="J1275" s="14">
        <v>9431.7999999999993</v>
      </c>
      <c r="K1275" s="14">
        <v>10373.6</v>
      </c>
      <c r="L1275" s="14">
        <v>11431.7</v>
      </c>
      <c r="M1275" s="14">
        <v>11615</v>
      </c>
      <c r="N1275" s="14">
        <v>12337.5</v>
      </c>
      <c r="O1275" s="14">
        <v>11779</v>
      </c>
      <c r="P1275" s="14">
        <v>11978.6</v>
      </c>
      <c r="Q1275" s="14">
        <v>11139.9</v>
      </c>
      <c r="R1275" s="14">
        <v>11167.3</v>
      </c>
      <c r="S1275" s="14">
        <v>11400.1</v>
      </c>
      <c r="T1275" s="14">
        <v>12493.1</v>
      </c>
      <c r="U1275" s="14">
        <v>12440.9</v>
      </c>
      <c r="V1275" s="14">
        <v>14251.6</v>
      </c>
      <c r="W1275" s="14">
        <v>13904</v>
      </c>
      <c r="X1275" s="14">
        <v>14326.5</v>
      </c>
      <c r="Y1275" s="14">
        <v>12944.3</v>
      </c>
      <c r="Z1275" s="14">
        <v>12719.6</v>
      </c>
      <c r="AA1275" s="14"/>
      <c r="AB1275" s="14"/>
      <c r="AC1275" s="15">
        <f>IFERROR(Z1275/G1275-1,"")</f>
        <v>0.45688203695007257</v>
      </c>
      <c r="AD1275" s="15">
        <f>IFERROR((Z1275/G1275)^(1/19)-1,"")</f>
        <v>2.0002611328757913E-2</v>
      </c>
    </row>
    <row r="1276" spans="1:30">
      <c r="A1276" s="45" t="s">
        <v>153</v>
      </c>
      <c r="B1276" s="45" t="s">
        <v>154</v>
      </c>
      <c r="C1276" s="45" t="s">
        <v>498</v>
      </c>
      <c r="D1276" s="45" t="s">
        <v>501</v>
      </c>
      <c r="E1276" s="45" t="s">
        <v>499</v>
      </c>
      <c r="F1276" s="45" t="s">
        <v>500</v>
      </c>
      <c r="G1276" s="14">
        <v>4174</v>
      </c>
      <c r="H1276" s="14">
        <v>6871.6</v>
      </c>
      <c r="I1276" s="14">
        <v>6485.9</v>
      </c>
      <c r="J1276" s="14">
        <v>5752.6</v>
      </c>
      <c r="K1276" s="14">
        <v>5543.3</v>
      </c>
      <c r="L1276" s="14">
        <v>5176.1000000000004</v>
      </c>
      <c r="M1276" s="14">
        <v>5039.6000000000004</v>
      </c>
      <c r="N1276" s="14">
        <v>6330.8</v>
      </c>
      <c r="O1276" s="14">
        <v>5899</v>
      </c>
      <c r="P1276" s="14">
        <v>5450.6</v>
      </c>
      <c r="Q1276" s="14">
        <v>6016</v>
      </c>
      <c r="R1276" s="14">
        <v>7373.3</v>
      </c>
      <c r="S1276" s="14">
        <v>9181.9</v>
      </c>
      <c r="T1276" s="14">
        <v>8588.2000000000007</v>
      </c>
      <c r="U1276" s="14">
        <v>6709.9</v>
      </c>
      <c r="V1276" s="14">
        <v>8643.2999999999993</v>
      </c>
      <c r="W1276" s="14">
        <v>6988</v>
      </c>
      <c r="X1276" s="14">
        <v>7333.5</v>
      </c>
      <c r="Y1276" s="14">
        <v>7072.9</v>
      </c>
      <c r="Z1276" s="14">
        <v>4925.8</v>
      </c>
      <c r="AA1276" s="14"/>
      <c r="AB1276" s="14"/>
      <c r="AC1276" s="15">
        <f>IFERROR(Z1276/G1276-1,"")</f>
        <v>0.18011499760421668</v>
      </c>
      <c r="AD1276" s="15">
        <f>IFERROR((Z1276/G1276)^(1/19)-1,"")</f>
        <v>8.7545137887294899E-3</v>
      </c>
    </row>
    <row r="1277" spans="1:30">
      <c r="A1277" s="45" t="s">
        <v>391</v>
      </c>
      <c r="B1277" s="45" t="s">
        <v>392</v>
      </c>
      <c r="C1277" s="45" t="s">
        <v>490</v>
      </c>
      <c r="D1277" s="45" t="s">
        <v>491</v>
      </c>
      <c r="E1277" s="45" t="s">
        <v>492</v>
      </c>
      <c r="F1277" s="45" t="s">
        <v>493</v>
      </c>
      <c r="G1277" s="14">
        <v>6929</v>
      </c>
      <c r="H1277" s="14">
        <v>8027</v>
      </c>
      <c r="I1277" s="14">
        <v>10186</v>
      </c>
      <c r="J1277" s="14">
        <v>10487</v>
      </c>
      <c r="K1277" s="14">
        <v>12173</v>
      </c>
      <c r="L1277" s="14">
        <v>14702</v>
      </c>
      <c r="M1277" s="14">
        <v>16883</v>
      </c>
      <c r="N1277" s="14">
        <v>18457</v>
      </c>
      <c r="O1277" s="14">
        <v>18102</v>
      </c>
      <c r="P1277" s="14">
        <v>22339</v>
      </c>
      <c r="Q1277" s="14">
        <v>22465</v>
      </c>
      <c r="R1277" s="14">
        <v>26135</v>
      </c>
      <c r="S1277" s="14">
        <v>27747</v>
      </c>
      <c r="T1277" s="14">
        <v>30359</v>
      </c>
      <c r="U1277" s="14">
        <v>33445</v>
      </c>
      <c r="V1277" s="14">
        <v>34817</v>
      </c>
      <c r="W1277" s="14">
        <v>37290</v>
      </c>
      <c r="X1277" s="14">
        <v>42249</v>
      </c>
      <c r="Y1277" s="14">
        <v>44513</v>
      </c>
      <c r="Z1277" s="14">
        <v>45623</v>
      </c>
      <c r="AA1277" s="14">
        <v>55558</v>
      </c>
      <c r="AB1277" s="14">
        <v>58251</v>
      </c>
    </row>
    <row r="1278" spans="1:30">
      <c r="A1278" s="45" t="s">
        <v>391</v>
      </c>
      <c r="B1278" s="45" t="s">
        <v>392</v>
      </c>
      <c r="C1278" s="45" t="s">
        <v>490</v>
      </c>
      <c r="D1278" s="45" t="s">
        <v>494</v>
      </c>
      <c r="E1278" s="45" t="s">
        <v>492</v>
      </c>
      <c r="F1278" s="45" t="s">
        <v>493</v>
      </c>
      <c r="G1278" s="14">
        <v>6719</v>
      </c>
      <c r="H1278" s="14">
        <v>7805</v>
      </c>
      <c r="I1278" s="14">
        <v>9857</v>
      </c>
      <c r="J1278" s="14">
        <v>10156</v>
      </c>
      <c r="K1278" s="14">
        <v>11613</v>
      </c>
      <c r="L1278" s="14">
        <v>13992</v>
      </c>
      <c r="M1278" s="14">
        <v>15896</v>
      </c>
      <c r="N1278" s="14">
        <v>17793</v>
      </c>
      <c r="O1278" s="14">
        <v>17349</v>
      </c>
      <c r="P1278" s="14">
        <v>21133</v>
      </c>
      <c r="Q1278" s="14">
        <v>21592</v>
      </c>
      <c r="R1278" s="14">
        <v>25320</v>
      </c>
      <c r="S1278" s="14">
        <v>26862</v>
      </c>
      <c r="T1278" s="14">
        <v>29371</v>
      </c>
      <c r="U1278" s="14">
        <v>32643</v>
      </c>
      <c r="V1278" s="14">
        <v>34132</v>
      </c>
      <c r="W1278" s="14">
        <v>36574</v>
      </c>
      <c r="X1278" s="14">
        <v>41252</v>
      </c>
      <c r="Y1278" s="14">
        <v>43526</v>
      </c>
      <c r="Z1278" s="14">
        <v>44260</v>
      </c>
      <c r="AA1278" s="14"/>
      <c r="AB1278" s="14"/>
    </row>
    <row r="1279" spans="1:30">
      <c r="A1279" s="45" t="s">
        <v>391</v>
      </c>
      <c r="B1279" s="45" t="s">
        <v>392</v>
      </c>
      <c r="C1279" s="45" t="s">
        <v>490</v>
      </c>
      <c r="D1279" s="45" t="s">
        <v>495</v>
      </c>
      <c r="E1279" s="45" t="s">
        <v>492</v>
      </c>
      <c r="F1279" s="45" t="s">
        <v>493</v>
      </c>
      <c r="G1279" s="14">
        <v>493</v>
      </c>
      <c r="H1279" s="14">
        <v>243</v>
      </c>
      <c r="I1279" s="14">
        <v>402</v>
      </c>
      <c r="J1279" s="14">
        <v>482</v>
      </c>
      <c r="K1279" s="14">
        <v>413</v>
      </c>
      <c r="L1279" s="14">
        <v>583</v>
      </c>
      <c r="M1279" s="14">
        <v>527</v>
      </c>
      <c r="N1279" s="14">
        <v>665</v>
      </c>
      <c r="O1279" s="14">
        <v>707</v>
      </c>
      <c r="P1279" s="14">
        <v>811</v>
      </c>
      <c r="Q1279" s="14">
        <v>954</v>
      </c>
      <c r="R1279" s="14">
        <v>999</v>
      </c>
      <c r="S1279" s="14">
        <v>1035</v>
      </c>
      <c r="T1279" s="14">
        <v>1407</v>
      </c>
      <c r="U1279" s="14">
        <v>1717</v>
      </c>
      <c r="V1279" s="14">
        <v>1453</v>
      </c>
      <c r="W1279" s="14">
        <v>1319</v>
      </c>
      <c r="X1279" s="14">
        <v>1367</v>
      </c>
      <c r="Y1279" s="14">
        <v>1417</v>
      </c>
      <c r="Z1279" s="14">
        <v>1741</v>
      </c>
      <c r="AA1279" s="14"/>
      <c r="AB1279" s="14"/>
    </row>
    <row r="1280" spans="1:30">
      <c r="A1280" s="45" t="s">
        <v>391</v>
      </c>
      <c r="B1280" s="45" t="s">
        <v>392</v>
      </c>
      <c r="C1280" s="45" t="s">
        <v>490</v>
      </c>
      <c r="D1280" s="45" t="s">
        <v>496</v>
      </c>
      <c r="E1280" s="45" t="s">
        <v>492</v>
      </c>
      <c r="F1280" s="45" t="s">
        <v>493</v>
      </c>
      <c r="G1280" s="14">
        <v>1090</v>
      </c>
      <c r="H1280" s="14">
        <v>1250</v>
      </c>
      <c r="I1280" s="14">
        <v>1724</v>
      </c>
      <c r="J1280" s="14">
        <v>1746</v>
      </c>
      <c r="K1280" s="14">
        <v>2058</v>
      </c>
      <c r="L1280" s="14">
        <v>2265</v>
      </c>
      <c r="M1280" s="14">
        <v>2281</v>
      </c>
      <c r="N1280" s="14">
        <v>2766</v>
      </c>
      <c r="O1280" s="14">
        <v>2755</v>
      </c>
      <c r="P1280" s="14">
        <v>3317</v>
      </c>
      <c r="Q1280" s="14">
        <v>3463</v>
      </c>
      <c r="R1280" s="14">
        <v>4175</v>
      </c>
      <c r="S1280" s="14">
        <v>4408</v>
      </c>
      <c r="T1280" s="14">
        <v>5173</v>
      </c>
      <c r="U1280" s="14">
        <v>6055</v>
      </c>
      <c r="V1280" s="14">
        <v>6082</v>
      </c>
      <c r="W1280" s="14">
        <v>6764</v>
      </c>
      <c r="X1280" s="14">
        <v>7628</v>
      </c>
      <c r="Y1280" s="14">
        <v>8149</v>
      </c>
      <c r="Z1280" s="14">
        <v>8121</v>
      </c>
      <c r="AA1280" s="14"/>
      <c r="AB1280" s="14"/>
    </row>
    <row r="1281" spans="1:30">
      <c r="A1281" s="45" t="s">
        <v>391</v>
      </c>
      <c r="B1281" s="45" t="s">
        <v>392</v>
      </c>
      <c r="C1281" s="45" t="s">
        <v>490</v>
      </c>
      <c r="D1281" s="45" t="s">
        <v>497</v>
      </c>
      <c r="E1281" s="45" t="s">
        <v>492</v>
      </c>
      <c r="F1281" s="45" t="s">
        <v>493</v>
      </c>
      <c r="G1281" s="14">
        <v>4509</v>
      </c>
      <c r="H1281" s="14">
        <v>4931</v>
      </c>
      <c r="I1281" s="14">
        <v>5818</v>
      </c>
      <c r="J1281" s="14">
        <v>6610</v>
      </c>
      <c r="K1281" s="14">
        <v>8040</v>
      </c>
      <c r="L1281" s="14">
        <v>10108</v>
      </c>
      <c r="M1281" s="14">
        <v>10904</v>
      </c>
      <c r="N1281" s="14">
        <v>13117</v>
      </c>
      <c r="O1281" s="14">
        <v>13048</v>
      </c>
      <c r="P1281" s="14">
        <v>15119</v>
      </c>
      <c r="Q1281" s="14">
        <v>16523</v>
      </c>
      <c r="R1281" s="14">
        <v>19472</v>
      </c>
      <c r="S1281" s="14">
        <v>20814</v>
      </c>
      <c r="T1281" s="14">
        <v>22092</v>
      </c>
      <c r="U1281" s="14">
        <v>24079</v>
      </c>
      <c r="V1281" s="14">
        <v>25825</v>
      </c>
      <c r="W1281" s="14">
        <v>27404</v>
      </c>
      <c r="X1281" s="14">
        <v>29031</v>
      </c>
      <c r="Y1281" s="14">
        <v>30179</v>
      </c>
      <c r="Z1281" s="14">
        <v>30965</v>
      </c>
      <c r="AA1281" s="14"/>
      <c r="AB1281" s="14"/>
    </row>
    <row r="1282" spans="1:30">
      <c r="A1282" s="45" t="s">
        <v>391</v>
      </c>
      <c r="B1282" s="45" t="s">
        <v>392</v>
      </c>
      <c r="C1282" s="45" t="s">
        <v>498</v>
      </c>
      <c r="D1282" s="45" t="s">
        <v>491</v>
      </c>
      <c r="E1282" s="45" t="s">
        <v>499</v>
      </c>
      <c r="F1282" s="45" t="s">
        <v>500</v>
      </c>
      <c r="G1282" s="14">
        <v>13162.6</v>
      </c>
      <c r="H1282" s="14">
        <v>13365.5</v>
      </c>
      <c r="I1282" s="14">
        <v>15740.9</v>
      </c>
      <c r="J1282" s="14">
        <v>15084.6</v>
      </c>
      <c r="K1282" s="14">
        <v>16398.400000000001</v>
      </c>
      <c r="L1282" s="14">
        <v>18608</v>
      </c>
      <c r="M1282" s="14">
        <v>19644.099999999999</v>
      </c>
      <c r="N1282" s="14">
        <v>20011.7</v>
      </c>
      <c r="O1282" s="14">
        <v>18102</v>
      </c>
      <c r="P1282" s="14">
        <v>20623.400000000001</v>
      </c>
      <c r="Q1282" s="14">
        <v>19213.599999999999</v>
      </c>
      <c r="R1282" s="14">
        <v>20792.099999999999</v>
      </c>
      <c r="S1282" s="14">
        <v>20468.400000000001</v>
      </c>
      <c r="T1282" s="14">
        <v>20820</v>
      </c>
      <c r="U1282" s="14">
        <v>21217</v>
      </c>
      <c r="V1282" s="14">
        <v>21305.200000000001</v>
      </c>
      <c r="W1282" s="14">
        <v>21837.200000000001</v>
      </c>
      <c r="X1282" s="14">
        <v>23738.400000000001</v>
      </c>
      <c r="Y1282" s="14">
        <v>23490.1</v>
      </c>
      <c r="Z1282" s="14">
        <v>21297.1</v>
      </c>
      <c r="AA1282" s="14"/>
      <c r="AB1282" s="14"/>
      <c r="AC1282" s="15">
        <f>IFERROR(Z1282/G1282-1,"")</f>
        <v>0.61800100284138382</v>
      </c>
      <c r="AD1282" s="15">
        <f>IFERROR((Z1282/G1282)^(1/19)-1,"")</f>
        <v>2.5649289465824898E-2</v>
      </c>
    </row>
    <row r="1283" spans="1:30">
      <c r="A1283" s="45" t="s">
        <v>391</v>
      </c>
      <c r="B1283" s="45" t="s">
        <v>392</v>
      </c>
      <c r="C1283" s="45" t="s">
        <v>498</v>
      </c>
      <c r="D1283" s="45" t="s">
        <v>495</v>
      </c>
      <c r="E1283" s="45" t="s">
        <v>499</v>
      </c>
      <c r="F1283" s="45" t="s">
        <v>500</v>
      </c>
      <c r="G1283" s="14">
        <v>936.4</v>
      </c>
      <c r="H1283" s="14">
        <v>404.7</v>
      </c>
      <c r="I1283" s="14">
        <v>620.70000000000005</v>
      </c>
      <c r="J1283" s="14">
        <v>692.9</v>
      </c>
      <c r="K1283" s="14">
        <v>557</v>
      </c>
      <c r="L1283" s="14">
        <v>738.5</v>
      </c>
      <c r="M1283" s="14">
        <v>612.6</v>
      </c>
      <c r="N1283" s="14">
        <v>721</v>
      </c>
      <c r="O1283" s="14">
        <v>707</v>
      </c>
      <c r="P1283" s="14">
        <v>748.7</v>
      </c>
      <c r="Q1283" s="14">
        <v>815.9</v>
      </c>
      <c r="R1283" s="14">
        <v>794.8</v>
      </c>
      <c r="S1283" s="14">
        <v>763.5</v>
      </c>
      <c r="T1283" s="14">
        <v>964.9</v>
      </c>
      <c r="U1283" s="14">
        <v>1089.2</v>
      </c>
      <c r="V1283" s="14">
        <v>889.1</v>
      </c>
      <c r="W1283" s="14">
        <v>772.4</v>
      </c>
      <c r="X1283" s="14">
        <v>768.1</v>
      </c>
      <c r="Y1283" s="14">
        <v>747.8</v>
      </c>
      <c r="Z1283" s="14">
        <v>812.7</v>
      </c>
      <c r="AA1283" s="14"/>
      <c r="AB1283" s="14"/>
      <c r="AC1283" s="15">
        <f>IFERROR(Z1283/G1283-1,"")</f>
        <v>-0.13210166595472017</v>
      </c>
      <c r="AD1283" s="15">
        <f>IFERROR((Z1283/G1283)^(1/19)-1,"")</f>
        <v>-7.4291452916719347E-3</v>
      </c>
    </row>
    <row r="1284" spans="1:30">
      <c r="A1284" s="45" t="s">
        <v>391</v>
      </c>
      <c r="B1284" s="45" t="s">
        <v>392</v>
      </c>
      <c r="C1284" s="45" t="s">
        <v>498</v>
      </c>
      <c r="D1284" s="45" t="s">
        <v>496</v>
      </c>
      <c r="E1284" s="45" t="s">
        <v>499</v>
      </c>
      <c r="F1284" s="45" t="s">
        <v>500</v>
      </c>
      <c r="G1284" s="14">
        <v>2070.5</v>
      </c>
      <c r="H1284" s="14">
        <v>2081.6999999999998</v>
      </c>
      <c r="I1284" s="14">
        <v>2664.3</v>
      </c>
      <c r="J1284" s="14">
        <v>2511.9</v>
      </c>
      <c r="K1284" s="14">
        <v>2772.5</v>
      </c>
      <c r="L1284" s="14">
        <v>2866.2</v>
      </c>
      <c r="M1284" s="14">
        <v>2653.6</v>
      </c>
      <c r="N1284" s="14">
        <v>2999</v>
      </c>
      <c r="O1284" s="14">
        <v>2755</v>
      </c>
      <c r="P1284" s="14">
        <v>3062.3</v>
      </c>
      <c r="Q1284" s="14">
        <v>2961.8</v>
      </c>
      <c r="R1284" s="14">
        <v>3321.5</v>
      </c>
      <c r="S1284" s="14">
        <v>3251.7</v>
      </c>
      <c r="T1284" s="14">
        <v>3547.6</v>
      </c>
      <c r="U1284" s="14">
        <v>3841.2</v>
      </c>
      <c r="V1284" s="14">
        <v>3721.7</v>
      </c>
      <c r="W1284" s="14">
        <v>3961</v>
      </c>
      <c r="X1284" s="14">
        <v>4285.8999999999996</v>
      </c>
      <c r="Y1284" s="14">
        <v>4300.3</v>
      </c>
      <c r="Z1284" s="14">
        <v>3791.4</v>
      </c>
      <c r="AA1284" s="14"/>
      <c r="AB1284" s="14"/>
      <c r="AC1284" s="15">
        <f>IFERROR(Z1284/G1284-1,"")</f>
        <v>0.83115189567737269</v>
      </c>
      <c r="AD1284" s="15">
        <f>IFERROR((Z1284/G1284)^(1/19)-1,"")</f>
        <v>3.2351512659855031E-2</v>
      </c>
    </row>
    <row r="1285" spans="1:30">
      <c r="A1285" s="45" t="s">
        <v>391</v>
      </c>
      <c r="B1285" s="45" t="s">
        <v>392</v>
      </c>
      <c r="C1285" s="45" t="s">
        <v>498</v>
      </c>
      <c r="D1285" s="45" t="s">
        <v>497</v>
      </c>
      <c r="E1285" s="45" t="s">
        <v>499</v>
      </c>
      <c r="F1285" s="45" t="s">
        <v>500</v>
      </c>
      <c r="G1285" s="14">
        <v>8565.2000000000007</v>
      </c>
      <c r="H1285" s="14">
        <v>8211.2999999999993</v>
      </c>
      <c r="I1285" s="14">
        <v>8991</v>
      </c>
      <c r="J1285" s="14">
        <v>9508.2000000000007</v>
      </c>
      <c r="K1285" s="14">
        <v>10831.1</v>
      </c>
      <c r="L1285" s="14">
        <v>12792.8</v>
      </c>
      <c r="M1285" s="14">
        <v>12686.9</v>
      </c>
      <c r="N1285" s="14">
        <v>14221.9</v>
      </c>
      <c r="O1285" s="14">
        <v>13048</v>
      </c>
      <c r="P1285" s="14">
        <v>13957.9</v>
      </c>
      <c r="Q1285" s="14">
        <v>14131.6</v>
      </c>
      <c r="R1285" s="14">
        <v>15491.2</v>
      </c>
      <c r="S1285" s="14">
        <v>15354.1</v>
      </c>
      <c r="T1285" s="14">
        <v>15150.5</v>
      </c>
      <c r="U1285" s="14">
        <v>15275.3</v>
      </c>
      <c r="V1285" s="14">
        <v>15802.8</v>
      </c>
      <c r="W1285" s="14">
        <v>16047.9</v>
      </c>
      <c r="X1285" s="14">
        <v>16311.6</v>
      </c>
      <c r="Y1285" s="14">
        <v>15925.8</v>
      </c>
      <c r="Z1285" s="14">
        <v>14455.2</v>
      </c>
      <c r="AA1285" s="14"/>
      <c r="AB1285" s="14"/>
      <c r="AC1285" s="15">
        <f>IFERROR(Z1285/G1285-1,"")</f>
        <v>0.68766637089618454</v>
      </c>
      <c r="AD1285" s="15">
        <f>IFERROR((Z1285/G1285)^(1/19)-1,"")</f>
        <v>2.7927423351089775E-2</v>
      </c>
    </row>
    <row r="1286" spans="1:30">
      <c r="A1286" s="45" t="s">
        <v>391</v>
      </c>
      <c r="B1286" s="45" t="s">
        <v>392</v>
      </c>
      <c r="C1286" s="45" t="s">
        <v>498</v>
      </c>
      <c r="D1286" s="45" t="s">
        <v>501</v>
      </c>
      <c r="E1286" s="45" t="s">
        <v>499</v>
      </c>
      <c r="F1286" s="45" t="s">
        <v>500</v>
      </c>
      <c r="G1286" s="14">
        <v>1191.5</v>
      </c>
      <c r="H1286" s="14">
        <v>2299.1</v>
      </c>
      <c r="I1286" s="14">
        <v>2955.6</v>
      </c>
      <c r="J1286" s="14">
        <v>1895.6</v>
      </c>
      <c r="K1286" s="14">
        <v>1484.6</v>
      </c>
      <c r="L1286" s="14">
        <v>1312</v>
      </c>
      <c r="M1286" s="14">
        <v>2541.9</v>
      </c>
      <c r="N1286" s="14">
        <v>1348.8</v>
      </c>
      <c r="O1286" s="14">
        <v>838</v>
      </c>
      <c r="P1286" s="14">
        <v>1742.1</v>
      </c>
      <c r="Q1286" s="14">
        <v>557.6</v>
      </c>
      <c r="R1286" s="14">
        <v>536.20000000000005</v>
      </c>
      <c r="S1286" s="14">
        <v>446.3</v>
      </c>
      <c r="T1286" s="14">
        <v>480.1</v>
      </c>
      <c r="U1286" s="14">
        <v>503.1</v>
      </c>
      <c r="V1286" s="14">
        <v>472.4</v>
      </c>
      <c r="W1286" s="14">
        <v>637.1</v>
      </c>
      <c r="X1286" s="14">
        <v>1813.2</v>
      </c>
      <c r="Y1286" s="14">
        <v>1995.3</v>
      </c>
      <c r="Z1286" s="14">
        <v>1602.1</v>
      </c>
      <c r="AA1286" s="14"/>
      <c r="AB1286" s="14"/>
      <c r="AC1286" s="15">
        <f>IFERROR(Z1286/G1286-1,"")</f>
        <v>0.34460763743180856</v>
      </c>
      <c r="AD1286" s="15">
        <f>IFERROR((Z1286/G1286)^(1/19)-1,"")</f>
        <v>1.5706397957795382E-2</v>
      </c>
    </row>
    <row r="1287" spans="1:30">
      <c r="A1287" s="45" t="s">
        <v>337</v>
      </c>
      <c r="B1287" s="45" t="s">
        <v>338</v>
      </c>
      <c r="C1287" s="45" t="s">
        <v>490</v>
      </c>
      <c r="D1287" s="45" t="s">
        <v>491</v>
      </c>
      <c r="E1287" s="45" t="s">
        <v>492</v>
      </c>
      <c r="F1287" s="45" t="s">
        <v>493</v>
      </c>
      <c r="G1287" s="14">
        <v>9029</v>
      </c>
      <c r="H1287" s="14">
        <v>10876</v>
      </c>
      <c r="I1287" s="14">
        <v>12064</v>
      </c>
      <c r="J1287" s="14">
        <v>13790</v>
      </c>
      <c r="K1287" s="14">
        <v>16528</v>
      </c>
      <c r="L1287" s="14">
        <v>18288</v>
      </c>
      <c r="M1287" s="14">
        <v>18853</v>
      </c>
      <c r="N1287" s="14">
        <v>24081</v>
      </c>
      <c r="O1287" s="14">
        <v>23905</v>
      </c>
      <c r="P1287" s="14">
        <v>28228</v>
      </c>
      <c r="Q1287" s="14">
        <v>33296</v>
      </c>
      <c r="R1287" s="14">
        <v>38860</v>
      </c>
      <c r="S1287" s="14">
        <v>43172</v>
      </c>
      <c r="T1287" s="14">
        <v>49903</v>
      </c>
      <c r="U1287" s="14">
        <v>47436</v>
      </c>
      <c r="V1287" s="14">
        <v>48863</v>
      </c>
      <c r="W1287" s="14">
        <v>46657</v>
      </c>
      <c r="X1287" s="14">
        <v>52976</v>
      </c>
      <c r="Y1287" s="14">
        <v>55435</v>
      </c>
      <c r="Z1287" s="14">
        <v>63596</v>
      </c>
      <c r="AA1287" s="14">
        <v>68979</v>
      </c>
      <c r="AB1287" s="14">
        <v>77560</v>
      </c>
    </row>
    <row r="1288" spans="1:30">
      <c r="A1288" s="45" t="s">
        <v>337</v>
      </c>
      <c r="B1288" s="45" t="s">
        <v>338</v>
      </c>
      <c r="C1288" s="45" t="s">
        <v>490</v>
      </c>
      <c r="D1288" s="45" t="s">
        <v>494</v>
      </c>
      <c r="E1288" s="45" t="s">
        <v>492</v>
      </c>
      <c r="F1288" s="45" t="s">
        <v>493</v>
      </c>
      <c r="G1288" s="14">
        <v>8598</v>
      </c>
      <c r="H1288" s="14">
        <v>10449</v>
      </c>
      <c r="I1288" s="14">
        <v>11522</v>
      </c>
      <c r="J1288" s="14">
        <v>13000</v>
      </c>
      <c r="K1288" s="14">
        <v>15100</v>
      </c>
      <c r="L1288" s="14">
        <v>16561</v>
      </c>
      <c r="M1288" s="14">
        <v>17227</v>
      </c>
      <c r="N1288" s="14">
        <v>22139</v>
      </c>
      <c r="O1288" s="14">
        <v>21584</v>
      </c>
      <c r="P1288" s="14">
        <v>25501</v>
      </c>
      <c r="Q1288" s="14">
        <v>30061</v>
      </c>
      <c r="R1288" s="14">
        <v>34594</v>
      </c>
      <c r="S1288" s="14">
        <v>38451</v>
      </c>
      <c r="T1288" s="14">
        <v>44219</v>
      </c>
      <c r="U1288" s="14">
        <v>45437</v>
      </c>
      <c r="V1288" s="14">
        <v>46604</v>
      </c>
      <c r="W1288" s="14">
        <v>44622</v>
      </c>
      <c r="X1288" s="14">
        <v>50621</v>
      </c>
      <c r="Y1288" s="14">
        <v>53231</v>
      </c>
      <c r="Z1288" s="14">
        <v>60012</v>
      </c>
      <c r="AA1288" s="14"/>
      <c r="AB1288" s="14"/>
    </row>
    <row r="1289" spans="1:30">
      <c r="A1289" s="45" t="s">
        <v>337</v>
      </c>
      <c r="B1289" s="45" t="s">
        <v>338</v>
      </c>
      <c r="C1289" s="45" t="s">
        <v>490</v>
      </c>
      <c r="D1289" s="45" t="s">
        <v>495</v>
      </c>
      <c r="E1289" s="45" t="s">
        <v>492</v>
      </c>
      <c r="F1289" s="45" t="s">
        <v>493</v>
      </c>
      <c r="G1289" s="14">
        <v>488</v>
      </c>
      <c r="H1289" s="14">
        <v>484</v>
      </c>
      <c r="I1289" s="14">
        <v>583</v>
      </c>
      <c r="J1289" s="14">
        <v>826</v>
      </c>
      <c r="K1289" s="14">
        <v>928</v>
      </c>
      <c r="L1289" s="14">
        <v>1684</v>
      </c>
      <c r="M1289" s="14">
        <v>1207</v>
      </c>
      <c r="N1289" s="14">
        <v>2519</v>
      </c>
      <c r="O1289" s="14">
        <v>2533</v>
      </c>
      <c r="P1289" s="14">
        <v>3363</v>
      </c>
      <c r="Q1289" s="14">
        <v>5405</v>
      </c>
      <c r="R1289" s="14">
        <v>5291</v>
      </c>
      <c r="S1289" s="14">
        <v>5294</v>
      </c>
      <c r="T1289" s="14">
        <v>7698</v>
      </c>
      <c r="U1289" s="14">
        <v>10374</v>
      </c>
      <c r="V1289" s="14">
        <v>7465</v>
      </c>
      <c r="W1289" s="14">
        <v>7225</v>
      </c>
      <c r="X1289" s="14">
        <v>7713</v>
      </c>
      <c r="Y1289" s="14">
        <v>6981</v>
      </c>
      <c r="Z1289" s="14">
        <v>8497</v>
      </c>
      <c r="AA1289" s="14"/>
      <c r="AB1289" s="14"/>
    </row>
    <row r="1290" spans="1:30">
      <c r="A1290" s="45" t="s">
        <v>337</v>
      </c>
      <c r="B1290" s="45" t="s">
        <v>338</v>
      </c>
      <c r="C1290" s="45" t="s">
        <v>490</v>
      </c>
      <c r="D1290" s="45" t="s">
        <v>496</v>
      </c>
      <c r="E1290" s="45" t="s">
        <v>492</v>
      </c>
      <c r="F1290" s="45" t="s">
        <v>493</v>
      </c>
      <c r="G1290" s="14">
        <v>1438</v>
      </c>
      <c r="H1290" s="14">
        <v>1798</v>
      </c>
      <c r="I1290" s="14">
        <v>2120</v>
      </c>
      <c r="J1290" s="14">
        <v>2751</v>
      </c>
      <c r="K1290" s="14">
        <v>3547</v>
      </c>
      <c r="L1290" s="14">
        <v>3613</v>
      </c>
      <c r="M1290" s="14">
        <v>2923</v>
      </c>
      <c r="N1290" s="14">
        <v>5119</v>
      </c>
      <c r="O1290" s="14">
        <v>5071</v>
      </c>
      <c r="P1290" s="14">
        <v>6350</v>
      </c>
      <c r="Q1290" s="14">
        <v>8331</v>
      </c>
      <c r="R1290" s="14">
        <v>8049</v>
      </c>
      <c r="S1290" s="14">
        <v>9885</v>
      </c>
      <c r="T1290" s="14">
        <v>10494</v>
      </c>
      <c r="U1290" s="14">
        <v>7866</v>
      </c>
      <c r="V1290" s="14">
        <v>10357</v>
      </c>
      <c r="W1290" s="14">
        <v>8826</v>
      </c>
      <c r="X1290" s="14">
        <v>10561</v>
      </c>
      <c r="Y1290" s="14">
        <v>11272</v>
      </c>
      <c r="Z1290" s="14">
        <v>11786</v>
      </c>
      <c r="AA1290" s="14"/>
      <c r="AB1290" s="14"/>
    </row>
    <row r="1291" spans="1:30">
      <c r="A1291" s="45" t="s">
        <v>337</v>
      </c>
      <c r="B1291" s="45" t="s">
        <v>338</v>
      </c>
      <c r="C1291" s="45" t="s">
        <v>490</v>
      </c>
      <c r="D1291" s="45" t="s">
        <v>497</v>
      </c>
      <c r="E1291" s="45" t="s">
        <v>492</v>
      </c>
      <c r="F1291" s="45" t="s">
        <v>493</v>
      </c>
      <c r="G1291" s="14">
        <v>4247</v>
      </c>
      <c r="H1291" s="14">
        <v>4904</v>
      </c>
      <c r="I1291" s="14">
        <v>5262</v>
      </c>
      <c r="J1291" s="14">
        <v>5813</v>
      </c>
      <c r="K1291" s="14">
        <v>6709</v>
      </c>
      <c r="L1291" s="14">
        <v>8223</v>
      </c>
      <c r="M1291" s="14">
        <v>9363</v>
      </c>
      <c r="N1291" s="14">
        <v>10113</v>
      </c>
      <c r="O1291" s="14">
        <v>10485</v>
      </c>
      <c r="P1291" s="14">
        <v>11975</v>
      </c>
      <c r="Q1291" s="14">
        <v>13163</v>
      </c>
      <c r="R1291" s="14">
        <v>15969</v>
      </c>
      <c r="S1291" s="14">
        <v>17137</v>
      </c>
      <c r="T1291" s="14">
        <v>18300</v>
      </c>
      <c r="U1291" s="14">
        <v>19970</v>
      </c>
      <c r="V1291" s="14">
        <v>21733</v>
      </c>
      <c r="W1291" s="14">
        <v>21276</v>
      </c>
      <c r="X1291" s="14">
        <v>24106</v>
      </c>
      <c r="Y1291" s="14">
        <v>25233</v>
      </c>
      <c r="Z1291" s="14">
        <v>26599</v>
      </c>
      <c r="AA1291" s="14"/>
      <c r="AB1291" s="14"/>
    </row>
    <row r="1292" spans="1:30">
      <c r="A1292" s="45" t="s">
        <v>337</v>
      </c>
      <c r="B1292" s="45" t="s">
        <v>338</v>
      </c>
      <c r="C1292" s="45" t="s">
        <v>498</v>
      </c>
      <c r="D1292" s="45" t="s">
        <v>491</v>
      </c>
      <c r="E1292" s="45" t="s">
        <v>499</v>
      </c>
      <c r="F1292" s="45" t="s">
        <v>500</v>
      </c>
      <c r="G1292" s="14">
        <v>17153.2</v>
      </c>
      <c r="H1292" s="14">
        <v>18109.2</v>
      </c>
      <c r="I1292" s="14">
        <v>18642.2</v>
      </c>
      <c r="J1292" s="14">
        <v>19835.3</v>
      </c>
      <c r="K1292" s="14">
        <v>22266.5</v>
      </c>
      <c r="L1292" s="14">
        <v>23146.400000000001</v>
      </c>
      <c r="M1292" s="14">
        <v>21936.400000000001</v>
      </c>
      <c r="N1292" s="14">
        <v>26109.4</v>
      </c>
      <c r="O1292" s="14">
        <v>23905</v>
      </c>
      <c r="P1292" s="14">
        <v>26060.2</v>
      </c>
      <c r="Q1292" s="14">
        <v>28477</v>
      </c>
      <c r="R1292" s="14">
        <v>30915.599999999999</v>
      </c>
      <c r="S1292" s="14">
        <v>31847.1</v>
      </c>
      <c r="T1292" s="14">
        <v>34223.1</v>
      </c>
      <c r="U1292" s="14">
        <v>30092.6</v>
      </c>
      <c r="V1292" s="14">
        <v>29900.2</v>
      </c>
      <c r="W1292" s="14">
        <v>27322.5</v>
      </c>
      <c r="X1292" s="14">
        <v>29765.599999999999</v>
      </c>
      <c r="Y1292" s="14">
        <v>29253.8</v>
      </c>
      <c r="Z1292" s="14">
        <v>29687.1</v>
      </c>
      <c r="AA1292" s="14"/>
      <c r="AB1292" s="14"/>
      <c r="AC1292" s="15">
        <f>IFERROR(Z1292/G1292-1,"")</f>
        <v>0.73070330900356772</v>
      </c>
      <c r="AD1292" s="15">
        <f>IFERROR((Z1292/G1292)^(1/19)-1,"")</f>
        <v>2.9290662202150264E-2</v>
      </c>
    </row>
    <row r="1293" spans="1:30">
      <c r="A1293" s="45" t="s">
        <v>337</v>
      </c>
      <c r="B1293" s="45" t="s">
        <v>338</v>
      </c>
      <c r="C1293" s="45" t="s">
        <v>498</v>
      </c>
      <c r="D1293" s="45" t="s">
        <v>495</v>
      </c>
      <c r="E1293" s="45" t="s">
        <v>499</v>
      </c>
      <c r="F1293" s="45" t="s">
        <v>500</v>
      </c>
      <c r="G1293" s="14">
        <v>927</v>
      </c>
      <c r="H1293" s="14">
        <v>806.3</v>
      </c>
      <c r="I1293" s="14">
        <v>900.3</v>
      </c>
      <c r="J1293" s="14">
        <v>1188.4000000000001</v>
      </c>
      <c r="K1293" s="14">
        <v>1249.8</v>
      </c>
      <c r="L1293" s="14">
        <v>2130.8000000000002</v>
      </c>
      <c r="M1293" s="14">
        <v>1405</v>
      </c>
      <c r="N1293" s="14">
        <v>2731.2</v>
      </c>
      <c r="O1293" s="14">
        <v>2533</v>
      </c>
      <c r="P1293" s="14">
        <v>3104.7</v>
      </c>
      <c r="Q1293" s="14">
        <v>4622.7</v>
      </c>
      <c r="R1293" s="14">
        <v>4209.3</v>
      </c>
      <c r="S1293" s="14">
        <v>3905.3</v>
      </c>
      <c r="T1293" s="14">
        <v>5279.2</v>
      </c>
      <c r="U1293" s="14">
        <v>6581.1</v>
      </c>
      <c r="V1293" s="14">
        <v>4568</v>
      </c>
      <c r="W1293" s="14">
        <v>4231</v>
      </c>
      <c r="X1293" s="14">
        <v>4333.7</v>
      </c>
      <c r="Y1293" s="14">
        <v>3684</v>
      </c>
      <c r="Z1293" s="14">
        <v>3966.5</v>
      </c>
      <c r="AA1293" s="14"/>
      <c r="AB1293" s="14"/>
      <c r="AC1293" s="15">
        <f>IFERROR(Z1293/G1293-1,"")</f>
        <v>3.2788565264293421</v>
      </c>
      <c r="AD1293" s="15">
        <f>IFERROR((Z1293/G1293)^(1/19)-1,"")</f>
        <v>7.9512747191610611E-2</v>
      </c>
    </row>
    <row r="1294" spans="1:30">
      <c r="A1294" s="45" t="s">
        <v>337</v>
      </c>
      <c r="B1294" s="45" t="s">
        <v>338</v>
      </c>
      <c r="C1294" s="45" t="s">
        <v>498</v>
      </c>
      <c r="D1294" s="45" t="s">
        <v>496</v>
      </c>
      <c r="E1294" s="45" t="s">
        <v>499</v>
      </c>
      <c r="F1294" s="45" t="s">
        <v>500</v>
      </c>
      <c r="G1294" s="14">
        <v>2731.7</v>
      </c>
      <c r="H1294" s="14">
        <v>2994</v>
      </c>
      <c r="I1294" s="14">
        <v>3275.6</v>
      </c>
      <c r="J1294" s="14">
        <v>3956.9</v>
      </c>
      <c r="K1294" s="14">
        <v>4778.2</v>
      </c>
      <c r="L1294" s="14">
        <v>4573.1000000000004</v>
      </c>
      <c r="M1294" s="14">
        <v>3401.2</v>
      </c>
      <c r="N1294" s="14">
        <v>5550.2</v>
      </c>
      <c r="O1294" s="14">
        <v>5071</v>
      </c>
      <c r="P1294" s="14">
        <v>5862.3</v>
      </c>
      <c r="Q1294" s="14">
        <v>7125.2</v>
      </c>
      <c r="R1294" s="14">
        <v>6403.5</v>
      </c>
      <c r="S1294" s="14">
        <v>7292</v>
      </c>
      <c r="T1294" s="14">
        <v>7196.7</v>
      </c>
      <c r="U1294" s="14">
        <v>4990.1000000000004</v>
      </c>
      <c r="V1294" s="14">
        <v>6337.6</v>
      </c>
      <c r="W1294" s="14">
        <v>5168.5</v>
      </c>
      <c r="X1294" s="14">
        <v>5933.9</v>
      </c>
      <c r="Y1294" s="14">
        <v>5948.4</v>
      </c>
      <c r="Z1294" s="14">
        <v>5502.3</v>
      </c>
      <c r="AA1294" s="14"/>
      <c r="AB1294" s="14"/>
      <c r="AC1294" s="15">
        <f>IFERROR(Z1294/G1294-1,"")</f>
        <v>1.0142402167148665</v>
      </c>
      <c r="AD1294" s="15">
        <f>IFERROR((Z1294/G1294)^(1/19)-1,"")</f>
        <v>3.754240574655765E-2</v>
      </c>
    </row>
    <row r="1295" spans="1:30">
      <c r="A1295" s="45" t="s">
        <v>337</v>
      </c>
      <c r="B1295" s="45" t="s">
        <v>338</v>
      </c>
      <c r="C1295" s="45" t="s">
        <v>498</v>
      </c>
      <c r="D1295" s="45" t="s">
        <v>497</v>
      </c>
      <c r="E1295" s="45" t="s">
        <v>499</v>
      </c>
      <c r="F1295" s="45" t="s">
        <v>500</v>
      </c>
      <c r="G1295" s="14">
        <v>8067.7</v>
      </c>
      <c r="H1295" s="14">
        <v>8165</v>
      </c>
      <c r="I1295" s="14">
        <v>8131.6</v>
      </c>
      <c r="J1295" s="14">
        <v>8362.1</v>
      </c>
      <c r="K1295" s="14">
        <v>9038.5</v>
      </c>
      <c r="L1295" s="14">
        <v>10407.9</v>
      </c>
      <c r="M1295" s="14">
        <v>10894.3</v>
      </c>
      <c r="N1295" s="14">
        <v>10964.9</v>
      </c>
      <c r="O1295" s="14">
        <v>10485</v>
      </c>
      <c r="P1295" s="14">
        <v>11055.4</v>
      </c>
      <c r="Q1295" s="14">
        <v>11257.9</v>
      </c>
      <c r="R1295" s="14">
        <v>12704.4</v>
      </c>
      <c r="S1295" s="14">
        <v>12641.6</v>
      </c>
      <c r="T1295" s="14">
        <v>12550</v>
      </c>
      <c r="U1295" s="14">
        <v>12668.7</v>
      </c>
      <c r="V1295" s="14">
        <v>13298.8</v>
      </c>
      <c r="W1295" s="14">
        <v>12459.3</v>
      </c>
      <c r="X1295" s="14">
        <v>13544.4</v>
      </c>
      <c r="Y1295" s="14">
        <v>13315.8</v>
      </c>
      <c r="Z1295" s="14">
        <v>12417.1</v>
      </c>
      <c r="AA1295" s="14"/>
      <c r="AB1295" s="14"/>
      <c r="AC1295" s="15">
        <f>IFERROR(Z1295/G1295-1,"")</f>
        <v>0.53911275828302996</v>
      </c>
      <c r="AD1295" s="15">
        <f>IFERROR((Z1295/G1295)^(1/19)-1,"")</f>
        <v>2.2954551111389332E-2</v>
      </c>
    </row>
    <row r="1296" spans="1:30">
      <c r="A1296" s="45" t="s">
        <v>337</v>
      </c>
      <c r="B1296" s="45" t="s">
        <v>338</v>
      </c>
      <c r="C1296" s="45" t="s">
        <v>498</v>
      </c>
      <c r="D1296" s="45" t="s">
        <v>501</v>
      </c>
      <c r="E1296" s="45" t="s">
        <v>499</v>
      </c>
      <c r="F1296" s="45" t="s">
        <v>500</v>
      </c>
      <c r="G1296" s="14">
        <v>4607.5</v>
      </c>
      <c r="H1296" s="14">
        <v>5433.9</v>
      </c>
      <c r="I1296" s="14">
        <v>5498.1</v>
      </c>
      <c r="J1296" s="14">
        <v>5192.7</v>
      </c>
      <c r="K1296" s="14">
        <v>5275.5</v>
      </c>
      <c r="L1296" s="14">
        <v>3848.6</v>
      </c>
      <c r="M1296" s="14">
        <v>4344</v>
      </c>
      <c r="N1296" s="14">
        <v>4757.6000000000004</v>
      </c>
      <c r="O1296" s="14">
        <v>3496</v>
      </c>
      <c r="P1296" s="14">
        <v>3519.2</v>
      </c>
      <c r="Q1296" s="14">
        <v>2705.2</v>
      </c>
      <c r="R1296" s="14">
        <v>4205.3999999999996</v>
      </c>
      <c r="S1296" s="14">
        <v>4525.7</v>
      </c>
      <c r="T1296" s="14">
        <v>5299.8</v>
      </c>
      <c r="U1296" s="14">
        <v>4585.3</v>
      </c>
      <c r="V1296" s="14">
        <v>4314</v>
      </c>
      <c r="W1296" s="14">
        <v>4272</v>
      </c>
      <c r="X1296" s="14">
        <v>4630.8999999999996</v>
      </c>
      <c r="Y1296" s="14">
        <v>5143.1000000000004</v>
      </c>
      <c r="Z1296" s="14">
        <v>6129.2</v>
      </c>
      <c r="AA1296" s="14"/>
      <c r="AB1296" s="14"/>
      <c r="AC1296" s="15">
        <f>IFERROR(Z1296/G1296-1,"")</f>
        <v>0.33026587086272374</v>
      </c>
      <c r="AD1296" s="15">
        <f>IFERROR((Z1296/G1296)^(1/19)-1,"")</f>
        <v>1.5133304310603446E-2</v>
      </c>
    </row>
    <row r="1297" spans="1:30">
      <c r="A1297" s="45" t="s">
        <v>361</v>
      </c>
      <c r="B1297" s="45" t="s">
        <v>362</v>
      </c>
      <c r="C1297" s="45" t="s">
        <v>490</v>
      </c>
      <c r="D1297" s="45" t="s">
        <v>491</v>
      </c>
      <c r="E1297" s="45" t="s">
        <v>492</v>
      </c>
      <c r="F1297" s="45" t="s">
        <v>493</v>
      </c>
      <c r="G1297" s="14">
        <v>7262</v>
      </c>
      <c r="H1297" s="14">
        <v>7780</v>
      </c>
      <c r="I1297" s="14">
        <v>9249</v>
      </c>
      <c r="J1297" s="14">
        <v>10561</v>
      </c>
      <c r="K1297" s="14">
        <v>11449</v>
      </c>
      <c r="L1297" s="14">
        <v>13667</v>
      </c>
      <c r="M1297" s="14">
        <v>15868</v>
      </c>
      <c r="N1297" s="14">
        <v>17692</v>
      </c>
      <c r="O1297" s="14">
        <v>18421</v>
      </c>
      <c r="P1297" s="14">
        <v>22028</v>
      </c>
      <c r="Q1297" s="14">
        <v>23561</v>
      </c>
      <c r="R1297" s="14">
        <v>28506</v>
      </c>
      <c r="S1297" s="14">
        <v>30203</v>
      </c>
      <c r="T1297" s="14">
        <v>32413</v>
      </c>
      <c r="U1297" s="14">
        <v>43755</v>
      </c>
      <c r="V1297" s="14">
        <v>38685</v>
      </c>
      <c r="W1297" s="14">
        <v>46231</v>
      </c>
      <c r="X1297" s="14">
        <v>50054</v>
      </c>
      <c r="Y1297" s="14">
        <v>50707</v>
      </c>
      <c r="Z1297" s="14">
        <v>54447</v>
      </c>
      <c r="AA1297" s="14">
        <v>65016</v>
      </c>
      <c r="AB1297" s="14">
        <v>74357</v>
      </c>
    </row>
    <row r="1298" spans="1:30">
      <c r="A1298" s="45" t="s">
        <v>361</v>
      </c>
      <c r="B1298" s="45" t="s">
        <v>362</v>
      </c>
      <c r="C1298" s="45" t="s">
        <v>490</v>
      </c>
      <c r="D1298" s="45" t="s">
        <v>494</v>
      </c>
      <c r="E1298" s="45" t="s">
        <v>492</v>
      </c>
      <c r="F1298" s="45" t="s">
        <v>493</v>
      </c>
      <c r="G1298" s="14">
        <v>7018</v>
      </c>
      <c r="H1298" s="14">
        <v>7541</v>
      </c>
      <c r="I1298" s="14">
        <v>8913</v>
      </c>
      <c r="J1298" s="14">
        <v>10132</v>
      </c>
      <c r="K1298" s="14">
        <v>10910</v>
      </c>
      <c r="L1298" s="14">
        <v>12894</v>
      </c>
      <c r="M1298" s="14">
        <v>14816</v>
      </c>
      <c r="N1298" s="14">
        <v>16849</v>
      </c>
      <c r="O1298" s="14">
        <v>17177</v>
      </c>
      <c r="P1298" s="14">
        <v>20654</v>
      </c>
      <c r="Q1298" s="14">
        <v>22048</v>
      </c>
      <c r="R1298" s="14">
        <v>26822</v>
      </c>
      <c r="S1298" s="14">
        <v>28389</v>
      </c>
      <c r="T1298" s="14">
        <v>30574</v>
      </c>
      <c r="U1298" s="14">
        <v>41342</v>
      </c>
      <c r="V1298" s="14">
        <v>37288</v>
      </c>
      <c r="W1298" s="14">
        <v>43472</v>
      </c>
      <c r="X1298" s="14">
        <v>47542</v>
      </c>
      <c r="Y1298" s="14">
        <v>48216</v>
      </c>
      <c r="Z1298" s="14">
        <v>51660</v>
      </c>
      <c r="AA1298" s="14"/>
      <c r="AB1298" s="14"/>
    </row>
    <row r="1299" spans="1:30">
      <c r="A1299" s="45" t="s">
        <v>361</v>
      </c>
      <c r="B1299" s="45" t="s">
        <v>362</v>
      </c>
      <c r="C1299" s="45" t="s">
        <v>490</v>
      </c>
      <c r="D1299" s="45" t="s">
        <v>495</v>
      </c>
      <c r="E1299" s="45" t="s">
        <v>492</v>
      </c>
      <c r="F1299" s="45" t="s">
        <v>493</v>
      </c>
      <c r="G1299" s="14">
        <v>459</v>
      </c>
      <c r="H1299" s="14">
        <v>353</v>
      </c>
      <c r="I1299" s="14">
        <v>419</v>
      </c>
      <c r="J1299" s="14">
        <v>574</v>
      </c>
      <c r="K1299" s="14">
        <v>617</v>
      </c>
      <c r="L1299" s="14">
        <v>852</v>
      </c>
      <c r="M1299" s="14">
        <v>862</v>
      </c>
      <c r="N1299" s="14">
        <v>1177</v>
      </c>
      <c r="O1299" s="14">
        <v>1340</v>
      </c>
      <c r="P1299" s="14">
        <v>1963</v>
      </c>
      <c r="Q1299" s="14">
        <v>2447</v>
      </c>
      <c r="R1299" s="14">
        <v>2377</v>
      </c>
      <c r="S1299" s="14">
        <v>2212</v>
      </c>
      <c r="T1299" s="14">
        <v>2559</v>
      </c>
      <c r="U1299" s="14">
        <v>9707</v>
      </c>
      <c r="V1299" s="14">
        <v>5509</v>
      </c>
      <c r="W1299" s="14">
        <v>5412</v>
      </c>
      <c r="X1299" s="14">
        <v>4672</v>
      </c>
      <c r="Y1299" s="14">
        <v>3184</v>
      </c>
      <c r="Z1299" s="14">
        <v>3572</v>
      </c>
      <c r="AA1299" s="14"/>
      <c r="AB1299" s="14"/>
    </row>
    <row r="1300" spans="1:30">
      <c r="A1300" s="45" t="s">
        <v>361</v>
      </c>
      <c r="B1300" s="45" t="s">
        <v>362</v>
      </c>
      <c r="C1300" s="45" t="s">
        <v>490</v>
      </c>
      <c r="D1300" s="45" t="s">
        <v>496</v>
      </c>
      <c r="E1300" s="45" t="s">
        <v>492</v>
      </c>
      <c r="F1300" s="45" t="s">
        <v>493</v>
      </c>
      <c r="G1300" s="14">
        <v>1589</v>
      </c>
      <c r="H1300" s="14">
        <v>1659</v>
      </c>
      <c r="I1300" s="14">
        <v>2031</v>
      </c>
      <c r="J1300" s="14">
        <v>2255</v>
      </c>
      <c r="K1300" s="14">
        <v>2347</v>
      </c>
      <c r="L1300" s="14">
        <v>2921</v>
      </c>
      <c r="M1300" s="14">
        <v>3183</v>
      </c>
      <c r="N1300" s="14">
        <v>3585</v>
      </c>
      <c r="O1300" s="14">
        <v>4466</v>
      </c>
      <c r="P1300" s="14">
        <v>4879</v>
      </c>
      <c r="Q1300" s="14">
        <v>5599</v>
      </c>
      <c r="R1300" s="14">
        <v>6116</v>
      </c>
      <c r="S1300" s="14">
        <v>6005</v>
      </c>
      <c r="T1300" s="14">
        <v>7206</v>
      </c>
      <c r="U1300" s="14">
        <v>9344</v>
      </c>
      <c r="V1300" s="14">
        <v>7761</v>
      </c>
      <c r="W1300" s="14">
        <v>12005</v>
      </c>
      <c r="X1300" s="14">
        <v>13966</v>
      </c>
      <c r="Y1300" s="14">
        <v>14558</v>
      </c>
      <c r="Z1300" s="14">
        <v>14869</v>
      </c>
      <c r="AA1300" s="14"/>
      <c r="AB1300" s="14"/>
    </row>
    <row r="1301" spans="1:30">
      <c r="A1301" s="45" t="s">
        <v>361</v>
      </c>
      <c r="B1301" s="45" t="s">
        <v>362</v>
      </c>
      <c r="C1301" s="45" t="s">
        <v>490</v>
      </c>
      <c r="D1301" s="45" t="s">
        <v>497</v>
      </c>
      <c r="E1301" s="45" t="s">
        <v>492</v>
      </c>
      <c r="F1301" s="45" t="s">
        <v>493</v>
      </c>
      <c r="G1301" s="14">
        <v>4413</v>
      </c>
      <c r="H1301" s="14">
        <v>4782</v>
      </c>
      <c r="I1301" s="14">
        <v>5609</v>
      </c>
      <c r="J1301" s="14">
        <v>6693</v>
      </c>
      <c r="K1301" s="14">
        <v>7208</v>
      </c>
      <c r="L1301" s="14">
        <v>8274</v>
      </c>
      <c r="M1301" s="14">
        <v>9228</v>
      </c>
      <c r="N1301" s="14">
        <v>10628</v>
      </c>
      <c r="O1301" s="14">
        <v>10393</v>
      </c>
      <c r="P1301" s="14">
        <v>12609</v>
      </c>
      <c r="Q1301" s="14">
        <v>13042</v>
      </c>
      <c r="R1301" s="14">
        <v>17165</v>
      </c>
      <c r="S1301" s="14">
        <v>18641</v>
      </c>
      <c r="T1301" s="14">
        <v>19449</v>
      </c>
      <c r="U1301" s="14">
        <v>20827</v>
      </c>
      <c r="V1301" s="14">
        <v>22452</v>
      </c>
      <c r="W1301" s="14">
        <v>24447</v>
      </c>
      <c r="X1301" s="14">
        <v>27105</v>
      </c>
      <c r="Y1301" s="14">
        <v>28317</v>
      </c>
      <c r="Z1301" s="14">
        <v>30777</v>
      </c>
      <c r="AA1301" s="14"/>
      <c r="AB1301" s="14"/>
    </row>
    <row r="1302" spans="1:30">
      <c r="A1302" s="45" t="s">
        <v>361</v>
      </c>
      <c r="B1302" s="45" t="s">
        <v>362</v>
      </c>
      <c r="C1302" s="45" t="s">
        <v>498</v>
      </c>
      <c r="D1302" s="45" t="s">
        <v>491</v>
      </c>
      <c r="E1302" s="45" t="s">
        <v>499</v>
      </c>
      <c r="F1302" s="45" t="s">
        <v>500</v>
      </c>
      <c r="G1302" s="14">
        <v>13796.4</v>
      </c>
      <c r="H1302" s="14">
        <v>12954.7</v>
      </c>
      <c r="I1302" s="14">
        <v>14293.1</v>
      </c>
      <c r="J1302" s="14">
        <v>15191.9</v>
      </c>
      <c r="K1302" s="14">
        <v>15424.2</v>
      </c>
      <c r="L1302" s="14">
        <v>17298.400000000001</v>
      </c>
      <c r="M1302" s="14">
        <v>18462.7</v>
      </c>
      <c r="N1302" s="14">
        <v>19182.3</v>
      </c>
      <c r="O1302" s="14">
        <v>18421</v>
      </c>
      <c r="P1302" s="14">
        <v>20336.3</v>
      </c>
      <c r="Q1302" s="14">
        <v>20151</v>
      </c>
      <c r="R1302" s="14">
        <v>22678.3</v>
      </c>
      <c r="S1302" s="14">
        <v>22280.2</v>
      </c>
      <c r="T1302" s="14">
        <v>22228.6</v>
      </c>
      <c r="U1302" s="14">
        <v>27757.5</v>
      </c>
      <c r="V1302" s="14">
        <v>23672.1</v>
      </c>
      <c r="W1302" s="14">
        <v>27073.1</v>
      </c>
      <c r="X1302" s="14">
        <v>28123.8</v>
      </c>
      <c r="Y1302" s="14">
        <v>26758.7</v>
      </c>
      <c r="Z1302" s="14">
        <v>25416.3</v>
      </c>
      <c r="AA1302" s="14"/>
      <c r="AB1302" s="14"/>
      <c r="AC1302" s="15">
        <f>IFERROR(Z1302/G1302-1,"")</f>
        <v>0.84224145429242414</v>
      </c>
      <c r="AD1302" s="15">
        <f>IFERROR((Z1302/G1302)^(1/19)-1,"")</f>
        <v>3.2679623927265533E-2</v>
      </c>
    </row>
    <row r="1303" spans="1:30">
      <c r="A1303" s="45" t="s">
        <v>361</v>
      </c>
      <c r="B1303" s="45" t="s">
        <v>362</v>
      </c>
      <c r="C1303" s="45" t="s">
        <v>498</v>
      </c>
      <c r="D1303" s="45" t="s">
        <v>495</v>
      </c>
      <c r="E1303" s="45" t="s">
        <v>499</v>
      </c>
      <c r="F1303" s="45" t="s">
        <v>500</v>
      </c>
      <c r="G1303" s="14">
        <v>871.1</v>
      </c>
      <c r="H1303" s="14">
        <v>588.4</v>
      </c>
      <c r="I1303" s="14">
        <v>647.5</v>
      </c>
      <c r="J1303" s="14">
        <v>825.4</v>
      </c>
      <c r="K1303" s="14">
        <v>830.9</v>
      </c>
      <c r="L1303" s="14">
        <v>1078.5</v>
      </c>
      <c r="M1303" s="14">
        <v>1003.2</v>
      </c>
      <c r="N1303" s="14">
        <v>1276.0999999999999</v>
      </c>
      <c r="O1303" s="14">
        <v>1340</v>
      </c>
      <c r="P1303" s="14">
        <v>1812.2</v>
      </c>
      <c r="Q1303" s="14">
        <v>2092.8000000000002</v>
      </c>
      <c r="R1303" s="14">
        <v>1891.1</v>
      </c>
      <c r="S1303" s="14">
        <v>1631.7</v>
      </c>
      <c r="T1303" s="14">
        <v>1754.9</v>
      </c>
      <c r="U1303" s="14">
        <v>6158</v>
      </c>
      <c r="V1303" s="14">
        <v>3371.1</v>
      </c>
      <c r="W1303" s="14">
        <v>3169.3</v>
      </c>
      <c r="X1303" s="14">
        <v>2625.1</v>
      </c>
      <c r="Y1303" s="14">
        <v>1680.2</v>
      </c>
      <c r="Z1303" s="14">
        <v>1667.4</v>
      </c>
      <c r="AA1303" s="14"/>
      <c r="AB1303" s="14"/>
      <c r="AC1303" s="15">
        <f>IFERROR(Z1303/G1303-1,"")</f>
        <v>0.91413155780048228</v>
      </c>
      <c r="AD1303" s="15">
        <f>IFERROR((Z1303/G1303)^(1/19)-1,"")</f>
        <v>3.4762354109988625E-2</v>
      </c>
    </row>
    <row r="1304" spans="1:30">
      <c r="A1304" s="45" t="s">
        <v>361</v>
      </c>
      <c r="B1304" s="45" t="s">
        <v>362</v>
      </c>
      <c r="C1304" s="45" t="s">
        <v>498</v>
      </c>
      <c r="D1304" s="45" t="s">
        <v>496</v>
      </c>
      <c r="E1304" s="45" t="s">
        <v>499</v>
      </c>
      <c r="F1304" s="45" t="s">
        <v>500</v>
      </c>
      <c r="G1304" s="14">
        <v>3019.4</v>
      </c>
      <c r="H1304" s="14">
        <v>2762.3</v>
      </c>
      <c r="I1304" s="14">
        <v>3138.1</v>
      </c>
      <c r="J1304" s="14">
        <v>3243.7</v>
      </c>
      <c r="K1304" s="14">
        <v>3161.6</v>
      </c>
      <c r="L1304" s="14">
        <v>3696.9</v>
      </c>
      <c r="M1304" s="14">
        <v>3703.9</v>
      </c>
      <c r="N1304" s="14">
        <v>3887</v>
      </c>
      <c r="O1304" s="14">
        <v>4466</v>
      </c>
      <c r="P1304" s="14">
        <v>4504.3</v>
      </c>
      <c r="Q1304" s="14">
        <v>4788.6000000000004</v>
      </c>
      <c r="R1304" s="14">
        <v>4865.7</v>
      </c>
      <c r="S1304" s="14">
        <v>4429.8</v>
      </c>
      <c r="T1304" s="14">
        <v>4941.8</v>
      </c>
      <c r="U1304" s="14">
        <v>5927.7</v>
      </c>
      <c r="V1304" s="14">
        <v>4749.1000000000004</v>
      </c>
      <c r="W1304" s="14">
        <v>7030.2</v>
      </c>
      <c r="X1304" s="14">
        <v>7847.1</v>
      </c>
      <c r="Y1304" s="14">
        <v>7682.4</v>
      </c>
      <c r="Z1304" s="14">
        <v>6941</v>
      </c>
      <c r="AA1304" s="14"/>
      <c r="AB1304" s="14"/>
      <c r="AC1304" s="15">
        <f>IFERROR(Z1304/G1304-1,"")</f>
        <v>1.2988010863085382</v>
      </c>
      <c r="AD1304" s="15">
        <f>IFERROR((Z1304/G1304)^(1/19)-1,"")</f>
        <v>4.4783701739025128E-2</v>
      </c>
    </row>
    <row r="1305" spans="1:30">
      <c r="A1305" s="45" t="s">
        <v>361</v>
      </c>
      <c r="B1305" s="45" t="s">
        <v>362</v>
      </c>
      <c r="C1305" s="45" t="s">
        <v>498</v>
      </c>
      <c r="D1305" s="45" t="s">
        <v>497</v>
      </c>
      <c r="E1305" s="45" t="s">
        <v>499</v>
      </c>
      <c r="F1305" s="45" t="s">
        <v>500</v>
      </c>
      <c r="G1305" s="14">
        <v>8383.4</v>
      </c>
      <c r="H1305" s="14">
        <v>7962</v>
      </c>
      <c r="I1305" s="14">
        <v>8668.4</v>
      </c>
      <c r="J1305" s="14">
        <v>9626.7000000000007</v>
      </c>
      <c r="K1305" s="14">
        <v>9710.1</v>
      </c>
      <c r="L1305" s="14">
        <v>10472.4</v>
      </c>
      <c r="M1305" s="14">
        <v>10736.6</v>
      </c>
      <c r="N1305" s="14">
        <v>11523.2</v>
      </c>
      <c r="O1305" s="14">
        <v>10393</v>
      </c>
      <c r="P1305" s="14">
        <v>11640.7</v>
      </c>
      <c r="Q1305" s="14">
        <v>11154.4</v>
      </c>
      <c r="R1305" s="14">
        <v>13655.9</v>
      </c>
      <c r="S1305" s="14">
        <v>13751.1</v>
      </c>
      <c r="T1305" s="14">
        <v>13338</v>
      </c>
      <c r="U1305" s="14">
        <v>13212.3</v>
      </c>
      <c r="V1305" s="14">
        <v>13738.8</v>
      </c>
      <c r="W1305" s="14">
        <v>14316.3</v>
      </c>
      <c r="X1305" s="14">
        <v>15229.5</v>
      </c>
      <c r="Y1305" s="14">
        <v>14943.2</v>
      </c>
      <c r="Z1305" s="14">
        <v>14367.4</v>
      </c>
      <c r="AA1305" s="14"/>
      <c r="AB1305" s="14"/>
      <c r="AC1305" s="15">
        <f>IFERROR(Z1305/G1305-1,"")</f>
        <v>0.71379154042512583</v>
      </c>
      <c r="AD1305" s="15">
        <f>IFERROR((Z1305/G1305)^(1/19)-1,"")</f>
        <v>2.8758836671057386E-2</v>
      </c>
    </row>
    <row r="1306" spans="1:30">
      <c r="A1306" s="45" t="s">
        <v>361</v>
      </c>
      <c r="B1306" s="45" t="s">
        <v>362</v>
      </c>
      <c r="C1306" s="45" t="s">
        <v>498</v>
      </c>
      <c r="D1306" s="45" t="s">
        <v>501</v>
      </c>
      <c r="E1306" s="45" t="s">
        <v>499</v>
      </c>
      <c r="F1306" s="45" t="s">
        <v>500</v>
      </c>
      <c r="G1306" s="14">
        <v>1058.0999999999999</v>
      </c>
      <c r="H1306" s="14">
        <v>1243.2</v>
      </c>
      <c r="I1306" s="14">
        <v>1320</v>
      </c>
      <c r="J1306" s="14">
        <v>877.7</v>
      </c>
      <c r="K1306" s="14">
        <v>994.6</v>
      </c>
      <c r="L1306" s="14">
        <v>1071.0999999999999</v>
      </c>
      <c r="M1306" s="14">
        <v>1795.6</v>
      </c>
      <c r="N1306" s="14">
        <v>1581.9</v>
      </c>
      <c r="O1306" s="14">
        <v>978</v>
      </c>
      <c r="P1306" s="14">
        <v>1110.5999999999999</v>
      </c>
      <c r="Q1306" s="14">
        <v>821.1</v>
      </c>
      <c r="R1306" s="14">
        <v>926.8</v>
      </c>
      <c r="S1306" s="14">
        <v>1129.4000000000001</v>
      </c>
      <c r="T1306" s="14">
        <v>932.7</v>
      </c>
      <c r="U1306" s="14">
        <v>928.7</v>
      </c>
      <c r="V1306" s="14">
        <v>957.7</v>
      </c>
      <c r="W1306" s="14">
        <v>942.2</v>
      </c>
      <c r="X1306" s="14">
        <v>1011.4</v>
      </c>
      <c r="Y1306" s="14">
        <v>1138.3</v>
      </c>
      <c r="Z1306" s="14">
        <v>1140.4000000000001</v>
      </c>
      <c r="AA1306" s="14"/>
      <c r="AB1306" s="14"/>
      <c r="AC1306" s="15">
        <f>IFERROR(Z1306/G1306-1,"")</f>
        <v>7.7780928078631684E-2</v>
      </c>
      <c r="AD1306" s="15">
        <f>IFERROR((Z1306/G1306)^(1/19)-1,"")</f>
        <v>3.9501091509583919E-3</v>
      </c>
    </row>
    <row r="1307" spans="1:30">
      <c r="A1307" s="45" t="s">
        <v>109</v>
      </c>
      <c r="B1307" s="45" t="s">
        <v>110</v>
      </c>
      <c r="C1307" s="45" t="s">
        <v>490</v>
      </c>
      <c r="D1307" s="45" t="s">
        <v>491</v>
      </c>
      <c r="E1307" s="45" t="s">
        <v>492</v>
      </c>
      <c r="F1307" s="45" t="s">
        <v>493</v>
      </c>
      <c r="G1307" s="14">
        <v>561285</v>
      </c>
      <c r="H1307" s="14">
        <v>634145</v>
      </c>
      <c r="I1307" s="14">
        <v>668091</v>
      </c>
      <c r="J1307" s="14">
        <v>789933</v>
      </c>
      <c r="K1307" s="14">
        <v>946026</v>
      </c>
      <c r="L1307" s="14">
        <v>1053568</v>
      </c>
      <c r="M1307" s="14">
        <v>1186442</v>
      </c>
      <c r="N1307" s="14">
        <v>996688</v>
      </c>
      <c r="O1307" s="14">
        <v>1380003</v>
      </c>
      <c r="P1307" s="14">
        <v>1418118</v>
      </c>
      <c r="Q1307" s="14">
        <v>1338453</v>
      </c>
      <c r="R1307" s="14">
        <v>1560568</v>
      </c>
      <c r="S1307" s="14">
        <v>1664023</v>
      </c>
      <c r="T1307" s="14">
        <v>1731788</v>
      </c>
      <c r="U1307" s="14">
        <v>1342598</v>
      </c>
      <c r="V1307" s="14">
        <v>1414685</v>
      </c>
      <c r="W1307" s="14">
        <v>1582092</v>
      </c>
      <c r="X1307" s="14">
        <v>1895671</v>
      </c>
      <c r="Y1307" s="14">
        <v>1744638</v>
      </c>
      <c r="Z1307" s="14">
        <v>1905641</v>
      </c>
      <c r="AA1307" s="14">
        <v>2307194</v>
      </c>
      <c r="AB1307" s="14">
        <v>2588564</v>
      </c>
    </row>
    <row r="1308" spans="1:30">
      <c r="A1308" s="45" t="s">
        <v>109</v>
      </c>
      <c r="B1308" s="45" t="s">
        <v>110</v>
      </c>
      <c r="C1308" s="45" t="s">
        <v>490</v>
      </c>
      <c r="D1308" s="45" t="s">
        <v>494</v>
      </c>
      <c r="E1308" s="45" t="s">
        <v>492</v>
      </c>
      <c r="F1308" s="45" t="s">
        <v>493</v>
      </c>
      <c r="G1308" s="14">
        <v>441649</v>
      </c>
      <c r="H1308" s="14">
        <v>503453</v>
      </c>
      <c r="I1308" s="14">
        <v>515262</v>
      </c>
      <c r="J1308" s="14">
        <v>613535</v>
      </c>
      <c r="K1308" s="14">
        <v>728099</v>
      </c>
      <c r="L1308" s="14">
        <v>868586</v>
      </c>
      <c r="M1308" s="14">
        <v>962921</v>
      </c>
      <c r="N1308" s="14">
        <v>792292</v>
      </c>
      <c r="O1308" s="14">
        <v>1134505</v>
      </c>
      <c r="P1308" s="14">
        <v>1143608</v>
      </c>
      <c r="Q1308" s="14">
        <v>1086203</v>
      </c>
      <c r="R1308" s="14">
        <v>1307530</v>
      </c>
      <c r="S1308" s="14">
        <v>1407411</v>
      </c>
      <c r="T1308" s="14">
        <v>1524252</v>
      </c>
      <c r="U1308" s="14">
        <v>1187844</v>
      </c>
      <c r="V1308" s="14">
        <v>1282363</v>
      </c>
      <c r="W1308" s="14">
        <v>1421647</v>
      </c>
      <c r="X1308" s="14">
        <v>1696852</v>
      </c>
      <c r="Y1308" s="14">
        <v>1550549</v>
      </c>
      <c r="Z1308" s="14">
        <v>1675162</v>
      </c>
      <c r="AA1308" s="14"/>
      <c r="AB1308" s="14"/>
    </row>
    <row r="1309" spans="1:30">
      <c r="A1309" s="45" t="s">
        <v>109</v>
      </c>
      <c r="B1309" s="45" t="s">
        <v>110</v>
      </c>
      <c r="C1309" s="45" t="s">
        <v>490</v>
      </c>
      <c r="D1309" s="45" t="s">
        <v>495</v>
      </c>
      <c r="E1309" s="45" t="s">
        <v>492</v>
      </c>
      <c r="F1309" s="45" t="s">
        <v>493</v>
      </c>
      <c r="G1309" s="14">
        <v>244803</v>
      </c>
      <c r="H1309" s="14">
        <v>278272</v>
      </c>
      <c r="I1309" s="14">
        <v>255283</v>
      </c>
      <c r="J1309" s="14">
        <v>328039</v>
      </c>
      <c r="K1309" s="14">
        <v>389583</v>
      </c>
      <c r="L1309" s="14">
        <v>487085</v>
      </c>
      <c r="M1309" s="14">
        <v>557102</v>
      </c>
      <c r="N1309" s="14">
        <v>346236</v>
      </c>
      <c r="O1309" s="14">
        <v>587897</v>
      </c>
      <c r="P1309" s="14">
        <v>513253</v>
      </c>
      <c r="Q1309" s="14">
        <v>435155</v>
      </c>
      <c r="R1309" s="14">
        <v>532293</v>
      </c>
      <c r="S1309" s="14">
        <v>510899</v>
      </c>
      <c r="T1309" s="14">
        <v>448995</v>
      </c>
      <c r="U1309" s="14">
        <v>99205</v>
      </c>
      <c r="V1309" s="14">
        <v>146254</v>
      </c>
      <c r="W1309" s="14">
        <v>166386</v>
      </c>
      <c r="X1309" s="14">
        <v>227520</v>
      </c>
      <c r="Y1309" s="14">
        <v>162858</v>
      </c>
      <c r="Z1309" s="14">
        <v>169638</v>
      </c>
      <c r="AA1309" s="14"/>
      <c r="AB1309" s="14"/>
    </row>
    <row r="1310" spans="1:30">
      <c r="A1310" s="45" t="s">
        <v>109</v>
      </c>
      <c r="B1310" s="45" t="s">
        <v>110</v>
      </c>
      <c r="C1310" s="45" t="s">
        <v>490</v>
      </c>
      <c r="D1310" s="45" t="s">
        <v>496</v>
      </c>
      <c r="E1310" s="45" t="s">
        <v>492</v>
      </c>
      <c r="F1310" s="45" t="s">
        <v>493</v>
      </c>
      <c r="G1310" s="14">
        <v>100543</v>
      </c>
      <c r="H1310" s="14">
        <v>111025</v>
      </c>
      <c r="I1310" s="14">
        <v>133758</v>
      </c>
      <c r="J1310" s="14">
        <v>136976</v>
      </c>
      <c r="K1310" s="14">
        <v>165912</v>
      </c>
      <c r="L1310" s="14">
        <v>193085</v>
      </c>
      <c r="M1310" s="14">
        <v>197962</v>
      </c>
      <c r="N1310" s="14">
        <v>218023</v>
      </c>
      <c r="O1310" s="14">
        <v>280114</v>
      </c>
      <c r="P1310" s="14">
        <v>328509</v>
      </c>
      <c r="Q1310" s="14">
        <v>329174</v>
      </c>
      <c r="R1310" s="14">
        <v>409034</v>
      </c>
      <c r="S1310" s="14">
        <v>504634</v>
      </c>
      <c r="T1310" s="14">
        <v>643092</v>
      </c>
      <c r="U1310" s="14">
        <v>630945</v>
      </c>
      <c r="V1310" s="14">
        <v>646045</v>
      </c>
      <c r="W1310" s="14">
        <v>742761</v>
      </c>
      <c r="X1310" s="14">
        <v>901324</v>
      </c>
      <c r="Y1310" s="14">
        <v>791787</v>
      </c>
      <c r="Z1310" s="14">
        <v>878071</v>
      </c>
      <c r="AA1310" s="14"/>
      <c r="AB1310" s="14"/>
    </row>
    <row r="1311" spans="1:30">
      <c r="A1311" s="45" t="s">
        <v>109</v>
      </c>
      <c r="B1311" s="45" t="s">
        <v>110</v>
      </c>
      <c r="C1311" s="45" t="s">
        <v>490</v>
      </c>
      <c r="D1311" s="45" t="s">
        <v>497</v>
      </c>
      <c r="E1311" s="45" t="s">
        <v>492</v>
      </c>
      <c r="F1311" s="45" t="s">
        <v>493</v>
      </c>
      <c r="G1311" s="14">
        <v>89031</v>
      </c>
      <c r="H1311" s="14">
        <v>101926</v>
      </c>
      <c r="I1311" s="14">
        <v>113246</v>
      </c>
      <c r="J1311" s="14">
        <v>133982</v>
      </c>
      <c r="K1311" s="14">
        <v>155652</v>
      </c>
      <c r="L1311" s="14">
        <v>174057</v>
      </c>
      <c r="M1311" s="14">
        <v>191246</v>
      </c>
      <c r="N1311" s="14">
        <v>207978</v>
      </c>
      <c r="O1311" s="14">
        <v>247472</v>
      </c>
      <c r="P1311" s="14">
        <v>277584</v>
      </c>
      <c r="Q1311" s="14">
        <v>300826</v>
      </c>
      <c r="R1311" s="14">
        <v>345290</v>
      </c>
      <c r="S1311" s="14">
        <v>372753</v>
      </c>
      <c r="T1311" s="14">
        <v>407516</v>
      </c>
      <c r="U1311" s="14">
        <v>434475</v>
      </c>
      <c r="V1311" s="14">
        <v>465276</v>
      </c>
      <c r="W1311" s="14">
        <v>480379</v>
      </c>
      <c r="X1311" s="14">
        <v>530234</v>
      </c>
      <c r="Y1311" s="14">
        <v>549470</v>
      </c>
      <c r="Z1311" s="14">
        <v>589005</v>
      </c>
      <c r="AA1311" s="14"/>
      <c r="AB1311" s="14"/>
    </row>
    <row r="1312" spans="1:30">
      <c r="A1312" s="45" t="s">
        <v>109</v>
      </c>
      <c r="B1312" s="45" t="s">
        <v>110</v>
      </c>
      <c r="C1312" s="45" t="s">
        <v>498</v>
      </c>
      <c r="D1312" s="45" t="s">
        <v>491</v>
      </c>
      <c r="E1312" s="45" t="s">
        <v>499</v>
      </c>
      <c r="F1312" s="45" t="s">
        <v>500</v>
      </c>
      <c r="G1312" s="14">
        <v>1066298.8</v>
      </c>
      <c r="H1312" s="14">
        <v>1055923.8999999999</v>
      </c>
      <c r="I1312" s="14">
        <v>1032414.8</v>
      </c>
      <c r="J1312" s="14">
        <v>1136261.3999999999</v>
      </c>
      <c r="K1312" s="14">
        <v>1274455.1000000001</v>
      </c>
      <c r="L1312" s="14">
        <v>1333468.7</v>
      </c>
      <c r="M1312" s="14">
        <v>1380459.5</v>
      </c>
      <c r="N1312" s="14">
        <v>1080642.3999999999</v>
      </c>
      <c r="O1312" s="14">
        <v>1380003</v>
      </c>
      <c r="P1312" s="14">
        <v>1309210.1000000001</v>
      </c>
      <c r="Q1312" s="14">
        <v>1144735.3999999999</v>
      </c>
      <c r="R1312" s="14">
        <v>1241531.6000000001</v>
      </c>
      <c r="S1312" s="14">
        <v>1227517</v>
      </c>
      <c r="T1312" s="14">
        <v>1187646.5</v>
      </c>
      <c r="U1312" s="14">
        <v>851722.8</v>
      </c>
      <c r="V1312" s="14">
        <v>865671.5</v>
      </c>
      <c r="W1312" s="14">
        <v>926479.3</v>
      </c>
      <c r="X1312" s="14">
        <v>1065119</v>
      </c>
      <c r="Y1312" s="14">
        <v>920668</v>
      </c>
      <c r="Z1312" s="14">
        <v>889567.1</v>
      </c>
      <c r="AA1312" s="14"/>
      <c r="AB1312" s="14"/>
      <c r="AC1312" s="15">
        <f>IFERROR(Z1312/G1312-1,"")</f>
        <v>-0.16574312941175595</v>
      </c>
      <c r="AD1312" s="15">
        <f>IFERROR((Z1312/G1312)^(1/19)-1,"")</f>
        <v>-9.4922366240253186E-3</v>
      </c>
    </row>
    <row r="1313" spans="1:30">
      <c r="A1313" s="45" t="s">
        <v>109</v>
      </c>
      <c r="B1313" s="45" t="s">
        <v>110</v>
      </c>
      <c r="C1313" s="45" t="s">
        <v>498</v>
      </c>
      <c r="D1313" s="45" t="s">
        <v>495</v>
      </c>
      <c r="E1313" s="45" t="s">
        <v>499</v>
      </c>
      <c r="F1313" s="45" t="s">
        <v>500</v>
      </c>
      <c r="G1313" s="14">
        <v>465062.9</v>
      </c>
      <c r="H1313" s="14">
        <v>463354.1</v>
      </c>
      <c r="I1313" s="14">
        <v>394494.5</v>
      </c>
      <c r="J1313" s="14">
        <v>471860.2</v>
      </c>
      <c r="K1313" s="14">
        <v>524833.6</v>
      </c>
      <c r="L1313" s="14">
        <v>616488.6</v>
      </c>
      <c r="M1313" s="14">
        <v>648204</v>
      </c>
      <c r="N1313" s="14">
        <v>375400.6</v>
      </c>
      <c r="O1313" s="14">
        <v>587897</v>
      </c>
      <c r="P1313" s="14">
        <v>473836.5</v>
      </c>
      <c r="Q1313" s="14">
        <v>372174</v>
      </c>
      <c r="R1313" s="14">
        <v>423473.1</v>
      </c>
      <c r="S1313" s="14">
        <v>376880.1</v>
      </c>
      <c r="T1313" s="14">
        <v>307917.2</v>
      </c>
      <c r="U1313" s="14">
        <v>62934.1</v>
      </c>
      <c r="V1313" s="14">
        <v>89495.5</v>
      </c>
      <c r="W1313" s="14">
        <v>97436.3</v>
      </c>
      <c r="X1313" s="14">
        <v>127836.5</v>
      </c>
      <c r="Y1313" s="14">
        <v>85942.3</v>
      </c>
      <c r="Z1313" s="14">
        <v>79183.600000000006</v>
      </c>
      <c r="AA1313" s="14"/>
      <c r="AB1313" s="14"/>
      <c r="AC1313" s="15">
        <f>IFERROR(Z1313/G1313-1,"")</f>
        <v>-0.82973571961986214</v>
      </c>
      <c r="AD1313" s="15">
        <f>IFERROR((Z1313/G1313)^(1/19)-1,"")</f>
        <v>-8.8969706630133039E-2</v>
      </c>
    </row>
    <row r="1314" spans="1:30">
      <c r="A1314" s="45" t="s">
        <v>109</v>
      </c>
      <c r="B1314" s="45" t="s">
        <v>110</v>
      </c>
      <c r="C1314" s="45" t="s">
        <v>498</v>
      </c>
      <c r="D1314" s="45" t="s">
        <v>496</v>
      </c>
      <c r="E1314" s="45" t="s">
        <v>499</v>
      </c>
      <c r="F1314" s="45" t="s">
        <v>500</v>
      </c>
      <c r="G1314" s="14">
        <v>191006.6</v>
      </c>
      <c r="H1314" s="14">
        <v>184869.5</v>
      </c>
      <c r="I1314" s="14">
        <v>206698.9</v>
      </c>
      <c r="J1314" s="14">
        <v>197030.39999999999</v>
      </c>
      <c r="K1314" s="14">
        <v>223510.6</v>
      </c>
      <c r="L1314" s="14">
        <v>244382</v>
      </c>
      <c r="M1314" s="14">
        <v>230334.8</v>
      </c>
      <c r="N1314" s="14">
        <v>236387.8</v>
      </c>
      <c r="O1314" s="14">
        <v>280114</v>
      </c>
      <c r="P1314" s="14">
        <v>303280.3</v>
      </c>
      <c r="Q1314" s="14">
        <v>281531.8</v>
      </c>
      <c r="R1314" s="14">
        <v>325412.7</v>
      </c>
      <c r="S1314" s="14">
        <v>372258.6</v>
      </c>
      <c r="T1314" s="14">
        <v>441027.4</v>
      </c>
      <c r="U1314" s="14">
        <v>400261.5</v>
      </c>
      <c r="V1314" s="14">
        <v>395326.7</v>
      </c>
      <c r="W1314" s="14">
        <v>434963.8</v>
      </c>
      <c r="X1314" s="14">
        <v>506426.1</v>
      </c>
      <c r="Y1314" s="14">
        <v>417836.2</v>
      </c>
      <c r="Z1314" s="14">
        <v>409826.5</v>
      </c>
      <c r="AA1314" s="14"/>
      <c r="AB1314" s="14"/>
      <c r="AC1314" s="15">
        <f>IFERROR(Z1314/G1314-1,"")</f>
        <v>1.145614340028041</v>
      </c>
      <c r="AD1314" s="15">
        <f>IFERROR((Z1314/G1314)^(1/19)-1,"")</f>
        <v>4.0998461181645185E-2</v>
      </c>
    </row>
    <row r="1315" spans="1:30">
      <c r="A1315" s="45" t="s">
        <v>109</v>
      </c>
      <c r="B1315" s="45" t="s">
        <v>110</v>
      </c>
      <c r="C1315" s="45" t="s">
        <v>498</v>
      </c>
      <c r="D1315" s="45" t="s">
        <v>497</v>
      </c>
      <c r="E1315" s="45" t="s">
        <v>499</v>
      </c>
      <c r="F1315" s="45" t="s">
        <v>500</v>
      </c>
      <c r="G1315" s="14">
        <v>169136.5</v>
      </c>
      <c r="H1315" s="14">
        <v>169717.7</v>
      </c>
      <c r="I1315" s="14">
        <v>175002</v>
      </c>
      <c r="J1315" s="14">
        <v>192723.3</v>
      </c>
      <c r="K1315" s="14">
        <v>209689.60000000001</v>
      </c>
      <c r="L1315" s="14">
        <v>220298.2</v>
      </c>
      <c r="M1315" s="14">
        <v>222520.3</v>
      </c>
      <c r="N1315" s="14">
        <v>225496.7</v>
      </c>
      <c r="O1315" s="14">
        <v>247472</v>
      </c>
      <c r="P1315" s="14">
        <v>256266.3</v>
      </c>
      <c r="Q1315" s="14">
        <v>257286.7</v>
      </c>
      <c r="R1315" s="14">
        <v>274700.3</v>
      </c>
      <c r="S1315" s="14">
        <v>274972.59999999998</v>
      </c>
      <c r="T1315" s="14">
        <v>279471.2</v>
      </c>
      <c r="U1315" s="14">
        <v>275624</v>
      </c>
      <c r="V1315" s="14">
        <v>284710.90000000002</v>
      </c>
      <c r="W1315" s="14">
        <v>281311.8</v>
      </c>
      <c r="X1315" s="14">
        <v>297922.09999999998</v>
      </c>
      <c r="Y1315" s="14">
        <v>289962.40000000002</v>
      </c>
      <c r="Z1315" s="14">
        <v>274734.8</v>
      </c>
      <c r="AA1315" s="14"/>
      <c r="AB1315" s="14"/>
      <c r="AC1315" s="15">
        <f>IFERROR(Z1315/G1315-1,"")</f>
        <v>0.62433773904509082</v>
      </c>
      <c r="AD1315" s="15">
        <f>IFERROR((Z1315/G1315)^(1/19)-1,"")</f>
        <v>2.5860311471542108E-2</v>
      </c>
    </row>
    <row r="1316" spans="1:30">
      <c r="A1316" s="45" t="s">
        <v>109</v>
      </c>
      <c r="B1316" s="45" t="s">
        <v>110</v>
      </c>
      <c r="C1316" s="45" t="s">
        <v>498</v>
      </c>
      <c r="D1316" s="45" t="s">
        <v>501</v>
      </c>
      <c r="E1316" s="45" t="s">
        <v>499</v>
      </c>
      <c r="F1316" s="45" t="s">
        <v>500</v>
      </c>
      <c r="G1316" s="14">
        <v>13814.4</v>
      </c>
      <c r="H1316" s="14">
        <v>20365.8</v>
      </c>
      <c r="I1316" s="14">
        <v>20049.8</v>
      </c>
      <c r="J1316" s="14">
        <v>20911.3</v>
      </c>
      <c r="K1316" s="14">
        <v>22837.200000000001</v>
      </c>
      <c r="L1316" s="14">
        <v>18173.900000000001</v>
      </c>
      <c r="M1316" s="14">
        <v>19327.400000000001</v>
      </c>
      <c r="N1316" s="14">
        <v>21744.3</v>
      </c>
      <c r="O1316" s="14">
        <v>19023</v>
      </c>
      <c r="P1316" s="14">
        <v>22398.7</v>
      </c>
      <c r="Q1316" s="14">
        <v>18002.5</v>
      </c>
      <c r="R1316" s="14">
        <v>16637.599999999999</v>
      </c>
      <c r="S1316" s="14">
        <v>14108.1</v>
      </c>
      <c r="T1316" s="14">
        <v>16904.099999999999</v>
      </c>
      <c r="U1316" s="14">
        <v>14729.1</v>
      </c>
      <c r="V1316" s="14">
        <v>15168.2</v>
      </c>
      <c r="W1316" s="14">
        <v>18809.599999999999</v>
      </c>
      <c r="X1316" s="14">
        <v>21224</v>
      </c>
      <c r="Y1316" s="14">
        <v>24504.3</v>
      </c>
      <c r="Z1316" s="14">
        <v>17947.8</v>
      </c>
      <c r="AA1316" s="14"/>
      <c r="AB1316" s="14"/>
      <c r="AC1316" s="15">
        <f>IFERROR(Z1316/G1316-1,"")</f>
        <v>0.29920952050034755</v>
      </c>
      <c r="AD1316" s="15">
        <f>IFERROR((Z1316/G1316)^(1/19)-1,"")</f>
        <v>1.3871967643720895E-2</v>
      </c>
    </row>
    <row r="1317" spans="1:30">
      <c r="A1317" s="45" t="s">
        <v>303</v>
      </c>
      <c r="B1317" s="45" t="s">
        <v>304</v>
      </c>
      <c r="C1317" s="45" t="s">
        <v>490</v>
      </c>
      <c r="D1317" s="45" t="s">
        <v>491</v>
      </c>
      <c r="E1317" s="45" t="s">
        <v>492</v>
      </c>
      <c r="F1317" s="45" t="s">
        <v>493</v>
      </c>
      <c r="G1317" s="14">
        <v>13467</v>
      </c>
      <c r="H1317" s="14">
        <v>14550</v>
      </c>
      <c r="I1317" s="14">
        <v>15726</v>
      </c>
      <c r="J1317" s="14">
        <v>16677</v>
      </c>
      <c r="K1317" s="14">
        <v>18998</v>
      </c>
      <c r="L1317" s="14">
        <v>21046</v>
      </c>
      <c r="M1317" s="14">
        <v>23110</v>
      </c>
      <c r="N1317" s="14">
        <v>26889</v>
      </c>
      <c r="O1317" s="14">
        <v>30176</v>
      </c>
      <c r="P1317" s="14">
        <v>34704</v>
      </c>
      <c r="Q1317" s="14">
        <v>37974</v>
      </c>
      <c r="R1317" s="14">
        <v>44404</v>
      </c>
      <c r="S1317" s="14">
        <v>46911</v>
      </c>
      <c r="T1317" s="14">
        <v>51820</v>
      </c>
      <c r="U1317" s="14">
        <v>51472</v>
      </c>
      <c r="V1317" s="14">
        <v>56257</v>
      </c>
      <c r="W1317" s="14">
        <v>62127</v>
      </c>
      <c r="X1317" s="14">
        <v>72974</v>
      </c>
      <c r="Y1317" s="14">
        <v>77797</v>
      </c>
      <c r="Z1317" s="14">
        <v>84585</v>
      </c>
      <c r="AA1317" s="14">
        <v>94944</v>
      </c>
      <c r="AB1317" s="14">
        <v>100073</v>
      </c>
    </row>
    <row r="1318" spans="1:30">
      <c r="A1318" s="45" t="s">
        <v>303</v>
      </c>
      <c r="B1318" s="45" t="s">
        <v>304</v>
      </c>
      <c r="C1318" s="45" t="s">
        <v>490</v>
      </c>
      <c r="D1318" s="45" t="s">
        <v>494</v>
      </c>
      <c r="E1318" s="45" t="s">
        <v>492</v>
      </c>
      <c r="F1318" s="45" t="s">
        <v>493</v>
      </c>
      <c r="G1318" s="14">
        <v>12807</v>
      </c>
      <c r="H1318" s="14">
        <v>13937</v>
      </c>
      <c r="I1318" s="14">
        <v>15100</v>
      </c>
      <c r="J1318" s="14">
        <v>15981</v>
      </c>
      <c r="K1318" s="14">
        <v>17832</v>
      </c>
      <c r="L1318" s="14">
        <v>19597</v>
      </c>
      <c r="M1318" s="14">
        <v>21470</v>
      </c>
      <c r="N1318" s="14">
        <v>25185</v>
      </c>
      <c r="O1318" s="14">
        <v>27443</v>
      </c>
      <c r="P1318" s="14">
        <v>31486</v>
      </c>
      <c r="Q1318" s="14">
        <v>34133</v>
      </c>
      <c r="R1318" s="14">
        <v>39968</v>
      </c>
      <c r="S1318" s="14">
        <v>42276</v>
      </c>
      <c r="T1318" s="14">
        <v>46609</v>
      </c>
      <c r="U1318" s="14">
        <v>49073</v>
      </c>
      <c r="V1318" s="14">
        <v>53861</v>
      </c>
      <c r="W1318" s="14">
        <v>58978</v>
      </c>
      <c r="X1318" s="14">
        <v>69205</v>
      </c>
      <c r="Y1318" s="14">
        <v>74023</v>
      </c>
      <c r="Z1318" s="14">
        <v>78953</v>
      </c>
      <c r="AA1318" s="14"/>
      <c r="AB1318" s="14"/>
    </row>
    <row r="1319" spans="1:30">
      <c r="A1319" s="45" t="s">
        <v>303</v>
      </c>
      <c r="B1319" s="45" t="s">
        <v>304</v>
      </c>
      <c r="C1319" s="45" t="s">
        <v>490</v>
      </c>
      <c r="D1319" s="45" t="s">
        <v>495</v>
      </c>
      <c r="E1319" s="45" t="s">
        <v>492</v>
      </c>
      <c r="F1319" s="45" t="s">
        <v>493</v>
      </c>
      <c r="G1319" s="14">
        <v>689</v>
      </c>
      <c r="H1319" s="14">
        <v>470</v>
      </c>
      <c r="I1319" s="14">
        <v>601</v>
      </c>
      <c r="J1319" s="14">
        <v>582</v>
      </c>
      <c r="K1319" s="14">
        <v>652</v>
      </c>
      <c r="L1319" s="14">
        <v>711</v>
      </c>
      <c r="M1319" s="14">
        <v>717</v>
      </c>
      <c r="N1319" s="14">
        <v>825</v>
      </c>
      <c r="O1319" s="14">
        <v>802</v>
      </c>
      <c r="P1319" s="14">
        <v>903</v>
      </c>
      <c r="Q1319" s="14">
        <v>1210</v>
      </c>
      <c r="R1319" s="14">
        <v>1347</v>
      </c>
      <c r="S1319" s="14">
        <v>1257</v>
      </c>
      <c r="T1319" s="14">
        <v>1789</v>
      </c>
      <c r="U1319" s="14">
        <v>2163</v>
      </c>
      <c r="V1319" s="14">
        <v>2324</v>
      </c>
      <c r="W1319" s="14">
        <v>2582</v>
      </c>
      <c r="X1319" s="14">
        <v>2740</v>
      </c>
      <c r="Y1319" s="14">
        <v>2776</v>
      </c>
      <c r="Z1319" s="14">
        <v>3161</v>
      </c>
      <c r="AA1319" s="14"/>
      <c r="AB1319" s="14"/>
    </row>
    <row r="1320" spans="1:30">
      <c r="A1320" s="45" t="s">
        <v>303</v>
      </c>
      <c r="B1320" s="45" t="s">
        <v>304</v>
      </c>
      <c r="C1320" s="45" t="s">
        <v>490</v>
      </c>
      <c r="D1320" s="45" t="s">
        <v>496</v>
      </c>
      <c r="E1320" s="45" t="s">
        <v>492</v>
      </c>
      <c r="F1320" s="45" t="s">
        <v>493</v>
      </c>
      <c r="G1320" s="14">
        <v>3197</v>
      </c>
      <c r="H1320" s="14">
        <v>3315</v>
      </c>
      <c r="I1320" s="14">
        <v>3539</v>
      </c>
      <c r="J1320" s="14">
        <v>3471</v>
      </c>
      <c r="K1320" s="14">
        <v>3816</v>
      </c>
      <c r="L1320" s="14">
        <v>4381</v>
      </c>
      <c r="M1320" s="14">
        <v>4491</v>
      </c>
      <c r="N1320" s="14">
        <v>5411</v>
      </c>
      <c r="O1320" s="14">
        <v>6708</v>
      </c>
      <c r="P1320" s="14">
        <v>7970</v>
      </c>
      <c r="Q1320" s="14">
        <v>9209</v>
      </c>
      <c r="R1320" s="14">
        <v>10663</v>
      </c>
      <c r="S1320" s="14">
        <v>10114</v>
      </c>
      <c r="T1320" s="14">
        <v>11484</v>
      </c>
      <c r="U1320" s="14">
        <v>12321</v>
      </c>
      <c r="V1320" s="14">
        <v>13841</v>
      </c>
      <c r="W1320" s="14">
        <v>16629</v>
      </c>
      <c r="X1320" s="14">
        <v>18984</v>
      </c>
      <c r="Y1320" s="14">
        <v>19257</v>
      </c>
      <c r="Z1320" s="14">
        <v>19201</v>
      </c>
      <c r="AA1320" s="14"/>
      <c r="AB1320" s="14"/>
    </row>
    <row r="1321" spans="1:30">
      <c r="A1321" s="45" t="s">
        <v>303</v>
      </c>
      <c r="B1321" s="45" t="s">
        <v>304</v>
      </c>
      <c r="C1321" s="45" t="s">
        <v>490</v>
      </c>
      <c r="D1321" s="45" t="s">
        <v>497</v>
      </c>
      <c r="E1321" s="45" t="s">
        <v>492</v>
      </c>
      <c r="F1321" s="45" t="s">
        <v>493</v>
      </c>
      <c r="G1321" s="14">
        <v>7169</v>
      </c>
      <c r="H1321" s="14">
        <v>7844</v>
      </c>
      <c r="I1321" s="14">
        <v>8469</v>
      </c>
      <c r="J1321" s="14">
        <v>9179</v>
      </c>
      <c r="K1321" s="14">
        <v>10158</v>
      </c>
      <c r="L1321" s="14">
        <v>12128</v>
      </c>
      <c r="M1321" s="14">
        <v>13079</v>
      </c>
      <c r="N1321" s="14">
        <v>15230</v>
      </c>
      <c r="O1321" s="14">
        <v>16448</v>
      </c>
      <c r="P1321" s="14">
        <v>18479</v>
      </c>
      <c r="Q1321" s="14">
        <v>20017</v>
      </c>
      <c r="R1321" s="14">
        <v>22944</v>
      </c>
      <c r="S1321" s="14">
        <v>24834</v>
      </c>
      <c r="T1321" s="14">
        <v>26556</v>
      </c>
      <c r="U1321" s="14">
        <v>28146</v>
      </c>
      <c r="V1321" s="14">
        <v>30978</v>
      </c>
      <c r="W1321" s="14">
        <v>31663</v>
      </c>
      <c r="X1321" s="14">
        <v>34735</v>
      </c>
      <c r="Y1321" s="14">
        <v>35908</v>
      </c>
      <c r="Z1321" s="14">
        <v>36943</v>
      </c>
      <c r="AA1321" s="14"/>
      <c r="AB1321" s="14"/>
    </row>
    <row r="1322" spans="1:30">
      <c r="A1322" s="45" t="s">
        <v>303</v>
      </c>
      <c r="B1322" s="45" t="s">
        <v>304</v>
      </c>
      <c r="C1322" s="45" t="s">
        <v>498</v>
      </c>
      <c r="D1322" s="45" t="s">
        <v>491</v>
      </c>
      <c r="E1322" s="45" t="s">
        <v>499</v>
      </c>
      <c r="F1322" s="45" t="s">
        <v>500</v>
      </c>
      <c r="G1322" s="14">
        <v>25583.8</v>
      </c>
      <c r="H1322" s="14">
        <v>24228.2</v>
      </c>
      <c r="I1322" s="14">
        <v>24302.3</v>
      </c>
      <c r="J1322" s="14">
        <v>23988.3</v>
      </c>
      <c r="K1322" s="14">
        <v>25593.4</v>
      </c>
      <c r="L1322" s="14">
        <v>26636.799999999999</v>
      </c>
      <c r="M1322" s="14">
        <v>26888.6</v>
      </c>
      <c r="N1322" s="14">
        <v>29154</v>
      </c>
      <c r="O1322" s="14">
        <v>30176</v>
      </c>
      <c r="P1322" s="14">
        <v>32038.799999999999</v>
      </c>
      <c r="Q1322" s="14">
        <v>32477.9</v>
      </c>
      <c r="R1322" s="14">
        <v>35326.199999999997</v>
      </c>
      <c r="S1322" s="14">
        <v>34605.300000000003</v>
      </c>
      <c r="T1322" s="14">
        <v>35537.699999999997</v>
      </c>
      <c r="U1322" s="14">
        <v>32653</v>
      </c>
      <c r="V1322" s="14">
        <v>34424.699999999997</v>
      </c>
      <c r="W1322" s="14">
        <v>36381.800000000003</v>
      </c>
      <c r="X1322" s="14">
        <v>41001.800000000003</v>
      </c>
      <c r="Y1322" s="14">
        <v>41054.5</v>
      </c>
      <c r="Z1322" s="14">
        <v>39484.9</v>
      </c>
      <c r="AA1322" s="14"/>
      <c r="AB1322" s="14"/>
      <c r="AC1322" s="15">
        <f>IFERROR(Z1322/G1322-1,"")</f>
        <v>0.54335556094090798</v>
      </c>
      <c r="AD1322" s="15">
        <f>IFERROR((Z1322/G1322)^(1/19)-1,"")</f>
        <v>2.3102775163130529E-2</v>
      </c>
    </row>
    <row r="1323" spans="1:30">
      <c r="A1323" s="45" t="s">
        <v>303</v>
      </c>
      <c r="B1323" s="45" t="s">
        <v>304</v>
      </c>
      <c r="C1323" s="45" t="s">
        <v>498</v>
      </c>
      <c r="D1323" s="45" t="s">
        <v>495</v>
      </c>
      <c r="E1323" s="45" t="s">
        <v>499</v>
      </c>
      <c r="F1323" s="45" t="s">
        <v>500</v>
      </c>
      <c r="G1323" s="14">
        <v>1308.9000000000001</v>
      </c>
      <c r="H1323" s="14">
        <v>782.8</v>
      </c>
      <c r="I1323" s="14">
        <v>928.1</v>
      </c>
      <c r="J1323" s="14">
        <v>837.2</v>
      </c>
      <c r="K1323" s="14">
        <v>878.4</v>
      </c>
      <c r="L1323" s="14">
        <v>899.6</v>
      </c>
      <c r="M1323" s="14">
        <v>833.7</v>
      </c>
      <c r="N1323" s="14">
        <v>894.5</v>
      </c>
      <c r="O1323" s="14">
        <v>802</v>
      </c>
      <c r="P1323" s="14">
        <v>833.7</v>
      </c>
      <c r="Q1323" s="14">
        <v>1034.9000000000001</v>
      </c>
      <c r="R1323" s="14">
        <v>1071.5999999999999</v>
      </c>
      <c r="S1323" s="14">
        <v>927.3</v>
      </c>
      <c r="T1323" s="14">
        <v>1226.9000000000001</v>
      </c>
      <c r="U1323" s="14">
        <v>1372.2</v>
      </c>
      <c r="V1323" s="14">
        <v>1422.1</v>
      </c>
      <c r="W1323" s="14">
        <v>1512</v>
      </c>
      <c r="X1323" s="14">
        <v>1539.5</v>
      </c>
      <c r="Y1323" s="14">
        <v>1464.9</v>
      </c>
      <c r="Z1323" s="14">
        <v>1475.6</v>
      </c>
      <c r="AA1323" s="14"/>
      <c r="AB1323" s="14"/>
      <c r="AC1323" s="15">
        <f>IFERROR(Z1323/G1323-1,"")</f>
        <v>0.12735885094354016</v>
      </c>
      <c r="AD1323" s="15">
        <f>IFERROR((Z1323/G1323)^(1/19)-1,"")</f>
        <v>6.3292930640392875E-3</v>
      </c>
    </row>
    <row r="1324" spans="1:30">
      <c r="A1324" s="45" t="s">
        <v>303</v>
      </c>
      <c r="B1324" s="45" t="s">
        <v>304</v>
      </c>
      <c r="C1324" s="45" t="s">
        <v>498</v>
      </c>
      <c r="D1324" s="45" t="s">
        <v>496</v>
      </c>
      <c r="E1324" s="45" t="s">
        <v>499</v>
      </c>
      <c r="F1324" s="45" t="s">
        <v>500</v>
      </c>
      <c r="G1324" s="14">
        <v>6073.4</v>
      </c>
      <c r="H1324" s="14">
        <v>5519.7</v>
      </c>
      <c r="I1324" s="14">
        <v>5468.4</v>
      </c>
      <c r="J1324" s="14">
        <v>4992.8</v>
      </c>
      <c r="K1324" s="14">
        <v>5140.7</v>
      </c>
      <c r="L1324" s="14">
        <v>5545</v>
      </c>
      <c r="M1324" s="14">
        <v>5225.5</v>
      </c>
      <c r="N1324" s="14">
        <v>5866.8</v>
      </c>
      <c r="O1324" s="14">
        <v>6708</v>
      </c>
      <c r="P1324" s="14">
        <v>7357.9</v>
      </c>
      <c r="Q1324" s="14">
        <v>7876.2</v>
      </c>
      <c r="R1324" s="14">
        <v>8483.1</v>
      </c>
      <c r="S1324" s="14">
        <v>7460.9</v>
      </c>
      <c r="T1324" s="14">
        <v>7875.6</v>
      </c>
      <c r="U1324" s="14">
        <v>7816.2</v>
      </c>
      <c r="V1324" s="14">
        <v>8469.6</v>
      </c>
      <c r="W1324" s="14">
        <v>9738</v>
      </c>
      <c r="X1324" s="14">
        <v>10666.5</v>
      </c>
      <c r="Y1324" s="14">
        <v>10162.200000000001</v>
      </c>
      <c r="Z1324" s="14">
        <v>8963.2000000000007</v>
      </c>
      <c r="AA1324" s="14"/>
      <c r="AB1324" s="14"/>
      <c r="AC1324" s="15">
        <f>IFERROR(Z1324/G1324-1,"")</f>
        <v>0.47581255968650193</v>
      </c>
      <c r="AD1324" s="15">
        <f>IFERROR((Z1324/G1324)^(1/19)-1,"")</f>
        <v>2.0695920641614185E-2</v>
      </c>
    </row>
    <row r="1325" spans="1:30">
      <c r="A1325" s="45" t="s">
        <v>303</v>
      </c>
      <c r="B1325" s="45" t="s">
        <v>304</v>
      </c>
      <c r="C1325" s="45" t="s">
        <v>498</v>
      </c>
      <c r="D1325" s="45" t="s">
        <v>497</v>
      </c>
      <c r="E1325" s="45" t="s">
        <v>499</v>
      </c>
      <c r="F1325" s="45" t="s">
        <v>500</v>
      </c>
      <c r="G1325" s="14">
        <v>13619.2</v>
      </c>
      <c r="H1325" s="14">
        <v>13062</v>
      </c>
      <c r="I1325" s="14">
        <v>13087.4</v>
      </c>
      <c r="J1325" s="14">
        <v>13202.8</v>
      </c>
      <c r="K1325" s="14">
        <v>13684.5</v>
      </c>
      <c r="L1325" s="14">
        <v>15350.5</v>
      </c>
      <c r="M1325" s="14">
        <v>15217.8</v>
      </c>
      <c r="N1325" s="14">
        <v>16512.900000000001</v>
      </c>
      <c r="O1325" s="14">
        <v>16448</v>
      </c>
      <c r="P1325" s="14">
        <v>17059.900000000001</v>
      </c>
      <c r="Q1325" s="14">
        <v>17119.900000000001</v>
      </c>
      <c r="R1325" s="14">
        <v>18253.400000000001</v>
      </c>
      <c r="S1325" s="14">
        <v>18319.599999999999</v>
      </c>
      <c r="T1325" s="14">
        <v>18211.900000000001</v>
      </c>
      <c r="U1325" s="14">
        <v>17855.400000000001</v>
      </c>
      <c r="V1325" s="14">
        <v>18956</v>
      </c>
      <c r="W1325" s="14">
        <v>18542</v>
      </c>
      <c r="X1325" s="14">
        <v>19516.5</v>
      </c>
      <c r="Y1325" s="14">
        <v>18949.099999999999</v>
      </c>
      <c r="Z1325" s="14">
        <v>17245.3</v>
      </c>
      <c r="AA1325" s="14"/>
      <c r="AB1325" s="14"/>
      <c r="AC1325" s="15">
        <f>IFERROR(Z1325/G1325-1,"")</f>
        <v>0.26624911889097724</v>
      </c>
      <c r="AD1325" s="15">
        <f>IFERROR((Z1325/G1325)^(1/19)-1,"")</f>
        <v>1.2501662673798375E-2</v>
      </c>
    </row>
    <row r="1326" spans="1:30">
      <c r="A1326" s="45" t="s">
        <v>303</v>
      </c>
      <c r="B1326" s="45" t="s">
        <v>304</v>
      </c>
      <c r="C1326" s="45" t="s">
        <v>498</v>
      </c>
      <c r="D1326" s="45" t="s">
        <v>501</v>
      </c>
      <c r="E1326" s="45" t="s">
        <v>499</v>
      </c>
      <c r="F1326" s="45" t="s">
        <v>500</v>
      </c>
      <c r="G1326" s="14">
        <v>3328.5</v>
      </c>
      <c r="H1326" s="14">
        <v>3842.1</v>
      </c>
      <c r="I1326" s="14">
        <v>3849.9</v>
      </c>
      <c r="J1326" s="14">
        <v>3954.7</v>
      </c>
      <c r="K1326" s="14">
        <v>4318.7</v>
      </c>
      <c r="L1326" s="14">
        <v>3007.8</v>
      </c>
      <c r="M1326" s="14">
        <v>3703.7</v>
      </c>
      <c r="N1326" s="14">
        <v>4033.3</v>
      </c>
      <c r="O1326" s="14">
        <v>3486</v>
      </c>
      <c r="P1326" s="14">
        <v>3816.5</v>
      </c>
      <c r="Q1326" s="14">
        <v>3161.1</v>
      </c>
      <c r="R1326" s="14">
        <v>3989</v>
      </c>
      <c r="S1326" s="14">
        <v>4478.5</v>
      </c>
      <c r="T1326" s="14">
        <v>4650.3999999999996</v>
      </c>
      <c r="U1326" s="14">
        <v>4086.7</v>
      </c>
      <c r="V1326" s="14">
        <v>4110.3</v>
      </c>
      <c r="W1326" s="14">
        <v>4745.1000000000004</v>
      </c>
      <c r="X1326" s="14">
        <v>7161.6</v>
      </c>
      <c r="Y1326" s="14">
        <v>8486.2000000000007</v>
      </c>
      <c r="Z1326" s="14">
        <v>9171.7999999999993</v>
      </c>
      <c r="AA1326" s="14"/>
      <c r="AB1326" s="14"/>
      <c r="AC1326" s="15">
        <f>IFERROR(Z1326/G1326-1,"")</f>
        <v>1.7555355265134445</v>
      </c>
      <c r="AD1326" s="15">
        <f>IFERROR((Z1326/G1326)^(1/19)-1,"")</f>
        <v>5.4796639787917378E-2</v>
      </c>
    </row>
    <row r="1327" spans="1:30">
      <c r="A1327" s="45" t="s">
        <v>121</v>
      </c>
      <c r="B1327" s="45" t="s">
        <v>122</v>
      </c>
      <c r="C1327" s="45" t="s">
        <v>490</v>
      </c>
      <c r="D1327" s="45" t="s">
        <v>491</v>
      </c>
      <c r="E1327" s="45" t="s">
        <v>492</v>
      </c>
      <c r="F1327" s="45" t="s">
        <v>493</v>
      </c>
      <c r="G1327" s="14">
        <v>108165</v>
      </c>
      <c r="H1327" s="14">
        <v>127699</v>
      </c>
      <c r="I1327" s="14">
        <v>145084</v>
      </c>
      <c r="J1327" s="14">
        <v>179364</v>
      </c>
      <c r="K1327" s="14">
        <v>223222</v>
      </c>
      <c r="L1327" s="14">
        <v>267511</v>
      </c>
      <c r="M1327" s="14">
        <v>307462</v>
      </c>
      <c r="N1327" s="14">
        <v>325194</v>
      </c>
      <c r="O1327" s="14">
        <v>409696</v>
      </c>
      <c r="P1327" s="14">
        <v>464421</v>
      </c>
      <c r="Q1327" s="14">
        <v>559726</v>
      </c>
      <c r="R1327" s="14">
        <v>606617</v>
      </c>
      <c r="S1327" s="14">
        <v>649068</v>
      </c>
      <c r="T1327" s="14">
        <v>681596</v>
      </c>
      <c r="U1327" s="14">
        <v>654217</v>
      </c>
      <c r="V1327" s="14">
        <v>762501</v>
      </c>
      <c r="W1327" s="14">
        <v>853715</v>
      </c>
      <c r="X1327" s="14">
        <v>885208</v>
      </c>
      <c r="Y1327" s="14">
        <v>940688</v>
      </c>
      <c r="Z1327" s="14">
        <v>1040956</v>
      </c>
      <c r="AA1327" s="14">
        <v>1359848</v>
      </c>
      <c r="AB1327" s="14">
        <v>1457800</v>
      </c>
    </row>
    <row r="1328" spans="1:30">
      <c r="A1328" s="45" t="s">
        <v>121</v>
      </c>
      <c r="B1328" s="45" t="s">
        <v>122</v>
      </c>
      <c r="C1328" s="45" t="s">
        <v>490</v>
      </c>
      <c r="D1328" s="45" t="s">
        <v>494</v>
      </c>
      <c r="E1328" s="45" t="s">
        <v>492</v>
      </c>
      <c r="F1328" s="45" t="s">
        <v>493</v>
      </c>
      <c r="G1328" s="14">
        <v>98708</v>
      </c>
      <c r="H1328" s="14">
        <v>115839</v>
      </c>
      <c r="I1328" s="14">
        <v>130234</v>
      </c>
      <c r="J1328" s="14">
        <v>159887</v>
      </c>
      <c r="K1328" s="14">
        <v>195426</v>
      </c>
      <c r="L1328" s="14">
        <v>236143</v>
      </c>
      <c r="M1328" s="14">
        <v>269056</v>
      </c>
      <c r="N1328" s="14">
        <v>285384</v>
      </c>
      <c r="O1328" s="14">
        <v>355213</v>
      </c>
      <c r="P1328" s="14">
        <v>398950</v>
      </c>
      <c r="Q1328" s="14">
        <v>479555</v>
      </c>
      <c r="R1328" s="14">
        <v>517822</v>
      </c>
      <c r="S1328" s="14">
        <v>549365</v>
      </c>
      <c r="T1328" s="14">
        <v>586194</v>
      </c>
      <c r="U1328" s="14">
        <v>567891</v>
      </c>
      <c r="V1328" s="14">
        <v>656174</v>
      </c>
      <c r="W1328" s="14">
        <v>728780</v>
      </c>
      <c r="X1328" s="14">
        <v>762111</v>
      </c>
      <c r="Y1328" s="14">
        <v>800183</v>
      </c>
      <c r="Z1328" s="14">
        <v>878691</v>
      </c>
      <c r="AA1328" s="14"/>
      <c r="AB1328" s="14"/>
    </row>
    <row r="1329" spans="1:30">
      <c r="A1329" s="45" t="s">
        <v>121</v>
      </c>
      <c r="B1329" s="45" t="s">
        <v>122</v>
      </c>
      <c r="C1329" s="45" t="s">
        <v>490</v>
      </c>
      <c r="D1329" s="45" t="s">
        <v>495</v>
      </c>
      <c r="E1329" s="45" t="s">
        <v>492</v>
      </c>
      <c r="F1329" s="45" t="s">
        <v>493</v>
      </c>
      <c r="G1329" s="14">
        <v>21933</v>
      </c>
      <c r="H1329" s="14">
        <v>23531</v>
      </c>
      <c r="I1329" s="14">
        <v>26820</v>
      </c>
      <c r="J1329" s="14">
        <v>37192</v>
      </c>
      <c r="K1329" s="14">
        <v>51487</v>
      </c>
      <c r="L1329" s="14">
        <v>73751</v>
      </c>
      <c r="M1329" s="14">
        <v>78025</v>
      </c>
      <c r="N1329" s="14">
        <v>63815</v>
      </c>
      <c r="O1329" s="14">
        <v>101926</v>
      </c>
      <c r="P1329" s="14">
        <v>119313</v>
      </c>
      <c r="Q1329" s="14">
        <v>153998</v>
      </c>
      <c r="R1329" s="14">
        <v>146853</v>
      </c>
      <c r="S1329" s="14">
        <v>123002</v>
      </c>
      <c r="T1329" s="14">
        <v>124531</v>
      </c>
      <c r="U1329" s="14">
        <v>94237</v>
      </c>
      <c r="V1329" s="14">
        <v>109662</v>
      </c>
      <c r="W1329" s="14">
        <v>142294</v>
      </c>
      <c r="X1329" s="14">
        <v>134094</v>
      </c>
      <c r="Y1329" s="14">
        <v>137033</v>
      </c>
      <c r="Z1329" s="14">
        <v>122526</v>
      </c>
      <c r="AA1329" s="14"/>
      <c r="AB1329" s="14"/>
    </row>
    <row r="1330" spans="1:30">
      <c r="A1330" s="45" t="s">
        <v>121</v>
      </c>
      <c r="B1330" s="45" t="s">
        <v>122</v>
      </c>
      <c r="C1330" s="45" t="s">
        <v>490</v>
      </c>
      <c r="D1330" s="45" t="s">
        <v>496</v>
      </c>
      <c r="E1330" s="45" t="s">
        <v>492</v>
      </c>
      <c r="F1330" s="45" t="s">
        <v>493</v>
      </c>
      <c r="G1330" s="14">
        <v>26819</v>
      </c>
      <c r="H1330" s="14">
        <v>30674</v>
      </c>
      <c r="I1330" s="14">
        <v>36671</v>
      </c>
      <c r="J1330" s="14">
        <v>44577</v>
      </c>
      <c r="K1330" s="14">
        <v>55181</v>
      </c>
      <c r="L1330" s="14">
        <v>67953</v>
      </c>
      <c r="M1330" s="14">
        <v>84023</v>
      </c>
      <c r="N1330" s="14">
        <v>102118</v>
      </c>
      <c r="O1330" s="14">
        <v>117312</v>
      </c>
      <c r="P1330" s="14">
        <v>124200</v>
      </c>
      <c r="Q1330" s="14">
        <v>156638</v>
      </c>
      <c r="R1330" s="14">
        <v>182409</v>
      </c>
      <c r="S1330" s="14">
        <v>221327</v>
      </c>
      <c r="T1330" s="14">
        <v>247995</v>
      </c>
      <c r="U1330" s="14">
        <v>248980</v>
      </c>
      <c r="V1330" s="14">
        <v>299160</v>
      </c>
      <c r="W1330" s="14">
        <v>332330</v>
      </c>
      <c r="X1330" s="14">
        <v>343643</v>
      </c>
      <c r="Y1330" s="14">
        <v>364448</v>
      </c>
      <c r="Z1330" s="14">
        <v>435717</v>
      </c>
      <c r="AA1330" s="14"/>
      <c r="AB1330" s="14"/>
    </row>
    <row r="1331" spans="1:30">
      <c r="A1331" s="45" t="s">
        <v>121</v>
      </c>
      <c r="B1331" s="45" t="s">
        <v>122</v>
      </c>
      <c r="C1331" s="45" t="s">
        <v>490</v>
      </c>
      <c r="D1331" s="45" t="s">
        <v>497</v>
      </c>
      <c r="E1331" s="45" t="s">
        <v>492</v>
      </c>
      <c r="F1331" s="45" t="s">
        <v>493</v>
      </c>
      <c r="G1331" s="14">
        <v>40917</v>
      </c>
      <c r="H1331" s="14">
        <v>45256</v>
      </c>
      <c r="I1331" s="14">
        <v>50153</v>
      </c>
      <c r="J1331" s="14">
        <v>61137</v>
      </c>
      <c r="K1331" s="14">
        <v>68140</v>
      </c>
      <c r="L1331" s="14">
        <v>78699</v>
      </c>
      <c r="M1331" s="14">
        <v>88318</v>
      </c>
      <c r="N1331" s="14">
        <v>96849</v>
      </c>
      <c r="O1331" s="14">
        <v>111736</v>
      </c>
      <c r="P1331" s="14">
        <v>127324</v>
      </c>
      <c r="Q1331" s="14">
        <v>137746</v>
      </c>
      <c r="R1331" s="14">
        <v>156189</v>
      </c>
      <c r="S1331" s="14">
        <v>171645</v>
      </c>
      <c r="T1331" s="14">
        <v>183928</v>
      </c>
      <c r="U1331" s="14">
        <v>192033</v>
      </c>
      <c r="V1331" s="14">
        <v>207020</v>
      </c>
      <c r="W1331" s="14">
        <v>211892</v>
      </c>
      <c r="X1331" s="14">
        <v>229665</v>
      </c>
      <c r="Y1331" s="14">
        <v>242339</v>
      </c>
      <c r="Z1331" s="14">
        <v>261506</v>
      </c>
      <c r="AA1331" s="14"/>
      <c r="AB1331" s="14"/>
    </row>
    <row r="1332" spans="1:30">
      <c r="A1332" s="45" t="s">
        <v>121</v>
      </c>
      <c r="B1332" s="45" t="s">
        <v>122</v>
      </c>
      <c r="C1332" s="45" t="s">
        <v>498</v>
      </c>
      <c r="D1332" s="45" t="s">
        <v>491</v>
      </c>
      <c r="E1332" s="45" t="s">
        <v>499</v>
      </c>
      <c r="F1332" s="45" t="s">
        <v>500</v>
      </c>
      <c r="G1332" s="14">
        <v>205486.9</v>
      </c>
      <c r="H1332" s="14">
        <v>212634.1</v>
      </c>
      <c r="I1332" s="14">
        <v>224202</v>
      </c>
      <c r="J1332" s="14">
        <v>258002.2</v>
      </c>
      <c r="K1332" s="14">
        <v>300716.59999999998</v>
      </c>
      <c r="L1332" s="14">
        <v>338580.2</v>
      </c>
      <c r="M1332" s="14">
        <v>357740.79999999999</v>
      </c>
      <c r="N1332" s="14">
        <v>352586.2</v>
      </c>
      <c r="O1332" s="14">
        <v>409696</v>
      </c>
      <c r="P1332" s="14">
        <v>428754.6</v>
      </c>
      <c r="Q1332" s="14">
        <v>478715.5</v>
      </c>
      <c r="R1332" s="14">
        <v>482602.6</v>
      </c>
      <c r="S1332" s="14">
        <v>478804.7</v>
      </c>
      <c r="T1332" s="14">
        <v>467433.1</v>
      </c>
      <c r="U1332" s="14">
        <v>415024.9</v>
      </c>
      <c r="V1332" s="14">
        <v>466588.3</v>
      </c>
      <c r="W1332" s="14">
        <v>499938.9</v>
      </c>
      <c r="X1332" s="14">
        <v>497371</v>
      </c>
      <c r="Y1332" s="14">
        <v>496413.2</v>
      </c>
      <c r="Z1332" s="14">
        <v>485925.8</v>
      </c>
      <c r="AA1332" s="14"/>
      <c r="AB1332" s="14"/>
      <c r="AC1332" s="15">
        <f>IFERROR(Z1332/G1332-1,"")</f>
        <v>1.3647531789131082</v>
      </c>
      <c r="AD1332" s="15">
        <f>IFERROR((Z1332/G1332)^(1/19)-1,"")</f>
        <v>4.6340264365169581E-2</v>
      </c>
    </row>
    <row r="1333" spans="1:30">
      <c r="A1333" s="45" t="s">
        <v>121</v>
      </c>
      <c r="B1333" s="45" t="s">
        <v>122</v>
      </c>
      <c r="C1333" s="45" t="s">
        <v>498</v>
      </c>
      <c r="D1333" s="45" t="s">
        <v>495</v>
      </c>
      <c r="E1333" s="45" t="s">
        <v>499</v>
      </c>
      <c r="F1333" s="45" t="s">
        <v>500</v>
      </c>
      <c r="G1333" s="14">
        <v>41667.9</v>
      </c>
      <c r="H1333" s="14">
        <v>39182.6</v>
      </c>
      <c r="I1333" s="14">
        <v>41445.5</v>
      </c>
      <c r="J1333" s="14">
        <v>53497.5</v>
      </c>
      <c r="K1333" s="14">
        <v>69361.100000000006</v>
      </c>
      <c r="L1333" s="14">
        <v>93343.9</v>
      </c>
      <c r="M1333" s="14">
        <v>90784.9</v>
      </c>
      <c r="N1333" s="14">
        <v>69190.399999999994</v>
      </c>
      <c r="O1333" s="14">
        <v>101926</v>
      </c>
      <c r="P1333" s="14">
        <v>110150.1</v>
      </c>
      <c r="Q1333" s="14">
        <v>131709.5</v>
      </c>
      <c r="R1333" s="14">
        <v>116831</v>
      </c>
      <c r="S1333" s="14">
        <v>90736.2</v>
      </c>
      <c r="T1333" s="14">
        <v>85402.4</v>
      </c>
      <c r="U1333" s="14">
        <v>59782.5</v>
      </c>
      <c r="V1333" s="14">
        <v>67104.2</v>
      </c>
      <c r="W1333" s="14">
        <v>83327.899999999994</v>
      </c>
      <c r="X1333" s="14">
        <v>75343.3</v>
      </c>
      <c r="Y1333" s="14">
        <v>72314.100000000006</v>
      </c>
      <c r="Z1333" s="14">
        <v>57196</v>
      </c>
      <c r="AA1333" s="14"/>
      <c r="AB1333" s="14"/>
      <c r="AC1333" s="15">
        <f>IFERROR(Z1333/G1333-1,"")</f>
        <v>0.37266336916427267</v>
      </c>
      <c r="AD1333" s="15">
        <f>IFERROR((Z1333/G1333)^(1/19)-1,"")</f>
        <v>1.6810946216250899E-2</v>
      </c>
    </row>
    <row r="1334" spans="1:30">
      <c r="A1334" s="45" t="s">
        <v>121</v>
      </c>
      <c r="B1334" s="45" t="s">
        <v>122</v>
      </c>
      <c r="C1334" s="45" t="s">
        <v>498</v>
      </c>
      <c r="D1334" s="45" t="s">
        <v>496</v>
      </c>
      <c r="E1334" s="45" t="s">
        <v>499</v>
      </c>
      <c r="F1334" s="45" t="s">
        <v>500</v>
      </c>
      <c r="G1334" s="14">
        <v>50948.800000000003</v>
      </c>
      <c r="H1334" s="14">
        <v>51076.2</v>
      </c>
      <c r="I1334" s="14">
        <v>56667.7</v>
      </c>
      <c r="J1334" s="14">
        <v>64121</v>
      </c>
      <c r="K1334" s="14">
        <v>74337.600000000006</v>
      </c>
      <c r="L1334" s="14">
        <v>86006.5</v>
      </c>
      <c r="M1334" s="14">
        <v>97763.199999999997</v>
      </c>
      <c r="N1334" s="14">
        <v>110719.7</v>
      </c>
      <c r="O1334" s="14">
        <v>117312</v>
      </c>
      <c r="P1334" s="14">
        <v>114661.8</v>
      </c>
      <c r="Q1334" s="14">
        <v>133967.4</v>
      </c>
      <c r="R1334" s="14">
        <v>145118</v>
      </c>
      <c r="S1334" s="14">
        <v>163268.6</v>
      </c>
      <c r="T1334" s="14">
        <v>170073</v>
      </c>
      <c r="U1334" s="14">
        <v>157949</v>
      </c>
      <c r="V1334" s="14">
        <v>183061.5</v>
      </c>
      <c r="W1334" s="14">
        <v>194613.8</v>
      </c>
      <c r="X1334" s="14">
        <v>193082.4</v>
      </c>
      <c r="Y1334" s="14">
        <v>192323.9</v>
      </c>
      <c r="Z1334" s="14">
        <v>203396.8</v>
      </c>
      <c r="AA1334" s="14"/>
      <c r="AB1334" s="14"/>
      <c r="AC1334" s="15">
        <f>IFERROR(Z1334/G1334-1,"")</f>
        <v>2.9921803850139743</v>
      </c>
      <c r="AD1334" s="15">
        <f>IFERROR((Z1334/G1334)^(1/19)-1,"")</f>
        <v>7.557980615146942E-2</v>
      </c>
    </row>
    <row r="1335" spans="1:30">
      <c r="A1335" s="45" t="s">
        <v>121</v>
      </c>
      <c r="B1335" s="45" t="s">
        <v>122</v>
      </c>
      <c r="C1335" s="45" t="s">
        <v>498</v>
      </c>
      <c r="D1335" s="45" t="s">
        <v>497</v>
      </c>
      <c r="E1335" s="45" t="s">
        <v>499</v>
      </c>
      <c r="F1335" s="45" t="s">
        <v>500</v>
      </c>
      <c r="G1335" s="14">
        <v>77732.2</v>
      </c>
      <c r="H1335" s="14">
        <v>75355.600000000006</v>
      </c>
      <c r="I1335" s="14">
        <v>77502.100000000006</v>
      </c>
      <c r="J1335" s="14">
        <v>87940.9</v>
      </c>
      <c r="K1335" s="14">
        <v>91795.8</v>
      </c>
      <c r="L1335" s="14">
        <v>99606.8</v>
      </c>
      <c r="M1335" s="14">
        <v>102760.4</v>
      </c>
      <c r="N1335" s="14">
        <v>105006.9</v>
      </c>
      <c r="O1335" s="14">
        <v>111736</v>
      </c>
      <c r="P1335" s="14">
        <v>117545.8</v>
      </c>
      <c r="Q1335" s="14">
        <v>117809.7</v>
      </c>
      <c r="R1335" s="14">
        <v>124258.3</v>
      </c>
      <c r="S1335" s="14">
        <v>126619.1</v>
      </c>
      <c r="T1335" s="14">
        <v>126136.4</v>
      </c>
      <c r="U1335" s="14">
        <v>121822.7</v>
      </c>
      <c r="V1335" s="14">
        <v>126679.3</v>
      </c>
      <c r="W1335" s="14">
        <v>124084.8</v>
      </c>
      <c r="X1335" s="14">
        <v>129041.7</v>
      </c>
      <c r="Y1335" s="14">
        <v>127885.4</v>
      </c>
      <c r="Z1335" s="14">
        <v>122075.7</v>
      </c>
      <c r="AA1335" s="14"/>
      <c r="AB1335" s="14"/>
      <c r="AC1335" s="15">
        <f>IFERROR(Z1335/G1335-1,"")</f>
        <v>0.57046500677968726</v>
      </c>
      <c r="AD1335" s="15">
        <f>IFERROR((Z1335/G1335)^(1/19)-1,"")</f>
        <v>2.4040839682718307E-2</v>
      </c>
    </row>
    <row r="1336" spans="1:30">
      <c r="A1336" s="45" t="s">
        <v>121</v>
      </c>
      <c r="B1336" s="45" t="s">
        <v>122</v>
      </c>
      <c r="C1336" s="45" t="s">
        <v>498</v>
      </c>
      <c r="D1336" s="45" t="s">
        <v>501</v>
      </c>
      <c r="E1336" s="45" t="s">
        <v>499</v>
      </c>
      <c r="F1336" s="45" t="s">
        <v>500</v>
      </c>
      <c r="G1336" s="14">
        <v>17171.599999999999</v>
      </c>
      <c r="H1336" s="14">
        <v>27270.799999999999</v>
      </c>
      <c r="I1336" s="14">
        <v>25637.8</v>
      </c>
      <c r="J1336" s="14">
        <v>24426</v>
      </c>
      <c r="K1336" s="14">
        <v>27777.1</v>
      </c>
      <c r="L1336" s="14">
        <v>19921.900000000001</v>
      </c>
      <c r="M1336" s="14">
        <v>21745.5</v>
      </c>
      <c r="N1336" s="14">
        <v>24504.799999999999</v>
      </c>
      <c r="O1336" s="14">
        <v>24239</v>
      </c>
      <c r="P1336" s="14">
        <v>25954</v>
      </c>
      <c r="Q1336" s="14">
        <v>26661.3</v>
      </c>
      <c r="R1336" s="14">
        <v>25753.200000000001</v>
      </c>
      <c r="S1336" s="14">
        <v>24631.9</v>
      </c>
      <c r="T1336" s="14">
        <v>20395.5</v>
      </c>
      <c r="U1336" s="14">
        <v>20706.900000000001</v>
      </c>
      <c r="V1336" s="14">
        <v>24680.5</v>
      </c>
      <c r="W1336" s="14">
        <v>24750.5</v>
      </c>
      <c r="X1336" s="14">
        <v>30739.3</v>
      </c>
      <c r="Y1336" s="14">
        <v>29743.5</v>
      </c>
      <c r="Z1336" s="14">
        <v>27514.6</v>
      </c>
      <c r="AA1336" s="14"/>
      <c r="AB1336" s="14"/>
      <c r="AC1336" s="15">
        <f>IFERROR(Z1336/G1336-1,"")</f>
        <v>0.6023317570872837</v>
      </c>
      <c r="AD1336" s="15">
        <f>IFERROR((Z1336/G1336)^(1/19)-1,"")</f>
        <v>2.5124101419506051E-2</v>
      </c>
    </row>
    <row r="1337" spans="1:30">
      <c r="A1337" s="45" t="s">
        <v>253</v>
      </c>
      <c r="B1337" s="45" t="s">
        <v>254</v>
      </c>
      <c r="C1337" s="45" t="s">
        <v>490</v>
      </c>
      <c r="D1337" s="45" t="s">
        <v>491</v>
      </c>
      <c r="E1337" s="45" t="s">
        <v>492</v>
      </c>
      <c r="F1337" s="45" t="s">
        <v>493</v>
      </c>
      <c r="G1337" s="14">
        <v>23749</v>
      </c>
      <c r="H1337" s="14">
        <v>25249</v>
      </c>
      <c r="I1337" s="14">
        <v>26584</v>
      </c>
      <c r="J1337" s="14">
        <v>30607</v>
      </c>
      <c r="K1337" s="14">
        <v>31886</v>
      </c>
      <c r="L1337" s="14">
        <v>42801</v>
      </c>
      <c r="M1337" s="14">
        <v>47561</v>
      </c>
      <c r="N1337" s="14">
        <v>50677</v>
      </c>
      <c r="O1337" s="14">
        <v>52468</v>
      </c>
      <c r="P1337" s="14">
        <v>58676</v>
      </c>
      <c r="Q1337" s="14">
        <v>62316</v>
      </c>
      <c r="R1337" s="14">
        <v>66993</v>
      </c>
      <c r="S1337" s="14">
        <v>77125</v>
      </c>
      <c r="T1337" s="14">
        <v>83629</v>
      </c>
      <c r="U1337" s="14">
        <v>89745</v>
      </c>
      <c r="V1337" s="14">
        <v>94086</v>
      </c>
      <c r="W1337" s="14">
        <v>99130</v>
      </c>
      <c r="X1337" s="14">
        <v>108085</v>
      </c>
      <c r="Y1337" s="14">
        <v>116230</v>
      </c>
      <c r="Z1337" s="14">
        <v>125090</v>
      </c>
      <c r="AA1337" s="14">
        <v>141196</v>
      </c>
      <c r="AB1337" s="14">
        <v>165230</v>
      </c>
    </row>
    <row r="1338" spans="1:30">
      <c r="A1338" s="45" t="s">
        <v>253</v>
      </c>
      <c r="B1338" s="45" t="s">
        <v>254</v>
      </c>
      <c r="C1338" s="45" t="s">
        <v>490</v>
      </c>
      <c r="D1338" s="45" t="s">
        <v>494</v>
      </c>
      <c r="E1338" s="45" t="s">
        <v>492</v>
      </c>
      <c r="F1338" s="45" t="s">
        <v>493</v>
      </c>
      <c r="G1338" s="14">
        <v>23045</v>
      </c>
      <c r="H1338" s="14">
        <v>24516</v>
      </c>
      <c r="I1338" s="14">
        <v>25829</v>
      </c>
      <c r="J1338" s="14">
        <v>29597</v>
      </c>
      <c r="K1338" s="14">
        <v>30520</v>
      </c>
      <c r="L1338" s="14">
        <v>40535</v>
      </c>
      <c r="M1338" s="14">
        <v>44752</v>
      </c>
      <c r="N1338" s="14">
        <v>48623</v>
      </c>
      <c r="O1338" s="14">
        <v>50091</v>
      </c>
      <c r="P1338" s="14">
        <v>56210</v>
      </c>
      <c r="Q1338" s="14">
        <v>59720</v>
      </c>
      <c r="R1338" s="14">
        <v>65013</v>
      </c>
      <c r="S1338" s="14">
        <v>75073</v>
      </c>
      <c r="T1338" s="14">
        <v>80971</v>
      </c>
      <c r="U1338" s="14">
        <v>87450</v>
      </c>
      <c r="V1338" s="14">
        <v>92110</v>
      </c>
      <c r="W1338" s="14">
        <v>95582</v>
      </c>
      <c r="X1338" s="14">
        <v>104144</v>
      </c>
      <c r="Y1338" s="14">
        <v>111720</v>
      </c>
      <c r="Z1338" s="14">
        <v>119492</v>
      </c>
      <c r="AA1338" s="14"/>
      <c r="AB1338" s="14"/>
    </row>
    <row r="1339" spans="1:30">
      <c r="A1339" s="45" t="s">
        <v>253</v>
      </c>
      <c r="B1339" s="45" t="s">
        <v>254</v>
      </c>
      <c r="C1339" s="45" t="s">
        <v>490</v>
      </c>
      <c r="D1339" s="45" t="s">
        <v>495</v>
      </c>
      <c r="E1339" s="45" t="s">
        <v>492</v>
      </c>
      <c r="F1339" s="45" t="s">
        <v>493</v>
      </c>
      <c r="G1339" s="14">
        <v>1499</v>
      </c>
      <c r="H1339" s="14">
        <v>812</v>
      </c>
      <c r="I1339" s="14">
        <v>978</v>
      </c>
      <c r="J1339" s="14">
        <v>975</v>
      </c>
      <c r="K1339" s="14">
        <v>1059</v>
      </c>
      <c r="L1339" s="14">
        <v>1425</v>
      </c>
      <c r="M1339" s="14">
        <v>1515</v>
      </c>
      <c r="N1339" s="14">
        <v>1735</v>
      </c>
      <c r="O1339" s="14">
        <v>1522</v>
      </c>
      <c r="P1339" s="14">
        <v>1980</v>
      </c>
      <c r="Q1339" s="14">
        <v>2756</v>
      </c>
      <c r="R1339" s="14">
        <v>2381</v>
      </c>
      <c r="S1339" s="14">
        <v>2550</v>
      </c>
      <c r="T1339" s="14">
        <v>2642</v>
      </c>
      <c r="U1339" s="14">
        <v>3695</v>
      </c>
      <c r="V1339" s="14">
        <v>3841</v>
      </c>
      <c r="W1339" s="14">
        <v>4151</v>
      </c>
      <c r="X1339" s="14">
        <v>4038</v>
      </c>
      <c r="Y1339" s="14">
        <v>4398</v>
      </c>
      <c r="Z1339" s="14">
        <v>5058</v>
      </c>
      <c r="AA1339" s="14"/>
      <c r="AB1339" s="14"/>
    </row>
    <row r="1340" spans="1:30">
      <c r="A1340" s="45" t="s">
        <v>253</v>
      </c>
      <c r="B1340" s="45" t="s">
        <v>254</v>
      </c>
      <c r="C1340" s="45" t="s">
        <v>490</v>
      </c>
      <c r="D1340" s="45" t="s">
        <v>496</v>
      </c>
      <c r="E1340" s="45" t="s">
        <v>492</v>
      </c>
      <c r="F1340" s="45" t="s">
        <v>493</v>
      </c>
      <c r="G1340" s="14">
        <v>6026</v>
      </c>
      <c r="H1340" s="14">
        <v>5756</v>
      </c>
      <c r="I1340" s="14">
        <v>6381</v>
      </c>
      <c r="J1340" s="14">
        <v>6755</v>
      </c>
      <c r="K1340" s="14">
        <v>7409</v>
      </c>
      <c r="L1340" s="14">
        <v>9748</v>
      </c>
      <c r="M1340" s="14">
        <v>9674</v>
      </c>
      <c r="N1340" s="14">
        <v>11256</v>
      </c>
      <c r="O1340" s="14">
        <v>12081</v>
      </c>
      <c r="P1340" s="14">
        <v>12733</v>
      </c>
      <c r="Q1340" s="14">
        <v>14950</v>
      </c>
      <c r="R1340" s="14">
        <v>14708</v>
      </c>
      <c r="S1340" s="14">
        <v>16102</v>
      </c>
      <c r="T1340" s="14">
        <v>18612</v>
      </c>
      <c r="U1340" s="14">
        <v>22013</v>
      </c>
      <c r="V1340" s="14">
        <v>22303</v>
      </c>
      <c r="W1340" s="14">
        <v>24288</v>
      </c>
      <c r="X1340" s="14">
        <v>26483</v>
      </c>
      <c r="Y1340" s="14">
        <v>28784</v>
      </c>
      <c r="Z1340" s="14">
        <v>31292</v>
      </c>
      <c r="AA1340" s="14"/>
      <c r="AB1340" s="14"/>
    </row>
    <row r="1341" spans="1:30">
      <c r="A1341" s="45" t="s">
        <v>253</v>
      </c>
      <c r="B1341" s="45" t="s">
        <v>254</v>
      </c>
      <c r="C1341" s="45" t="s">
        <v>490</v>
      </c>
      <c r="D1341" s="45" t="s">
        <v>497</v>
      </c>
      <c r="E1341" s="45" t="s">
        <v>492</v>
      </c>
      <c r="F1341" s="45" t="s">
        <v>493</v>
      </c>
      <c r="G1341" s="14">
        <v>13572</v>
      </c>
      <c r="H1341" s="14">
        <v>14576</v>
      </c>
      <c r="I1341" s="14">
        <v>14917</v>
      </c>
      <c r="J1341" s="14">
        <v>16744</v>
      </c>
      <c r="K1341" s="14">
        <v>18464</v>
      </c>
      <c r="L1341" s="14">
        <v>25754</v>
      </c>
      <c r="M1341" s="14">
        <v>27545</v>
      </c>
      <c r="N1341" s="14">
        <v>32107</v>
      </c>
      <c r="O1341" s="14">
        <v>33954</v>
      </c>
      <c r="P1341" s="14">
        <v>38004</v>
      </c>
      <c r="Q1341" s="14">
        <v>40115</v>
      </c>
      <c r="R1341" s="14">
        <v>45969</v>
      </c>
      <c r="S1341" s="14">
        <v>54549</v>
      </c>
      <c r="T1341" s="14">
        <v>57679</v>
      </c>
      <c r="U1341" s="14">
        <v>59487</v>
      </c>
      <c r="V1341" s="14">
        <v>63759</v>
      </c>
      <c r="W1341" s="14">
        <v>65093</v>
      </c>
      <c r="X1341" s="14">
        <v>69179</v>
      </c>
      <c r="Y1341" s="14">
        <v>71663</v>
      </c>
      <c r="Z1341" s="14">
        <v>79426</v>
      </c>
      <c r="AA1341" s="14"/>
      <c r="AB1341" s="14"/>
    </row>
    <row r="1342" spans="1:30">
      <c r="A1342" s="45" t="s">
        <v>253</v>
      </c>
      <c r="B1342" s="45" t="s">
        <v>254</v>
      </c>
      <c r="C1342" s="45" t="s">
        <v>498</v>
      </c>
      <c r="D1342" s="45" t="s">
        <v>491</v>
      </c>
      <c r="E1342" s="45" t="s">
        <v>499</v>
      </c>
      <c r="F1342" s="45" t="s">
        <v>500</v>
      </c>
      <c r="G1342" s="14">
        <v>45117.9</v>
      </c>
      <c r="H1342" s="14">
        <v>42042.5</v>
      </c>
      <c r="I1342" s="14">
        <v>41080.699999999997</v>
      </c>
      <c r="J1342" s="14">
        <v>44026.3</v>
      </c>
      <c r="K1342" s="14">
        <v>42956.2</v>
      </c>
      <c r="L1342" s="14">
        <v>54172.4</v>
      </c>
      <c r="M1342" s="14">
        <v>55339.1</v>
      </c>
      <c r="N1342" s="14">
        <v>54945.7</v>
      </c>
      <c r="O1342" s="14">
        <v>52468</v>
      </c>
      <c r="P1342" s="14">
        <v>54169.8</v>
      </c>
      <c r="Q1342" s="14">
        <v>53296.9</v>
      </c>
      <c r="R1342" s="14">
        <v>53297.2</v>
      </c>
      <c r="S1342" s="14">
        <v>56893.599999999999</v>
      </c>
      <c r="T1342" s="14">
        <v>57352.1</v>
      </c>
      <c r="U1342" s="14">
        <v>56932.800000000003</v>
      </c>
      <c r="V1342" s="14">
        <v>57572.9</v>
      </c>
      <c r="W1342" s="14">
        <v>58050.9</v>
      </c>
      <c r="X1342" s="14">
        <v>60729.599999999999</v>
      </c>
      <c r="Y1342" s="14">
        <v>61336.1</v>
      </c>
      <c r="Z1342" s="14">
        <v>58392.9</v>
      </c>
      <c r="AA1342" s="14"/>
      <c r="AB1342" s="14"/>
      <c r="AC1342" s="15">
        <f>IFERROR(Z1342/G1342-1,"")</f>
        <v>0.29422911970636934</v>
      </c>
      <c r="AD1342" s="15">
        <f>IFERROR((Z1342/G1342)^(1/19)-1,"")</f>
        <v>1.3667038150606325E-2</v>
      </c>
    </row>
    <row r="1343" spans="1:30">
      <c r="A1343" s="45" t="s">
        <v>253</v>
      </c>
      <c r="B1343" s="45" t="s">
        <v>254</v>
      </c>
      <c r="C1343" s="45" t="s">
        <v>498</v>
      </c>
      <c r="D1343" s="45" t="s">
        <v>495</v>
      </c>
      <c r="E1343" s="45" t="s">
        <v>499</v>
      </c>
      <c r="F1343" s="45" t="s">
        <v>500</v>
      </c>
      <c r="G1343" s="14">
        <v>2848</v>
      </c>
      <c r="H1343" s="14">
        <v>1352.7</v>
      </c>
      <c r="I1343" s="14">
        <v>1511.4</v>
      </c>
      <c r="J1343" s="14">
        <v>1402.5</v>
      </c>
      <c r="K1343" s="14">
        <v>1427.3</v>
      </c>
      <c r="L1343" s="14">
        <v>1803.9</v>
      </c>
      <c r="M1343" s="14">
        <v>1762.6</v>
      </c>
      <c r="N1343" s="14">
        <v>1881.1</v>
      </c>
      <c r="O1343" s="14">
        <v>1522</v>
      </c>
      <c r="P1343" s="14">
        <v>1827.9</v>
      </c>
      <c r="Q1343" s="14">
        <v>2357.1</v>
      </c>
      <c r="R1343" s="14">
        <v>1894.2</v>
      </c>
      <c r="S1343" s="14">
        <v>1881.1</v>
      </c>
      <c r="T1343" s="14">
        <v>1811.9</v>
      </c>
      <c r="U1343" s="14">
        <v>2344</v>
      </c>
      <c r="V1343" s="14">
        <v>2350.4</v>
      </c>
      <c r="W1343" s="14">
        <v>2430.8000000000002</v>
      </c>
      <c r="X1343" s="14">
        <v>2268.8000000000002</v>
      </c>
      <c r="Y1343" s="14">
        <v>2320.9</v>
      </c>
      <c r="Z1343" s="14">
        <v>2361.1</v>
      </c>
      <c r="AA1343" s="14"/>
      <c r="AB1343" s="14"/>
      <c r="AC1343" s="15">
        <f>IFERROR(Z1343/G1343-1,"")</f>
        <v>-0.17096207865168545</v>
      </c>
      <c r="AD1343" s="15">
        <f>IFERROR((Z1343/G1343)^(1/19)-1,"")</f>
        <v>-9.8193345798175402E-3</v>
      </c>
    </row>
    <row r="1344" spans="1:30">
      <c r="A1344" s="45" t="s">
        <v>253</v>
      </c>
      <c r="B1344" s="45" t="s">
        <v>254</v>
      </c>
      <c r="C1344" s="45" t="s">
        <v>498</v>
      </c>
      <c r="D1344" s="45" t="s">
        <v>496</v>
      </c>
      <c r="E1344" s="45" t="s">
        <v>499</v>
      </c>
      <c r="F1344" s="45" t="s">
        <v>500</v>
      </c>
      <c r="G1344" s="14">
        <v>11448</v>
      </c>
      <c r="H1344" s="14">
        <v>9584.9</v>
      </c>
      <c r="I1344" s="14">
        <v>9860.4</v>
      </c>
      <c r="J1344" s="14">
        <v>9717.2000000000007</v>
      </c>
      <c r="K1344" s="14">
        <v>9980.6</v>
      </c>
      <c r="L1344" s="14">
        <v>12338.3</v>
      </c>
      <c r="M1344" s="14">
        <v>11255.5</v>
      </c>
      <c r="N1344" s="14">
        <v>12204.1</v>
      </c>
      <c r="O1344" s="14">
        <v>12081</v>
      </c>
      <c r="P1344" s="14">
        <v>11755.1</v>
      </c>
      <c r="Q1344" s="14">
        <v>12786.2</v>
      </c>
      <c r="R1344" s="14">
        <v>11701.2</v>
      </c>
      <c r="S1344" s="14">
        <v>11878.1</v>
      </c>
      <c r="T1344" s="14">
        <v>12764</v>
      </c>
      <c r="U1344" s="14">
        <v>13964.7</v>
      </c>
      <c r="V1344" s="14">
        <v>13647.6</v>
      </c>
      <c r="W1344" s="14">
        <v>14223.1</v>
      </c>
      <c r="X1344" s="14">
        <v>14880</v>
      </c>
      <c r="Y1344" s="14">
        <v>15189.7</v>
      </c>
      <c r="Z1344" s="14">
        <v>14607.3</v>
      </c>
      <c r="AA1344" s="14"/>
      <c r="AB1344" s="14"/>
      <c r="AC1344" s="15">
        <f>IFERROR(Z1344/G1344-1,"")</f>
        <v>0.27596960167714868</v>
      </c>
      <c r="AD1344" s="15">
        <f>IFERROR((Z1344/G1344)^(1/19)-1,"")</f>
        <v>1.2909264932057907E-2</v>
      </c>
    </row>
    <row r="1345" spans="1:30">
      <c r="A1345" s="45" t="s">
        <v>253</v>
      </c>
      <c r="B1345" s="45" t="s">
        <v>254</v>
      </c>
      <c r="C1345" s="45" t="s">
        <v>498</v>
      </c>
      <c r="D1345" s="45" t="s">
        <v>497</v>
      </c>
      <c r="E1345" s="45" t="s">
        <v>499</v>
      </c>
      <c r="F1345" s="45" t="s">
        <v>500</v>
      </c>
      <c r="G1345" s="14">
        <v>25782.6</v>
      </c>
      <c r="H1345" s="14">
        <v>24270.6</v>
      </c>
      <c r="I1345" s="14">
        <v>23051.7</v>
      </c>
      <c r="J1345" s="14">
        <v>24085.4</v>
      </c>
      <c r="K1345" s="14">
        <v>24873.599999999999</v>
      </c>
      <c r="L1345" s="14">
        <v>32595.5</v>
      </c>
      <c r="M1345" s="14">
        <v>32049.5</v>
      </c>
      <c r="N1345" s="14">
        <v>34811.5</v>
      </c>
      <c r="O1345" s="14">
        <v>33954</v>
      </c>
      <c r="P1345" s="14">
        <v>35085.4</v>
      </c>
      <c r="Q1345" s="14">
        <v>34309.1</v>
      </c>
      <c r="R1345" s="14">
        <v>36571.300000000003</v>
      </c>
      <c r="S1345" s="14">
        <v>40239.699999999997</v>
      </c>
      <c r="T1345" s="14">
        <v>39555.800000000003</v>
      </c>
      <c r="U1345" s="14">
        <v>37737.599999999999</v>
      </c>
      <c r="V1345" s="14">
        <v>39015.300000000003</v>
      </c>
      <c r="W1345" s="14">
        <v>38118.699999999997</v>
      </c>
      <c r="X1345" s="14">
        <v>38869.5</v>
      </c>
      <c r="Y1345" s="14">
        <v>37817.5</v>
      </c>
      <c r="Z1345" s="14">
        <v>37077.599999999999</v>
      </c>
      <c r="AA1345" s="14"/>
      <c r="AB1345" s="14"/>
      <c r="AC1345" s="15">
        <f>IFERROR(Z1345/G1345-1,"")</f>
        <v>0.43808615112517746</v>
      </c>
      <c r="AD1345" s="15">
        <f>IFERROR((Z1345/G1345)^(1/19)-1,"")</f>
        <v>1.9305737131767309E-2</v>
      </c>
    </row>
    <row r="1346" spans="1:30">
      <c r="A1346" s="45" t="s">
        <v>253</v>
      </c>
      <c r="B1346" s="45" t="s">
        <v>254</v>
      </c>
      <c r="C1346" s="45" t="s">
        <v>498</v>
      </c>
      <c r="D1346" s="45" t="s">
        <v>501</v>
      </c>
      <c r="E1346" s="45" t="s">
        <v>499</v>
      </c>
      <c r="F1346" s="45" t="s">
        <v>500</v>
      </c>
      <c r="G1346" s="14">
        <v>3701</v>
      </c>
      <c r="H1346" s="14">
        <v>5614.4</v>
      </c>
      <c r="I1346" s="14">
        <v>5490.5</v>
      </c>
      <c r="J1346" s="14">
        <v>7368.3</v>
      </c>
      <c r="K1346" s="14">
        <v>4834.3</v>
      </c>
      <c r="L1346" s="14">
        <v>4566</v>
      </c>
      <c r="M1346" s="14">
        <v>7002.7</v>
      </c>
      <c r="N1346" s="14">
        <v>3823</v>
      </c>
      <c r="O1346" s="14">
        <v>2535</v>
      </c>
      <c r="P1346" s="14">
        <v>3224.7</v>
      </c>
      <c r="Q1346" s="14">
        <v>1623.3</v>
      </c>
      <c r="R1346" s="14">
        <v>1555.3</v>
      </c>
      <c r="S1346" s="14">
        <v>1380.9</v>
      </c>
      <c r="T1346" s="14">
        <v>1398.3</v>
      </c>
      <c r="U1346" s="14">
        <v>1430.5</v>
      </c>
      <c r="V1346" s="14">
        <v>1350.5</v>
      </c>
      <c r="W1346" s="14">
        <v>1199.9000000000001</v>
      </c>
      <c r="X1346" s="14">
        <v>2497.5</v>
      </c>
      <c r="Y1346" s="14">
        <v>3628</v>
      </c>
      <c r="Z1346" s="14">
        <v>1735.1</v>
      </c>
      <c r="AA1346" s="14"/>
      <c r="AB1346" s="14"/>
      <c r="AC1346" s="15">
        <f>IFERROR(Z1346/G1346-1,"")</f>
        <v>-0.5311807619562281</v>
      </c>
      <c r="AD1346" s="15">
        <f>IFERROR((Z1346/G1346)^(1/19)-1,"")</f>
        <v>-3.9086054938666348E-2</v>
      </c>
    </row>
    <row r="1347" spans="1:30">
      <c r="A1347" s="45" t="s">
        <v>307</v>
      </c>
      <c r="B1347" s="45" t="s">
        <v>308</v>
      </c>
      <c r="C1347" s="45" t="s">
        <v>490</v>
      </c>
      <c r="D1347" s="45" t="s">
        <v>491</v>
      </c>
      <c r="E1347" s="45" t="s">
        <v>492</v>
      </c>
      <c r="F1347" s="45" t="s">
        <v>493</v>
      </c>
      <c r="G1347" s="14">
        <v>10356</v>
      </c>
      <c r="H1347" s="14">
        <v>11431</v>
      </c>
      <c r="I1347" s="14">
        <v>13300</v>
      </c>
      <c r="J1347" s="14">
        <v>15747</v>
      </c>
      <c r="K1347" s="14">
        <v>17815</v>
      </c>
      <c r="L1347" s="14">
        <v>19498</v>
      </c>
      <c r="M1347" s="14">
        <v>23330</v>
      </c>
      <c r="N1347" s="14">
        <v>26190</v>
      </c>
      <c r="O1347" s="14">
        <v>31488</v>
      </c>
      <c r="P1347" s="14">
        <v>38316</v>
      </c>
      <c r="Q1347" s="14">
        <v>44008</v>
      </c>
      <c r="R1347" s="14">
        <v>48960</v>
      </c>
      <c r="S1347" s="14">
        <v>54568</v>
      </c>
      <c r="T1347" s="14">
        <v>62411</v>
      </c>
      <c r="U1347" s="14">
        <v>72521</v>
      </c>
      <c r="V1347" s="14">
        <v>101471</v>
      </c>
      <c r="W1347" s="14">
        <v>89306</v>
      </c>
      <c r="X1347" s="14">
        <v>84542</v>
      </c>
      <c r="Y1347" s="14">
        <v>79027</v>
      </c>
      <c r="Z1347" s="14">
        <v>83854</v>
      </c>
      <c r="AA1347" s="14">
        <v>95606</v>
      </c>
      <c r="AB1347" s="14">
        <v>106548</v>
      </c>
    </row>
    <row r="1348" spans="1:30">
      <c r="A1348" s="45" t="s">
        <v>307</v>
      </c>
      <c r="B1348" s="45" t="s">
        <v>308</v>
      </c>
      <c r="C1348" s="45" t="s">
        <v>490</v>
      </c>
      <c r="D1348" s="45" t="s">
        <v>494</v>
      </c>
      <c r="E1348" s="45" t="s">
        <v>492</v>
      </c>
      <c r="F1348" s="45" t="s">
        <v>493</v>
      </c>
      <c r="G1348" s="14">
        <v>9745</v>
      </c>
      <c r="H1348" s="14">
        <v>10841</v>
      </c>
      <c r="I1348" s="14">
        <v>12258</v>
      </c>
      <c r="J1348" s="14">
        <v>14458</v>
      </c>
      <c r="K1348" s="14">
        <v>16329</v>
      </c>
      <c r="L1348" s="14">
        <v>17552</v>
      </c>
      <c r="M1348" s="14">
        <v>20978</v>
      </c>
      <c r="N1348" s="14">
        <v>23559</v>
      </c>
      <c r="O1348" s="14">
        <v>27681</v>
      </c>
      <c r="P1348" s="14">
        <v>33614</v>
      </c>
      <c r="Q1348" s="14">
        <v>38369</v>
      </c>
      <c r="R1348" s="14">
        <v>43236</v>
      </c>
      <c r="S1348" s="14">
        <v>47824</v>
      </c>
      <c r="T1348" s="14">
        <v>55023</v>
      </c>
      <c r="U1348" s="14">
        <v>66791</v>
      </c>
      <c r="V1348" s="14">
        <v>91720</v>
      </c>
      <c r="W1348" s="14">
        <v>81189</v>
      </c>
      <c r="X1348" s="14">
        <v>77027</v>
      </c>
      <c r="Y1348" s="14">
        <v>72613</v>
      </c>
      <c r="Z1348" s="14">
        <v>76654</v>
      </c>
      <c r="AA1348" s="14"/>
      <c r="AB1348" s="14"/>
    </row>
    <row r="1349" spans="1:30">
      <c r="A1349" s="45" t="s">
        <v>307</v>
      </c>
      <c r="B1349" s="45" t="s">
        <v>308</v>
      </c>
      <c r="C1349" s="45" t="s">
        <v>490</v>
      </c>
      <c r="D1349" s="45" t="s">
        <v>495</v>
      </c>
      <c r="E1349" s="45" t="s">
        <v>492</v>
      </c>
      <c r="F1349" s="45" t="s">
        <v>493</v>
      </c>
      <c r="G1349" s="14">
        <v>1031</v>
      </c>
      <c r="H1349" s="14">
        <v>912</v>
      </c>
      <c r="I1349" s="14">
        <v>1214</v>
      </c>
      <c r="J1349" s="14">
        <v>2199</v>
      </c>
      <c r="K1349" s="14">
        <v>1561</v>
      </c>
      <c r="L1349" s="14">
        <v>2092</v>
      </c>
      <c r="M1349" s="14">
        <v>3283</v>
      </c>
      <c r="N1349" s="14">
        <v>3272</v>
      </c>
      <c r="O1349" s="14">
        <v>4450</v>
      </c>
      <c r="P1349" s="14">
        <v>6904</v>
      </c>
      <c r="Q1349" s="14">
        <v>7874</v>
      </c>
      <c r="R1349" s="14">
        <v>9609</v>
      </c>
      <c r="S1349" s="14">
        <v>10678</v>
      </c>
      <c r="T1349" s="14">
        <v>12219</v>
      </c>
      <c r="U1349" s="14">
        <v>21232</v>
      </c>
      <c r="V1349" s="14">
        <v>37441</v>
      </c>
      <c r="W1349" s="14">
        <v>24733</v>
      </c>
      <c r="X1349" s="14">
        <v>15876</v>
      </c>
      <c r="Y1349" s="14">
        <v>11273</v>
      </c>
      <c r="Z1349" s="14">
        <v>10076</v>
      </c>
      <c r="AA1349" s="14"/>
      <c r="AB1349" s="14"/>
    </row>
    <row r="1350" spans="1:30">
      <c r="A1350" s="45" t="s">
        <v>307</v>
      </c>
      <c r="B1350" s="45" t="s">
        <v>308</v>
      </c>
      <c r="C1350" s="45" t="s">
        <v>490</v>
      </c>
      <c r="D1350" s="45" t="s">
        <v>496</v>
      </c>
      <c r="E1350" s="45" t="s">
        <v>492</v>
      </c>
      <c r="F1350" s="45" t="s">
        <v>493</v>
      </c>
      <c r="G1350" s="14">
        <v>2195</v>
      </c>
      <c r="H1350" s="14">
        <v>2133</v>
      </c>
      <c r="I1350" s="14">
        <v>2493</v>
      </c>
      <c r="J1350" s="14">
        <v>2867</v>
      </c>
      <c r="K1350" s="14">
        <v>3158</v>
      </c>
      <c r="L1350" s="14">
        <v>3461</v>
      </c>
      <c r="M1350" s="14">
        <v>3732</v>
      </c>
      <c r="N1350" s="14">
        <v>4395</v>
      </c>
      <c r="O1350" s="14">
        <v>5564</v>
      </c>
      <c r="P1350" s="14">
        <v>7268</v>
      </c>
      <c r="Q1350" s="14">
        <v>9940</v>
      </c>
      <c r="R1350" s="14">
        <v>10090</v>
      </c>
      <c r="S1350" s="14">
        <v>10579</v>
      </c>
      <c r="T1350" s="14">
        <v>14284</v>
      </c>
      <c r="U1350" s="14">
        <v>15720</v>
      </c>
      <c r="V1350" s="14">
        <v>21729</v>
      </c>
      <c r="W1350" s="14">
        <v>22106</v>
      </c>
      <c r="X1350" s="14">
        <v>23052</v>
      </c>
      <c r="Y1350" s="14">
        <v>22181</v>
      </c>
      <c r="Z1350" s="14">
        <v>22957</v>
      </c>
      <c r="AA1350" s="14"/>
      <c r="AB1350" s="14"/>
    </row>
    <row r="1351" spans="1:30">
      <c r="A1351" s="45" t="s">
        <v>307</v>
      </c>
      <c r="B1351" s="45" t="s">
        <v>308</v>
      </c>
      <c r="C1351" s="45" t="s">
        <v>490</v>
      </c>
      <c r="D1351" s="45" t="s">
        <v>497</v>
      </c>
      <c r="E1351" s="45" t="s">
        <v>492</v>
      </c>
      <c r="F1351" s="45" t="s">
        <v>493</v>
      </c>
      <c r="G1351" s="14">
        <v>4735</v>
      </c>
      <c r="H1351" s="14">
        <v>5232</v>
      </c>
      <c r="I1351" s="14">
        <v>5786</v>
      </c>
      <c r="J1351" s="14">
        <v>6926</v>
      </c>
      <c r="K1351" s="14">
        <v>8199</v>
      </c>
      <c r="L1351" s="14">
        <v>8808</v>
      </c>
      <c r="M1351" s="14">
        <v>9839</v>
      </c>
      <c r="N1351" s="14">
        <v>10876</v>
      </c>
      <c r="O1351" s="14">
        <v>12968</v>
      </c>
      <c r="P1351" s="14">
        <v>14579</v>
      </c>
      <c r="Q1351" s="14">
        <v>16021</v>
      </c>
      <c r="R1351" s="14">
        <v>18564</v>
      </c>
      <c r="S1351" s="14">
        <v>20676</v>
      </c>
      <c r="T1351" s="14">
        <v>21664</v>
      </c>
      <c r="U1351" s="14">
        <v>22612</v>
      </c>
      <c r="V1351" s="14">
        <v>25343</v>
      </c>
      <c r="W1351" s="14">
        <v>26690</v>
      </c>
      <c r="X1351" s="14">
        <v>28425</v>
      </c>
      <c r="Y1351" s="14">
        <v>28687</v>
      </c>
      <c r="Z1351" s="14">
        <v>30956</v>
      </c>
      <c r="AA1351" s="14"/>
      <c r="AB1351" s="14"/>
    </row>
    <row r="1352" spans="1:30">
      <c r="A1352" s="45" t="s">
        <v>307</v>
      </c>
      <c r="B1352" s="45" t="s">
        <v>308</v>
      </c>
      <c r="C1352" s="45" t="s">
        <v>498</v>
      </c>
      <c r="D1352" s="45" t="s">
        <v>491</v>
      </c>
      <c r="E1352" s="45" t="s">
        <v>499</v>
      </c>
      <c r="F1352" s="45" t="s">
        <v>500</v>
      </c>
      <c r="G1352" s="14">
        <v>19674.2</v>
      </c>
      <c r="H1352" s="14">
        <v>19034.099999999999</v>
      </c>
      <c r="I1352" s="14">
        <v>20553.2</v>
      </c>
      <c r="J1352" s="14">
        <v>22651.1</v>
      </c>
      <c r="K1352" s="14">
        <v>23999.8</v>
      </c>
      <c r="L1352" s="14">
        <v>24677.8</v>
      </c>
      <c r="M1352" s="14">
        <v>27145.200000000001</v>
      </c>
      <c r="N1352" s="14">
        <v>28396.1</v>
      </c>
      <c r="O1352" s="14">
        <v>31488</v>
      </c>
      <c r="P1352" s="14">
        <v>35373.4</v>
      </c>
      <c r="Q1352" s="14">
        <v>37638.6</v>
      </c>
      <c r="R1352" s="14">
        <v>38950.800000000003</v>
      </c>
      <c r="S1352" s="14">
        <v>40253.699999999997</v>
      </c>
      <c r="T1352" s="14">
        <v>42801</v>
      </c>
      <c r="U1352" s="14">
        <v>46006.2</v>
      </c>
      <c r="V1352" s="14">
        <v>62092</v>
      </c>
      <c r="W1352" s="14">
        <v>52297.9</v>
      </c>
      <c r="X1352" s="14">
        <v>47501.5</v>
      </c>
      <c r="Y1352" s="14">
        <v>41703.599999999999</v>
      </c>
      <c r="Z1352" s="14">
        <v>39143.699999999997</v>
      </c>
      <c r="AA1352" s="14"/>
      <c r="AB1352" s="14"/>
      <c r="AC1352" s="15">
        <f>IFERROR(Z1352/G1352-1,"")</f>
        <v>0.9895955108721064</v>
      </c>
      <c r="AD1352" s="15">
        <f>IFERROR((Z1352/G1352)^(1/19)-1,"")</f>
        <v>3.6870366811849964E-2</v>
      </c>
    </row>
    <row r="1353" spans="1:30">
      <c r="A1353" s="45" t="s">
        <v>307</v>
      </c>
      <c r="B1353" s="45" t="s">
        <v>308</v>
      </c>
      <c r="C1353" s="45" t="s">
        <v>498</v>
      </c>
      <c r="D1353" s="45" t="s">
        <v>495</v>
      </c>
      <c r="E1353" s="45" t="s">
        <v>499</v>
      </c>
      <c r="F1353" s="45" t="s">
        <v>500</v>
      </c>
      <c r="G1353" s="14">
        <v>1958</v>
      </c>
      <c r="H1353" s="14">
        <v>1519.1</v>
      </c>
      <c r="I1353" s="14">
        <v>1876.3</v>
      </c>
      <c r="J1353" s="14">
        <v>3162.6</v>
      </c>
      <c r="K1353" s="14">
        <v>2103.3000000000002</v>
      </c>
      <c r="L1353" s="14">
        <v>2647.5</v>
      </c>
      <c r="M1353" s="14">
        <v>3820.2</v>
      </c>
      <c r="N1353" s="14">
        <v>3547.6</v>
      </c>
      <c r="O1353" s="14">
        <v>4450</v>
      </c>
      <c r="P1353" s="14">
        <v>6373.8</v>
      </c>
      <c r="Q1353" s="14">
        <v>6734.4</v>
      </c>
      <c r="R1353" s="14">
        <v>7644.6</v>
      </c>
      <c r="S1353" s="14">
        <v>7877</v>
      </c>
      <c r="T1353" s="14">
        <v>8379.7000000000007</v>
      </c>
      <c r="U1353" s="14">
        <v>13469.2</v>
      </c>
      <c r="V1353" s="14">
        <v>22910.799999999999</v>
      </c>
      <c r="W1353" s="14">
        <v>14483.7</v>
      </c>
      <c r="X1353" s="14">
        <v>8920.2000000000007</v>
      </c>
      <c r="Y1353" s="14">
        <v>5948.9</v>
      </c>
      <c r="Z1353" s="14">
        <v>4703.6000000000004</v>
      </c>
      <c r="AA1353" s="14"/>
      <c r="AB1353" s="14"/>
      <c r="AC1353" s="15">
        <f>IFERROR(Z1353/G1353-1,"")</f>
        <v>1.4022471910112362</v>
      </c>
      <c r="AD1353" s="15">
        <f>IFERROR((Z1353/G1353)^(1/19)-1,"")</f>
        <v>4.7206936466404281E-2</v>
      </c>
    </row>
    <row r="1354" spans="1:30">
      <c r="A1354" s="45" t="s">
        <v>307</v>
      </c>
      <c r="B1354" s="45" t="s">
        <v>308</v>
      </c>
      <c r="C1354" s="45" t="s">
        <v>498</v>
      </c>
      <c r="D1354" s="45" t="s">
        <v>496</v>
      </c>
      <c r="E1354" s="45" t="s">
        <v>499</v>
      </c>
      <c r="F1354" s="45" t="s">
        <v>500</v>
      </c>
      <c r="G1354" s="14">
        <v>4169.8999999999996</v>
      </c>
      <c r="H1354" s="14">
        <v>3551</v>
      </c>
      <c r="I1354" s="14">
        <v>3852.8</v>
      </c>
      <c r="J1354" s="14">
        <v>4123.7</v>
      </c>
      <c r="K1354" s="14">
        <v>4254.6000000000004</v>
      </c>
      <c r="L1354" s="14">
        <v>4380.7</v>
      </c>
      <c r="M1354" s="14">
        <v>4342.7</v>
      </c>
      <c r="N1354" s="14">
        <v>4765.2</v>
      </c>
      <c r="O1354" s="14">
        <v>5564</v>
      </c>
      <c r="P1354" s="14">
        <v>6709.8</v>
      </c>
      <c r="Q1354" s="14">
        <v>8501.4</v>
      </c>
      <c r="R1354" s="14">
        <v>8027.2</v>
      </c>
      <c r="S1354" s="14">
        <v>7803.9</v>
      </c>
      <c r="T1354" s="14">
        <v>9795.9</v>
      </c>
      <c r="U1354" s="14">
        <v>9972.5</v>
      </c>
      <c r="V1354" s="14">
        <v>13296.4</v>
      </c>
      <c r="W1354" s="14">
        <v>12945.4</v>
      </c>
      <c r="X1354" s="14">
        <v>12952.2</v>
      </c>
      <c r="Y1354" s="14">
        <v>11705.2</v>
      </c>
      <c r="Z1354" s="14">
        <v>10716.5</v>
      </c>
      <c r="AA1354" s="14"/>
      <c r="AB1354" s="14"/>
      <c r="AC1354" s="15">
        <f>IFERROR(Z1354/G1354-1,"")</f>
        <v>1.5699657066116695</v>
      </c>
      <c r="AD1354" s="15">
        <f>IFERROR((Z1354/G1354)^(1/19)-1,"")</f>
        <v>5.0933225402863602E-2</v>
      </c>
    </row>
    <row r="1355" spans="1:30">
      <c r="A1355" s="45" t="s">
        <v>307</v>
      </c>
      <c r="B1355" s="45" t="s">
        <v>308</v>
      </c>
      <c r="C1355" s="45" t="s">
        <v>498</v>
      </c>
      <c r="D1355" s="45" t="s">
        <v>497</v>
      </c>
      <c r="E1355" s="45" t="s">
        <v>499</v>
      </c>
      <c r="F1355" s="45" t="s">
        <v>500</v>
      </c>
      <c r="G1355" s="14">
        <v>8995.6</v>
      </c>
      <c r="H1355" s="14">
        <v>8712.5</v>
      </c>
      <c r="I1355" s="14">
        <v>8941.6</v>
      </c>
      <c r="J1355" s="14">
        <v>9962.5</v>
      </c>
      <c r="K1355" s="14">
        <v>11045.5</v>
      </c>
      <c r="L1355" s="14">
        <v>11148.5</v>
      </c>
      <c r="M1355" s="14">
        <v>11447.5</v>
      </c>
      <c r="N1355" s="14">
        <v>11792.1</v>
      </c>
      <c r="O1355" s="14">
        <v>12968</v>
      </c>
      <c r="P1355" s="14">
        <v>13459.4</v>
      </c>
      <c r="Q1355" s="14">
        <v>13702.2</v>
      </c>
      <c r="R1355" s="14">
        <v>14768.8</v>
      </c>
      <c r="S1355" s="14">
        <v>15252.3</v>
      </c>
      <c r="T1355" s="14">
        <v>14857</v>
      </c>
      <c r="U1355" s="14">
        <v>14344.7</v>
      </c>
      <c r="V1355" s="14">
        <v>15507.8</v>
      </c>
      <c r="W1355" s="14">
        <v>15629.8</v>
      </c>
      <c r="X1355" s="14">
        <v>15971.1</v>
      </c>
      <c r="Y1355" s="14">
        <v>15138.5</v>
      </c>
      <c r="Z1355" s="14">
        <v>14451</v>
      </c>
      <c r="AA1355" s="14"/>
      <c r="AB1355" s="14"/>
      <c r="AC1355" s="15">
        <f>IFERROR(Z1355/G1355-1,"")</f>
        <v>0.60645204322113022</v>
      </c>
      <c r="AD1355" s="15">
        <f>IFERROR((Z1355/G1355)^(1/19)-1,"")</f>
        <v>2.5262671461605768E-2</v>
      </c>
    </row>
    <row r="1356" spans="1:30">
      <c r="A1356" s="45" t="s">
        <v>307</v>
      </c>
      <c r="B1356" s="45" t="s">
        <v>308</v>
      </c>
      <c r="C1356" s="45" t="s">
        <v>498</v>
      </c>
      <c r="D1356" s="45" t="s">
        <v>501</v>
      </c>
      <c r="E1356" s="45" t="s">
        <v>499</v>
      </c>
      <c r="F1356" s="45" t="s">
        <v>500</v>
      </c>
      <c r="G1356" s="14">
        <v>3389.8</v>
      </c>
      <c r="H1356" s="14">
        <v>4268.7</v>
      </c>
      <c r="I1356" s="14">
        <v>4271.7</v>
      </c>
      <c r="J1356" s="14">
        <v>3548.5</v>
      </c>
      <c r="K1356" s="14">
        <v>4594.3</v>
      </c>
      <c r="L1356" s="14">
        <v>4038.8</v>
      </c>
      <c r="M1356" s="14">
        <v>4798.5</v>
      </c>
      <c r="N1356" s="14">
        <v>5437.4</v>
      </c>
      <c r="O1356" s="14">
        <v>4699</v>
      </c>
      <c r="P1356" s="14">
        <v>4489.5</v>
      </c>
      <c r="Q1356" s="14">
        <v>3877.8</v>
      </c>
      <c r="R1356" s="14">
        <v>3956.3</v>
      </c>
      <c r="S1356" s="14">
        <v>4345.7</v>
      </c>
      <c r="T1356" s="14">
        <v>4701.1000000000004</v>
      </c>
      <c r="U1356" s="14">
        <v>4584.7</v>
      </c>
      <c r="V1356" s="14">
        <v>4410.7</v>
      </c>
      <c r="W1356" s="14">
        <v>4485.1000000000004</v>
      </c>
      <c r="X1356" s="14">
        <v>5435.5</v>
      </c>
      <c r="Y1356" s="14">
        <v>5526.2</v>
      </c>
      <c r="Z1356" s="14">
        <v>5912.6</v>
      </c>
      <c r="AA1356" s="14"/>
      <c r="AB1356" s="14"/>
      <c r="AC1356" s="15">
        <f>IFERROR(Z1356/G1356-1,"")</f>
        <v>0.74423269809428283</v>
      </c>
      <c r="AD1356" s="15">
        <f>IFERROR((Z1356/G1356)^(1/19)-1,"")</f>
        <v>2.971258888900441E-2</v>
      </c>
    </row>
    <row r="1357" spans="1:30">
      <c r="A1357" s="45" t="s">
        <v>173</v>
      </c>
      <c r="B1357" s="45" t="s">
        <v>174</v>
      </c>
      <c r="C1357" s="45" t="s">
        <v>490</v>
      </c>
      <c r="D1357" s="45" t="s">
        <v>491</v>
      </c>
      <c r="E1357" s="45" t="s">
        <v>492</v>
      </c>
      <c r="F1357" s="45" t="s">
        <v>493</v>
      </c>
      <c r="G1357" s="14">
        <v>43399</v>
      </c>
      <c r="H1357" s="14">
        <v>48842</v>
      </c>
      <c r="I1357" s="14">
        <v>54010</v>
      </c>
      <c r="J1357" s="14">
        <v>58264</v>
      </c>
      <c r="K1357" s="14">
        <v>67001</v>
      </c>
      <c r="L1357" s="14">
        <v>78073</v>
      </c>
      <c r="M1357" s="14">
        <v>86687</v>
      </c>
      <c r="N1357" s="14">
        <v>94180</v>
      </c>
      <c r="O1357" s="14">
        <v>105323</v>
      </c>
      <c r="P1357" s="14">
        <v>121628</v>
      </c>
      <c r="Q1357" s="14">
        <v>140666</v>
      </c>
      <c r="R1357" s="14">
        <v>159930</v>
      </c>
      <c r="S1357" s="14">
        <v>180831</v>
      </c>
      <c r="T1357" s="14">
        <v>192239</v>
      </c>
      <c r="U1357" s="14">
        <v>207744</v>
      </c>
      <c r="V1357" s="14">
        <v>218349</v>
      </c>
      <c r="W1357" s="14">
        <v>241701</v>
      </c>
      <c r="X1357" s="14">
        <v>258995</v>
      </c>
      <c r="Y1357" s="14">
        <v>277712</v>
      </c>
      <c r="Z1357" s="14">
        <v>319740</v>
      </c>
      <c r="AA1357" s="14">
        <v>386805</v>
      </c>
      <c r="AB1357" s="14">
        <v>420064</v>
      </c>
    </row>
    <row r="1358" spans="1:30">
      <c r="A1358" s="45" t="s">
        <v>173</v>
      </c>
      <c r="B1358" s="45" t="s">
        <v>174</v>
      </c>
      <c r="C1358" s="45" t="s">
        <v>490</v>
      </c>
      <c r="D1358" s="45" t="s">
        <v>494</v>
      </c>
      <c r="E1358" s="45" t="s">
        <v>492</v>
      </c>
      <c r="F1358" s="45" t="s">
        <v>493</v>
      </c>
      <c r="G1358" s="14">
        <v>41498</v>
      </c>
      <c r="H1358" s="14">
        <v>47072</v>
      </c>
      <c r="I1358" s="14">
        <v>51804</v>
      </c>
      <c r="J1358" s="14">
        <v>55848</v>
      </c>
      <c r="K1358" s="14">
        <v>63261</v>
      </c>
      <c r="L1358" s="14">
        <v>73204</v>
      </c>
      <c r="M1358" s="14">
        <v>81399</v>
      </c>
      <c r="N1358" s="14">
        <v>88971</v>
      </c>
      <c r="O1358" s="14">
        <v>98330</v>
      </c>
      <c r="P1358" s="14">
        <v>113894</v>
      </c>
      <c r="Q1358" s="14">
        <v>130142</v>
      </c>
      <c r="R1358" s="14">
        <v>148665</v>
      </c>
      <c r="S1358" s="14">
        <v>167092</v>
      </c>
      <c r="T1358" s="14">
        <v>178087</v>
      </c>
      <c r="U1358" s="14">
        <v>194540</v>
      </c>
      <c r="V1358" s="14">
        <v>205331</v>
      </c>
      <c r="W1358" s="14">
        <v>222015</v>
      </c>
      <c r="X1358" s="14">
        <v>238212</v>
      </c>
      <c r="Y1358" s="14">
        <v>252380</v>
      </c>
      <c r="Z1358" s="14">
        <v>286185</v>
      </c>
      <c r="AA1358" s="14"/>
      <c r="AB1358" s="14"/>
    </row>
    <row r="1359" spans="1:30">
      <c r="A1359" s="45" t="s">
        <v>173</v>
      </c>
      <c r="B1359" s="45" t="s">
        <v>174</v>
      </c>
      <c r="C1359" s="45" t="s">
        <v>490</v>
      </c>
      <c r="D1359" s="45" t="s">
        <v>495</v>
      </c>
      <c r="E1359" s="45" t="s">
        <v>492</v>
      </c>
      <c r="F1359" s="45" t="s">
        <v>493</v>
      </c>
      <c r="G1359" s="14">
        <v>2107</v>
      </c>
      <c r="H1359" s="14">
        <v>1646</v>
      </c>
      <c r="I1359" s="14">
        <v>2019</v>
      </c>
      <c r="J1359" s="14">
        <v>2165</v>
      </c>
      <c r="K1359" s="14">
        <v>2277</v>
      </c>
      <c r="L1359" s="14">
        <v>2466</v>
      </c>
      <c r="M1359" s="14">
        <v>2559</v>
      </c>
      <c r="N1359" s="14">
        <v>2958</v>
      </c>
      <c r="O1359" s="14">
        <v>2867</v>
      </c>
      <c r="P1359" s="14">
        <v>3493</v>
      </c>
      <c r="Q1359" s="14">
        <v>5015</v>
      </c>
      <c r="R1359" s="14">
        <v>6139</v>
      </c>
      <c r="S1359" s="14">
        <v>6760</v>
      </c>
      <c r="T1359" s="14">
        <v>6013</v>
      </c>
      <c r="U1359" s="14">
        <v>6937</v>
      </c>
      <c r="V1359" s="14">
        <v>6559</v>
      </c>
      <c r="W1359" s="14">
        <v>7724</v>
      </c>
      <c r="X1359" s="14">
        <v>6666</v>
      </c>
      <c r="Y1359" s="14">
        <v>6981</v>
      </c>
      <c r="Z1359" s="14">
        <v>8963</v>
      </c>
      <c r="AA1359" s="14"/>
      <c r="AB1359" s="14"/>
    </row>
    <row r="1360" spans="1:30">
      <c r="A1360" s="45" t="s">
        <v>173</v>
      </c>
      <c r="B1360" s="45" t="s">
        <v>174</v>
      </c>
      <c r="C1360" s="45" t="s">
        <v>490</v>
      </c>
      <c r="D1360" s="45" t="s">
        <v>496</v>
      </c>
      <c r="E1360" s="45" t="s">
        <v>492</v>
      </c>
      <c r="F1360" s="45" t="s">
        <v>493</v>
      </c>
      <c r="G1360" s="14">
        <v>9618</v>
      </c>
      <c r="H1360" s="14">
        <v>10565</v>
      </c>
      <c r="I1360" s="14">
        <v>12252</v>
      </c>
      <c r="J1360" s="14">
        <v>13183</v>
      </c>
      <c r="K1360" s="14">
        <v>14813</v>
      </c>
      <c r="L1360" s="14">
        <v>17383</v>
      </c>
      <c r="M1360" s="14">
        <v>17525</v>
      </c>
      <c r="N1360" s="14">
        <v>20908</v>
      </c>
      <c r="O1360" s="14">
        <v>24663</v>
      </c>
      <c r="P1360" s="14">
        <v>31398</v>
      </c>
      <c r="Q1360" s="14">
        <v>44059</v>
      </c>
      <c r="R1360" s="14">
        <v>48693</v>
      </c>
      <c r="S1360" s="14">
        <v>57486</v>
      </c>
      <c r="T1360" s="14">
        <v>64943</v>
      </c>
      <c r="U1360" s="14">
        <v>73235</v>
      </c>
      <c r="V1360" s="14">
        <v>76857</v>
      </c>
      <c r="W1360" s="14">
        <v>90906</v>
      </c>
      <c r="X1360" s="14">
        <v>102239</v>
      </c>
      <c r="Y1360" s="14">
        <v>112382</v>
      </c>
      <c r="Z1360" s="14">
        <v>129482</v>
      </c>
      <c r="AA1360" s="14"/>
      <c r="AB1360" s="14"/>
    </row>
    <row r="1361" spans="1:30">
      <c r="A1361" s="45" t="s">
        <v>173</v>
      </c>
      <c r="B1361" s="45" t="s">
        <v>174</v>
      </c>
      <c r="C1361" s="45" t="s">
        <v>490</v>
      </c>
      <c r="D1361" s="45" t="s">
        <v>497</v>
      </c>
      <c r="E1361" s="45" t="s">
        <v>492</v>
      </c>
      <c r="F1361" s="45" t="s">
        <v>493</v>
      </c>
      <c r="G1361" s="14">
        <v>24887</v>
      </c>
      <c r="H1361" s="14">
        <v>26437</v>
      </c>
      <c r="I1361" s="14">
        <v>28913</v>
      </c>
      <c r="J1361" s="14">
        <v>33360</v>
      </c>
      <c r="K1361" s="14">
        <v>37604</v>
      </c>
      <c r="L1361" s="14">
        <v>46537</v>
      </c>
      <c r="M1361" s="14">
        <v>51560</v>
      </c>
      <c r="N1361" s="14">
        <v>56124</v>
      </c>
      <c r="O1361" s="14">
        <v>60028</v>
      </c>
      <c r="P1361" s="14">
        <v>67742</v>
      </c>
      <c r="Q1361" s="14">
        <v>72849</v>
      </c>
      <c r="R1361" s="14">
        <v>84832</v>
      </c>
      <c r="S1361" s="14">
        <v>89916</v>
      </c>
      <c r="T1361" s="14">
        <v>97191</v>
      </c>
      <c r="U1361" s="14">
        <v>104152</v>
      </c>
      <c r="V1361" s="14">
        <v>110428</v>
      </c>
      <c r="W1361" s="14">
        <v>111520</v>
      </c>
      <c r="X1361" s="14">
        <v>124018</v>
      </c>
      <c r="Y1361" s="14">
        <v>125307</v>
      </c>
      <c r="Z1361" s="14">
        <v>137393</v>
      </c>
      <c r="AA1361" s="14"/>
      <c r="AB1361" s="14"/>
    </row>
    <row r="1362" spans="1:30">
      <c r="A1362" s="45" t="s">
        <v>173</v>
      </c>
      <c r="B1362" s="45" t="s">
        <v>174</v>
      </c>
      <c r="C1362" s="45" t="s">
        <v>498</v>
      </c>
      <c r="D1362" s="45" t="s">
        <v>491</v>
      </c>
      <c r="E1362" s="45" t="s">
        <v>499</v>
      </c>
      <c r="F1362" s="45" t="s">
        <v>500</v>
      </c>
      <c r="G1362" s="14">
        <v>82446.399999999994</v>
      </c>
      <c r="H1362" s="14">
        <v>81327.199999999997</v>
      </c>
      <c r="I1362" s="14">
        <v>83463.100000000006</v>
      </c>
      <c r="J1362" s="14">
        <v>83808.5</v>
      </c>
      <c r="K1362" s="14">
        <v>90260.9</v>
      </c>
      <c r="L1362" s="14">
        <v>98814.9</v>
      </c>
      <c r="M1362" s="14">
        <v>100862.6</v>
      </c>
      <c r="N1362" s="14">
        <v>102113.1</v>
      </c>
      <c r="O1362" s="14">
        <v>105323</v>
      </c>
      <c r="P1362" s="14">
        <v>112287.3</v>
      </c>
      <c r="Q1362" s="14">
        <v>120307.1</v>
      </c>
      <c r="R1362" s="14">
        <v>127234.5</v>
      </c>
      <c r="S1362" s="14">
        <v>133395.5</v>
      </c>
      <c r="T1362" s="14">
        <v>131836</v>
      </c>
      <c r="U1362" s="14">
        <v>131789.5</v>
      </c>
      <c r="V1362" s="14">
        <v>133611.70000000001</v>
      </c>
      <c r="W1362" s="14">
        <v>141541.1</v>
      </c>
      <c r="X1362" s="14">
        <v>145521.29999999999</v>
      </c>
      <c r="Y1362" s="14">
        <v>146552.20000000001</v>
      </c>
      <c r="Z1362" s="14">
        <v>149257</v>
      </c>
      <c r="AA1362" s="14"/>
      <c r="AB1362" s="14"/>
      <c r="AC1362" s="15">
        <f>IFERROR(Z1362/G1362-1,"")</f>
        <v>0.81035193774379488</v>
      </c>
      <c r="AD1362" s="15">
        <f>IFERROR((Z1362/G1362)^(1/19)-1,"")</f>
        <v>3.1730986855864174E-2</v>
      </c>
    </row>
    <row r="1363" spans="1:30">
      <c r="A1363" s="45" t="s">
        <v>173</v>
      </c>
      <c r="B1363" s="45" t="s">
        <v>174</v>
      </c>
      <c r="C1363" s="45" t="s">
        <v>498</v>
      </c>
      <c r="D1363" s="45" t="s">
        <v>495</v>
      </c>
      <c r="E1363" s="45" t="s">
        <v>499</v>
      </c>
      <c r="F1363" s="45" t="s">
        <v>500</v>
      </c>
      <c r="G1363" s="14">
        <v>4002.1</v>
      </c>
      <c r="H1363" s="14">
        <v>2741.3</v>
      </c>
      <c r="I1363" s="14">
        <v>3120.7</v>
      </c>
      <c r="J1363" s="14">
        <v>3114.4</v>
      </c>
      <c r="K1363" s="14">
        <v>3066.9</v>
      </c>
      <c r="L1363" s="14">
        <v>3120.9</v>
      </c>
      <c r="M1363" s="14">
        <v>2977.8</v>
      </c>
      <c r="N1363" s="14">
        <v>3207.2</v>
      </c>
      <c r="O1363" s="14">
        <v>2867</v>
      </c>
      <c r="P1363" s="14">
        <v>3224.7</v>
      </c>
      <c r="Q1363" s="14">
        <v>4289.2</v>
      </c>
      <c r="R1363" s="14">
        <v>4884</v>
      </c>
      <c r="S1363" s="14">
        <v>4986.7</v>
      </c>
      <c r="T1363" s="14">
        <v>4123.7</v>
      </c>
      <c r="U1363" s="14">
        <v>4400.7</v>
      </c>
      <c r="V1363" s="14">
        <v>4013.6</v>
      </c>
      <c r="W1363" s="14">
        <v>4523.2</v>
      </c>
      <c r="X1363" s="14">
        <v>3745.4</v>
      </c>
      <c r="Y1363" s="14">
        <v>3684</v>
      </c>
      <c r="Z1363" s="14">
        <v>4184</v>
      </c>
      <c r="AA1363" s="14"/>
      <c r="AB1363" s="14"/>
      <c r="AC1363" s="15">
        <f>IFERROR(Z1363/G1363-1,"")</f>
        <v>4.5451138152470039E-2</v>
      </c>
      <c r="AD1363" s="15">
        <f>IFERROR((Z1363/G1363)^(1/19)-1,"")</f>
        <v>2.3421334355220313E-3</v>
      </c>
    </row>
    <row r="1364" spans="1:30">
      <c r="A1364" s="45" t="s">
        <v>173</v>
      </c>
      <c r="B1364" s="45" t="s">
        <v>174</v>
      </c>
      <c r="C1364" s="45" t="s">
        <v>498</v>
      </c>
      <c r="D1364" s="45" t="s">
        <v>496</v>
      </c>
      <c r="E1364" s="45" t="s">
        <v>499</v>
      </c>
      <c r="F1364" s="45" t="s">
        <v>500</v>
      </c>
      <c r="G1364" s="14">
        <v>18271.2</v>
      </c>
      <c r="H1364" s="14">
        <v>17591.8</v>
      </c>
      <c r="I1364" s="14">
        <v>18933.900000000001</v>
      </c>
      <c r="J1364" s="14">
        <v>18963.099999999999</v>
      </c>
      <c r="K1364" s="14">
        <v>19955.400000000001</v>
      </c>
      <c r="L1364" s="14">
        <v>22001.5</v>
      </c>
      <c r="M1364" s="14">
        <v>20391.2</v>
      </c>
      <c r="N1364" s="14">
        <v>22669.200000000001</v>
      </c>
      <c r="O1364" s="14">
        <v>24663</v>
      </c>
      <c r="P1364" s="14">
        <v>28986.7</v>
      </c>
      <c r="Q1364" s="14">
        <v>37682.199999999997</v>
      </c>
      <c r="R1364" s="14">
        <v>38738.400000000001</v>
      </c>
      <c r="S1364" s="14">
        <v>42406.3</v>
      </c>
      <c r="T1364" s="14">
        <v>44537.4</v>
      </c>
      <c r="U1364" s="14">
        <v>46459.1</v>
      </c>
      <c r="V1364" s="14">
        <v>47030.2</v>
      </c>
      <c r="W1364" s="14">
        <v>53234.9</v>
      </c>
      <c r="X1364" s="14">
        <v>57444.9</v>
      </c>
      <c r="Y1364" s="14">
        <v>59305.4</v>
      </c>
      <c r="Z1364" s="14">
        <v>60443.1</v>
      </c>
      <c r="AA1364" s="14"/>
      <c r="AB1364" s="14"/>
      <c r="AC1364" s="15">
        <f>IFERROR(Z1364/G1364-1,"")</f>
        <v>2.3081078418494676</v>
      </c>
      <c r="AD1364" s="15">
        <f>IFERROR((Z1364/G1364)^(1/19)-1,"")</f>
        <v>6.4991883210836043E-2</v>
      </c>
    </row>
    <row r="1365" spans="1:30">
      <c r="A1365" s="45" t="s">
        <v>173</v>
      </c>
      <c r="B1365" s="45" t="s">
        <v>174</v>
      </c>
      <c r="C1365" s="45" t="s">
        <v>498</v>
      </c>
      <c r="D1365" s="45" t="s">
        <v>497</v>
      </c>
      <c r="E1365" s="45" t="s">
        <v>499</v>
      </c>
      <c r="F1365" s="45" t="s">
        <v>500</v>
      </c>
      <c r="G1365" s="14">
        <v>47278.7</v>
      </c>
      <c r="H1365" s="14">
        <v>44021</v>
      </c>
      <c r="I1365" s="14">
        <v>44679.7</v>
      </c>
      <c r="J1365" s="14">
        <v>47985.3</v>
      </c>
      <c r="K1365" s="14">
        <v>50659.4</v>
      </c>
      <c r="L1365" s="14">
        <v>58899.9</v>
      </c>
      <c r="M1365" s="14">
        <v>59991.5</v>
      </c>
      <c r="N1365" s="14">
        <v>60851.5</v>
      </c>
      <c r="O1365" s="14">
        <v>60028</v>
      </c>
      <c r="P1365" s="14">
        <v>62539.6</v>
      </c>
      <c r="Q1365" s="14">
        <v>62305.4</v>
      </c>
      <c r="R1365" s="14">
        <v>67489.3</v>
      </c>
      <c r="S1365" s="14">
        <v>66329.3</v>
      </c>
      <c r="T1365" s="14">
        <v>66652.800000000003</v>
      </c>
      <c r="U1365" s="14">
        <v>66072.399999999994</v>
      </c>
      <c r="V1365" s="14">
        <v>67572.899999999994</v>
      </c>
      <c r="W1365" s="14">
        <v>65306.5</v>
      </c>
      <c r="X1365" s="14">
        <v>69681.899999999994</v>
      </c>
      <c r="Y1365" s="14">
        <v>66126.100000000006</v>
      </c>
      <c r="Z1365" s="14">
        <v>64137.5</v>
      </c>
      <c r="AA1365" s="14"/>
      <c r="AB1365" s="14"/>
      <c r="AC1365" s="15">
        <f>IFERROR(Z1365/G1365-1,"")</f>
        <v>0.35658340859626003</v>
      </c>
      <c r="AD1365" s="15">
        <f>IFERROR((Z1365/G1365)^(1/19)-1,"")</f>
        <v>1.6180527438363068E-2</v>
      </c>
    </row>
    <row r="1366" spans="1:30">
      <c r="A1366" s="45" t="s">
        <v>173</v>
      </c>
      <c r="B1366" s="45" t="s">
        <v>174</v>
      </c>
      <c r="C1366" s="45" t="s">
        <v>498</v>
      </c>
      <c r="D1366" s="45" t="s">
        <v>501</v>
      </c>
      <c r="E1366" s="45" t="s">
        <v>499</v>
      </c>
      <c r="F1366" s="45" t="s">
        <v>500</v>
      </c>
      <c r="G1366" s="14">
        <v>9282.7999999999993</v>
      </c>
      <c r="H1366" s="14">
        <v>14026.1</v>
      </c>
      <c r="I1366" s="14">
        <v>13319</v>
      </c>
      <c r="J1366" s="14">
        <v>10270.6</v>
      </c>
      <c r="K1366" s="14">
        <v>11540.7</v>
      </c>
      <c r="L1366" s="14">
        <v>8630.2000000000007</v>
      </c>
      <c r="M1366" s="14">
        <v>11349.6</v>
      </c>
      <c r="N1366" s="14">
        <v>9738.6</v>
      </c>
      <c r="O1366" s="14">
        <v>10772</v>
      </c>
      <c r="P1366" s="14">
        <v>10395.299999999999</v>
      </c>
      <c r="Q1366" s="14">
        <v>7029.4</v>
      </c>
      <c r="R1366" s="14">
        <v>7161.7</v>
      </c>
      <c r="S1366" s="14">
        <v>9538.2000000000007</v>
      </c>
      <c r="T1366" s="14">
        <v>6816.8</v>
      </c>
      <c r="U1366" s="14">
        <v>6480.2</v>
      </c>
      <c r="V1366" s="14">
        <v>7029.1</v>
      </c>
      <c r="W1366" s="14">
        <v>6948.2</v>
      </c>
      <c r="X1366" s="14">
        <v>2971.2</v>
      </c>
      <c r="Y1366" s="14">
        <v>4068.7</v>
      </c>
      <c r="Z1366" s="14">
        <v>4830.5</v>
      </c>
      <c r="AA1366" s="14"/>
      <c r="AB1366" s="14"/>
      <c r="AC1366" s="15">
        <f>IFERROR(Z1366/G1366-1,"")</f>
        <v>-0.47962899125263925</v>
      </c>
      <c r="AD1366" s="15">
        <f>IFERROR((Z1366/G1366)^(1/19)-1,"")</f>
        <v>-3.3795379166754569E-2</v>
      </c>
    </row>
    <row r="1367" spans="1:30">
      <c r="A1367" s="45" t="s">
        <v>157</v>
      </c>
      <c r="B1367" s="45" t="s">
        <v>158</v>
      </c>
      <c r="C1367" s="45" t="s">
        <v>490</v>
      </c>
      <c r="D1367" s="45" t="s">
        <v>491</v>
      </c>
      <c r="E1367" s="45" t="s">
        <v>492</v>
      </c>
      <c r="F1367" s="45" t="s">
        <v>493</v>
      </c>
      <c r="G1367" s="14">
        <v>16070</v>
      </c>
      <c r="H1367" s="14">
        <v>21638</v>
      </c>
      <c r="I1367" s="14">
        <v>22406</v>
      </c>
      <c r="J1367" s="14">
        <v>25498</v>
      </c>
      <c r="K1367" s="14">
        <v>31524</v>
      </c>
      <c r="L1367" s="14">
        <v>36877</v>
      </c>
      <c r="M1367" s="14">
        <v>38651</v>
      </c>
      <c r="N1367" s="14">
        <v>44380</v>
      </c>
      <c r="O1367" s="14">
        <v>45880</v>
      </c>
      <c r="P1367" s="14">
        <v>54149</v>
      </c>
      <c r="Q1367" s="14">
        <v>58774</v>
      </c>
      <c r="R1367" s="14">
        <v>66706</v>
      </c>
      <c r="S1367" s="14">
        <v>87337</v>
      </c>
      <c r="T1367" s="14">
        <v>159211</v>
      </c>
      <c r="U1367" s="14">
        <v>318957</v>
      </c>
      <c r="V1367" s="14">
        <v>419572</v>
      </c>
      <c r="W1367" s="14">
        <v>280672</v>
      </c>
      <c r="X1367" s="14">
        <v>299031</v>
      </c>
      <c r="Y1367" s="14">
        <v>368803</v>
      </c>
      <c r="Z1367" s="14">
        <v>492637</v>
      </c>
      <c r="AA1367" s="14">
        <v>722955</v>
      </c>
      <c r="AB1367" s="14">
        <v>712098</v>
      </c>
    </row>
    <row r="1368" spans="1:30">
      <c r="A1368" s="45" t="s">
        <v>157</v>
      </c>
      <c r="B1368" s="45" t="s">
        <v>158</v>
      </c>
      <c r="C1368" s="45" t="s">
        <v>490</v>
      </c>
      <c r="D1368" s="45" t="s">
        <v>494</v>
      </c>
      <c r="E1368" s="45" t="s">
        <v>492</v>
      </c>
      <c r="F1368" s="45" t="s">
        <v>493</v>
      </c>
      <c r="G1368" s="14">
        <v>15515</v>
      </c>
      <c r="H1368" s="14">
        <v>20964</v>
      </c>
      <c r="I1368" s="14">
        <v>21684</v>
      </c>
      <c r="J1368" s="14">
        <v>24618</v>
      </c>
      <c r="K1368" s="14">
        <v>29619</v>
      </c>
      <c r="L1368" s="14">
        <v>33720</v>
      </c>
      <c r="M1368" s="14">
        <v>35896</v>
      </c>
      <c r="N1368" s="14">
        <v>41472</v>
      </c>
      <c r="O1368" s="14">
        <v>42574</v>
      </c>
      <c r="P1368" s="14">
        <v>49920</v>
      </c>
      <c r="Q1368" s="14">
        <v>53373</v>
      </c>
      <c r="R1368" s="14">
        <v>61542</v>
      </c>
      <c r="S1368" s="14">
        <v>74804</v>
      </c>
      <c r="T1368" s="14">
        <v>140368</v>
      </c>
      <c r="U1368" s="14">
        <v>281058</v>
      </c>
      <c r="V1368" s="14">
        <v>378267</v>
      </c>
      <c r="W1368" s="14">
        <v>267178</v>
      </c>
      <c r="X1368" s="14">
        <v>283824</v>
      </c>
      <c r="Y1368" s="14">
        <v>349993</v>
      </c>
      <c r="Z1368" s="14">
        <v>465371</v>
      </c>
      <c r="AA1368" s="14"/>
      <c r="AB1368" s="14"/>
    </row>
    <row r="1369" spans="1:30">
      <c r="A1369" s="45" t="s">
        <v>157</v>
      </c>
      <c r="B1369" s="45" t="s">
        <v>158</v>
      </c>
      <c r="C1369" s="45" t="s">
        <v>490</v>
      </c>
      <c r="D1369" s="45" t="s">
        <v>495</v>
      </c>
      <c r="E1369" s="45" t="s">
        <v>492</v>
      </c>
      <c r="F1369" s="45" t="s">
        <v>493</v>
      </c>
      <c r="G1369" s="14">
        <v>767</v>
      </c>
      <c r="H1369" s="14">
        <v>642</v>
      </c>
      <c r="I1369" s="14">
        <v>721</v>
      </c>
      <c r="J1369" s="14">
        <v>852</v>
      </c>
      <c r="K1369" s="14">
        <v>922</v>
      </c>
      <c r="L1369" s="14">
        <v>1064</v>
      </c>
      <c r="M1369" s="14">
        <v>1017</v>
      </c>
      <c r="N1369" s="14">
        <v>1246</v>
      </c>
      <c r="O1369" s="14">
        <v>1473</v>
      </c>
      <c r="P1369" s="14">
        <v>1679</v>
      </c>
      <c r="Q1369" s="14">
        <v>2142</v>
      </c>
      <c r="R1369" s="14">
        <v>3371</v>
      </c>
      <c r="S1369" s="14">
        <v>5210</v>
      </c>
      <c r="T1369" s="14">
        <v>58172</v>
      </c>
      <c r="U1369" s="14">
        <v>168095</v>
      </c>
      <c r="V1369" s="14">
        <v>251500</v>
      </c>
      <c r="W1369" s="14">
        <v>157522</v>
      </c>
      <c r="X1369" s="14">
        <v>155234</v>
      </c>
      <c r="Y1369" s="14">
        <v>217158</v>
      </c>
      <c r="Z1369" s="14">
        <v>310242</v>
      </c>
      <c r="AA1369" s="14"/>
      <c r="AB1369" s="14"/>
    </row>
    <row r="1370" spans="1:30">
      <c r="A1370" s="45" t="s">
        <v>157</v>
      </c>
      <c r="B1370" s="45" t="s">
        <v>158</v>
      </c>
      <c r="C1370" s="45" t="s">
        <v>490</v>
      </c>
      <c r="D1370" s="45" t="s">
        <v>496</v>
      </c>
      <c r="E1370" s="45" t="s">
        <v>492</v>
      </c>
      <c r="F1370" s="45" t="s">
        <v>493</v>
      </c>
      <c r="G1370" s="14">
        <v>2877</v>
      </c>
      <c r="H1370" s="14">
        <v>3960</v>
      </c>
      <c r="I1370" s="14">
        <v>4159</v>
      </c>
      <c r="J1370" s="14">
        <v>4604</v>
      </c>
      <c r="K1370" s="14">
        <v>5909</v>
      </c>
      <c r="L1370" s="14">
        <v>6696</v>
      </c>
      <c r="M1370" s="14">
        <v>6666</v>
      </c>
      <c r="N1370" s="14">
        <v>8692</v>
      </c>
      <c r="O1370" s="14">
        <v>9599</v>
      </c>
      <c r="P1370" s="14">
        <v>11419</v>
      </c>
      <c r="Q1370" s="14">
        <v>12518</v>
      </c>
      <c r="R1370" s="14">
        <v>15496</v>
      </c>
      <c r="S1370" s="14">
        <v>22054</v>
      </c>
      <c r="T1370" s="14">
        <v>28552</v>
      </c>
      <c r="U1370" s="14">
        <v>57009</v>
      </c>
      <c r="V1370" s="14">
        <v>65331</v>
      </c>
      <c r="W1370" s="14">
        <v>43206</v>
      </c>
      <c r="X1370" s="14">
        <v>50998</v>
      </c>
      <c r="Y1370" s="14">
        <v>52947</v>
      </c>
      <c r="Z1370" s="14">
        <v>64906</v>
      </c>
      <c r="AA1370" s="14"/>
      <c r="AB1370" s="14"/>
    </row>
    <row r="1371" spans="1:30">
      <c r="A1371" s="45" t="s">
        <v>157</v>
      </c>
      <c r="B1371" s="45" t="s">
        <v>158</v>
      </c>
      <c r="C1371" s="45" t="s">
        <v>490</v>
      </c>
      <c r="D1371" s="45" t="s">
        <v>497</v>
      </c>
      <c r="E1371" s="45" t="s">
        <v>492</v>
      </c>
      <c r="F1371" s="45" t="s">
        <v>493</v>
      </c>
      <c r="G1371" s="14">
        <v>9984</v>
      </c>
      <c r="H1371" s="14">
        <v>11244</v>
      </c>
      <c r="I1371" s="14">
        <v>12496</v>
      </c>
      <c r="J1371" s="14">
        <v>14255</v>
      </c>
      <c r="K1371" s="14">
        <v>17036</v>
      </c>
      <c r="L1371" s="14">
        <v>20048</v>
      </c>
      <c r="M1371" s="14">
        <v>21951</v>
      </c>
      <c r="N1371" s="14">
        <v>24934</v>
      </c>
      <c r="O1371" s="14">
        <v>25796</v>
      </c>
      <c r="P1371" s="14">
        <v>29030</v>
      </c>
      <c r="Q1371" s="14">
        <v>32222</v>
      </c>
      <c r="R1371" s="14">
        <v>37247</v>
      </c>
      <c r="S1371" s="14">
        <v>41756</v>
      </c>
      <c r="T1371" s="14">
        <v>47272</v>
      </c>
      <c r="U1371" s="14">
        <v>48983</v>
      </c>
      <c r="V1371" s="14">
        <v>53332</v>
      </c>
      <c r="W1371" s="14">
        <v>56242</v>
      </c>
      <c r="X1371" s="14">
        <v>65381</v>
      </c>
      <c r="Y1371" s="14">
        <v>65239</v>
      </c>
      <c r="Z1371" s="14">
        <v>77780</v>
      </c>
      <c r="AA1371" s="14"/>
      <c r="AB1371" s="14"/>
    </row>
    <row r="1372" spans="1:30">
      <c r="A1372" s="45" t="s">
        <v>157</v>
      </c>
      <c r="B1372" s="45" t="s">
        <v>158</v>
      </c>
      <c r="C1372" s="45" t="s">
        <v>498</v>
      </c>
      <c r="D1372" s="45" t="s">
        <v>491</v>
      </c>
      <c r="E1372" s="45" t="s">
        <v>499</v>
      </c>
      <c r="F1372" s="45" t="s">
        <v>500</v>
      </c>
      <c r="G1372" s="14">
        <v>30529.200000000001</v>
      </c>
      <c r="H1372" s="14">
        <v>36029.599999999999</v>
      </c>
      <c r="I1372" s="14">
        <v>34624.800000000003</v>
      </c>
      <c r="J1372" s="14">
        <v>36676.699999999997</v>
      </c>
      <c r="K1372" s="14">
        <v>42468.3</v>
      </c>
      <c r="L1372" s="14">
        <v>46674.3</v>
      </c>
      <c r="M1372" s="14">
        <v>44971</v>
      </c>
      <c r="N1372" s="14">
        <v>48118.3</v>
      </c>
      <c r="O1372" s="14">
        <v>45880</v>
      </c>
      <c r="P1372" s="14">
        <v>49990.5</v>
      </c>
      <c r="Q1372" s="14">
        <v>50267.5</v>
      </c>
      <c r="R1372" s="14">
        <v>53068.9</v>
      </c>
      <c r="S1372" s="14">
        <v>64426.8</v>
      </c>
      <c r="T1372" s="14">
        <v>109185.60000000001</v>
      </c>
      <c r="U1372" s="14">
        <v>202341.3</v>
      </c>
      <c r="V1372" s="14">
        <v>256743.8</v>
      </c>
      <c r="W1372" s="14">
        <v>164362.6</v>
      </c>
      <c r="X1372" s="14">
        <v>168016.3</v>
      </c>
      <c r="Y1372" s="14">
        <v>194622.1</v>
      </c>
      <c r="Z1372" s="14">
        <v>229966.5</v>
      </c>
      <c r="AA1372" s="14"/>
      <c r="AB1372" s="14"/>
      <c r="AC1372" s="15">
        <f>IFERROR(Z1372/G1372-1,"")</f>
        <v>6.5326736370425689</v>
      </c>
      <c r="AD1372" s="15">
        <f>IFERROR((Z1372/G1372)^(1/19)-1,"")</f>
        <v>0.1121291354385574</v>
      </c>
    </row>
    <row r="1373" spans="1:30">
      <c r="A1373" s="45" t="s">
        <v>157</v>
      </c>
      <c r="B1373" s="45" t="s">
        <v>158</v>
      </c>
      <c r="C1373" s="45" t="s">
        <v>498</v>
      </c>
      <c r="D1373" s="45" t="s">
        <v>495</v>
      </c>
      <c r="E1373" s="45" t="s">
        <v>499</v>
      </c>
      <c r="F1373" s="45" t="s">
        <v>500</v>
      </c>
      <c r="G1373" s="14">
        <v>1456.9</v>
      </c>
      <c r="H1373" s="14">
        <v>1068.9000000000001</v>
      </c>
      <c r="I1373" s="14">
        <v>1114.5</v>
      </c>
      <c r="J1373" s="14">
        <v>1225.7</v>
      </c>
      <c r="K1373" s="14">
        <v>1242.8</v>
      </c>
      <c r="L1373" s="14">
        <v>1347.2</v>
      </c>
      <c r="M1373" s="14">
        <v>1183.5</v>
      </c>
      <c r="N1373" s="14">
        <v>1351</v>
      </c>
      <c r="O1373" s="14">
        <v>1473</v>
      </c>
      <c r="P1373" s="14">
        <v>1550.1</v>
      </c>
      <c r="Q1373" s="14">
        <v>1832</v>
      </c>
      <c r="R1373" s="14">
        <v>2681.8</v>
      </c>
      <c r="S1373" s="14">
        <v>3843.3</v>
      </c>
      <c r="T1373" s="14">
        <v>39893.9</v>
      </c>
      <c r="U1373" s="14">
        <v>106636.8</v>
      </c>
      <c r="V1373" s="14">
        <v>153897.4</v>
      </c>
      <c r="W1373" s="14">
        <v>92245.5</v>
      </c>
      <c r="X1373" s="14">
        <v>87221.2</v>
      </c>
      <c r="Y1373" s="14">
        <v>114597.1</v>
      </c>
      <c r="Z1373" s="14">
        <v>144823.20000000001</v>
      </c>
      <c r="AA1373" s="14"/>
      <c r="AB1373" s="14"/>
      <c r="AC1373" s="15">
        <f>IFERROR(Z1373/G1373-1,"")</f>
        <v>98.405038094584398</v>
      </c>
      <c r="AD1373" s="15">
        <f>IFERROR((Z1373/G1373)^(1/19)-1,"")</f>
        <v>0.27387483307321259</v>
      </c>
    </row>
    <row r="1374" spans="1:30">
      <c r="A1374" s="45" t="s">
        <v>157</v>
      </c>
      <c r="B1374" s="45" t="s">
        <v>158</v>
      </c>
      <c r="C1374" s="45" t="s">
        <v>498</v>
      </c>
      <c r="D1374" s="45" t="s">
        <v>496</v>
      </c>
      <c r="E1374" s="45" t="s">
        <v>499</v>
      </c>
      <c r="F1374" s="45" t="s">
        <v>500</v>
      </c>
      <c r="G1374" s="14">
        <v>5466.5</v>
      </c>
      <c r="H1374" s="14">
        <v>6593.5</v>
      </c>
      <c r="I1374" s="14">
        <v>6427.7</v>
      </c>
      <c r="J1374" s="14">
        <v>6622.1</v>
      </c>
      <c r="K1374" s="14">
        <v>7961</v>
      </c>
      <c r="L1374" s="14">
        <v>8474.5</v>
      </c>
      <c r="M1374" s="14">
        <v>7756.3</v>
      </c>
      <c r="N1374" s="14">
        <v>9424.2000000000007</v>
      </c>
      <c r="O1374" s="14">
        <v>9599</v>
      </c>
      <c r="P1374" s="14">
        <v>10542</v>
      </c>
      <c r="Q1374" s="14">
        <v>10706.2</v>
      </c>
      <c r="R1374" s="14">
        <v>12328.1</v>
      </c>
      <c r="S1374" s="14">
        <v>16268.8</v>
      </c>
      <c r="T1374" s="14">
        <v>19580.7</v>
      </c>
      <c r="U1374" s="14">
        <v>36165.599999999999</v>
      </c>
      <c r="V1374" s="14">
        <v>39977.199999999997</v>
      </c>
      <c r="W1374" s="14">
        <v>25301.599999999999</v>
      </c>
      <c r="X1374" s="14">
        <v>28654.2</v>
      </c>
      <c r="Y1374" s="14">
        <v>27940.799999999999</v>
      </c>
      <c r="Z1374" s="14">
        <v>30299.1</v>
      </c>
      <c r="AA1374" s="14"/>
      <c r="AB1374" s="14"/>
      <c r="AC1374" s="15">
        <f>IFERROR(Z1374/G1374-1,"")</f>
        <v>4.5426872770511295</v>
      </c>
      <c r="AD1374" s="15">
        <f>IFERROR((Z1374/G1374)^(1/19)-1,"")</f>
        <v>9.4317079956664385E-2</v>
      </c>
    </row>
    <row r="1375" spans="1:30">
      <c r="A1375" s="45" t="s">
        <v>157</v>
      </c>
      <c r="B1375" s="45" t="s">
        <v>158</v>
      </c>
      <c r="C1375" s="45" t="s">
        <v>498</v>
      </c>
      <c r="D1375" s="45" t="s">
        <v>497</v>
      </c>
      <c r="E1375" s="45" t="s">
        <v>499</v>
      </c>
      <c r="F1375" s="45" t="s">
        <v>500</v>
      </c>
      <c r="G1375" s="14">
        <v>18967.099999999999</v>
      </c>
      <c r="H1375" s="14">
        <v>18723.3</v>
      </c>
      <c r="I1375" s="14">
        <v>19310</v>
      </c>
      <c r="J1375" s="14">
        <v>20504.5</v>
      </c>
      <c r="K1375" s="14">
        <v>22949.9</v>
      </c>
      <c r="L1375" s="14">
        <v>25374.5</v>
      </c>
      <c r="M1375" s="14">
        <v>25540.6</v>
      </c>
      <c r="N1375" s="14">
        <v>27034.3</v>
      </c>
      <c r="O1375" s="14">
        <v>25796</v>
      </c>
      <c r="P1375" s="14">
        <v>26800.6</v>
      </c>
      <c r="Q1375" s="14">
        <v>27558.400000000001</v>
      </c>
      <c r="R1375" s="14">
        <v>29632.400000000001</v>
      </c>
      <c r="S1375" s="14">
        <v>30802.6</v>
      </c>
      <c r="T1375" s="14">
        <v>32418.799999999999</v>
      </c>
      <c r="U1375" s="14">
        <v>31074</v>
      </c>
      <c r="V1375" s="14">
        <v>32634.799999999999</v>
      </c>
      <c r="W1375" s="14">
        <v>32935.5</v>
      </c>
      <c r="X1375" s="14">
        <v>36735.599999999999</v>
      </c>
      <c r="Y1375" s="14">
        <v>34427.5</v>
      </c>
      <c r="Z1375" s="14">
        <v>36309.199999999997</v>
      </c>
      <c r="AA1375" s="14"/>
      <c r="AB1375" s="14"/>
      <c r="AC1375" s="15">
        <f>IFERROR(Z1375/G1375-1,"")</f>
        <v>0.91432533175867681</v>
      </c>
      <c r="AD1375" s="15">
        <f>IFERROR((Z1375/G1375)^(1/19)-1,"")</f>
        <v>3.4767867133209673E-2</v>
      </c>
    </row>
    <row r="1376" spans="1:30">
      <c r="A1376" s="45" t="s">
        <v>157</v>
      </c>
      <c r="B1376" s="45" t="s">
        <v>158</v>
      </c>
      <c r="C1376" s="45" t="s">
        <v>498</v>
      </c>
      <c r="D1376" s="45" t="s">
        <v>501</v>
      </c>
      <c r="E1376" s="45" t="s">
        <v>499</v>
      </c>
      <c r="F1376" s="45" t="s">
        <v>500</v>
      </c>
      <c r="G1376" s="14">
        <v>3584.6</v>
      </c>
      <c r="H1376" s="14">
        <v>8521.9</v>
      </c>
      <c r="I1376" s="14">
        <v>6655.8</v>
      </c>
      <c r="J1376" s="14">
        <v>7058.5</v>
      </c>
      <c r="K1376" s="14">
        <v>7748.7</v>
      </c>
      <c r="L1376" s="14">
        <v>7482.9</v>
      </c>
      <c r="M1376" s="14">
        <v>7286</v>
      </c>
      <c r="N1376" s="14">
        <v>7155.9</v>
      </c>
      <c r="O1376" s="14">
        <v>5706</v>
      </c>
      <c r="P1376" s="14">
        <v>7193.6</v>
      </c>
      <c r="Q1376" s="14">
        <v>5551.5</v>
      </c>
      <c r="R1376" s="14">
        <v>4317.5</v>
      </c>
      <c r="S1376" s="14">
        <v>4266.7</v>
      </c>
      <c r="T1376" s="14">
        <v>4369.2</v>
      </c>
      <c r="U1376" s="14">
        <v>4422.3</v>
      </c>
      <c r="V1376" s="14">
        <v>4958.3999999999996</v>
      </c>
      <c r="W1376" s="14">
        <v>5977.8</v>
      </c>
      <c r="X1376" s="14">
        <v>6860.4</v>
      </c>
      <c r="Y1376" s="14">
        <v>7730.5</v>
      </c>
      <c r="Z1376" s="14">
        <v>5808.9</v>
      </c>
      <c r="AA1376" s="14"/>
      <c r="AB1376" s="14"/>
      <c r="AC1376" s="15">
        <f>IFERROR(Z1376/G1376-1,"")</f>
        <v>0.62051553869329901</v>
      </c>
      <c r="AD1376" s="15">
        <f>IFERROR((Z1376/G1376)^(1/19)-1,"")</f>
        <v>2.5733120500374351E-2</v>
      </c>
    </row>
    <row r="1377" spans="1:30">
      <c r="A1377" s="45" t="s">
        <v>187</v>
      </c>
      <c r="B1377" s="45" t="s">
        <v>188</v>
      </c>
      <c r="C1377" s="45" t="s">
        <v>490</v>
      </c>
      <c r="D1377" s="45" t="s">
        <v>491</v>
      </c>
      <c r="E1377" s="45" t="s">
        <v>492</v>
      </c>
      <c r="F1377" s="45" t="s">
        <v>493</v>
      </c>
      <c r="G1377" s="14">
        <v>31010</v>
      </c>
      <c r="H1377" s="14">
        <v>34367</v>
      </c>
      <c r="I1377" s="14">
        <v>39881</v>
      </c>
      <c r="J1377" s="14">
        <v>44703</v>
      </c>
      <c r="K1377" s="14">
        <v>49698</v>
      </c>
      <c r="L1377" s="14">
        <v>57198</v>
      </c>
      <c r="M1377" s="14">
        <v>62256</v>
      </c>
      <c r="N1377" s="14">
        <v>70957</v>
      </c>
      <c r="O1377" s="14">
        <v>99422</v>
      </c>
      <c r="P1377" s="14">
        <v>108804</v>
      </c>
      <c r="Q1377" s="14">
        <v>127080</v>
      </c>
      <c r="R1377" s="14">
        <v>127173</v>
      </c>
      <c r="S1377" s="14">
        <v>125611</v>
      </c>
      <c r="T1377" s="14">
        <v>139811</v>
      </c>
      <c r="U1377" s="14">
        <v>147512</v>
      </c>
      <c r="V1377" s="14">
        <v>162670</v>
      </c>
      <c r="W1377" s="14">
        <v>191576</v>
      </c>
      <c r="X1377" s="14">
        <v>209127</v>
      </c>
      <c r="Y1377" s="14">
        <v>219980</v>
      </c>
      <c r="Z1377" s="14">
        <v>231552</v>
      </c>
      <c r="AA1377" s="14">
        <v>273442</v>
      </c>
      <c r="AB1377" s="14">
        <v>290640</v>
      </c>
    </row>
    <row r="1378" spans="1:30">
      <c r="A1378" s="45" t="s">
        <v>187</v>
      </c>
      <c r="B1378" s="45" t="s">
        <v>188</v>
      </c>
      <c r="C1378" s="45" t="s">
        <v>490</v>
      </c>
      <c r="D1378" s="45" t="s">
        <v>494</v>
      </c>
      <c r="E1378" s="45" t="s">
        <v>492</v>
      </c>
      <c r="F1378" s="45" t="s">
        <v>493</v>
      </c>
      <c r="G1378" s="14">
        <v>29777</v>
      </c>
      <c r="H1378" s="14">
        <v>33048</v>
      </c>
      <c r="I1378" s="14">
        <v>38106</v>
      </c>
      <c r="J1378" s="14">
        <v>42785</v>
      </c>
      <c r="K1378" s="14">
        <v>46896</v>
      </c>
      <c r="L1378" s="14">
        <v>53864</v>
      </c>
      <c r="M1378" s="14">
        <v>58744</v>
      </c>
      <c r="N1378" s="14">
        <v>67317</v>
      </c>
      <c r="O1378" s="14">
        <v>94527</v>
      </c>
      <c r="P1378" s="14">
        <v>99911</v>
      </c>
      <c r="Q1378" s="14">
        <v>116817</v>
      </c>
      <c r="R1378" s="14">
        <v>118098</v>
      </c>
      <c r="S1378" s="14">
        <v>119138</v>
      </c>
      <c r="T1378" s="14">
        <v>131677</v>
      </c>
      <c r="U1378" s="14">
        <v>139907</v>
      </c>
      <c r="V1378" s="14">
        <v>154383</v>
      </c>
      <c r="W1378" s="14">
        <v>176694</v>
      </c>
      <c r="X1378" s="14">
        <v>194768</v>
      </c>
      <c r="Y1378" s="14">
        <v>205269</v>
      </c>
      <c r="Z1378" s="14">
        <v>212966</v>
      </c>
      <c r="AA1378" s="14"/>
      <c r="AB1378" s="14"/>
    </row>
    <row r="1379" spans="1:30">
      <c r="A1379" s="45" t="s">
        <v>187</v>
      </c>
      <c r="B1379" s="45" t="s">
        <v>188</v>
      </c>
      <c r="C1379" s="45" t="s">
        <v>490</v>
      </c>
      <c r="D1379" s="45" t="s">
        <v>495</v>
      </c>
      <c r="E1379" s="45" t="s">
        <v>492</v>
      </c>
      <c r="F1379" s="45" t="s">
        <v>493</v>
      </c>
      <c r="G1379" s="14">
        <v>3713</v>
      </c>
      <c r="H1379" s="14">
        <v>2378</v>
      </c>
      <c r="I1379" s="14">
        <v>3218</v>
      </c>
      <c r="J1379" s="14">
        <v>3376</v>
      </c>
      <c r="K1379" s="14">
        <v>2740</v>
      </c>
      <c r="L1379" s="14">
        <v>3459</v>
      </c>
      <c r="M1379" s="14">
        <v>3225</v>
      </c>
      <c r="N1379" s="14">
        <v>3553</v>
      </c>
      <c r="O1379" s="14">
        <v>21091</v>
      </c>
      <c r="P1379" s="14">
        <v>12817</v>
      </c>
      <c r="Q1379" s="14">
        <v>17369</v>
      </c>
      <c r="R1379" s="14">
        <v>6745</v>
      </c>
      <c r="S1379" s="14">
        <v>7055</v>
      </c>
      <c r="T1379" s="14">
        <v>6785</v>
      </c>
      <c r="U1379" s="14">
        <v>7088</v>
      </c>
      <c r="V1379" s="14">
        <v>9154</v>
      </c>
      <c r="W1379" s="14">
        <v>9335</v>
      </c>
      <c r="X1379" s="14">
        <v>9704</v>
      </c>
      <c r="Y1379" s="14">
        <v>17158</v>
      </c>
      <c r="Z1379" s="14">
        <v>13377</v>
      </c>
      <c r="AA1379" s="14"/>
      <c r="AB1379" s="14"/>
    </row>
    <row r="1380" spans="1:30">
      <c r="A1380" s="45" t="s">
        <v>187</v>
      </c>
      <c r="B1380" s="45" t="s">
        <v>188</v>
      </c>
      <c r="C1380" s="45" t="s">
        <v>490</v>
      </c>
      <c r="D1380" s="45" t="s">
        <v>496</v>
      </c>
      <c r="E1380" s="45" t="s">
        <v>492</v>
      </c>
      <c r="F1380" s="45" t="s">
        <v>493</v>
      </c>
      <c r="G1380" s="14">
        <v>8733</v>
      </c>
      <c r="H1380" s="14">
        <v>9449</v>
      </c>
      <c r="I1380" s="14">
        <v>10754</v>
      </c>
      <c r="J1380" s="14">
        <v>11937</v>
      </c>
      <c r="K1380" s="14">
        <v>13977</v>
      </c>
      <c r="L1380" s="14">
        <v>15814</v>
      </c>
      <c r="M1380" s="14">
        <v>16022</v>
      </c>
      <c r="N1380" s="14">
        <v>19844</v>
      </c>
      <c r="O1380" s="14">
        <v>25094</v>
      </c>
      <c r="P1380" s="14">
        <v>32159</v>
      </c>
      <c r="Q1380" s="14">
        <v>42783</v>
      </c>
      <c r="R1380" s="14">
        <v>45379</v>
      </c>
      <c r="S1380" s="14">
        <v>41522</v>
      </c>
      <c r="T1380" s="14">
        <v>47101</v>
      </c>
      <c r="U1380" s="14">
        <v>50308</v>
      </c>
      <c r="V1380" s="14">
        <v>56179</v>
      </c>
      <c r="W1380" s="14">
        <v>77549</v>
      </c>
      <c r="X1380" s="14">
        <v>82671</v>
      </c>
      <c r="Y1380" s="14">
        <v>81173</v>
      </c>
      <c r="Z1380" s="14">
        <v>86723</v>
      </c>
      <c r="AA1380" s="14"/>
      <c r="AB1380" s="14"/>
    </row>
    <row r="1381" spans="1:30">
      <c r="A1381" s="45" t="s">
        <v>187</v>
      </c>
      <c r="B1381" s="45" t="s">
        <v>188</v>
      </c>
      <c r="C1381" s="45" t="s">
        <v>490</v>
      </c>
      <c r="D1381" s="45" t="s">
        <v>497</v>
      </c>
      <c r="E1381" s="45" t="s">
        <v>492</v>
      </c>
      <c r="F1381" s="45" t="s">
        <v>493</v>
      </c>
      <c r="G1381" s="14">
        <v>15003</v>
      </c>
      <c r="H1381" s="14">
        <v>17563</v>
      </c>
      <c r="I1381" s="14">
        <v>19343</v>
      </c>
      <c r="J1381" s="14">
        <v>23127</v>
      </c>
      <c r="K1381" s="14">
        <v>26221</v>
      </c>
      <c r="L1381" s="14">
        <v>30761</v>
      </c>
      <c r="M1381" s="14">
        <v>34155</v>
      </c>
      <c r="N1381" s="14">
        <v>39072</v>
      </c>
      <c r="O1381" s="14">
        <v>44487</v>
      </c>
      <c r="P1381" s="14">
        <v>49369</v>
      </c>
      <c r="Q1381" s="14">
        <v>53248</v>
      </c>
      <c r="R1381" s="14">
        <v>61777</v>
      </c>
      <c r="S1381" s="14">
        <v>67021</v>
      </c>
      <c r="T1381" s="14">
        <v>73699</v>
      </c>
      <c r="U1381" s="14">
        <v>78129</v>
      </c>
      <c r="V1381" s="14">
        <v>84355</v>
      </c>
      <c r="W1381" s="14">
        <v>85017</v>
      </c>
      <c r="X1381" s="14">
        <v>96290</v>
      </c>
      <c r="Y1381" s="14">
        <v>98864</v>
      </c>
      <c r="Z1381" s="14">
        <v>105894</v>
      </c>
      <c r="AA1381" s="14"/>
      <c r="AB1381" s="14"/>
    </row>
    <row r="1382" spans="1:30">
      <c r="A1382" s="45" t="s">
        <v>187</v>
      </c>
      <c r="B1382" s="45" t="s">
        <v>188</v>
      </c>
      <c r="C1382" s="45" t="s">
        <v>498</v>
      </c>
      <c r="D1382" s="45" t="s">
        <v>491</v>
      </c>
      <c r="E1382" s="45" t="s">
        <v>499</v>
      </c>
      <c r="F1382" s="45" t="s">
        <v>500</v>
      </c>
      <c r="G1382" s="14">
        <v>58910.2</v>
      </c>
      <c r="H1382" s="14">
        <v>57225.599999999999</v>
      </c>
      <c r="I1382" s="14">
        <v>61629.2</v>
      </c>
      <c r="J1382" s="14">
        <v>64302.2</v>
      </c>
      <c r="K1382" s="14">
        <v>66952</v>
      </c>
      <c r="L1382" s="14">
        <v>72393.2</v>
      </c>
      <c r="M1382" s="14">
        <v>72436.3</v>
      </c>
      <c r="N1382" s="14">
        <v>76933.899999999994</v>
      </c>
      <c r="O1382" s="14">
        <v>99422</v>
      </c>
      <c r="P1382" s="14">
        <v>100448.1</v>
      </c>
      <c r="Q1382" s="14">
        <v>108687.4</v>
      </c>
      <c r="R1382" s="14">
        <v>101174.3</v>
      </c>
      <c r="S1382" s="14">
        <v>92660.800000000003</v>
      </c>
      <c r="T1382" s="14">
        <v>95881.3</v>
      </c>
      <c r="U1382" s="14">
        <v>93579.3</v>
      </c>
      <c r="V1382" s="14">
        <v>99540.7</v>
      </c>
      <c r="W1382" s="14">
        <v>112187.7</v>
      </c>
      <c r="X1382" s="14">
        <v>117502</v>
      </c>
      <c r="Y1382" s="14">
        <v>116086.3</v>
      </c>
      <c r="Z1382" s="14">
        <v>108090.2</v>
      </c>
      <c r="AA1382" s="14"/>
      <c r="AB1382" s="14"/>
      <c r="AC1382" s="15">
        <f>IFERROR(Z1382/G1382-1,"")</f>
        <v>0.83482996153467481</v>
      </c>
      <c r="AD1382" s="15">
        <f>IFERROR((Z1382/G1382)^(1/19)-1,"")</f>
        <v>3.2460545233117033E-2</v>
      </c>
    </row>
    <row r="1383" spans="1:30">
      <c r="A1383" s="45" t="s">
        <v>187</v>
      </c>
      <c r="B1383" s="45" t="s">
        <v>188</v>
      </c>
      <c r="C1383" s="45" t="s">
        <v>498</v>
      </c>
      <c r="D1383" s="45" t="s">
        <v>495</v>
      </c>
      <c r="E1383" s="45" t="s">
        <v>499</v>
      </c>
      <c r="F1383" s="45" t="s">
        <v>500</v>
      </c>
      <c r="G1383" s="14">
        <v>7054.4</v>
      </c>
      <c r="H1383" s="14">
        <v>3960.2</v>
      </c>
      <c r="I1383" s="14">
        <v>4972.7</v>
      </c>
      <c r="J1383" s="14">
        <v>4856.3999999999996</v>
      </c>
      <c r="K1383" s="14">
        <v>3691.6</v>
      </c>
      <c r="L1383" s="14">
        <v>4378</v>
      </c>
      <c r="M1383" s="14">
        <v>3752.3</v>
      </c>
      <c r="N1383" s="14">
        <v>3852.3</v>
      </c>
      <c r="O1383" s="14">
        <v>21091</v>
      </c>
      <c r="P1383" s="14">
        <v>11832.7</v>
      </c>
      <c r="Q1383" s="14">
        <v>14855.1</v>
      </c>
      <c r="R1383" s="14">
        <v>5366.1</v>
      </c>
      <c r="S1383" s="14">
        <v>5204.3</v>
      </c>
      <c r="T1383" s="14">
        <v>4653.1000000000004</v>
      </c>
      <c r="U1383" s="14">
        <v>4496.5</v>
      </c>
      <c r="V1383" s="14">
        <v>5601.5</v>
      </c>
      <c r="W1383" s="14">
        <v>5466.6</v>
      </c>
      <c r="X1383" s="14">
        <v>5452.4</v>
      </c>
      <c r="Y1383" s="14">
        <v>9054.5</v>
      </c>
      <c r="Z1383" s="14">
        <v>6244.5</v>
      </c>
      <c r="AA1383" s="14"/>
      <c r="AB1383" s="14"/>
      <c r="AC1383" s="15">
        <f>IFERROR(Z1383/G1383-1,"")</f>
        <v>-0.11480777954184618</v>
      </c>
      <c r="AD1383" s="15">
        <f>IFERROR((Z1383/G1383)^(1/19)-1,"")</f>
        <v>-6.3978910056730065E-3</v>
      </c>
    </row>
    <row r="1384" spans="1:30">
      <c r="A1384" s="45" t="s">
        <v>187</v>
      </c>
      <c r="B1384" s="45" t="s">
        <v>188</v>
      </c>
      <c r="C1384" s="45" t="s">
        <v>498</v>
      </c>
      <c r="D1384" s="45" t="s">
        <v>496</v>
      </c>
      <c r="E1384" s="45" t="s">
        <v>499</v>
      </c>
      <c r="F1384" s="45" t="s">
        <v>500</v>
      </c>
      <c r="G1384" s="14">
        <v>16590.099999999999</v>
      </c>
      <c r="H1384" s="14">
        <v>15733.9</v>
      </c>
      <c r="I1384" s="14">
        <v>16618.5</v>
      </c>
      <c r="J1384" s="14">
        <v>17170</v>
      </c>
      <c r="K1384" s="14">
        <v>18829.599999999999</v>
      </c>
      <c r="L1384" s="14">
        <v>20015.5</v>
      </c>
      <c r="M1384" s="14">
        <v>18641.900000000001</v>
      </c>
      <c r="N1384" s="14">
        <v>21515.5</v>
      </c>
      <c r="O1384" s="14">
        <v>25094</v>
      </c>
      <c r="P1384" s="14">
        <v>29689.3</v>
      </c>
      <c r="Q1384" s="14">
        <v>36590.9</v>
      </c>
      <c r="R1384" s="14">
        <v>36101.9</v>
      </c>
      <c r="S1384" s="14">
        <v>30630</v>
      </c>
      <c r="T1384" s="14">
        <v>32301.5</v>
      </c>
      <c r="U1384" s="14">
        <v>31914.6</v>
      </c>
      <c r="V1384" s="14">
        <v>34377</v>
      </c>
      <c r="W1384" s="14">
        <v>45413</v>
      </c>
      <c r="X1384" s="14">
        <v>46450.3</v>
      </c>
      <c r="Y1384" s="14">
        <v>42836</v>
      </c>
      <c r="Z1384" s="14">
        <v>40483.4</v>
      </c>
      <c r="AA1384" s="14"/>
      <c r="AB1384" s="14"/>
      <c r="AC1384" s="15">
        <f>IFERROR(Z1384/G1384-1,"")</f>
        <v>1.4402143446995499</v>
      </c>
      <c r="AD1384" s="15">
        <f>IFERROR((Z1384/G1384)^(1/19)-1,"")</f>
        <v>4.8071583578106925E-2</v>
      </c>
    </row>
    <row r="1385" spans="1:30">
      <c r="A1385" s="45" t="s">
        <v>187</v>
      </c>
      <c r="B1385" s="45" t="s">
        <v>188</v>
      </c>
      <c r="C1385" s="45" t="s">
        <v>498</v>
      </c>
      <c r="D1385" s="45" t="s">
        <v>497</v>
      </c>
      <c r="E1385" s="45" t="s">
        <v>499</v>
      </c>
      <c r="F1385" s="45" t="s">
        <v>500</v>
      </c>
      <c r="G1385" s="14">
        <v>28502</v>
      </c>
      <c r="H1385" s="14">
        <v>29243.7</v>
      </c>
      <c r="I1385" s="14">
        <v>29891</v>
      </c>
      <c r="J1385" s="14">
        <v>33266</v>
      </c>
      <c r="K1385" s="14">
        <v>35323.800000000003</v>
      </c>
      <c r="L1385" s="14">
        <v>38932.699999999997</v>
      </c>
      <c r="M1385" s="14">
        <v>39740.699999999997</v>
      </c>
      <c r="N1385" s="14">
        <v>42363.199999999997</v>
      </c>
      <c r="O1385" s="14">
        <v>44487</v>
      </c>
      <c r="P1385" s="14">
        <v>45577.599999999999</v>
      </c>
      <c r="Q1385" s="14">
        <v>45541.3</v>
      </c>
      <c r="R1385" s="14">
        <v>49147.6</v>
      </c>
      <c r="S1385" s="14">
        <v>49440.1</v>
      </c>
      <c r="T1385" s="14">
        <v>50542.2</v>
      </c>
      <c r="U1385" s="14">
        <v>49563.8</v>
      </c>
      <c r="V1385" s="14">
        <v>51618.400000000001</v>
      </c>
      <c r="W1385" s="14">
        <v>49786.3</v>
      </c>
      <c r="X1385" s="14">
        <v>54102.400000000001</v>
      </c>
      <c r="Y1385" s="14">
        <v>52171.8</v>
      </c>
      <c r="Z1385" s="14">
        <v>49433</v>
      </c>
      <c r="AA1385" s="14"/>
      <c r="AB1385" s="14"/>
      <c r="AC1385" s="15">
        <f>IFERROR(Z1385/G1385-1,"")</f>
        <v>0.73436951792856631</v>
      </c>
      <c r="AD1385" s="15">
        <f>IFERROR((Z1385/G1385)^(1/19)-1,"")</f>
        <v>2.9405304166196133E-2</v>
      </c>
    </row>
    <row r="1386" spans="1:30">
      <c r="A1386" s="45" t="s">
        <v>187</v>
      </c>
      <c r="B1386" s="45" t="s">
        <v>188</v>
      </c>
      <c r="C1386" s="45" t="s">
        <v>498</v>
      </c>
      <c r="D1386" s="45" t="s">
        <v>501</v>
      </c>
      <c r="E1386" s="45" t="s">
        <v>499</v>
      </c>
      <c r="F1386" s="45" t="s">
        <v>500</v>
      </c>
      <c r="G1386" s="14">
        <v>4422.3</v>
      </c>
      <c r="H1386" s="14">
        <v>6090.1</v>
      </c>
      <c r="I1386" s="14">
        <v>7403.6</v>
      </c>
      <c r="J1386" s="14">
        <v>6251.1</v>
      </c>
      <c r="K1386" s="14">
        <v>5331.2</v>
      </c>
      <c r="L1386" s="14">
        <v>4847.3</v>
      </c>
      <c r="M1386" s="14">
        <v>6215.7</v>
      </c>
      <c r="N1386" s="14">
        <v>5256.4</v>
      </c>
      <c r="O1386" s="14">
        <v>3855</v>
      </c>
      <c r="P1386" s="14">
        <v>5138.5</v>
      </c>
      <c r="Q1386" s="14">
        <v>2922.4</v>
      </c>
      <c r="R1386" s="14">
        <v>3339</v>
      </c>
      <c r="S1386" s="14">
        <v>2610.6999999999998</v>
      </c>
      <c r="T1386" s="14">
        <v>2806.3</v>
      </c>
      <c r="U1386" s="14">
        <v>2779.9</v>
      </c>
      <c r="V1386" s="14">
        <v>2873.6</v>
      </c>
      <c r="W1386" s="14">
        <v>2806.8</v>
      </c>
      <c r="X1386" s="14">
        <v>3429.1</v>
      </c>
      <c r="Y1386" s="14">
        <v>4260.2</v>
      </c>
      <c r="Z1386" s="14">
        <v>3254.6</v>
      </c>
      <c r="AA1386" s="14"/>
      <c r="AB1386" s="14"/>
      <c r="AC1386" s="15">
        <f>IFERROR(Z1386/G1386-1,"")</f>
        <v>-0.26404811975668774</v>
      </c>
      <c r="AD1386" s="15">
        <f>IFERROR((Z1386/G1386)^(1/19)-1,"")</f>
        <v>-1.6006850989508492E-2</v>
      </c>
    </row>
    <row r="1387" spans="1:30">
      <c r="A1387" s="45" t="s">
        <v>355</v>
      </c>
      <c r="B1387" s="45" t="s">
        <v>356</v>
      </c>
      <c r="C1387" s="45" t="s">
        <v>490</v>
      </c>
      <c r="D1387" s="45" t="s">
        <v>491</v>
      </c>
      <c r="E1387" s="45" t="s">
        <v>492</v>
      </c>
      <c r="F1387" s="45" t="s">
        <v>493</v>
      </c>
      <c r="G1387" s="14">
        <v>13642</v>
      </c>
      <c r="H1387" s="14">
        <v>15667</v>
      </c>
      <c r="I1387" s="14">
        <v>18447</v>
      </c>
      <c r="J1387" s="14">
        <v>18309</v>
      </c>
      <c r="K1387" s="14">
        <v>19719</v>
      </c>
      <c r="L1387" s="14">
        <v>22850</v>
      </c>
      <c r="M1387" s="14">
        <v>26316</v>
      </c>
      <c r="N1387" s="14">
        <v>28055</v>
      </c>
      <c r="O1387" s="14">
        <v>30789</v>
      </c>
      <c r="P1387" s="14">
        <v>37514</v>
      </c>
      <c r="Q1387" s="14">
        <v>41554</v>
      </c>
      <c r="R1387" s="14">
        <v>44482</v>
      </c>
      <c r="S1387" s="14">
        <v>47151</v>
      </c>
      <c r="T1387" s="14">
        <v>52084</v>
      </c>
      <c r="U1387" s="14">
        <v>53919</v>
      </c>
      <c r="V1387" s="14">
        <v>58984</v>
      </c>
      <c r="W1387" s="14">
        <v>49970</v>
      </c>
      <c r="X1387" s="14">
        <v>53429</v>
      </c>
      <c r="Y1387" s="14">
        <v>52646</v>
      </c>
      <c r="Z1387" s="14">
        <v>55799</v>
      </c>
      <c r="AA1387" s="14">
        <v>68283</v>
      </c>
      <c r="AB1387" s="14">
        <v>72504</v>
      </c>
    </row>
    <row r="1388" spans="1:30">
      <c r="A1388" s="45" t="s">
        <v>355</v>
      </c>
      <c r="B1388" s="45" t="s">
        <v>356</v>
      </c>
      <c r="C1388" s="45" t="s">
        <v>490</v>
      </c>
      <c r="D1388" s="45" t="s">
        <v>494</v>
      </c>
      <c r="E1388" s="45" t="s">
        <v>492</v>
      </c>
      <c r="F1388" s="45" t="s">
        <v>493</v>
      </c>
      <c r="G1388" s="14">
        <v>13143</v>
      </c>
      <c r="H1388" s="14">
        <v>15188</v>
      </c>
      <c r="I1388" s="14">
        <v>17825</v>
      </c>
      <c r="J1388" s="14">
        <v>17646</v>
      </c>
      <c r="K1388" s="14">
        <v>18712</v>
      </c>
      <c r="L1388" s="14">
        <v>21434</v>
      </c>
      <c r="M1388" s="14">
        <v>24533</v>
      </c>
      <c r="N1388" s="14">
        <v>26643</v>
      </c>
      <c r="O1388" s="14">
        <v>28944</v>
      </c>
      <c r="P1388" s="14">
        <v>35410</v>
      </c>
      <c r="Q1388" s="14">
        <v>39155</v>
      </c>
      <c r="R1388" s="14">
        <v>41970</v>
      </c>
      <c r="S1388" s="14">
        <v>44522</v>
      </c>
      <c r="T1388" s="14">
        <v>48645</v>
      </c>
      <c r="U1388" s="14">
        <v>50686</v>
      </c>
      <c r="V1388" s="14">
        <v>55656</v>
      </c>
      <c r="W1388" s="14">
        <v>48386</v>
      </c>
      <c r="X1388" s="14">
        <v>52078</v>
      </c>
      <c r="Y1388" s="14">
        <v>51166</v>
      </c>
      <c r="Z1388" s="14">
        <v>53879</v>
      </c>
      <c r="AA1388" s="14"/>
      <c r="AB1388" s="14"/>
    </row>
    <row r="1389" spans="1:30">
      <c r="A1389" s="45" t="s">
        <v>355</v>
      </c>
      <c r="B1389" s="45" t="s">
        <v>356</v>
      </c>
      <c r="C1389" s="45" t="s">
        <v>490</v>
      </c>
      <c r="D1389" s="45" t="s">
        <v>495</v>
      </c>
      <c r="E1389" s="45" t="s">
        <v>492</v>
      </c>
      <c r="F1389" s="45" t="s">
        <v>493</v>
      </c>
      <c r="G1389" s="14">
        <v>1008</v>
      </c>
      <c r="H1389" s="14">
        <v>800</v>
      </c>
      <c r="I1389" s="14">
        <v>1078</v>
      </c>
      <c r="J1389" s="14">
        <v>990</v>
      </c>
      <c r="K1389" s="14">
        <v>772</v>
      </c>
      <c r="L1389" s="14">
        <v>1122</v>
      </c>
      <c r="M1389" s="14">
        <v>1335</v>
      </c>
      <c r="N1389" s="14">
        <v>1605</v>
      </c>
      <c r="O1389" s="14">
        <v>1724</v>
      </c>
      <c r="P1389" s="14">
        <v>4743</v>
      </c>
      <c r="Q1389" s="14">
        <v>4918</v>
      </c>
      <c r="R1389" s="14">
        <v>2937</v>
      </c>
      <c r="S1389" s="14">
        <v>2484</v>
      </c>
      <c r="T1389" s="14">
        <v>2989</v>
      </c>
      <c r="U1389" s="14">
        <v>2792</v>
      </c>
      <c r="V1389" s="14">
        <v>1880</v>
      </c>
      <c r="W1389" s="14">
        <v>2107</v>
      </c>
      <c r="X1389" s="14">
        <v>1963</v>
      </c>
      <c r="Y1389" s="14">
        <v>2005</v>
      </c>
      <c r="Z1389" s="14">
        <v>2219</v>
      </c>
      <c r="AA1389" s="14"/>
      <c r="AB1389" s="14"/>
    </row>
    <row r="1390" spans="1:30">
      <c r="A1390" s="45" t="s">
        <v>355</v>
      </c>
      <c r="B1390" s="45" t="s">
        <v>356</v>
      </c>
      <c r="C1390" s="45" t="s">
        <v>490</v>
      </c>
      <c r="D1390" s="45" t="s">
        <v>496</v>
      </c>
      <c r="E1390" s="45" t="s">
        <v>492</v>
      </c>
      <c r="F1390" s="45" t="s">
        <v>493</v>
      </c>
      <c r="G1390" s="14">
        <v>2451</v>
      </c>
      <c r="H1390" s="14">
        <v>2905</v>
      </c>
      <c r="I1390" s="14">
        <v>3469</v>
      </c>
      <c r="J1390" s="14">
        <v>3505</v>
      </c>
      <c r="K1390" s="14">
        <v>3896</v>
      </c>
      <c r="L1390" s="14">
        <v>4617</v>
      </c>
      <c r="M1390" s="14">
        <v>4629</v>
      </c>
      <c r="N1390" s="14">
        <v>5337</v>
      </c>
      <c r="O1390" s="14">
        <v>6692</v>
      </c>
      <c r="P1390" s="14">
        <v>7567</v>
      </c>
      <c r="Q1390" s="14">
        <v>10625</v>
      </c>
      <c r="R1390" s="14">
        <v>12366</v>
      </c>
      <c r="S1390" s="14">
        <v>13652</v>
      </c>
      <c r="T1390" s="14">
        <v>15397</v>
      </c>
      <c r="U1390" s="14">
        <v>16024</v>
      </c>
      <c r="V1390" s="14">
        <v>18253</v>
      </c>
      <c r="W1390" s="14">
        <v>11695</v>
      </c>
      <c r="X1390" s="14">
        <v>11844</v>
      </c>
      <c r="Y1390" s="14">
        <v>11449</v>
      </c>
      <c r="Z1390" s="14">
        <v>11932</v>
      </c>
      <c r="AA1390" s="14"/>
      <c r="AB1390" s="14"/>
    </row>
    <row r="1391" spans="1:30">
      <c r="A1391" s="45" t="s">
        <v>355</v>
      </c>
      <c r="B1391" s="45" t="s">
        <v>356</v>
      </c>
      <c r="C1391" s="45" t="s">
        <v>490</v>
      </c>
      <c r="D1391" s="45" t="s">
        <v>497</v>
      </c>
      <c r="E1391" s="45" t="s">
        <v>492</v>
      </c>
      <c r="F1391" s="45" t="s">
        <v>493</v>
      </c>
      <c r="G1391" s="14">
        <v>7643</v>
      </c>
      <c r="H1391" s="14">
        <v>8395</v>
      </c>
      <c r="I1391" s="14">
        <v>9312</v>
      </c>
      <c r="J1391" s="14">
        <v>10417</v>
      </c>
      <c r="K1391" s="14">
        <v>11620</v>
      </c>
      <c r="L1391" s="14">
        <v>13619</v>
      </c>
      <c r="M1391" s="14">
        <v>14666</v>
      </c>
      <c r="N1391" s="14">
        <v>16734</v>
      </c>
      <c r="O1391" s="14">
        <v>18295</v>
      </c>
      <c r="P1391" s="14">
        <v>19681</v>
      </c>
      <c r="Q1391" s="14">
        <v>21678</v>
      </c>
      <c r="R1391" s="14">
        <v>24586</v>
      </c>
      <c r="S1391" s="14">
        <v>26340</v>
      </c>
      <c r="T1391" s="14">
        <v>27933</v>
      </c>
      <c r="U1391" s="14">
        <v>29333</v>
      </c>
      <c r="V1391" s="14">
        <v>32818</v>
      </c>
      <c r="W1391" s="14">
        <v>32201</v>
      </c>
      <c r="X1391" s="14">
        <v>35520</v>
      </c>
      <c r="Y1391" s="14">
        <v>33584</v>
      </c>
      <c r="Z1391" s="14">
        <v>36141</v>
      </c>
      <c r="AA1391" s="14"/>
      <c r="AB1391" s="14"/>
    </row>
    <row r="1392" spans="1:30">
      <c r="A1392" s="45" t="s">
        <v>355</v>
      </c>
      <c r="B1392" s="45" t="s">
        <v>356</v>
      </c>
      <c r="C1392" s="45" t="s">
        <v>498</v>
      </c>
      <c r="D1392" s="45" t="s">
        <v>491</v>
      </c>
      <c r="E1392" s="45" t="s">
        <v>499</v>
      </c>
      <c r="F1392" s="45" t="s">
        <v>500</v>
      </c>
      <c r="G1392" s="14">
        <v>25915.599999999999</v>
      </c>
      <c r="H1392" s="14">
        <v>26087.9</v>
      </c>
      <c r="I1392" s="14">
        <v>28505.9</v>
      </c>
      <c r="J1392" s="14">
        <v>26335.8</v>
      </c>
      <c r="K1392" s="14">
        <v>26564.3</v>
      </c>
      <c r="L1392" s="14">
        <v>28921</v>
      </c>
      <c r="M1392" s="14">
        <v>30619.9</v>
      </c>
      <c r="N1392" s="14">
        <v>30418.2</v>
      </c>
      <c r="O1392" s="14">
        <v>30789</v>
      </c>
      <c r="P1392" s="14">
        <v>34633</v>
      </c>
      <c r="Q1392" s="14">
        <v>35539.800000000003</v>
      </c>
      <c r="R1392" s="14">
        <v>35388.300000000003</v>
      </c>
      <c r="S1392" s="14">
        <v>34782.400000000001</v>
      </c>
      <c r="T1392" s="14">
        <v>35718.800000000003</v>
      </c>
      <c r="U1392" s="14">
        <v>34205.4</v>
      </c>
      <c r="V1392" s="14">
        <v>36093.4</v>
      </c>
      <c r="W1392" s="14">
        <v>29262.6</v>
      </c>
      <c r="X1392" s="14">
        <v>30020.1</v>
      </c>
      <c r="Y1392" s="14">
        <v>27782</v>
      </c>
      <c r="Z1392" s="14">
        <v>26047.4</v>
      </c>
      <c r="AA1392" s="14"/>
      <c r="AB1392" s="14"/>
      <c r="AC1392" s="15">
        <f>IFERROR(Z1392/G1392-1,"")</f>
        <v>5.0857398632484507E-3</v>
      </c>
      <c r="AD1392" s="15">
        <f>IFERROR((Z1392/G1392)^(1/19)-1,"")</f>
        <v>2.6702781236154216E-4</v>
      </c>
    </row>
    <row r="1393" spans="1:30">
      <c r="A1393" s="45" t="s">
        <v>355</v>
      </c>
      <c r="B1393" s="45" t="s">
        <v>356</v>
      </c>
      <c r="C1393" s="45" t="s">
        <v>498</v>
      </c>
      <c r="D1393" s="45" t="s">
        <v>495</v>
      </c>
      <c r="E1393" s="45" t="s">
        <v>499</v>
      </c>
      <c r="F1393" s="45" t="s">
        <v>500</v>
      </c>
      <c r="G1393" s="14">
        <v>1914.6</v>
      </c>
      <c r="H1393" s="14">
        <v>1332.5</v>
      </c>
      <c r="I1393" s="14">
        <v>1666.6</v>
      </c>
      <c r="J1393" s="14">
        <v>1424.5</v>
      </c>
      <c r="K1393" s="14">
        <v>1039.5</v>
      </c>
      <c r="L1393" s="14">
        <v>1420</v>
      </c>
      <c r="M1393" s="14">
        <v>1553.4</v>
      </c>
      <c r="N1393" s="14">
        <v>1740.2</v>
      </c>
      <c r="O1393" s="14">
        <v>1724</v>
      </c>
      <c r="P1393" s="14">
        <v>4378.7</v>
      </c>
      <c r="Q1393" s="14">
        <v>4206.2</v>
      </c>
      <c r="R1393" s="14">
        <v>2336.6</v>
      </c>
      <c r="S1393" s="14">
        <v>1832.4</v>
      </c>
      <c r="T1393" s="14">
        <v>2049.8000000000002</v>
      </c>
      <c r="U1393" s="14">
        <v>1771.2</v>
      </c>
      <c r="V1393" s="14">
        <v>1150.4000000000001</v>
      </c>
      <c r="W1393" s="14">
        <v>1233.9000000000001</v>
      </c>
      <c r="X1393" s="14">
        <v>1102.9000000000001</v>
      </c>
      <c r="Y1393" s="14">
        <v>1058.0999999999999</v>
      </c>
      <c r="Z1393" s="14">
        <v>1035.8</v>
      </c>
      <c r="AA1393" s="14"/>
      <c r="AB1393" s="14"/>
      <c r="AC1393" s="15">
        <f>IFERROR(Z1393/G1393-1,"")</f>
        <v>-0.458999268776768</v>
      </c>
      <c r="AD1393" s="15">
        <f>IFERROR((Z1393/G1393)^(1/19)-1,"")</f>
        <v>-3.181626666636439E-2</v>
      </c>
    </row>
    <row r="1394" spans="1:30">
      <c r="A1394" s="45" t="s">
        <v>355</v>
      </c>
      <c r="B1394" s="45" t="s">
        <v>356</v>
      </c>
      <c r="C1394" s="45" t="s">
        <v>498</v>
      </c>
      <c r="D1394" s="45" t="s">
        <v>496</v>
      </c>
      <c r="E1394" s="45" t="s">
        <v>499</v>
      </c>
      <c r="F1394" s="45" t="s">
        <v>500</v>
      </c>
      <c r="G1394" s="14">
        <v>4655.8</v>
      </c>
      <c r="H1394" s="14">
        <v>4837.3999999999996</v>
      </c>
      <c r="I1394" s="14">
        <v>5360.7</v>
      </c>
      <c r="J1394" s="14">
        <v>5041.3</v>
      </c>
      <c r="K1394" s="14">
        <v>5249</v>
      </c>
      <c r="L1394" s="14">
        <v>5843.7</v>
      </c>
      <c r="M1394" s="14">
        <v>5386</v>
      </c>
      <c r="N1394" s="14">
        <v>5786.6</v>
      </c>
      <c r="O1394" s="14">
        <v>6692</v>
      </c>
      <c r="P1394" s="14">
        <v>6985.9</v>
      </c>
      <c r="Q1394" s="14">
        <v>9087.2000000000007</v>
      </c>
      <c r="R1394" s="14">
        <v>9837.9</v>
      </c>
      <c r="S1394" s="14">
        <v>10070.799999999999</v>
      </c>
      <c r="T1394" s="14">
        <v>10559.1</v>
      </c>
      <c r="U1394" s="14">
        <v>10165.4</v>
      </c>
      <c r="V1394" s="14">
        <v>11169.3</v>
      </c>
      <c r="W1394" s="14">
        <v>6848.6</v>
      </c>
      <c r="X1394" s="14">
        <v>6654.8</v>
      </c>
      <c r="Y1394" s="14">
        <v>6041.8</v>
      </c>
      <c r="Z1394" s="14">
        <v>5569.9</v>
      </c>
      <c r="AA1394" s="14"/>
      <c r="AB1394" s="14"/>
      <c r="AC1394" s="15">
        <f>IFERROR(Z1394/G1394-1,"")</f>
        <v>0.19633575325400554</v>
      </c>
      <c r="AD1394" s="15">
        <f>IFERROR((Z1394/G1394)^(1/19)-1,"")</f>
        <v>9.4795620628791433E-3</v>
      </c>
    </row>
    <row r="1395" spans="1:30">
      <c r="A1395" s="45" t="s">
        <v>355</v>
      </c>
      <c r="B1395" s="45" t="s">
        <v>356</v>
      </c>
      <c r="C1395" s="45" t="s">
        <v>498</v>
      </c>
      <c r="D1395" s="45" t="s">
        <v>497</v>
      </c>
      <c r="E1395" s="45" t="s">
        <v>499</v>
      </c>
      <c r="F1395" s="45" t="s">
        <v>500</v>
      </c>
      <c r="G1395" s="14">
        <v>14520.6</v>
      </c>
      <c r="H1395" s="14">
        <v>13979.1</v>
      </c>
      <c r="I1395" s="14">
        <v>14389.8</v>
      </c>
      <c r="J1395" s="14">
        <v>14984.2</v>
      </c>
      <c r="K1395" s="14">
        <v>15653.8</v>
      </c>
      <c r="L1395" s="14">
        <v>17237.2</v>
      </c>
      <c r="M1395" s="14">
        <v>17064.7</v>
      </c>
      <c r="N1395" s="14">
        <v>18143.599999999999</v>
      </c>
      <c r="O1395" s="14">
        <v>18295</v>
      </c>
      <c r="P1395" s="14">
        <v>18169.5</v>
      </c>
      <c r="Q1395" s="14">
        <v>18540.5</v>
      </c>
      <c r="R1395" s="14">
        <v>19559.7</v>
      </c>
      <c r="S1395" s="14">
        <v>19430.5</v>
      </c>
      <c r="T1395" s="14">
        <v>19156.2</v>
      </c>
      <c r="U1395" s="14">
        <v>18608.400000000001</v>
      </c>
      <c r="V1395" s="14">
        <v>20081.900000000001</v>
      </c>
      <c r="W1395" s="14">
        <v>18857</v>
      </c>
      <c r="X1395" s="14">
        <v>19957.599999999999</v>
      </c>
      <c r="Y1395" s="14">
        <v>17722.7</v>
      </c>
      <c r="Z1395" s="14">
        <v>16871.3</v>
      </c>
      <c r="AA1395" s="14"/>
      <c r="AB1395" s="14"/>
      <c r="AC1395" s="15">
        <f>IFERROR(Z1395/G1395-1,"")</f>
        <v>0.16188724983816094</v>
      </c>
      <c r="AD1395" s="15">
        <f>IFERROR((Z1395/G1395)^(1/19)-1,"")</f>
        <v>7.9284026724106837E-3</v>
      </c>
    </row>
    <row r="1396" spans="1:30">
      <c r="A1396" s="45" t="s">
        <v>355</v>
      </c>
      <c r="B1396" s="45" t="s">
        <v>356</v>
      </c>
      <c r="C1396" s="45" t="s">
        <v>498</v>
      </c>
      <c r="D1396" s="45" t="s">
        <v>501</v>
      </c>
      <c r="E1396" s="45" t="s">
        <v>499</v>
      </c>
      <c r="F1396" s="45" t="s">
        <v>500</v>
      </c>
      <c r="G1396" s="14">
        <v>3877</v>
      </c>
      <c r="H1396" s="14">
        <v>5141.1000000000004</v>
      </c>
      <c r="I1396" s="14">
        <v>6127.6</v>
      </c>
      <c r="J1396" s="14">
        <v>3932.7</v>
      </c>
      <c r="K1396" s="14">
        <v>3265.8</v>
      </c>
      <c r="L1396" s="14">
        <v>2627.9</v>
      </c>
      <c r="M1396" s="14">
        <v>4540.3999999999996</v>
      </c>
      <c r="N1396" s="14">
        <v>3216.9</v>
      </c>
      <c r="O1396" s="14">
        <v>2232</v>
      </c>
      <c r="P1396" s="14">
        <v>3156.4</v>
      </c>
      <c r="Q1396" s="14">
        <v>1654.9</v>
      </c>
      <c r="R1396" s="14">
        <v>1656.4</v>
      </c>
      <c r="S1396" s="14">
        <v>1508.6</v>
      </c>
      <c r="T1396" s="14">
        <v>1595.2</v>
      </c>
      <c r="U1396" s="14">
        <v>1609.4</v>
      </c>
      <c r="V1396" s="14">
        <v>1655.9</v>
      </c>
      <c r="W1396" s="14">
        <v>1395.5</v>
      </c>
      <c r="X1396" s="14">
        <v>1545.1</v>
      </c>
      <c r="Y1396" s="14">
        <v>2178.4</v>
      </c>
      <c r="Z1396" s="14">
        <v>1674.9</v>
      </c>
      <c r="AA1396" s="14"/>
      <c r="AB1396" s="14"/>
      <c r="AC1396" s="15">
        <f>IFERROR(Z1396/G1396-1,"")</f>
        <v>-0.56799071446995097</v>
      </c>
      <c r="AD1396" s="15">
        <f>IFERROR((Z1396/G1396)^(1/19)-1,"")</f>
        <v>-4.321264864907659E-2</v>
      </c>
    </row>
    <row r="1397" spans="1:30">
      <c r="A1397" s="45" t="s">
        <v>293</v>
      </c>
      <c r="B1397" s="45" t="s">
        <v>294</v>
      </c>
      <c r="C1397" s="45" t="s">
        <v>490</v>
      </c>
      <c r="D1397" s="45" t="s">
        <v>491</v>
      </c>
      <c r="E1397" s="45" t="s">
        <v>492</v>
      </c>
      <c r="F1397" s="45" t="s">
        <v>493</v>
      </c>
      <c r="G1397" s="14">
        <v>16618</v>
      </c>
      <c r="H1397" s="14">
        <v>18332</v>
      </c>
      <c r="I1397" s="14">
        <v>19841</v>
      </c>
      <c r="J1397" s="14">
        <v>22306</v>
      </c>
      <c r="K1397" s="14">
        <v>25179</v>
      </c>
      <c r="L1397" s="14">
        <v>29145</v>
      </c>
      <c r="M1397" s="14">
        <v>32686</v>
      </c>
      <c r="N1397" s="14">
        <v>37696</v>
      </c>
      <c r="O1397" s="14">
        <v>39869</v>
      </c>
      <c r="P1397" s="14">
        <v>43695</v>
      </c>
      <c r="Q1397" s="14">
        <v>50272</v>
      </c>
      <c r="R1397" s="14">
        <v>58737</v>
      </c>
      <c r="S1397" s="14">
        <v>58580</v>
      </c>
      <c r="T1397" s="14">
        <v>65909</v>
      </c>
      <c r="U1397" s="14">
        <v>66458</v>
      </c>
      <c r="V1397" s="14">
        <v>70221</v>
      </c>
      <c r="W1397" s="14">
        <v>76170</v>
      </c>
      <c r="X1397" s="14">
        <v>81362</v>
      </c>
      <c r="Y1397" s="14">
        <v>85177</v>
      </c>
      <c r="Z1397" s="14">
        <v>88674</v>
      </c>
      <c r="AA1397" s="14">
        <v>97419</v>
      </c>
      <c r="AB1397" s="14">
        <v>108235</v>
      </c>
    </row>
    <row r="1398" spans="1:30">
      <c r="A1398" s="45" t="s">
        <v>293</v>
      </c>
      <c r="B1398" s="45" t="s">
        <v>294</v>
      </c>
      <c r="C1398" s="45" t="s">
        <v>490</v>
      </c>
      <c r="D1398" s="45" t="s">
        <v>494</v>
      </c>
      <c r="E1398" s="45" t="s">
        <v>492</v>
      </c>
      <c r="F1398" s="45" t="s">
        <v>493</v>
      </c>
      <c r="G1398" s="14">
        <v>16109</v>
      </c>
      <c r="H1398" s="14">
        <v>17834</v>
      </c>
      <c r="I1398" s="14">
        <v>19252</v>
      </c>
      <c r="J1398" s="14">
        <v>21568</v>
      </c>
      <c r="K1398" s="14">
        <v>23879</v>
      </c>
      <c r="L1398" s="14">
        <v>27171</v>
      </c>
      <c r="M1398" s="14">
        <v>30796</v>
      </c>
      <c r="N1398" s="14">
        <v>35588</v>
      </c>
      <c r="O1398" s="14">
        <v>37063</v>
      </c>
      <c r="P1398" s="14">
        <v>40717</v>
      </c>
      <c r="Q1398" s="14">
        <v>45759</v>
      </c>
      <c r="R1398" s="14">
        <v>53539</v>
      </c>
      <c r="S1398" s="14">
        <v>53754</v>
      </c>
      <c r="T1398" s="14">
        <v>60158</v>
      </c>
      <c r="U1398" s="14">
        <v>63990</v>
      </c>
      <c r="V1398" s="14">
        <v>68108</v>
      </c>
      <c r="W1398" s="14">
        <v>73539</v>
      </c>
      <c r="X1398" s="14">
        <v>78365</v>
      </c>
      <c r="Y1398" s="14">
        <v>82327</v>
      </c>
      <c r="Z1398" s="14">
        <v>84508</v>
      </c>
      <c r="AA1398" s="14"/>
      <c r="AB1398" s="14"/>
    </row>
    <row r="1399" spans="1:30">
      <c r="A1399" s="45" t="s">
        <v>293</v>
      </c>
      <c r="B1399" s="45" t="s">
        <v>294</v>
      </c>
      <c r="C1399" s="45" t="s">
        <v>490</v>
      </c>
      <c r="D1399" s="45" t="s">
        <v>495</v>
      </c>
      <c r="E1399" s="45" t="s">
        <v>492</v>
      </c>
      <c r="F1399" s="45" t="s">
        <v>493</v>
      </c>
      <c r="G1399" s="14">
        <v>1063</v>
      </c>
      <c r="H1399" s="14">
        <v>688</v>
      </c>
      <c r="I1399" s="14">
        <v>737</v>
      </c>
      <c r="J1399" s="14">
        <v>875</v>
      </c>
      <c r="K1399" s="14">
        <v>995</v>
      </c>
      <c r="L1399" s="14">
        <v>991</v>
      </c>
      <c r="M1399" s="14">
        <v>1081</v>
      </c>
      <c r="N1399" s="14">
        <v>2094</v>
      </c>
      <c r="O1399" s="14">
        <v>1162</v>
      </c>
      <c r="P1399" s="14">
        <v>1270</v>
      </c>
      <c r="Q1399" s="14">
        <v>1741</v>
      </c>
      <c r="R1399" s="14">
        <v>3079</v>
      </c>
      <c r="S1399" s="14">
        <v>2266</v>
      </c>
      <c r="T1399" s="14">
        <v>2582</v>
      </c>
      <c r="U1399" s="14">
        <v>2492</v>
      </c>
      <c r="V1399" s="14">
        <v>2352</v>
      </c>
      <c r="W1399" s="14">
        <v>3302</v>
      </c>
      <c r="X1399" s="14">
        <v>2920</v>
      </c>
      <c r="Y1399" s="14">
        <v>3221</v>
      </c>
      <c r="Z1399" s="14">
        <v>3755</v>
      </c>
      <c r="AA1399" s="14"/>
      <c r="AB1399" s="14"/>
    </row>
    <row r="1400" spans="1:30">
      <c r="A1400" s="45" t="s">
        <v>293</v>
      </c>
      <c r="B1400" s="45" t="s">
        <v>294</v>
      </c>
      <c r="C1400" s="45" t="s">
        <v>490</v>
      </c>
      <c r="D1400" s="45" t="s">
        <v>496</v>
      </c>
      <c r="E1400" s="45" t="s">
        <v>492</v>
      </c>
      <c r="F1400" s="45" t="s">
        <v>493</v>
      </c>
      <c r="G1400" s="14">
        <v>3314</v>
      </c>
      <c r="H1400" s="14">
        <v>3543</v>
      </c>
      <c r="I1400" s="14">
        <v>3915</v>
      </c>
      <c r="J1400" s="14">
        <v>4265</v>
      </c>
      <c r="K1400" s="14">
        <v>4610</v>
      </c>
      <c r="L1400" s="14">
        <v>5328</v>
      </c>
      <c r="M1400" s="14">
        <v>5799</v>
      </c>
      <c r="N1400" s="14">
        <v>6539</v>
      </c>
      <c r="O1400" s="14">
        <v>7167</v>
      </c>
      <c r="P1400" s="14">
        <v>8276</v>
      </c>
      <c r="Q1400" s="14">
        <v>10468</v>
      </c>
      <c r="R1400" s="14">
        <v>11266</v>
      </c>
      <c r="S1400" s="14">
        <v>10532</v>
      </c>
      <c r="T1400" s="14">
        <v>13296</v>
      </c>
      <c r="U1400" s="14">
        <v>14221</v>
      </c>
      <c r="V1400" s="14">
        <v>15299</v>
      </c>
      <c r="W1400" s="14">
        <v>17762</v>
      </c>
      <c r="X1400" s="14">
        <v>19326</v>
      </c>
      <c r="Y1400" s="14">
        <v>20440</v>
      </c>
      <c r="Z1400" s="14">
        <v>20342</v>
      </c>
      <c r="AA1400" s="14"/>
      <c r="AB1400" s="14"/>
    </row>
    <row r="1401" spans="1:30">
      <c r="A1401" s="45" t="s">
        <v>293</v>
      </c>
      <c r="B1401" s="45" t="s">
        <v>294</v>
      </c>
      <c r="C1401" s="45" t="s">
        <v>490</v>
      </c>
      <c r="D1401" s="45" t="s">
        <v>497</v>
      </c>
      <c r="E1401" s="45" t="s">
        <v>492</v>
      </c>
      <c r="F1401" s="45" t="s">
        <v>493</v>
      </c>
      <c r="G1401" s="14">
        <v>9493</v>
      </c>
      <c r="H1401" s="14">
        <v>9809</v>
      </c>
      <c r="I1401" s="14">
        <v>10957</v>
      </c>
      <c r="J1401" s="14">
        <v>12604</v>
      </c>
      <c r="K1401" s="14">
        <v>14160</v>
      </c>
      <c r="L1401" s="14">
        <v>16915</v>
      </c>
      <c r="M1401" s="14">
        <v>19513</v>
      </c>
      <c r="N1401" s="14">
        <v>21204</v>
      </c>
      <c r="O1401" s="14">
        <v>23091</v>
      </c>
      <c r="P1401" s="14">
        <v>25256</v>
      </c>
      <c r="Q1401" s="14">
        <v>27022</v>
      </c>
      <c r="R1401" s="14">
        <v>31002</v>
      </c>
      <c r="S1401" s="14">
        <v>33039</v>
      </c>
      <c r="T1401" s="14">
        <v>35668</v>
      </c>
      <c r="U1401" s="14">
        <v>37570</v>
      </c>
      <c r="V1401" s="14">
        <v>39360</v>
      </c>
      <c r="W1401" s="14">
        <v>40258</v>
      </c>
      <c r="X1401" s="14">
        <v>42916</v>
      </c>
      <c r="Y1401" s="14">
        <v>46533</v>
      </c>
      <c r="Z1401" s="14">
        <v>47204</v>
      </c>
      <c r="AA1401" s="14"/>
      <c r="AB1401" s="14"/>
    </row>
    <row r="1402" spans="1:30">
      <c r="A1402" s="45" t="s">
        <v>293</v>
      </c>
      <c r="B1402" s="45" t="s">
        <v>294</v>
      </c>
      <c r="C1402" s="45" t="s">
        <v>498</v>
      </c>
      <c r="D1402" s="45" t="s">
        <v>491</v>
      </c>
      <c r="E1402" s="45" t="s">
        <v>499</v>
      </c>
      <c r="F1402" s="45" t="s">
        <v>500</v>
      </c>
      <c r="G1402" s="14">
        <v>31569.1</v>
      </c>
      <c r="H1402" s="14">
        <v>30525.200000000001</v>
      </c>
      <c r="I1402" s="14">
        <v>30660.799999999999</v>
      </c>
      <c r="J1402" s="14">
        <v>32085.1</v>
      </c>
      <c r="K1402" s="14">
        <v>33920</v>
      </c>
      <c r="L1402" s="14">
        <v>36888.1</v>
      </c>
      <c r="M1402" s="14">
        <v>38030.800000000003</v>
      </c>
      <c r="N1402" s="14">
        <v>40871.300000000003</v>
      </c>
      <c r="O1402" s="14">
        <v>39869</v>
      </c>
      <c r="P1402" s="14">
        <v>40339.300000000003</v>
      </c>
      <c r="Q1402" s="14">
        <v>42996</v>
      </c>
      <c r="R1402" s="14">
        <v>46729</v>
      </c>
      <c r="S1402" s="14">
        <v>43213.3</v>
      </c>
      <c r="T1402" s="14">
        <v>45199.9</v>
      </c>
      <c r="U1402" s="14">
        <v>42159.9</v>
      </c>
      <c r="V1402" s="14">
        <v>42969.5</v>
      </c>
      <c r="W1402" s="14">
        <v>44605.5</v>
      </c>
      <c r="X1402" s="14">
        <v>45714.8</v>
      </c>
      <c r="Y1402" s="14">
        <v>44949</v>
      </c>
      <c r="Z1402" s="14">
        <v>41393.699999999997</v>
      </c>
      <c r="AA1402" s="14"/>
      <c r="AB1402" s="14"/>
      <c r="AC1402" s="15">
        <f>IFERROR(Z1402/G1402-1,"")</f>
        <v>0.31120937879128641</v>
      </c>
      <c r="AD1402" s="15">
        <f>IFERROR((Z1402/G1402)^(1/19)-1,"")</f>
        <v>1.4362687420385045E-2</v>
      </c>
    </row>
    <row r="1403" spans="1:30">
      <c r="A1403" s="45" t="s">
        <v>293</v>
      </c>
      <c r="B1403" s="45" t="s">
        <v>294</v>
      </c>
      <c r="C1403" s="45" t="s">
        <v>498</v>
      </c>
      <c r="D1403" s="45" t="s">
        <v>495</v>
      </c>
      <c r="E1403" s="45" t="s">
        <v>499</v>
      </c>
      <c r="F1403" s="45" t="s">
        <v>500</v>
      </c>
      <c r="G1403" s="14">
        <v>2019.7</v>
      </c>
      <c r="H1403" s="14">
        <v>1145.3</v>
      </c>
      <c r="I1403" s="14">
        <v>1139.2</v>
      </c>
      <c r="J1403" s="14">
        <v>1258</v>
      </c>
      <c r="K1403" s="14">
        <v>1340.6</v>
      </c>
      <c r="L1403" s="14">
        <v>1254.9000000000001</v>
      </c>
      <c r="M1403" s="14">
        <v>1257.8</v>
      </c>
      <c r="N1403" s="14">
        <v>2270.4</v>
      </c>
      <c r="O1403" s="14">
        <v>1162</v>
      </c>
      <c r="P1403" s="14">
        <v>1172.5</v>
      </c>
      <c r="Q1403" s="14">
        <v>1489</v>
      </c>
      <c r="R1403" s="14">
        <v>2449.5</v>
      </c>
      <c r="S1403" s="14">
        <v>1671.6</v>
      </c>
      <c r="T1403" s="14">
        <v>1770.7</v>
      </c>
      <c r="U1403" s="14">
        <v>1580.9</v>
      </c>
      <c r="V1403" s="14">
        <v>1439.2</v>
      </c>
      <c r="W1403" s="14">
        <v>1933.7</v>
      </c>
      <c r="X1403" s="14">
        <v>1640.7</v>
      </c>
      <c r="Y1403" s="14">
        <v>1699.8</v>
      </c>
      <c r="Z1403" s="14">
        <v>1752.9</v>
      </c>
      <c r="AA1403" s="14"/>
      <c r="AB1403" s="14"/>
      <c r="AC1403" s="15">
        <f>IFERROR(Z1403/G1403-1,"")</f>
        <v>-0.13209882655839977</v>
      </c>
      <c r="AD1403" s="15">
        <f>IFERROR((Z1403/G1403)^(1/19)-1,"")</f>
        <v>-7.428974382879705E-3</v>
      </c>
    </row>
    <row r="1404" spans="1:30">
      <c r="A1404" s="45" t="s">
        <v>293</v>
      </c>
      <c r="B1404" s="45" t="s">
        <v>294</v>
      </c>
      <c r="C1404" s="45" t="s">
        <v>498</v>
      </c>
      <c r="D1404" s="45" t="s">
        <v>496</v>
      </c>
      <c r="E1404" s="45" t="s">
        <v>499</v>
      </c>
      <c r="F1404" s="45" t="s">
        <v>500</v>
      </c>
      <c r="G1404" s="14">
        <v>6295.1</v>
      </c>
      <c r="H1404" s="14">
        <v>5899.7</v>
      </c>
      <c r="I1404" s="14">
        <v>6050.5</v>
      </c>
      <c r="J1404" s="14">
        <v>6135.2</v>
      </c>
      <c r="K1404" s="14">
        <v>6210.4</v>
      </c>
      <c r="L1404" s="14">
        <v>6744</v>
      </c>
      <c r="M1404" s="14">
        <v>6747.8</v>
      </c>
      <c r="N1404" s="14">
        <v>7089.8</v>
      </c>
      <c r="O1404" s="14">
        <v>7167</v>
      </c>
      <c r="P1404" s="14">
        <v>7640.4</v>
      </c>
      <c r="Q1404" s="14">
        <v>8952.9</v>
      </c>
      <c r="R1404" s="14">
        <v>8962.7999999999993</v>
      </c>
      <c r="S1404" s="14">
        <v>7769.2</v>
      </c>
      <c r="T1404" s="14">
        <v>9118.2999999999993</v>
      </c>
      <c r="U1404" s="14">
        <v>9021.6</v>
      </c>
      <c r="V1404" s="14">
        <v>9361.7000000000007</v>
      </c>
      <c r="W1404" s="14">
        <v>10401.5</v>
      </c>
      <c r="X1404" s="14">
        <v>10858.7</v>
      </c>
      <c r="Y1404" s="14">
        <v>10786.5</v>
      </c>
      <c r="Z1404" s="14">
        <v>9495.7999999999993</v>
      </c>
      <c r="AA1404" s="14"/>
      <c r="AB1404" s="14"/>
      <c r="AC1404" s="15">
        <f>IFERROR(Z1404/G1404-1,"")</f>
        <v>0.50844307477244177</v>
      </c>
      <c r="AD1404" s="15">
        <f>IFERROR((Z1404/G1404)^(1/19)-1,"")</f>
        <v>2.1871435040719867E-2</v>
      </c>
    </row>
    <row r="1405" spans="1:30">
      <c r="A1405" s="45" t="s">
        <v>293</v>
      </c>
      <c r="B1405" s="45" t="s">
        <v>294</v>
      </c>
      <c r="C1405" s="45" t="s">
        <v>498</v>
      </c>
      <c r="D1405" s="45" t="s">
        <v>497</v>
      </c>
      <c r="E1405" s="45" t="s">
        <v>499</v>
      </c>
      <c r="F1405" s="45" t="s">
        <v>500</v>
      </c>
      <c r="G1405" s="14">
        <v>18035</v>
      </c>
      <c r="H1405" s="14">
        <v>16333.9</v>
      </c>
      <c r="I1405" s="14">
        <v>16931.3</v>
      </c>
      <c r="J1405" s="14">
        <v>18130.5</v>
      </c>
      <c r="K1405" s="14">
        <v>19075.7</v>
      </c>
      <c r="L1405" s="14">
        <v>21409.3</v>
      </c>
      <c r="M1405" s="14">
        <v>22703.5</v>
      </c>
      <c r="N1405" s="14">
        <v>22990.1</v>
      </c>
      <c r="O1405" s="14">
        <v>23091</v>
      </c>
      <c r="P1405" s="14">
        <v>23316.400000000001</v>
      </c>
      <c r="Q1405" s="14">
        <v>23111</v>
      </c>
      <c r="R1405" s="14">
        <v>24664.1</v>
      </c>
      <c r="S1405" s="14">
        <v>24372.2</v>
      </c>
      <c r="T1405" s="14">
        <v>24460.799999999999</v>
      </c>
      <c r="U1405" s="14">
        <v>23833.8</v>
      </c>
      <c r="V1405" s="14">
        <v>24085.1</v>
      </c>
      <c r="W1405" s="14">
        <v>23575.200000000001</v>
      </c>
      <c r="X1405" s="14">
        <v>24113.200000000001</v>
      </c>
      <c r="Y1405" s="14">
        <v>24556.1</v>
      </c>
      <c r="Z1405" s="14">
        <v>22036.1</v>
      </c>
      <c r="AA1405" s="14"/>
      <c r="AB1405" s="14"/>
      <c r="AC1405" s="15">
        <f>IFERROR(Z1405/G1405-1,"")</f>
        <v>0.22185195453285278</v>
      </c>
      <c r="AD1405" s="15">
        <f>IFERROR((Z1405/G1405)^(1/19)-1,"")</f>
        <v>1.0601470138739577E-2</v>
      </c>
    </row>
    <row r="1406" spans="1:30">
      <c r="A1406" s="45" t="s">
        <v>293</v>
      </c>
      <c r="B1406" s="45" t="s">
        <v>294</v>
      </c>
      <c r="C1406" s="45" t="s">
        <v>498</v>
      </c>
      <c r="D1406" s="45" t="s">
        <v>501</v>
      </c>
      <c r="E1406" s="45" t="s">
        <v>499</v>
      </c>
      <c r="F1406" s="45" t="s">
        <v>500</v>
      </c>
      <c r="G1406" s="14">
        <v>4253</v>
      </c>
      <c r="H1406" s="14">
        <v>6317.1</v>
      </c>
      <c r="I1406" s="14">
        <v>5629.5</v>
      </c>
      <c r="J1406" s="14">
        <v>5500</v>
      </c>
      <c r="K1406" s="14">
        <v>5541.7</v>
      </c>
      <c r="L1406" s="14">
        <v>4980.8</v>
      </c>
      <c r="M1406" s="14">
        <v>5122.8999999999996</v>
      </c>
      <c r="N1406" s="14">
        <v>6234.3</v>
      </c>
      <c r="O1406" s="14">
        <v>5642</v>
      </c>
      <c r="P1406" s="14">
        <v>5461.7</v>
      </c>
      <c r="Q1406" s="14">
        <v>5583.2</v>
      </c>
      <c r="R1406" s="14">
        <v>6517.3</v>
      </c>
      <c r="S1406" s="14">
        <v>5840.2</v>
      </c>
      <c r="T1406" s="14">
        <v>5906</v>
      </c>
      <c r="U1406" s="14">
        <v>6157.3</v>
      </c>
      <c r="V1406" s="14">
        <v>6790.5</v>
      </c>
      <c r="W1406" s="14">
        <v>7154.3</v>
      </c>
      <c r="X1406" s="14">
        <v>7418.4</v>
      </c>
      <c r="Y1406" s="14">
        <v>6402.7</v>
      </c>
      <c r="Z1406" s="14">
        <v>6164.7</v>
      </c>
      <c r="AA1406" s="14"/>
      <c r="AB1406" s="14"/>
      <c r="AC1406" s="15">
        <f>IFERROR(Z1406/G1406-1,"")</f>
        <v>0.44949447448859625</v>
      </c>
      <c r="AD1406" s="15">
        <f>IFERROR((Z1406/G1406)^(1/19)-1,"")</f>
        <v>1.9729732523381394E-2</v>
      </c>
    </row>
    <row r="1407" spans="1:30">
      <c r="A1407" s="45" t="s">
        <v>271</v>
      </c>
      <c r="B1407" s="45" t="s">
        <v>272</v>
      </c>
      <c r="C1407" s="45" t="s">
        <v>490</v>
      </c>
      <c r="D1407" s="45" t="s">
        <v>491</v>
      </c>
      <c r="E1407" s="45" t="s">
        <v>492</v>
      </c>
      <c r="F1407" s="45" t="s">
        <v>493</v>
      </c>
      <c r="G1407" s="14">
        <v>19188</v>
      </c>
      <c r="H1407" s="14">
        <v>20566</v>
      </c>
      <c r="I1407" s="14">
        <v>23133</v>
      </c>
      <c r="J1407" s="14">
        <v>25762</v>
      </c>
      <c r="K1407" s="14">
        <v>28858</v>
      </c>
      <c r="L1407" s="14">
        <v>34497</v>
      </c>
      <c r="M1407" s="14">
        <v>38629</v>
      </c>
      <c r="N1407" s="14">
        <v>41047</v>
      </c>
      <c r="O1407" s="14">
        <v>43973</v>
      </c>
      <c r="P1407" s="14">
        <v>51411</v>
      </c>
      <c r="Q1407" s="14">
        <v>58356</v>
      </c>
      <c r="R1407" s="14">
        <v>69262</v>
      </c>
      <c r="S1407" s="14">
        <v>71929</v>
      </c>
      <c r="T1407" s="14">
        <v>80223</v>
      </c>
      <c r="U1407" s="14">
        <v>85948</v>
      </c>
      <c r="V1407" s="14">
        <v>90449</v>
      </c>
      <c r="W1407" s="14">
        <v>97320</v>
      </c>
      <c r="X1407" s="14">
        <v>100881</v>
      </c>
      <c r="Y1407" s="14">
        <v>105842</v>
      </c>
      <c r="Z1407" s="14">
        <v>111773</v>
      </c>
      <c r="AA1407" s="14">
        <v>120594</v>
      </c>
      <c r="AB1407" s="14">
        <v>184856</v>
      </c>
    </row>
    <row r="1408" spans="1:30">
      <c r="A1408" s="45" t="s">
        <v>271</v>
      </c>
      <c r="B1408" s="45" t="s">
        <v>272</v>
      </c>
      <c r="C1408" s="45" t="s">
        <v>490</v>
      </c>
      <c r="D1408" s="45" t="s">
        <v>494</v>
      </c>
      <c r="E1408" s="45" t="s">
        <v>492</v>
      </c>
      <c r="F1408" s="45" t="s">
        <v>493</v>
      </c>
      <c r="G1408" s="14">
        <v>18663</v>
      </c>
      <c r="H1408" s="14">
        <v>20093</v>
      </c>
      <c r="I1408" s="14">
        <v>22539</v>
      </c>
      <c r="J1408" s="14">
        <v>24999</v>
      </c>
      <c r="K1408" s="14">
        <v>27542</v>
      </c>
      <c r="L1408" s="14">
        <v>32807</v>
      </c>
      <c r="M1408" s="14">
        <v>36817</v>
      </c>
      <c r="N1408" s="14">
        <v>39562</v>
      </c>
      <c r="O1408" s="14">
        <v>41846</v>
      </c>
      <c r="P1408" s="14">
        <v>48857</v>
      </c>
      <c r="Q1408" s="14">
        <v>55493</v>
      </c>
      <c r="R1408" s="14">
        <v>65955</v>
      </c>
      <c r="S1408" s="14">
        <v>69007</v>
      </c>
      <c r="T1408" s="14">
        <v>76165</v>
      </c>
      <c r="U1408" s="14">
        <v>81912</v>
      </c>
      <c r="V1408" s="14">
        <v>86662</v>
      </c>
      <c r="W1408" s="14">
        <v>93458</v>
      </c>
      <c r="X1408" s="14">
        <v>96777</v>
      </c>
      <c r="Y1408" s="14">
        <v>100843</v>
      </c>
      <c r="Z1408" s="14">
        <v>105359</v>
      </c>
      <c r="AA1408" s="14"/>
      <c r="AB1408" s="14"/>
    </row>
    <row r="1409" spans="1:30">
      <c r="A1409" s="45" t="s">
        <v>271</v>
      </c>
      <c r="B1409" s="45" t="s">
        <v>272</v>
      </c>
      <c r="C1409" s="45" t="s">
        <v>490</v>
      </c>
      <c r="D1409" s="45" t="s">
        <v>495</v>
      </c>
      <c r="E1409" s="45" t="s">
        <v>492</v>
      </c>
      <c r="F1409" s="45" t="s">
        <v>493</v>
      </c>
      <c r="G1409" s="14">
        <v>909</v>
      </c>
      <c r="H1409" s="14">
        <v>619</v>
      </c>
      <c r="I1409" s="14">
        <v>955</v>
      </c>
      <c r="J1409" s="14">
        <v>1038</v>
      </c>
      <c r="K1409" s="14">
        <v>1100</v>
      </c>
      <c r="L1409" s="14">
        <v>1238</v>
      </c>
      <c r="M1409" s="14">
        <v>1357</v>
      </c>
      <c r="N1409" s="14">
        <v>1387</v>
      </c>
      <c r="O1409" s="14">
        <v>1321</v>
      </c>
      <c r="P1409" s="14">
        <v>1503</v>
      </c>
      <c r="Q1409" s="14">
        <v>2124</v>
      </c>
      <c r="R1409" s="14">
        <v>2815</v>
      </c>
      <c r="S1409" s="14">
        <v>2732</v>
      </c>
      <c r="T1409" s="14">
        <v>2991</v>
      </c>
      <c r="U1409" s="14">
        <v>3564</v>
      </c>
      <c r="V1409" s="14">
        <v>3305</v>
      </c>
      <c r="W1409" s="14">
        <v>3398</v>
      </c>
      <c r="X1409" s="14">
        <v>3873</v>
      </c>
      <c r="Y1409" s="14">
        <v>3954</v>
      </c>
      <c r="Z1409" s="14">
        <v>4759</v>
      </c>
      <c r="AA1409" s="14"/>
      <c r="AB1409" s="14"/>
    </row>
    <row r="1410" spans="1:30">
      <c r="A1410" s="45" t="s">
        <v>271</v>
      </c>
      <c r="B1410" s="45" t="s">
        <v>272</v>
      </c>
      <c r="C1410" s="45" t="s">
        <v>490</v>
      </c>
      <c r="D1410" s="45" t="s">
        <v>496</v>
      </c>
      <c r="E1410" s="45" t="s">
        <v>492</v>
      </c>
      <c r="F1410" s="45" t="s">
        <v>493</v>
      </c>
      <c r="G1410" s="14">
        <v>3416</v>
      </c>
      <c r="H1410" s="14">
        <v>3691</v>
      </c>
      <c r="I1410" s="14">
        <v>4153</v>
      </c>
      <c r="J1410" s="14">
        <v>4409</v>
      </c>
      <c r="K1410" s="14">
        <v>5073</v>
      </c>
      <c r="L1410" s="14">
        <v>5727</v>
      </c>
      <c r="M1410" s="14">
        <v>5858</v>
      </c>
      <c r="N1410" s="14">
        <v>6395</v>
      </c>
      <c r="O1410" s="14">
        <v>7324</v>
      </c>
      <c r="P1410" s="14">
        <v>9185</v>
      </c>
      <c r="Q1410" s="14">
        <v>12684</v>
      </c>
      <c r="R1410" s="14">
        <v>15055</v>
      </c>
      <c r="S1410" s="14">
        <v>15163</v>
      </c>
      <c r="T1410" s="14">
        <v>19788</v>
      </c>
      <c r="U1410" s="14">
        <v>22396</v>
      </c>
      <c r="V1410" s="14">
        <v>23566</v>
      </c>
      <c r="W1410" s="14">
        <v>23639</v>
      </c>
      <c r="X1410" s="14">
        <v>24814</v>
      </c>
      <c r="Y1410" s="14">
        <v>26143</v>
      </c>
      <c r="Z1410" s="14">
        <v>27294</v>
      </c>
      <c r="AA1410" s="14"/>
      <c r="AB1410" s="14"/>
    </row>
    <row r="1411" spans="1:30">
      <c r="A1411" s="45" t="s">
        <v>271</v>
      </c>
      <c r="B1411" s="45" t="s">
        <v>272</v>
      </c>
      <c r="C1411" s="45" t="s">
        <v>490</v>
      </c>
      <c r="D1411" s="45" t="s">
        <v>497</v>
      </c>
      <c r="E1411" s="45" t="s">
        <v>492</v>
      </c>
      <c r="F1411" s="45" t="s">
        <v>493</v>
      </c>
      <c r="G1411" s="14">
        <v>12271</v>
      </c>
      <c r="H1411" s="14">
        <v>13608</v>
      </c>
      <c r="I1411" s="14">
        <v>14555</v>
      </c>
      <c r="J1411" s="14">
        <v>16701</v>
      </c>
      <c r="K1411" s="14">
        <v>18242</v>
      </c>
      <c r="L1411" s="14">
        <v>23089</v>
      </c>
      <c r="M1411" s="14">
        <v>25844</v>
      </c>
      <c r="N1411" s="14">
        <v>28646</v>
      </c>
      <c r="O1411" s="14">
        <v>30488</v>
      </c>
      <c r="P1411" s="14">
        <v>34461</v>
      </c>
      <c r="Q1411" s="14">
        <v>38360</v>
      </c>
      <c r="R1411" s="14">
        <v>45342</v>
      </c>
      <c r="S1411" s="14">
        <v>48518</v>
      </c>
      <c r="T1411" s="14">
        <v>50526</v>
      </c>
      <c r="U1411" s="14">
        <v>53030</v>
      </c>
      <c r="V1411" s="14">
        <v>56883</v>
      </c>
      <c r="W1411" s="14">
        <v>63971</v>
      </c>
      <c r="X1411" s="14">
        <v>65129</v>
      </c>
      <c r="Y1411" s="14">
        <v>66118</v>
      </c>
      <c r="Z1411" s="14">
        <v>69995</v>
      </c>
      <c r="AA1411" s="14"/>
      <c r="AB1411" s="14"/>
    </row>
    <row r="1412" spans="1:30">
      <c r="A1412" s="45" t="s">
        <v>271</v>
      </c>
      <c r="B1412" s="45" t="s">
        <v>272</v>
      </c>
      <c r="C1412" s="45" t="s">
        <v>498</v>
      </c>
      <c r="D1412" s="45" t="s">
        <v>491</v>
      </c>
      <c r="E1412" s="45" t="s">
        <v>499</v>
      </c>
      <c r="F1412" s="45" t="s">
        <v>500</v>
      </c>
      <c r="G1412" s="14">
        <v>36451.5</v>
      </c>
      <c r="H1412" s="14">
        <v>34244.6</v>
      </c>
      <c r="I1412" s="14">
        <v>35748.6</v>
      </c>
      <c r="J1412" s="14">
        <v>37056.199999999997</v>
      </c>
      <c r="K1412" s="14">
        <v>38876</v>
      </c>
      <c r="L1412" s="14">
        <v>43661.5</v>
      </c>
      <c r="M1412" s="14">
        <v>44945.9</v>
      </c>
      <c r="N1412" s="14">
        <v>44504.5</v>
      </c>
      <c r="O1412" s="14">
        <v>43973</v>
      </c>
      <c r="P1412" s="14">
        <v>47462.8</v>
      </c>
      <c r="Q1412" s="14">
        <v>49910</v>
      </c>
      <c r="R1412" s="14">
        <v>55102.400000000001</v>
      </c>
      <c r="S1412" s="14">
        <v>53060.6</v>
      </c>
      <c r="T1412" s="14">
        <v>55016.3</v>
      </c>
      <c r="U1412" s="14">
        <v>54524</v>
      </c>
      <c r="V1412" s="14">
        <v>55347.4</v>
      </c>
      <c r="W1412" s="14">
        <v>56991</v>
      </c>
      <c r="X1412" s="14">
        <v>56681.9</v>
      </c>
      <c r="Y1412" s="14">
        <v>55854.2</v>
      </c>
      <c r="Z1412" s="14">
        <v>52176.5</v>
      </c>
      <c r="AA1412" s="14"/>
      <c r="AB1412" s="14"/>
      <c r="AC1412" s="15">
        <f>IFERROR(Z1412/G1412-1,"")</f>
        <v>0.43139514148937619</v>
      </c>
      <c r="AD1412" s="15">
        <f>IFERROR((Z1412/G1412)^(1/19)-1,"")</f>
        <v>1.9055577856504247E-2</v>
      </c>
    </row>
    <row r="1413" spans="1:30">
      <c r="A1413" s="45" t="s">
        <v>271</v>
      </c>
      <c r="B1413" s="45" t="s">
        <v>272</v>
      </c>
      <c r="C1413" s="45" t="s">
        <v>498</v>
      </c>
      <c r="D1413" s="45" t="s">
        <v>495</v>
      </c>
      <c r="E1413" s="45" t="s">
        <v>499</v>
      </c>
      <c r="F1413" s="45" t="s">
        <v>500</v>
      </c>
      <c r="G1413" s="14">
        <v>1727</v>
      </c>
      <c r="H1413" s="14">
        <v>1030.3</v>
      </c>
      <c r="I1413" s="14">
        <v>1475.3</v>
      </c>
      <c r="J1413" s="14">
        <v>1492.9</v>
      </c>
      <c r="K1413" s="14">
        <v>1481.3</v>
      </c>
      <c r="L1413" s="14">
        <v>1567</v>
      </c>
      <c r="M1413" s="14">
        <v>1578.5</v>
      </c>
      <c r="N1413" s="14">
        <v>1503.8</v>
      </c>
      <c r="O1413" s="14">
        <v>1321</v>
      </c>
      <c r="P1413" s="14">
        <v>1387.6</v>
      </c>
      <c r="Q1413" s="14">
        <v>1816.6</v>
      </c>
      <c r="R1413" s="14">
        <v>2239.5</v>
      </c>
      <c r="S1413" s="14">
        <v>2015.3</v>
      </c>
      <c r="T1413" s="14">
        <v>2051.1999999999998</v>
      </c>
      <c r="U1413" s="14">
        <v>2260.9</v>
      </c>
      <c r="V1413" s="14">
        <v>2022.4</v>
      </c>
      <c r="W1413" s="14">
        <v>1989.9</v>
      </c>
      <c r="X1413" s="14">
        <v>2176.1</v>
      </c>
      <c r="Y1413" s="14">
        <v>2086.6</v>
      </c>
      <c r="Z1413" s="14">
        <v>2221.5</v>
      </c>
      <c r="AA1413" s="14"/>
      <c r="AB1413" s="14"/>
      <c r="AC1413" s="15">
        <f>IFERROR(Z1413/G1413-1,"")</f>
        <v>0.28633468442385634</v>
      </c>
      <c r="AD1413" s="15">
        <f>IFERROR((Z1413/G1413)^(1/19)-1,"")</f>
        <v>1.3340668612090045E-2</v>
      </c>
    </row>
    <row r="1414" spans="1:30">
      <c r="A1414" s="45" t="s">
        <v>271</v>
      </c>
      <c r="B1414" s="45" t="s">
        <v>272</v>
      </c>
      <c r="C1414" s="45" t="s">
        <v>498</v>
      </c>
      <c r="D1414" s="45" t="s">
        <v>496</v>
      </c>
      <c r="E1414" s="45" t="s">
        <v>499</v>
      </c>
      <c r="F1414" s="45" t="s">
        <v>500</v>
      </c>
      <c r="G1414" s="14">
        <v>6489.2</v>
      </c>
      <c r="H1414" s="14">
        <v>6145.8</v>
      </c>
      <c r="I1414" s="14">
        <v>6418.1</v>
      </c>
      <c r="J1414" s="14">
        <v>6342.6</v>
      </c>
      <c r="K1414" s="14">
        <v>6834</v>
      </c>
      <c r="L1414" s="14">
        <v>7248.8</v>
      </c>
      <c r="M1414" s="14">
        <v>6815.7</v>
      </c>
      <c r="N1414" s="14">
        <v>6933.7</v>
      </c>
      <c r="O1414" s="14">
        <v>7324</v>
      </c>
      <c r="P1414" s="14">
        <v>8479.6</v>
      </c>
      <c r="Q1414" s="14">
        <v>10848.2</v>
      </c>
      <c r="R1414" s="14">
        <v>11977.2</v>
      </c>
      <c r="S1414" s="14">
        <v>11185.4</v>
      </c>
      <c r="T1414" s="14">
        <v>13570.5</v>
      </c>
      <c r="U1414" s="14">
        <v>14207.7</v>
      </c>
      <c r="V1414" s="14">
        <v>14420.5</v>
      </c>
      <c r="W1414" s="14">
        <v>13843.1</v>
      </c>
      <c r="X1414" s="14">
        <v>13942.2</v>
      </c>
      <c r="Y1414" s="14">
        <v>13796</v>
      </c>
      <c r="Z1414" s="14">
        <v>12741</v>
      </c>
      <c r="AA1414" s="14"/>
      <c r="AB1414" s="14"/>
      <c r="AC1414" s="15">
        <f>IFERROR(Z1414/G1414-1,"")</f>
        <v>0.96341613758244482</v>
      </c>
      <c r="AD1414" s="15">
        <f>IFERROR((Z1414/G1414)^(1/19)-1,"")</f>
        <v>3.6147785063739057E-2</v>
      </c>
    </row>
    <row r="1415" spans="1:30">
      <c r="A1415" s="45" t="s">
        <v>271</v>
      </c>
      <c r="B1415" s="45" t="s">
        <v>272</v>
      </c>
      <c r="C1415" s="45" t="s">
        <v>498</v>
      </c>
      <c r="D1415" s="45" t="s">
        <v>497</v>
      </c>
      <c r="E1415" s="45" t="s">
        <v>499</v>
      </c>
      <c r="F1415" s="45" t="s">
        <v>500</v>
      </c>
      <c r="G1415" s="14">
        <v>23311.9</v>
      </c>
      <c r="H1415" s="14">
        <v>22659.5</v>
      </c>
      <c r="I1415" s="14">
        <v>22491.4</v>
      </c>
      <c r="J1415" s="14">
        <v>24023.7</v>
      </c>
      <c r="K1415" s="14">
        <v>24575.200000000001</v>
      </c>
      <c r="L1415" s="14">
        <v>29223.5</v>
      </c>
      <c r="M1415" s="14">
        <v>30070.1</v>
      </c>
      <c r="N1415" s="14">
        <v>31058.9</v>
      </c>
      <c r="O1415" s="14">
        <v>30488</v>
      </c>
      <c r="P1415" s="14">
        <v>31814.5</v>
      </c>
      <c r="Q1415" s="14">
        <v>32808.1</v>
      </c>
      <c r="R1415" s="14">
        <v>36072.5</v>
      </c>
      <c r="S1415" s="14">
        <v>35790.800000000003</v>
      </c>
      <c r="T1415" s="14">
        <v>34650.300000000003</v>
      </c>
      <c r="U1415" s="14">
        <v>33641.4</v>
      </c>
      <c r="V1415" s="14">
        <v>34807.699999999997</v>
      </c>
      <c r="W1415" s="14">
        <v>37461.699999999997</v>
      </c>
      <c r="X1415" s="14">
        <v>36594</v>
      </c>
      <c r="Y1415" s="14">
        <v>34891.300000000003</v>
      </c>
      <c r="Z1415" s="14">
        <v>32675.1</v>
      </c>
      <c r="AA1415" s="14"/>
      <c r="AB1415" s="14"/>
      <c r="AC1415" s="15">
        <f>IFERROR(Z1415/G1415-1,"")</f>
        <v>0.40164894324357925</v>
      </c>
      <c r="AD1415" s="15">
        <f>IFERROR((Z1415/G1415)^(1/19)-1,"")</f>
        <v>1.7929863057602358E-2</v>
      </c>
    </row>
    <row r="1416" spans="1:30">
      <c r="A1416" s="45" t="s">
        <v>271</v>
      </c>
      <c r="B1416" s="45" t="s">
        <v>272</v>
      </c>
      <c r="C1416" s="45" t="s">
        <v>498</v>
      </c>
      <c r="D1416" s="45" t="s">
        <v>501</v>
      </c>
      <c r="E1416" s="45" t="s">
        <v>499</v>
      </c>
      <c r="F1416" s="45" t="s">
        <v>500</v>
      </c>
      <c r="G1416" s="14">
        <v>3927.2</v>
      </c>
      <c r="H1416" s="14">
        <v>3621</v>
      </c>
      <c r="I1416" s="14">
        <v>4445</v>
      </c>
      <c r="J1416" s="14">
        <v>4100.2</v>
      </c>
      <c r="K1416" s="14">
        <v>4213.6000000000004</v>
      </c>
      <c r="L1416" s="14">
        <v>3484</v>
      </c>
      <c r="M1416" s="14">
        <v>4373</v>
      </c>
      <c r="N1416" s="14">
        <v>3399.1</v>
      </c>
      <c r="O1416" s="14">
        <v>2714</v>
      </c>
      <c r="P1416" s="14">
        <v>3423.2</v>
      </c>
      <c r="Q1416" s="14">
        <v>1988.5</v>
      </c>
      <c r="R1416" s="14">
        <v>2183</v>
      </c>
      <c r="S1416" s="14">
        <v>1914.3</v>
      </c>
      <c r="T1416" s="14">
        <v>1961.4</v>
      </c>
      <c r="U1416" s="14">
        <v>1853.7</v>
      </c>
      <c r="V1416" s="14">
        <v>1778.8</v>
      </c>
      <c r="W1416" s="14">
        <v>1435.3</v>
      </c>
      <c r="X1416" s="14">
        <v>1663.7</v>
      </c>
      <c r="Y1416" s="14">
        <v>2441.6999999999998</v>
      </c>
      <c r="Z1416" s="14">
        <v>1545.6</v>
      </c>
      <c r="AA1416" s="14"/>
      <c r="AB1416" s="14"/>
      <c r="AC1416" s="15">
        <f>IFERROR(Z1416/G1416-1,"")</f>
        <v>-0.60643715624363415</v>
      </c>
      <c r="AD1416" s="15">
        <f>IFERROR((Z1416/G1416)^(1/19)-1,"")</f>
        <v>-4.789476710201912E-2</v>
      </c>
    </row>
    <row r="1417" spans="1:30">
      <c r="A1417" s="45" t="s">
        <v>323</v>
      </c>
      <c r="B1417" s="45" t="s">
        <v>324</v>
      </c>
      <c r="C1417" s="45" t="s">
        <v>490</v>
      </c>
      <c r="D1417" s="45" t="s">
        <v>491</v>
      </c>
      <c r="E1417" s="45" t="s">
        <v>492</v>
      </c>
      <c r="F1417" s="45" t="s">
        <v>493</v>
      </c>
      <c r="G1417" s="14">
        <v>12696</v>
      </c>
      <c r="H1417" s="14">
        <v>13256</v>
      </c>
      <c r="I1417" s="14">
        <v>13627</v>
      </c>
      <c r="J1417" s="14">
        <v>15096</v>
      </c>
      <c r="K1417" s="14">
        <v>17990</v>
      </c>
      <c r="L1417" s="14">
        <v>20739</v>
      </c>
      <c r="M1417" s="14">
        <v>25170</v>
      </c>
      <c r="N1417" s="14">
        <v>26070</v>
      </c>
      <c r="O1417" s="14">
        <v>27494</v>
      </c>
      <c r="P1417" s="14">
        <v>33519</v>
      </c>
      <c r="Q1417" s="14">
        <v>37209</v>
      </c>
      <c r="R1417" s="14">
        <v>42956</v>
      </c>
      <c r="S1417" s="14">
        <v>43300</v>
      </c>
      <c r="T1417" s="14">
        <v>50677</v>
      </c>
      <c r="U1417" s="14">
        <v>59643</v>
      </c>
      <c r="V1417" s="14">
        <v>62950</v>
      </c>
      <c r="W1417" s="14">
        <v>67894</v>
      </c>
      <c r="X1417" s="14">
        <v>69954</v>
      </c>
      <c r="Y1417" s="14">
        <v>71371</v>
      </c>
      <c r="Z1417" s="14">
        <v>76920</v>
      </c>
      <c r="AA1417" s="14">
        <v>90507</v>
      </c>
      <c r="AB1417" s="14">
        <v>100458</v>
      </c>
    </row>
    <row r="1418" spans="1:30">
      <c r="A1418" s="45" t="s">
        <v>323</v>
      </c>
      <c r="B1418" s="45" t="s">
        <v>324</v>
      </c>
      <c r="C1418" s="45" t="s">
        <v>490</v>
      </c>
      <c r="D1418" s="45" t="s">
        <v>494</v>
      </c>
      <c r="E1418" s="45" t="s">
        <v>492</v>
      </c>
      <c r="F1418" s="45" t="s">
        <v>493</v>
      </c>
      <c r="G1418" s="14">
        <v>11922</v>
      </c>
      <c r="H1418" s="14">
        <v>12622</v>
      </c>
      <c r="I1418" s="14">
        <v>13133</v>
      </c>
      <c r="J1418" s="14">
        <v>14446</v>
      </c>
      <c r="K1418" s="14">
        <v>16989</v>
      </c>
      <c r="L1418" s="14">
        <v>19423</v>
      </c>
      <c r="M1418" s="14">
        <v>23805</v>
      </c>
      <c r="N1418" s="14">
        <v>24792</v>
      </c>
      <c r="O1418" s="14">
        <v>25778</v>
      </c>
      <c r="P1418" s="14">
        <v>31295</v>
      </c>
      <c r="Q1418" s="14">
        <v>34483</v>
      </c>
      <c r="R1418" s="14">
        <v>39386</v>
      </c>
      <c r="S1418" s="14">
        <v>39626</v>
      </c>
      <c r="T1418" s="14">
        <v>46647</v>
      </c>
      <c r="U1418" s="14">
        <v>55942</v>
      </c>
      <c r="V1418" s="14">
        <v>59768</v>
      </c>
      <c r="W1418" s="14">
        <v>63899</v>
      </c>
      <c r="X1418" s="14">
        <v>66178</v>
      </c>
      <c r="Y1418" s="14">
        <v>67864</v>
      </c>
      <c r="Z1418" s="14">
        <v>72063</v>
      </c>
      <c r="AA1418" s="14"/>
      <c r="AB1418" s="14"/>
    </row>
    <row r="1419" spans="1:30">
      <c r="A1419" s="45" t="s">
        <v>323</v>
      </c>
      <c r="B1419" s="45" t="s">
        <v>324</v>
      </c>
      <c r="C1419" s="45" t="s">
        <v>490</v>
      </c>
      <c r="D1419" s="45" t="s">
        <v>495</v>
      </c>
      <c r="E1419" s="45" t="s">
        <v>492</v>
      </c>
      <c r="F1419" s="45" t="s">
        <v>493</v>
      </c>
      <c r="G1419" s="14">
        <v>1155</v>
      </c>
      <c r="H1419" s="14">
        <v>988</v>
      </c>
      <c r="I1419" s="14">
        <v>544</v>
      </c>
      <c r="J1419" s="14">
        <v>734</v>
      </c>
      <c r="K1419" s="14">
        <v>848</v>
      </c>
      <c r="L1419" s="14">
        <v>1615</v>
      </c>
      <c r="M1419" s="14">
        <v>3512</v>
      </c>
      <c r="N1419" s="14">
        <v>1267</v>
      </c>
      <c r="O1419" s="14">
        <v>1642</v>
      </c>
      <c r="P1419" s="14">
        <v>2198</v>
      </c>
      <c r="Q1419" s="14">
        <v>3233</v>
      </c>
      <c r="R1419" s="14">
        <v>3271</v>
      </c>
      <c r="S1419" s="14">
        <v>2652</v>
      </c>
      <c r="T1419" s="14">
        <v>4920</v>
      </c>
      <c r="U1419" s="14">
        <v>9238</v>
      </c>
      <c r="V1419" s="14">
        <v>10496</v>
      </c>
      <c r="W1419" s="14">
        <v>9279</v>
      </c>
      <c r="X1419" s="14">
        <v>6689</v>
      </c>
      <c r="Y1419" s="14">
        <v>4982</v>
      </c>
      <c r="Z1419" s="14">
        <v>5155</v>
      </c>
      <c r="AA1419" s="14"/>
      <c r="AB1419" s="14"/>
    </row>
    <row r="1420" spans="1:30">
      <c r="A1420" s="45" t="s">
        <v>323</v>
      </c>
      <c r="B1420" s="45" t="s">
        <v>324</v>
      </c>
      <c r="C1420" s="45" t="s">
        <v>490</v>
      </c>
      <c r="D1420" s="45" t="s">
        <v>496</v>
      </c>
      <c r="E1420" s="45" t="s">
        <v>492</v>
      </c>
      <c r="F1420" s="45" t="s">
        <v>493</v>
      </c>
      <c r="G1420" s="14">
        <v>2392</v>
      </c>
      <c r="H1420" s="14">
        <v>2613</v>
      </c>
      <c r="I1420" s="14">
        <v>2735</v>
      </c>
      <c r="J1420" s="14">
        <v>2690</v>
      </c>
      <c r="K1420" s="14">
        <v>3226</v>
      </c>
      <c r="L1420" s="14">
        <v>3899</v>
      </c>
      <c r="M1420" s="14">
        <v>4057</v>
      </c>
      <c r="N1420" s="14">
        <v>4679</v>
      </c>
      <c r="O1420" s="14">
        <v>4865</v>
      </c>
      <c r="P1420" s="14">
        <v>6211</v>
      </c>
      <c r="Q1420" s="14">
        <v>7505</v>
      </c>
      <c r="R1420" s="14">
        <v>8289</v>
      </c>
      <c r="S1420" s="14">
        <v>8323</v>
      </c>
      <c r="T1420" s="14">
        <v>10956</v>
      </c>
      <c r="U1420" s="14">
        <v>13284</v>
      </c>
      <c r="V1420" s="14">
        <v>12918</v>
      </c>
      <c r="W1420" s="14">
        <v>15308</v>
      </c>
      <c r="X1420" s="14">
        <v>16437</v>
      </c>
      <c r="Y1420" s="14">
        <v>17372</v>
      </c>
      <c r="Z1420" s="14">
        <v>18729</v>
      </c>
      <c r="AA1420" s="14"/>
      <c r="AB1420" s="14"/>
    </row>
    <row r="1421" spans="1:30">
      <c r="A1421" s="45" t="s">
        <v>323</v>
      </c>
      <c r="B1421" s="45" t="s">
        <v>324</v>
      </c>
      <c r="C1421" s="45" t="s">
        <v>490</v>
      </c>
      <c r="D1421" s="45" t="s">
        <v>497</v>
      </c>
      <c r="E1421" s="45" t="s">
        <v>492</v>
      </c>
      <c r="F1421" s="45" t="s">
        <v>493</v>
      </c>
      <c r="G1421" s="14">
        <v>6528</v>
      </c>
      <c r="H1421" s="14">
        <v>7276</v>
      </c>
      <c r="I1421" s="14">
        <v>7940</v>
      </c>
      <c r="J1421" s="14">
        <v>9195</v>
      </c>
      <c r="K1421" s="14">
        <v>10395</v>
      </c>
      <c r="L1421" s="14">
        <v>12316</v>
      </c>
      <c r="M1421" s="14">
        <v>13535</v>
      </c>
      <c r="N1421" s="14">
        <v>16524</v>
      </c>
      <c r="O1421" s="14">
        <v>17086</v>
      </c>
      <c r="P1421" s="14">
        <v>20019</v>
      </c>
      <c r="Q1421" s="14">
        <v>21320</v>
      </c>
      <c r="R1421" s="14">
        <v>24507</v>
      </c>
      <c r="S1421" s="14">
        <v>25024</v>
      </c>
      <c r="T1421" s="14">
        <v>27163</v>
      </c>
      <c r="U1421" s="14">
        <v>29834</v>
      </c>
      <c r="V1421" s="14">
        <v>32533</v>
      </c>
      <c r="W1421" s="14">
        <v>34797</v>
      </c>
      <c r="X1421" s="14">
        <v>38189</v>
      </c>
      <c r="Y1421" s="14">
        <v>39494</v>
      </c>
      <c r="Z1421" s="14">
        <v>41504</v>
      </c>
      <c r="AA1421" s="14"/>
      <c r="AB1421" s="14"/>
    </row>
    <row r="1422" spans="1:30">
      <c r="A1422" s="45" t="s">
        <v>323</v>
      </c>
      <c r="B1422" s="45" t="s">
        <v>324</v>
      </c>
      <c r="C1422" s="45" t="s">
        <v>498</v>
      </c>
      <c r="D1422" s="45" t="s">
        <v>491</v>
      </c>
      <c r="E1422" s="45" t="s">
        <v>499</v>
      </c>
      <c r="F1422" s="45" t="s">
        <v>500</v>
      </c>
      <c r="G1422" s="14">
        <v>24119.8</v>
      </c>
      <c r="H1422" s="14">
        <v>22072.7</v>
      </c>
      <c r="I1422" s="14">
        <v>21057.8</v>
      </c>
      <c r="J1422" s="14">
        <v>21714.2</v>
      </c>
      <c r="K1422" s="14">
        <v>24235.200000000001</v>
      </c>
      <c r="L1422" s="14">
        <v>26248.1</v>
      </c>
      <c r="M1422" s="14">
        <v>29286.2</v>
      </c>
      <c r="N1422" s="14">
        <v>28266</v>
      </c>
      <c r="O1422" s="14">
        <v>27494</v>
      </c>
      <c r="P1422" s="14">
        <v>30944.799999999999</v>
      </c>
      <c r="Q1422" s="14">
        <v>31823.7</v>
      </c>
      <c r="R1422" s="14">
        <v>34174.199999999997</v>
      </c>
      <c r="S1422" s="14">
        <v>31941.599999999999</v>
      </c>
      <c r="T1422" s="14">
        <v>34753.9</v>
      </c>
      <c r="U1422" s="14">
        <v>37836.6</v>
      </c>
      <c r="V1422" s="14">
        <v>38520.300000000003</v>
      </c>
      <c r="W1422" s="14">
        <v>39759</v>
      </c>
      <c r="X1422" s="14">
        <v>39305</v>
      </c>
      <c r="Y1422" s="14">
        <v>37663.4</v>
      </c>
      <c r="Z1422" s="14">
        <v>35906.800000000003</v>
      </c>
      <c r="AA1422" s="14"/>
      <c r="AB1422" s="14"/>
      <c r="AC1422" s="15">
        <f>IFERROR(Z1422/G1422-1,"")</f>
        <v>0.48868564415957039</v>
      </c>
      <c r="AD1422" s="15">
        <f>IFERROR((Z1422/G1422)^(1/19)-1,"")</f>
        <v>2.1162586676216399E-2</v>
      </c>
    </row>
    <row r="1423" spans="1:30">
      <c r="A1423" s="45" t="s">
        <v>323</v>
      </c>
      <c r="B1423" s="45" t="s">
        <v>324</v>
      </c>
      <c r="C1423" s="45" t="s">
        <v>498</v>
      </c>
      <c r="D1423" s="45" t="s">
        <v>495</v>
      </c>
      <c r="E1423" s="45" t="s">
        <v>499</v>
      </c>
      <c r="F1423" s="45" t="s">
        <v>500</v>
      </c>
      <c r="G1423" s="14">
        <v>2193.9</v>
      </c>
      <c r="H1423" s="14">
        <v>1644.9</v>
      </c>
      <c r="I1423" s="14">
        <v>841.1</v>
      </c>
      <c r="J1423" s="14">
        <v>1055.2</v>
      </c>
      <c r="K1423" s="14">
        <v>1143</v>
      </c>
      <c r="L1423" s="14">
        <v>2044.6</v>
      </c>
      <c r="M1423" s="14">
        <v>4086.2</v>
      </c>
      <c r="N1423" s="14">
        <v>1373.7</v>
      </c>
      <c r="O1423" s="14">
        <v>1642</v>
      </c>
      <c r="P1423" s="14">
        <v>2029.2</v>
      </c>
      <c r="Q1423" s="14">
        <v>2765.1</v>
      </c>
      <c r="R1423" s="14">
        <v>2602.3000000000002</v>
      </c>
      <c r="S1423" s="14">
        <v>1956.3</v>
      </c>
      <c r="T1423" s="14">
        <v>3374.1</v>
      </c>
      <c r="U1423" s="14">
        <v>5860.4</v>
      </c>
      <c r="V1423" s="14">
        <v>6422.7</v>
      </c>
      <c r="W1423" s="14">
        <v>5433.8</v>
      </c>
      <c r="X1423" s="14">
        <v>3758.3</v>
      </c>
      <c r="Y1423" s="14">
        <v>2629.1</v>
      </c>
      <c r="Z1423" s="14">
        <v>2406.4</v>
      </c>
      <c r="AA1423" s="14"/>
      <c r="AB1423" s="14"/>
      <c r="AC1423" s="15">
        <f>IFERROR(Z1423/G1423-1,"")</f>
        <v>9.685947399607997E-2</v>
      </c>
      <c r="AD1423" s="15">
        <f>IFERROR((Z1423/G1423)^(1/19)-1,"")</f>
        <v>4.8777033901166167E-3</v>
      </c>
    </row>
    <row r="1424" spans="1:30">
      <c r="A1424" s="45" t="s">
        <v>323</v>
      </c>
      <c r="B1424" s="45" t="s">
        <v>324</v>
      </c>
      <c r="C1424" s="45" t="s">
        <v>498</v>
      </c>
      <c r="D1424" s="45" t="s">
        <v>496</v>
      </c>
      <c r="E1424" s="45" t="s">
        <v>499</v>
      </c>
      <c r="F1424" s="45" t="s">
        <v>500</v>
      </c>
      <c r="G1424" s="14">
        <v>4544.3</v>
      </c>
      <c r="H1424" s="14">
        <v>4350.3</v>
      </c>
      <c r="I1424" s="14">
        <v>4227.2</v>
      </c>
      <c r="J1424" s="14">
        <v>3869.7</v>
      </c>
      <c r="K1424" s="14">
        <v>4345.8999999999996</v>
      </c>
      <c r="L1424" s="14">
        <v>4935.2</v>
      </c>
      <c r="M1424" s="14">
        <v>4720</v>
      </c>
      <c r="N1424" s="14">
        <v>5073.1000000000004</v>
      </c>
      <c r="O1424" s="14">
        <v>4865</v>
      </c>
      <c r="P1424" s="14">
        <v>5734</v>
      </c>
      <c r="Q1424" s="14">
        <v>6418.8</v>
      </c>
      <c r="R1424" s="14">
        <v>6594.4</v>
      </c>
      <c r="S1424" s="14">
        <v>6139.7</v>
      </c>
      <c r="T1424" s="14">
        <v>7513.5</v>
      </c>
      <c r="U1424" s="14">
        <v>8427.2000000000007</v>
      </c>
      <c r="V1424" s="14">
        <v>7904.8</v>
      </c>
      <c r="W1424" s="14">
        <v>8964.4</v>
      </c>
      <c r="X1424" s="14">
        <v>9235.4</v>
      </c>
      <c r="Y1424" s="14">
        <v>9167.4</v>
      </c>
      <c r="Z1424" s="14">
        <v>8742.7999999999993</v>
      </c>
      <c r="AA1424" s="14"/>
      <c r="AB1424" s="14"/>
      <c r="AC1424" s="15">
        <f>IFERROR(Z1424/G1424-1,"")</f>
        <v>0.92390467178663349</v>
      </c>
      <c r="AD1424" s="15">
        <f>IFERROR((Z1424/G1424)^(1/19)-1,"")</f>
        <v>3.5039750019912663E-2</v>
      </c>
    </row>
    <row r="1425" spans="1:30">
      <c r="A1425" s="45" t="s">
        <v>323</v>
      </c>
      <c r="B1425" s="45" t="s">
        <v>324</v>
      </c>
      <c r="C1425" s="45" t="s">
        <v>498</v>
      </c>
      <c r="D1425" s="45" t="s">
        <v>497</v>
      </c>
      <c r="E1425" s="45" t="s">
        <v>499</v>
      </c>
      <c r="F1425" s="45" t="s">
        <v>500</v>
      </c>
      <c r="G1425" s="14">
        <v>12401.4</v>
      </c>
      <c r="H1425" s="14">
        <v>12114.8</v>
      </c>
      <c r="I1425" s="14">
        <v>12270.3</v>
      </c>
      <c r="J1425" s="14">
        <v>13226.6</v>
      </c>
      <c r="K1425" s="14">
        <v>14003.4</v>
      </c>
      <c r="L1425" s="14">
        <v>15588.2</v>
      </c>
      <c r="M1425" s="14">
        <v>15748.2</v>
      </c>
      <c r="N1425" s="14">
        <v>17915.900000000001</v>
      </c>
      <c r="O1425" s="14">
        <v>17086</v>
      </c>
      <c r="P1425" s="14">
        <v>18481.599999999999</v>
      </c>
      <c r="Q1425" s="14">
        <v>18234.3</v>
      </c>
      <c r="R1425" s="14">
        <v>19496.900000000001</v>
      </c>
      <c r="S1425" s="14">
        <v>18459.7</v>
      </c>
      <c r="T1425" s="14">
        <v>18628.2</v>
      </c>
      <c r="U1425" s="14">
        <v>18926.2</v>
      </c>
      <c r="V1425" s="14">
        <v>19907.5</v>
      </c>
      <c r="W1425" s="14">
        <v>20377.3</v>
      </c>
      <c r="X1425" s="14">
        <v>21457.200000000001</v>
      </c>
      <c r="Y1425" s="14">
        <v>20841.5</v>
      </c>
      <c r="Z1425" s="14">
        <v>19374.8</v>
      </c>
      <c r="AA1425" s="14"/>
      <c r="AB1425" s="14"/>
      <c r="AC1425" s="15">
        <f>IFERROR(Z1425/G1425-1,"")</f>
        <v>0.56230748141338882</v>
      </c>
      <c r="AD1425" s="15">
        <f>IFERROR((Z1425/G1425)^(1/19)-1,"")</f>
        <v>2.3760189899141304E-2</v>
      </c>
    </row>
    <row r="1426" spans="1:30">
      <c r="A1426" s="45" t="s">
        <v>323</v>
      </c>
      <c r="B1426" s="45" t="s">
        <v>324</v>
      </c>
      <c r="C1426" s="45" t="s">
        <v>498</v>
      </c>
      <c r="D1426" s="45" t="s">
        <v>501</v>
      </c>
      <c r="E1426" s="45" t="s">
        <v>499</v>
      </c>
      <c r="F1426" s="45" t="s">
        <v>500</v>
      </c>
      <c r="G1426" s="14">
        <v>3509</v>
      </c>
      <c r="H1426" s="14">
        <v>2907.7</v>
      </c>
      <c r="I1426" s="14">
        <v>2956.2</v>
      </c>
      <c r="J1426" s="14">
        <v>2628.3</v>
      </c>
      <c r="K1426" s="14">
        <v>3394.4</v>
      </c>
      <c r="L1426" s="14">
        <v>2014.7</v>
      </c>
      <c r="M1426" s="14">
        <v>3143.4</v>
      </c>
      <c r="N1426" s="14">
        <v>2517.6</v>
      </c>
      <c r="O1426" s="14">
        <v>2184</v>
      </c>
      <c r="P1426" s="14">
        <v>2646.8</v>
      </c>
      <c r="Q1426" s="14">
        <v>2074.9</v>
      </c>
      <c r="R1426" s="14">
        <v>2639.7</v>
      </c>
      <c r="S1426" s="14">
        <v>2675.6</v>
      </c>
      <c r="T1426" s="14">
        <v>2474.3000000000002</v>
      </c>
      <c r="U1426" s="14">
        <v>2274.9</v>
      </c>
      <c r="V1426" s="14">
        <v>2338.1</v>
      </c>
      <c r="W1426" s="14">
        <v>2644</v>
      </c>
      <c r="X1426" s="14">
        <v>2732.4</v>
      </c>
      <c r="Y1426" s="14">
        <v>3174.2</v>
      </c>
      <c r="Z1426" s="14">
        <v>3116.4</v>
      </c>
      <c r="AA1426" s="14"/>
      <c r="AB1426" s="14"/>
      <c r="AC1426" s="15">
        <f>IFERROR(Z1426/G1426-1,"")</f>
        <v>-0.1118837275577087</v>
      </c>
      <c r="AD1426" s="15">
        <f>IFERROR((Z1426/G1426)^(1/19)-1,"")</f>
        <v>-6.2254153600612705E-3</v>
      </c>
    </row>
    <row r="1427" spans="1:30">
      <c r="A1427" s="45" t="s">
        <v>345</v>
      </c>
      <c r="B1427" s="45" t="s">
        <v>346</v>
      </c>
      <c r="C1427" s="45" t="s">
        <v>490</v>
      </c>
      <c r="D1427" s="45" t="s">
        <v>491</v>
      </c>
      <c r="E1427" s="45" t="s">
        <v>492</v>
      </c>
      <c r="F1427" s="45" t="s">
        <v>493</v>
      </c>
      <c r="G1427" s="14">
        <v>10854</v>
      </c>
      <c r="H1427" s="14">
        <v>12674</v>
      </c>
      <c r="I1427" s="14">
        <v>17214</v>
      </c>
      <c r="J1427" s="14">
        <v>17300</v>
      </c>
      <c r="K1427" s="14">
        <v>16986</v>
      </c>
      <c r="L1427" s="14">
        <v>20624</v>
      </c>
      <c r="M1427" s="14">
        <v>21682</v>
      </c>
      <c r="N1427" s="14">
        <v>23023</v>
      </c>
      <c r="O1427" s="14">
        <v>24362</v>
      </c>
      <c r="P1427" s="14">
        <v>28105</v>
      </c>
      <c r="Q1427" s="14">
        <v>31501</v>
      </c>
      <c r="R1427" s="14">
        <v>33310</v>
      </c>
      <c r="S1427" s="14">
        <v>35489</v>
      </c>
      <c r="T1427" s="14">
        <v>38402</v>
      </c>
      <c r="U1427" s="14">
        <v>41354</v>
      </c>
      <c r="V1427" s="14">
        <v>43396</v>
      </c>
      <c r="W1427" s="14">
        <v>47883</v>
      </c>
      <c r="X1427" s="14">
        <v>53090</v>
      </c>
      <c r="Y1427" s="14">
        <v>54071</v>
      </c>
      <c r="Z1427" s="14">
        <v>60475</v>
      </c>
      <c r="AA1427" s="14">
        <v>73627</v>
      </c>
      <c r="AB1427" s="14">
        <v>79950</v>
      </c>
    </row>
    <row r="1428" spans="1:30">
      <c r="A1428" s="45" t="s">
        <v>345</v>
      </c>
      <c r="B1428" s="45" t="s">
        <v>346</v>
      </c>
      <c r="C1428" s="45" t="s">
        <v>490</v>
      </c>
      <c r="D1428" s="45" t="s">
        <v>494</v>
      </c>
      <c r="E1428" s="45" t="s">
        <v>492</v>
      </c>
      <c r="F1428" s="45" t="s">
        <v>493</v>
      </c>
      <c r="G1428" s="14">
        <v>10482</v>
      </c>
      <c r="H1428" s="14">
        <v>12299</v>
      </c>
      <c r="I1428" s="14">
        <v>16632</v>
      </c>
      <c r="J1428" s="14">
        <v>16734</v>
      </c>
      <c r="K1428" s="14">
        <v>16324</v>
      </c>
      <c r="L1428" s="14">
        <v>19567</v>
      </c>
      <c r="M1428" s="14">
        <v>20625</v>
      </c>
      <c r="N1428" s="14">
        <v>22014</v>
      </c>
      <c r="O1428" s="14">
        <v>23149</v>
      </c>
      <c r="P1428" s="14">
        <v>26572</v>
      </c>
      <c r="Q1428" s="14">
        <v>29730</v>
      </c>
      <c r="R1428" s="14">
        <v>31831</v>
      </c>
      <c r="S1428" s="14">
        <v>34150</v>
      </c>
      <c r="T1428" s="14">
        <v>36924</v>
      </c>
      <c r="U1428" s="14">
        <v>40247</v>
      </c>
      <c r="V1428" s="14">
        <v>42425</v>
      </c>
      <c r="W1428" s="14">
        <v>46203</v>
      </c>
      <c r="X1428" s="14">
        <v>51379</v>
      </c>
      <c r="Y1428" s="14">
        <v>52020</v>
      </c>
      <c r="Z1428" s="14">
        <v>58264</v>
      </c>
      <c r="AA1428" s="14"/>
      <c r="AB1428" s="14"/>
    </row>
    <row r="1429" spans="1:30">
      <c r="A1429" s="45" t="s">
        <v>345</v>
      </c>
      <c r="B1429" s="45" t="s">
        <v>346</v>
      </c>
      <c r="C1429" s="45" t="s">
        <v>490</v>
      </c>
      <c r="D1429" s="45" t="s">
        <v>495</v>
      </c>
      <c r="E1429" s="45" t="s">
        <v>492</v>
      </c>
      <c r="F1429" s="45" t="s">
        <v>493</v>
      </c>
      <c r="G1429" s="14">
        <v>619</v>
      </c>
      <c r="H1429" s="14">
        <v>684</v>
      </c>
      <c r="I1429" s="14">
        <v>864</v>
      </c>
      <c r="J1429" s="14">
        <v>641</v>
      </c>
      <c r="K1429" s="14">
        <v>591</v>
      </c>
      <c r="L1429" s="14">
        <v>723</v>
      </c>
      <c r="M1429" s="14">
        <v>647</v>
      </c>
      <c r="N1429" s="14">
        <v>748</v>
      </c>
      <c r="O1429" s="14">
        <v>766</v>
      </c>
      <c r="P1429" s="14">
        <v>771</v>
      </c>
      <c r="Q1429" s="14">
        <v>1071</v>
      </c>
      <c r="R1429" s="14">
        <v>988</v>
      </c>
      <c r="S1429" s="14">
        <v>1359</v>
      </c>
      <c r="T1429" s="14">
        <v>1508</v>
      </c>
      <c r="U1429" s="14">
        <v>1953</v>
      </c>
      <c r="V1429" s="14">
        <v>1907</v>
      </c>
      <c r="W1429" s="14">
        <v>1861</v>
      </c>
      <c r="X1429" s="14">
        <v>2044</v>
      </c>
      <c r="Y1429" s="14">
        <v>2387</v>
      </c>
      <c r="Z1429" s="14">
        <v>3011</v>
      </c>
      <c r="AA1429" s="14"/>
      <c r="AB1429" s="14"/>
    </row>
    <row r="1430" spans="1:30">
      <c r="A1430" s="45" t="s">
        <v>345</v>
      </c>
      <c r="B1430" s="45" t="s">
        <v>346</v>
      </c>
      <c r="C1430" s="45" t="s">
        <v>490</v>
      </c>
      <c r="D1430" s="45" t="s">
        <v>496</v>
      </c>
      <c r="E1430" s="45" t="s">
        <v>492</v>
      </c>
      <c r="F1430" s="45" t="s">
        <v>493</v>
      </c>
      <c r="G1430" s="14">
        <v>1622</v>
      </c>
      <c r="H1430" s="14">
        <v>1926</v>
      </c>
      <c r="I1430" s="14">
        <v>2621</v>
      </c>
      <c r="J1430" s="14">
        <v>2818</v>
      </c>
      <c r="K1430" s="14">
        <v>2813</v>
      </c>
      <c r="L1430" s="14">
        <v>3191</v>
      </c>
      <c r="M1430" s="14">
        <v>3014</v>
      </c>
      <c r="N1430" s="14">
        <v>3210</v>
      </c>
      <c r="O1430" s="14">
        <v>3786</v>
      </c>
      <c r="P1430" s="14">
        <v>4769</v>
      </c>
      <c r="Q1430" s="14">
        <v>5540</v>
      </c>
      <c r="R1430" s="14">
        <v>5605</v>
      </c>
      <c r="S1430" s="14">
        <v>5656</v>
      </c>
      <c r="T1430" s="14">
        <v>6636</v>
      </c>
      <c r="U1430" s="14">
        <v>7733</v>
      </c>
      <c r="V1430" s="14">
        <v>7861</v>
      </c>
      <c r="W1430" s="14">
        <v>10853</v>
      </c>
      <c r="X1430" s="14">
        <v>12144</v>
      </c>
      <c r="Y1430" s="14">
        <v>11778</v>
      </c>
      <c r="Z1430" s="14">
        <v>13302</v>
      </c>
      <c r="AA1430" s="14"/>
      <c r="AB1430" s="14"/>
    </row>
    <row r="1431" spans="1:30">
      <c r="A1431" s="45" t="s">
        <v>345</v>
      </c>
      <c r="B1431" s="45" t="s">
        <v>346</v>
      </c>
      <c r="C1431" s="45" t="s">
        <v>490</v>
      </c>
      <c r="D1431" s="45" t="s">
        <v>497</v>
      </c>
      <c r="E1431" s="45" t="s">
        <v>492</v>
      </c>
      <c r="F1431" s="45" t="s">
        <v>493</v>
      </c>
      <c r="G1431" s="14">
        <v>6395</v>
      </c>
      <c r="H1431" s="14">
        <v>7387</v>
      </c>
      <c r="I1431" s="14">
        <v>8341</v>
      </c>
      <c r="J1431" s="14">
        <v>10076</v>
      </c>
      <c r="K1431" s="14">
        <v>11223</v>
      </c>
      <c r="L1431" s="14">
        <v>13774</v>
      </c>
      <c r="M1431" s="14">
        <v>14625</v>
      </c>
      <c r="N1431" s="14">
        <v>15631</v>
      </c>
      <c r="O1431" s="14">
        <v>16956</v>
      </c>
      <c r="P1431" s="14">
        <v>18736</v>
      </c>
      <c r="Q1431" s="14">
        <v>21408</v>
      </c>
      <c r="R1431" s="14">
        <v>23725</v>
      </c>
      <c r="S1431" s="14">
        <v>25835</v>
      </c>
      <c r="T1431" s="14">
        <v>27499</v>
      </c>
      <c r="U1431" s="14">
        <v>28992</v>
      </c>
      <c r="V1431" s="14">
        <v>31194</v>
      </c>
      <c r="W1431" s="14">
        <v>32032</v>
      </c>
      <c r="X1431" s="14">
        <v>35382</v>
      </c>
      <c r="Y1431" s="14">
        <v>34615</v>
      </c>
      <c r="Z1431" s="14">
        <v>39694</v>
      </c>
      <c r="AA1431" s="14"/>
      <c r="AB1431" s="14"/>
    </row>
    <row r="1432" spans="1:30">
      <c r="A1432" s="45" t="s">
        <v>345</v>
      </c>
      <c r="B1432" s="45" t="s">
        <v>346</v>
      </c>
      <c r="C1432" s="45" t="s">
        <v>498</v>
      </c>
      <c r="D1432" s="45" t="s">
        <v>491</v>
      </c>
      <c r="E1432" s="45" t="s">
        <v>499</v>
      </c>
      <c r="F1432" s="45" t="s">
        <v>500</v>
      </c>
      <c r="G1432" s="14">
        <v>20620.5</v>
      </c>
      <c r="H1432" s="14">
        <v>21104.2</v>
      </c>
      <c r="I1432" s="14">
        <v>26601.9</v>
      </c>
      <c r="J1432" s="14">
        <v>24884.400000000001</v>
      </c>
      <c r="K1432" s="14">
        <v>22883.200000000001</v>
      </c>
      <c r="L1432" s="14">
        <v>26103.3</v>
      </c>
      <c r="M1432" s="14">
        <v>25227.9</v>
      </c>
      <c r="N1432" s="14">
        <v>24962.3</v>
      </c>
      <c r="O1432" s="14">
        <v>24362</v>
      </c>
      <c r="P1432" s="14">
        <v>25946.6</v>
      </c>
      <c r="Q1432" s="14">
        <v>26941.8</v>
      </c>
      <c r="R1432" s="14">
        <v>26500.2</v>
      </c>
      <c r="S1432" s="14">
        <v>26179.5</v>
      </c>
      <c r="T1432" s="14">
        <v>26335.8</v>
      </c>
      <c r="U1432" s="14">
        <v>26234.3</v>
      </c>
      <c r="V1432" s="14">
        <v>26554.799999999999</v>
      </c>
      <c r="W1432" s="14">
        <v>28040.5</v>
      </c>
      <c r="X1432" s="14">
        <v>29829.599999999999</v>
      </c>
      <c r="Y1432" s="14">
        <v>28534</v>
      </c>
      <c r="Z1432" s="14">
        <v>28230.2</v>
      </c>
      <c r="AA1432" s="14"/>
      <c r="AB1432" s="14"/>
      <c r="AC1432" s="15">
        <f>IFERROR(Z1432/G1432-1,"")</f>
        <v>0.36903566838825452</v>
      </c>
      <c r="AD1432" s="15">
        <f>IFERROR((Z1432/G1432)^(1/19)-1,"")</f>
        <v>1.6669334790452961E-2</v>
      </c>
    </row>
    <row r="1433" spans="1:30">
      <c r="A1433" s="45" t="s">
        <v>345</v>
      </c>
      <c r="B1433" s="45" t="s">
        <v>346</v>
      </c>
      <c r="C1433" s="45" t="s">
        <v>498</v>
      </c>
      <c r="D1433" s="45" t="s">
        <v>495</v>
      </c>
      <c r="E1433" s="45" t="s">
        <v>499</v>
      </c>
      <c r="F1433" s="45" t="s">
        <v>500</v>
      </c>
      <c r="G1433" s="14">
        <v>1176.7</v>
      </c>
      <c r="H1433" s="14">
        <v>1139.7</v>
      </c>
      <c r="I1433" s="14">
        <v>1335</v>
      </c>
      <c r="J1433" s="14">
        <v>922.2</v>
      </c>
      <c r="K1433" s="14">
        <v>795.8</v>
      </c>
      <c r="L1433" s="14">
        <v>915.4</v>
      </c>
      <c r="M1433" s="14">
        <v>752.8</v>
      </c>
      <c r="N1433" s="14">
        <v>811</v>
      </c>
      <c r="O1433" s="14">
        <v>766</v>
      </c>
      <c r="P1433" s="14">
        <v>711.8</v>
      </c>
      <c r="Q1433" s="14">
        <v>916</v>
      </c>
      <c r="R1433" s="14">
        <v>786</v>
      </c>
      <c r="S1433" s="14">
        <v>1002.5</v>
      </c>
      <c r="T1433" s="14">
        <v>1034.2</v>
      </c>
      <c r="U1433" s="14">
        <v>1239</v>
      </c>
      <c r="V1433" s="14">
        <v>1166.9000000000001</v>
      </c>
      <c r="W1433" s="14">
        <v>1089.8</v>
      </c>
      <c r="X1433" s="14">
        <v>1148.5</v>
      </c>
      <c r="Y1433" s="14">
        <v>1259.7</v>
      </c>
      <c r="Z1433" s="14">
        <v>1405.6</v>
      </c>
      <c r="AA1433" s="14"/>
      <c r="AB1433" s="14"/>
      <c r="AC1433" s="15">
        <f>IFERROR(Z1433/G1433-1,"")</f>
        <v>0.1945270672218915</v>
      </c>
      <c r="AD1433" s="15">
        <f>IFERROR((Z1433/G1433)^(1/19)-1,"")</f>
        <v>9.3991788718439384E-3</v>
      </c>
    </row>
    <row r="1434" spans="1:30">
      <c r="A1434" s="45" t="s">
        <v>345</v>
      </c>
      <c r="B1434" s="45" t="s">
        <v>346</v>
      </c>
      <c r="C1434" s="45" t="s">
        <v>498</v>
      </c>
      <c r="D1434" s="45" t="s">
        <v>496</v>
      </c>
      <c r="E1434" s="45" t="s">
        <v>499</v>
      </c>
      <c r="F1434" s="45" t="s">
        <v>500</v>
      </c>
      <c r="G1434" s="14">
        <v>3081.5</v>
      </c>
      <c r="H1434" s="14">
        <v>3207.1</v>
      </c>
      <c r="I1434" s="14">
        <v>4050.1</v>
      </c>
      <c r="J1434" s="14">
        <v>4053.9</v>
      </c>
      <c r="K1434" s="14">
        <v>3789.6</v>
      </c>
      <c r="L1434" s="14">
        <v>4039</v>
      </c>
      <c r="M1434" s="14">
        <v>3506.7</v>
      </c>
      <c r="N1434" s="14">
        <v>3480.4</v>
      </c>
      <c r="O1434" s="14">
        <v>3786</v>
      </c>
      <c r="P1434" s="14">
        <v>4402.8</v>
      </c>
      <c r="Q1434" s="14">
        <v>4738.2</v>
      </c>
      <c r="R1434" s="14">
        <v>4459.1000000000004</v>
      </c>
      <c r="S1434" s="14">
        <v>4172.3</v>
      </c>
      <c r="T1434" s="14">
        <v>4550.8999999999996</v>
      </c>
      <c r="U1434" s="14">
        <v>4905.7</v>
      </c>
      <c r="V1434" s="14">
        <v>4810.3</v>
      </c>
      <c r="W1434" s="14">
        <v>6355.6</v>
      </c>
      <c r="X1434" s="14">
        <v>6823.3</v>
      </c>
      <c r="Y1434" s="14">
        <v>6215.4</v>
      </c>
      <c r="Z1434" s="14">
        <v>6209.5</v>
      </c>
      <c r="AA1434" s="14"/>
      <c r="AB1434" s="14"/>
      <c r="AC1434" s="15">
        <f>IFERROR(Z1434/G1434-1,"")</f>
        <v>1.0150900535453511</v>
      </c>
      <c r="AD1434" s="15">
        <f>IFERROR((Z1434/G1434)^(1/19)-1,"")</f>
        <v>3.7565440828438712E-2</v>
      </c>
    </row>
    <row r="1435" spans="1:30">
      <c r="A1435" s="45" t="s">
        <v>345</v>
      </c>
      <c r="B1435" s="45" t="s">
        <v>346</v>
      </c>
      <c r="C1435" s="45" t="s">
        <v>498</v>
      </c>
      <c r="D1435" s="45" t="s">
        <v>497</v>
      </c>
      <c r="E1435" s="45" t="s">
        <v>499</v>
      </c>
      <c r="F1435" s="45" t="s">
        <v>500</v>
      </c>
      <c r="G1435" s="14">
        <v>12148.4</v>
      </c>
      <c r="H1435" s="14">
        <v>12299.9</v>
      </c>
      <c r="I1435" s="14">
        <v>12890.1</v>
      </c>
      <c r="J1435" s="14">
        <v>14493.8</v>
      </c>
      <c r="K1435" s="14">
        <v>15119.9</v>
      </c>
      <c r="L1435" s="14">
        <v>17433.2</v>
      </c>
      <c r="M1435" s="14">
        <v>17016.900000000001</v>
      </c>
      <c r="N1435" s="14">
        <v>16947.7</v>
      </c>
      <c r="O1435" s="14">
        <v>16956</v>
      </c>
      <c r="P1435" s="14">
        <v>17297.099999999999</v>
      </c>
      <c r="Q1435" s="14">
        <v>18309.599999999999</v>
      </c>
      <c r="R1435" s="14">
        <v>18874.8</v>
      </c>
      <c r="S1435" s="14">
        <v>19058</v>
      </c>
      <c r="T1435" s="14">
        <v>18858.599999999999</v>
      </c>
      <c r="U1435" s="14">
        <v>18392.099999999999</v>
      </c>
      <c r="V1435" s="14">
        <v>19088.2</v>
      </c>
      <c r="W1435" s="14">
        <v>18758.099999999999</v>
      </c>
      <c r="X1435" s="14">
        <v>19880.099999999999</v>
      </c>
      <c r="Y1435" s="14">
        <v>18266.8</v>
      </c>
      <c r="Z1435" s="14">
        <v>18529.900000000001</v>
      </c>
      <c r="AA1435" s="14"/>
      <c r="AB1435" s="14"/>
      <c r="AC1435" s="15">
        <f>IFERROR(Z1435/G1435-1,"")</f>
        <v>0.52529551216621129</v>
      </c>
      <c r="AD1435" s="15">
        <f>IFERROR((Z1435/G1435)^(1/19)-1,"")</f>
        <v>2.2469142491663208E-2</v>
      </c>
    </row>
    <row r="1436" spans="1:30">
      <c r="A1436" s="45" t="s">
        <v>345</v>
      </c>
      <c r="B1436" s="45" t="s">
        <v>346</v>
      </c>
      <c r="C1436" s="45" t="s">
        <v>498</v>
      </c>
      <c r="D1436" s="45" t="s">
        <v>501</v>
      </c>
      <c r="E1436" s="45" t="s">
        <v>499</v>
      </c>
      <c r="F1436" s="45" t="s">
        <v>500</v>
      </c>
      <c r="G1436" s="14">
        <v>3506.5</v>
      </c>
      <c r="H1436" s="14">
        <v>3832.8</v>
      </c>
      <c r="I1436" s="14">
        <v>7426.1</v>
      </c>
      <c r="J1436" s="14">
        <v>4600.8</v>
      </c>
      <c r="K1436" s="14">
        <v>2286.1999999999998</v>
      </c>
      <c r="L1436" s="14">
        <v>2378.3000000000002</v>
      </c>
      <c r="M1436" s="14">
        <v>2721.9</v>
      </c>
      <c r="N1436" s="14">
        <v>2629.3</v>
      </c>
      <c r="O1436" s="14">
        <v>1641</v>
      </c>
      <c r="P1436" s="14">
        <v>2119.6999999999998</v>
      </c>
      <c r="Q1436" s="14">
        <v>1463.4</v>
      </c>
      <c r="R1436" s="14">
        <v>1203.7</v>
      </c>
      <c r="S1436" s="14">
        <v>959</v>
      </c>
      <c r="T1436" s="14">
        <v>877.8</v>
      </c>
      <c r="U1436" s="14">
        <v>996</v>
      </c>
      <c r="V1436" s="14">
        <v>894.6</v>
      </c>
      <c r="W1436" s="14">
        <v>852.6</v>
      </c>
      <c r="X1436" s="14">
        <v>1017</v>
      </c>
      <c r="Y1436" s="14">
        <v>1709.8</v>
      </c>
      <c r="Z1436" s="14">
        <v>1053.5999999999999</v>
      </c>
      <c r="AA1436" s="14"/>
      <c r="AB1436" s="14"/>
      <c r="AC1436" s="15">
        <f>IFERROR(Z1436/G1436-1,"")</f>
        <v>-0.69952944531584205</v>
      </c>
      <c r="AD1436" s="15">
        <f>IFERROR((Z1436/G1436)^(1/19)-1,"")</f>
        <v>-6.1323618600511387E-2</v>
      </c>
    </row>
    <row r="1437" spans="1:30">
      <c r="A1437" s="45" t="s">
        <v>263</v>
      </c>
      <c r="B1437" s="45" t="s">
        <v>264</v>
      </c>
      <c r="C1437" s="45" t="s">
        <v>490</v>
      </c>
      <c r="D1437" s="45" t="s">
        <v>491</v>
      </c>
      <c r="E1437" s="45" t="s">
        <v>492</v>
      </c>
      <c r="F1437" s="45" t="s">
        <v>493</v>
      </c>
      <c r="G1437" s="14">
        <v>14498</v>
      </c>
      <c r="H1437" s="14">
        <v>21803</v>
      </c>
      <c r="I1437" s="14">
        <v>21623</v>
      </c>
      <c r="J1437" s="14">
        <v>27103</v>
      </c>
      <c r="K1437" s="14">
        <v>29800</v>
      </c>
      <c r="L1437" s="14">
        <v>34557</v>
      </c>
      <c r="M1437" s="14">
        <v>36468</v>
      </c>
      <c r="N1437" s="14">
        <v>43583</v>
      </c>
      <c r="O1437" s="14">
        <v>46310</v>
      </c>
      <c r="P1437" s="14">
        <v>47871</v>
      </c>
      <c r="Q1437" s="14">
        <v>59018</v>
      </c>
      <c r="R1437" s="14">
        <v>72925</v>
      </c>
      <c r="S1437" s="14">
        <v>80064</v>
      </c>
      <c r="T1437" s="14">
        <v>90488</v>
      </c>
      <c r="U1437" s="14">
        <v>99012</v>
      </c>
      <c r="V1437" s="14">
        <v>102989</v>
      </c>
      <c r="W1437" s="14">
        <v>126628</v>
      </c>
      <c r="X1437" s="14">
        <v>120330</v>
      </c>
      <c r="Y1437" s="14">
        <v>116848</v>
      </c>
      <c r="Z1437" s="14">
        <v>116486</v>
      </c>
      <c r="AA1437" s="14">
        <v>105581</v>
      </c>
      <c r="AB1437" s="14">
        <v>114536</v>
      </c>
    </row>
    <row r="1438" spans="1:30">
      <c r="A1438" s="45" t="s">
        <v>263</v>
      </c>
      <c r="B1438" s="45" t="s">
        <v>264</v>
      </c>
      <c r="C1438" s="45" t="s">
        <v>490</v>
      </c>
      <c r="D1438" s="45" t="s">
        <v>494</v>
      </c>
      <c r="E1438" s="45" t="s">
        <v>492</v>
      </c>
      <c r="F1438" s="45" t="s">
        <v>493</v>
      </c>
      <c r="G1438" s="14">
        <v>13693</v>
      </c>
      <c r="H1438" s="14">
        <v>21016</v>
      </c>
      <c r="I1438" s="14">
        <v>20676</v>
      </c>
      <c r="J1438" s="14">
        <v>25645</v>
      </c>
      <c r="K1438" s="14">
        <v>26683</v>
      </c>
      <c r="L1438" s="14">
        <v>28734</v>
      </c>
      <c r="M1438" s="14">
        <v>31580</v>
      </c>
      <c r="N1438" s="14">
        <v>38015</v>
      </c>
      <c r="O1438" s="14">
        <v>38360</v>
      </c>
      <c r="P1438" s="14">
        <v>40155</v>
      </c>
      <c r="Q1438" s="14">
        <v>45697</v>
      </c>
      <c r="R1438" s="14">
        <v>56586</v>
      </c>
      <c r="S1438" s="14">
        <v>62824</v>
      </c>
      <c r="T1438" s="14">
        <v>70220</v>
      </c>
      <c r="U1438" s="14">
        <v>93528</v>
      </c>
      <c r="V1438" s="14">
        <v>99474</v>
      </c>
      <c r="W1438" s="14">
        <v>123132</v>
      </c>
      <c r="X1438" s="14">
        <v>115445</v>
      </c>
      <c r="Y1438" s="14">
        <v>113367</v>
      </c>
      <c r="Z1438" s="14">
        <v>108717</v>
      </c>
      <c r="AA1438" s="14"/>
      <c r="AB1438" s="14"/>
    </row>
    <row r="1439" spans="1:30">
      <c r="A1439" s="45" t="s">
        <v>263</v>
      </c>
      <c r="B1439" s="45" t="s">
        <v>264</v>
      </c>
      <c r="C1439" s="45" t="s">
        <v>490</v>
      </c>
      <c r="D1439" s="45" t="s">
        <v>495</v>
      </c>
      <c r="E1439" s="45" t="s">
        <v>492</v>
      </c>
      <c r="F1439" s="45" t="s">
        <v>493</v>
      </c>
      <c r="G1439" s="14">
        <v>396</v>
      </c>
      <c r="H1439" s="14">
        <v>433</v>
      </c>
      <c r="I1439" s="14">
        <v>598</v>
      </c>
      <c r="J1439" s="14">
        <v>984</v>
      </c>
      <c r="K1439" s="14">
        <v>845</v>
      </c>
      <c r="L1439" s="14">
        <v>844</v>
      </c>
      <c r="M1439" s="14">
        <v>820</v>
      </c>
      <c r="N1439" s="14">
        <v>851</v>
      </c>
      <c r="O1439" s="14">
        <v>814</v>
      </c>
      <c r="P1439" s="14">
        <v>803</v>
      </c>
      <c r="Q1439" s="14">
        <v>903</v>
      </c>
      <c r="R1439" s="14">
        <v>945</v>
      </c>
      <c r="S1439" s="14">
        <v>923</v>
      </c>
      <c r="T1439" s="14">
        <v>1048</v>
      </c>
      <c r="U1439" s="14">
        <v>1329</v>
      </c>
      <c r="V1439" s="14">
        <v>1652</v>
      </c>
      <c r="W1439" s="14">
        <v>1681</v>
      </c>
      <c r="X1439" s="14">
        <v>1712</v>
      </c>
      <c r="Y1439" s="14">
        <v>1562</v>
      </c>
      <c r="Z1439" s="14">
        <v>1754</v>
      </c>
      <c r="AA1439" s="14"/>
      <c r="AB1439" s="14"/>
    </row>
    <row r="1440" spans="1:30">
      <c r="A1440" s="45" t="s">
        <v>263</v>
      </c>
      <c r="B1440" s="45" t="s">
        <v>264</v>
      </c>
      <c r="C1440" s="45" t="s">
        <v>490</v>
      </c>
      <c r="D1440" s="45" t="s">
        <v>496</v>
      </c>
      <c r="E1440" s="45" t="s">
        <v>492</v>
      </c>
      <c r="F1440" s="45" t="s">
        <v>493</v>
      </c>
      <c r="G1440" s="14">
        <v>1582</v>
      </c>
      <c r="H1440" s="14">
        <v>2058</v>
      </c>
      <c r="I1440" s="14">
        <v>2110</v>
      </c>
      <c r="J1440" s="14">
        <v>2886</v>
      </c>
      <c r="K1440" s="14">
        <v>2804</v>
      </c>
      <c r="L1440" s="14">
        <v>3576</v>
      </c>
      <c r="M1440" s="14">
        <v>3626</v>
      </c>
      <c r="N1440" s="14">
        <v>3648</v>
      </c>
      <c r="O1440" s="14">
        <v>3733</v>
      </c>
      <c r="P1440" s="14">
        <v>4096</v>
      </c>
      <c r="Q1440" s="14">
        <v>4505</v>
      </c>
      <c r="R1440" s="14">
        <v>5548</v>
      </c>
      <c r="S1440" s="14">
        <v>5706</v>
      </c>
      <c r="T1440" s="14">
        <v>6651</v>
      </c>
      <c r="U1440" s="14">
        <v>7624</v>
      </c>
      <c r="V1440" s="14">
        <v>8026</v>
      </c>
      <c r="W1440" s="14">
        <v>9093</v>
      </c>
      <c r="X1440" s="14">
        <v>9683</v>
      </c>
      <c r="Y1440" s="14">
        <v>10223</v>
      </c>
      <c r="Z1440" s="14">
        <v>10249</v>
      </c>
      <c r="AA1440" s="14"/>
      <c r="AB1440" s="14"/>
    </row>
    <row r="1441" spans="1:30">
      <c r="A1441" s="45" t="s">
        <v>263</v>
      </c>
      <c r="B1441" s="45" t="s">
        <v>264</v>
      </c>
      <c r="C1441" s="45" t="s">
        <v>490</v>
      </c>
      <c r="D1441" s="45" t="s">
        <v>497</v>
      </c>
      <c r="E1441" s="45" t="s">
        <v>492</v>
      </c>
      <c r="F1441" s="45" t="s">
        <v>493</v>
      </c>
      <c r="G1441" s="14">
        <v>4333</v>
      </c>
      <c r="H1441" s="14">
        <v>5264</v>
      </c>
      <c r="I1441" s="14">
        <v>5183</v>
      </c>
      <c r="J1441" s="14">
        <v>7319</v>
      </c>
      <c r="K1441" s="14">
        <v>8374</v>
      </c>
      <c r="L1441" s="14">
        <v>9631</v>
      </c>
      <c r="M1441" s="14">
        <v>11469</v>
      </c>
      <c r="N1441" s="14">
        <v>12290</v>
      </c>
      <c r="O1441" s="14">
        <v>12831</v>
      </c>
      <c r="P1441" s="14">
        <v>15010</v>
      </c>
      <c r="Q1441" s="14">
        <v>16057</v>
      </c>
      <c r="R1441" s="14">
        <v>19313</v>
      </c>
      <c r="S1441" s="14">
        <v>21540</v>
      </c>
      <c r="T1441" s="14">
        <v>22738</v>
      </c>
      <c r="U1441" s="14">
        <v>24764</v>
      </c>
      <c r="V1441" s="14">
        <v>27535</v>
      </c>
      <c r="W1441" s="14">
        <v>28281</v>
      </c>
      <c r="X1441" s="14">
        <v>29449</v>
      </c>
      <c r="Y1441" s="14">
        <v>31297</v>
      </c>
      <c r="Z1441" s="14">
        <v>31285</v>
      </c>
      <c r="AA1441" s="14"/>
      <c r="AB1441" s="14"/>
    </row>
    <row r="1442" spans="1:30">
      <c r="A1442" s="45" t="s">
        <v>263</v>
      </c>
      <c r="B1442" s="45" t="s">
        <v>264</v>
      </c>
      <c r="C1442" s="45" t="s">
        <v>498</v>
      </c>
      <c r="D1442" s="45" t="s">
        <v>491</v>
      </c>
      <c r="E1442" s="45" t="s">
        <v>499</v>
      </c>
      <c r="F1442" s="45" t="s">
        <v>500</v>
      </c>
      <c r="G1442" s="14">
        <v>27542.3</v>
      </c>
      <c r="H1442" s="14">
        <v>36303.9</v>
      </c>
      <c r="I1442" s="14">
        <v>33414.6</v>
      </c>
      <c r="J1442" s="14">
        <v>38985.1</v>
      </c>
      <c r="K1442" s="14">
        <v>40145</v>
      </c>
      <c r="L1442" s="14">
        <v>43738.1</v>
      </c>
      <c r="M1442" s="14">
        <v>42431.199999999997</v>
      </c>
      <c r="N1442" s="14">
        <v>47254.1</v>
      </c>
      <c r="O1442" s="14">
        <v>46310</v>
      </c>
      <c r="P1442" s="14">
        <v>44194.6</v>
      </c>
      <c r="Q1442" s="14">
        <v>50476.2</v>
      </c>
      <c r="R1442" s="14">
        <v>58016.5</v>
      </c>
      <c r="S1442" s="14">
        <v>59061.599999999999</v>
      </c>
      <c r="T1442" s="14">
        <v>62056</v>
      </c>
      <c r="U1442" s="14">
        <v>62811.6</v>
      </c>
      <c r="V1442" s="14">
        <v>63020.800000000003</v>
      </c>
      <c r="W1442" s="14">
        <v>74153.899999999994</v>
      </c>
      <c r="X1442" s="14">
        <v>67609.7</v>
      </c>
      <c r="Y1442" s="14">
        <v>61662.2</v>
      </c>
      <c r="Z1442" s="14">
        <v>54376.5</v>
      </c>
      <c r="AA1442" s="14"/>
      <c r="AB1442" s="14"/>
      <c r="AC1442" s="15">
        <f>IFERROR(Z1442/G1442-1,"")</f>
        <v>0.97429045504551182</v>
      </c>
      <c r="AD1442" s="15">
        <f>IFERROR((Z1442/G1442)^(1/19)-1,"")</f>
        <v>3.6449030850435493E-2</v>
      </c>
    </row>
    <row r="1443" spans="1:30">
      <c r="A1443" s="45" t="s">
        <v>263</v>
      </c>
      <c r="B1443" s="45" t="s">
        <v>264</v>
      </c>
      <c r="C1443" s="45" t="s">
        <v>498</v>
      </c>
      <c r="D1443" s="45" t="s">
        <v>495</v>
      </c>
      <c r="E1443" s="45" t="s">
        <v>499</v>
      </c>
      <c r="F1443" s="45" t="s">
        <v>500</v>
      </c>
      <c r="G1443" s="14">
        <v>752.8</v>
      </c>
      <c r="H1443" s="14">
        <v>720.7</v>
      </c>
      <c r="I1443" s="14">
        <v>924.5</v>
      </c>
      <c r="J1443" s="14">
        <v>1414.9</v>
      </c>
      <c r="K1443" s="14">
        <v>1138.8</v>
      </c>
      <c r="L1443" s="14">
        <v>1068.2</v>
      </c>
      <c r="M1443" s="14">
        <v>954.2</v>
      </c>
      <c r="N1443" s="14">
        <v>922.7</v>
      </c>
      <c r="O1443" s="14">
        <v>814</v>
      </c>
      <c r="P1443" s="14">
        <v>741.3</v>
      </c>
      <c r="Q1443" s="14">
        <v>772.3</v>
      </c>
      <c r="R1443" s="14">
        <v>751.8</v>
      </c>
      <c r="S1443" s="14">
        <v>680.9</v>
      </c>
      <c r="T1443" s="14">
        <v>718.7</v>
      </c>
      <c r="U1443" s="14">
        <v>843.1</v>
      </c>
      <c r="V1443" s="14">
        <v>1010.9</v>
      </c>
      <c r="W1443" s="14">
        <v>984.4</v>
      </c>
      <c r="X1443" s="14">
        <v>961.9</v>
      </c>
      <c r="Y1443" s="14">
        <v>824.3</v>
      </c>
      <c r="Z1443" s="14">
        <v>818.8</v>
      </c>
      <c r="AA1443" s="14"/>
      <c r="AB1443" s="14"/>
      <c r="AC1443" s="15">
        <f>IFERROR(Z1443/G1443-1,"")</f>
        <v>8.7672688629117923E-2</v>
      </c>
      <c r="AD1443" s="15">
        <f>IFERROR((Z1443/G1443)^(1/19)-1,"")</f>
        <v>4.4329685327368917E-3</v>
      </c>
    </row>
    <row r="1444" spans="1:30">
      <c r="A1444" s="45" t="s">
        <v>263</v>
      </c>
      <c r="B1444" s="45" t="s">
        <v>264</v>
      </c>
      <c r="C1444" s="45" t="s">
        <v>498</v>
      </c>
      <c r="D1444" s="45" t="s">
        <v>496</v>
      </c>
      <c r="E1444" s="45" t="s">
        <v>499</v>
      </c>
      <c r="F1444" s="45" t="s">
        <v>500</v>
      </c>
      <c r="G1444" s="14">
        <v>3006.1</v>
      </c>
      <c r="H1444" s="14">
        <v>3426.1</v>
      </c>
      <c r="I1444" s="14">
        <v>3260</v>
      </c>
      <c r="J1444" s="14">
        <v>4150.8999999999996</v>
      </c>
      <c r="K1444" s="14">
        <v>3777.2</v>
      </c>
      <c r="L1444" s="14">
        <v>4525.7</v>
      </c>
      <c r="M1444" s="14">
        <v>4219.3</v>
      </c>
      <c r="N1444" s="14">
        <v>3955.3</v>
      </c>
      <c r="O1444" s="14">
        <v>3733</v>
      </c>
      <c r="P1444" s="14">
        <v>3781.4</v>
      </c>
      <c r="Q1444" s="14">
        <v>3853</v>
      </c>
      <c r="R1444" s="14">
        <v>4413.8</v>
      </c>
      <c r="S1444" s="14">
        <v>4209.2</v>
      </c>
      <c r="T1444" s="14">
        <v>4561.2</v>
      </c>
      <c r="U1444" s="14">
        <v>4836.5</v>
      </c>
      <c r="V1444" s="14">
        <v>4911.3</v>
      </c>
      <c r="W1444" s="14">
        <v>5324.9</v>
      </c>
      <c r="X1444" s="14">
        <v>5440.6</v>
      </c>
      <c r="Y1444" s="14">
        <v>5394.8</v>
      </c>
      <c r="Z1444" s="14">
        <v>4784.8</v>
      </c>
      <c r="AA1444" s="14"/>
      <c r="AB1444" s="14"/>
      <c r="AC1444" s="15">
        <f>IFERROR(Z1444/G1444-1,"")</f>
        <v>0.59169688300455747</v>
      </c>
      <c r="AD1444" s="15">
        <f>IFERROR((Z1444/G1444)^(1/19)-1,"")</f>
        <v>2.4764872009491512E-2</v>
      </c>
    </row>
    <row r="1445" spans="1:30">
      <c r="A1445" s="45" t="s">
        <v>263</v>
      </c>
      <c r="B1445" s="45" t="s">
        <v>264</v>
      </c>
      <c r="C1445" s="45" t="s">
        <v>498</v>
      </c>
      <c r="D1445" s="45" t="s">
        <v>497</v>
      </c>
      <c r="E1445" s="45" t="s">
        <v>499</v>
      </c>
      <c r="F1445" s="45" t="s">
        <v>500</v>
      </c>
      <c r="G1445" s="14">
        <v>8231.7999999999993</v>
      </c>
      <c r="H1445" s="14">
        <v>8765.6</v>
      </c>
      <c r="I1445" s="14">
        <v>8008.6</v>
      </c>
      <c r="J1445" s="14">
        <v>10527.5</v>
      </c>
      <c r="K1445" s="14">
        <v>11281.4</v>
      </c>
      <c r="L1445" s="14">
        <v>12189.9</v>
      </c>
      <c r="M1445" s="14">
        <v>13345</v>
      </c>
      <c r="N1445" s="14">
        <v>13325.2</v>
      </c>
      <c r="O1445" s="14">
        <v>12831</v>
      </c>
      <c r="P1445" s="14">
        <v>13857.3</v>
      </c>
      <c r="Q1445" s="14">
        <v>13733</v>
      </c>
      <c r="R1445" s="14">
        <v>15364.7</v>
      </c>
      <c r="S1445" s="14">
        <v>15889.6</v>
      </c>
      <c r="T1445" s="14">
        <v>15593.5</v>
      </c>
      <c r="U1445" s="14">
        <v>15709.9</v>
      </c>
      <c r="V1445" s="14">
        <v>16849.2</v>
      </c>
      <c r="W1445" s="14">
        <v>16561.5</v>
      </c>
      <c r="X1445" s="14">
        <v>16546.5</v>
      </c>
      <c r="Y1445" s="14">
        <v>16515.8</v>
      </c>
      <c r="Z1445" s="14">
        <v>14604.5</v>
      </c>
      <c r="AA1445" s="14"/>
      <c r="AB1445" s="14"/>
      <c r="AC1445" s="15">
        <f>IFERROR(Z1445/G1445-1,"")</f>
        <v>0.77415632061031614</v>
      </c>
      <c r="AD1445" s="15">
        <f>IFERROR((Z1445/G1445)^(1/19)-1,"")</f>
        <v>3.0634879146444582E-2</v>
      </c>
    </row>
    <row r="1446" spans="1:30">
      <c r="A1446" s="45" t="s">
        <v>263</v>
      </c>
      <c r="B1446" s="45" t="s">
        <v>264</v>
      </c>
      <c r="C1446" s="45" t="s">
        <v>498</v>
      </c>
      <c r="D1446" s="45" t="s">
        <v>501</v>
      </c>
      <c r="E1446" s="45" t="s">
        <v>499</v>
      </c>
      <c r="F1446" s="45" t="s">
        <v>500</v>
      </c>
      <c r="G1446" s="14">
        <v>14022.9</v>
      </c>
      <c r="H1446" s="14">
        <v>22082.3</v>
      </c>
      <c r="I1446" s="14">
        <v>19758.400000000001</v>
      </c>
      <c r="J1446" s="14">
        <v>20795.900000000001</v>
      </c>
      <c r="K1446" s="14">
        <v>19748.599999999999</v>
      </c>
      <c r="L1446" s="14">
        <v>18583.3</v>
      </c>
      <c r="M1446" s="14">
        <v>18226</v>
      </c>
      <c r="N1446" s="14">
        <v>23015</v>
      </c>
      <c r="O1446" s="14">
        <v>20983</v>
      </c>
      <c r="P1446" s="14">
        <v>18690.2</v>
      </c>
      <c r="Q1446" s="14">
        <v>20725.7</v>
      </c>
      <c r="R1446" s="14">
        <v>24486.7</v>
      </c>
      <c r="S1446" s="14">
        <v>25564.3</v>
      </c>
      <c r="T1446" s="14">
        <v>27282.9</v>
      </c>
      <c r="U1446" s="14">
        <v>37943.1</v>
      </c>
      <c r="V1446" s="14">
        <v>38098</v>
      </c>
      <c r="W1446" s="14">
        <v>49235.8</v>
      </c>
      <c r="X1446" s="14">
        <v>41916</v>
      </c>
      <c r="Y1446" s="14">
        <v>37090.300000000003</v>
      </c>
      <c r="Z1446" s="14">
        <v>30542.7</v>
      </c>
      <c r="AA1446" s="14"/>
      <c r="AB1446" s="14"/>
      <c r="AC1446" s="15">
        <f>IFERROR(Z1446/G1446-1,"")</f>
        <v>1.1780587467642216</v>
      </c>
      <c r="AD1446" s="15">
        <f>IFERROR((Z1446/G1446)^(1/19)-1,"")</f>
        <v>4.1821069614613293E-2</v>
      </c>
    </row>
    <row r="1447" spans="1:30">
      <c r="A1447" s="45" t="s">
        <v>351</v>
      </c>
      <c r="B1447" s="45" t="s">
        <v>352</v>
      </c>
      <c r="C1447" s="45" t="s">
        <v>490</v>
      </c>
      <c r="D1447" s="45" t="s">
        <v>491</v>
      </c>
      <c r="E1447" s="45" t="s">
        <v>492</v>
      </c>
      <c r="F1447" s="45" t="s">
        <v>493</v>
      </c>
      <c r="G1447" s="14">
        <v>7987</v>
      </c>
      <c r="H1447" s="14">
        <v>9670</v>
      </c>
      <c r="I1447" s="14">
        <v>11583</v>
      </c>
      <c r="J1447" s="14">
        <v>13113</v>
      </c>
      <c r="K1447" s="14">
        <v>13889</v>
      </c>
      <c r="L1447" s="14">
        <v>17501</v>
      </c>
      <c r="M1447" s="14">
        <v>18906</v>
      </c>
      <c r="N1447" s="14">
        <v>21636</v>
      </c>
      <c r="O1447" s="14">
        <v>23482</v>
      </c>
      <c r="P1447" s="14">
        <v>25946</v>
      </c>
      <c r="Q1447" s="14">
        <v>27253</v>
      </c>
      <c r="R1447" s="14">
        <v>31080</v>
      </c>
      <c r="S1447" s="14">
        <v>33400</v>
      </c>
      <c r="T1447" s="14">
        <v>37160</v>
      </c>
      <c r="U1447" s="14">
        <v>39823</v>
      </c>
      <c r="V1447" s="14">
        <v>45007</v>
      </c>
      <c r="W1447" s="14">
        <v>46294</v>
      </c>
      <c r="X1447" s="14">
        <v>51173</v>
      </c>
      <c r="Y1447" s="14">
        <v>51240</v>
      </c>
      <c r="Z1447" s="14">
        <v>57410</v>
      </c>
      <c r="AA1447" s="14">
        <v>73394</v>
      </c>
      <c r="AB1447" s="14">
        <v>84833</v>
      </c>
    </row>
    <row r="1448" spans="1:30">
      <c r="A1448" s="45" t="s">
        <v>351</v>
      </c>
      <c r="B1448" s="45" t="s">
        <v>352</v>
      </c>
      <c r="C1448" s="45" t="s">
        <v>490</v>
      </c>
      <c r="D1448" s="45" t="s">
        <v>494</v>
      </c>
      <c r="E1448" s="45" t="s">
        <v>492</v>
      </c>
      <c r="F1448" s="45" t="s">
        <v>493</v>
      </c>
      <c r="G1448" s="14">
        <v>7768</v>
      </c>
      <c r="H1448" s="14">
        <v>9408</v>
      </c>
      <c r="I1448" s="14">
        <v>11212</v>
      </c>
      <c r="J1448" s="14">
        <v>12701</v>
      </c>
      <c r="K1448" s="14">
        <v>13296</v>
      </c>
      <c r="L1448" s="14">
        <v>16628</v>
      </c>
      <c r="M1448" s="14">
        <v>17993</v>
      </c>
      <c r="N1448" s="14">
        <v>20777</v>
      </c>
      <c r="O1448" s="14">
        <v>22392</v>
      </c>
      <c r="P1448" s="14">
        <v>24817</v>
      </c>
      <c r="Q1448" s="14">
        <v>26288</v>
      </c>
      <c r="R1448" s="14">
        <v>30195</v>
      </c>
      <c r="S1448" s="14">
        <v>32402</v>
      </c>
      <c r="T1448" s="14">
        <v>35727</v>
      </c>
      <c r="U1448" s="14">
        <v>38573</v>
      </c>
      <c r="V1448" s="14">
        <v>43718</v>
      </c>
      <c r="W1448" s="14">
        <v>44446</v>
      </c>
      <c r="X1448" s="14">
        <v>49181</v>
      </c>
      <c r="Y1448" s="14">
        <v>48989</v>
      </c>
      <c r="Z1448" s="14">
        <v>54422</v>
      </c>
      <c r="AA1448" s="14"/>
      <c r="AB1448" s="14"/>
    </row>
    <row r="1449" spans="1:30">
      <c r="A1449" s="45" t="s">
        <v>351</v>
      </c>
      <c r="B1449" s="45" t="s">
        <v>352</v>
      </c>
      <c r="C1449" s="45" t="s">
        <v>490</v>
      </c>
      <c r="D1449" s="45" t="s">
        <v>495</v>
      </c>
      <c r="E1449" s="45" t="s">
        <v>492</v>
      </c>
      <c r="F1449" s="45" t="s">
        <v>493</v>
      </c>
      <c r="G1449" s="14">
        <v>280</v>
      </c>
      <c r="H1449" s="14">
        <v>262</v>
      </c>
      <c r="I1449" s="14">
        <v>344</v>
      </c>
      <c r="J1449" s="14">
        <v>531</v>
      </c>
      <c r="K1449" s="14">
        <v>419</v>
      </c>
      <c r="L1449" s="14">
        <v>687</v>
      </c>
      <c r="M1449" s="14">
        <v>1004</v>
      </c>
      <c r="N1449" s="14">
        <v>891</v>
      </c>
      <c r="O1449" s="14">
        <v>695</v>
      </c>
      <c r="P1449" s="14">
        <v>656</v>
      </c>
      <c r="Q1449" s="14">
        <v>947</v>
      </c>
      <c r="R1449" s="14">
        <v>1027</v>
      </c>
      <c r="S1449" s="14">
        <v>942</v>
      </c>
      <c r="T1449" s="14">
        <v>1338</v>
      </c>
      <c r="U1449" s="14">
        <v>1932</v>
      </c>
      <c r="V1449" s="14">
        <v>2123</v>
      </c>
      <c r="W1449" s="14">
        <v>2009</v>
      </c>
      <c r="X1449" s="14">
        <v>1825</v>
      </c>
      <c r="Y1449" s="14">
        <v>1890</v>
      </c>
      <c r="Z1449" s="14">
        <v>2755</v>
      </c>
      <c r="AA1449" s="14"/>
      <c r="AB1449" s="14"/>
    </row>
    <row r="1450" spans="1:30">
      <c r="A1450" s="45" t="s">
        <v>351</v>
      </c>
      <c r="B1450" s="45" t="s">
        <v>352</v>
      </c>
      <c r="C1450" s="45" t="s">
        <v>490</v>
      </c>
      <c r="D1450" s="45" t="s">
        <v>496</v>
      </c>
      <c r="E1450" s="45" t="s">
        <v>492</v>
      </c>
      <c r="F1450" s="45" t="s">
        <v>493</v>
      </c>
      <c r="G1450" s="14">
        <v>1142</v>
      </c>
      <c r="H1450" s="14">
        <v>1481</v>
      </c>
      <c r="I1450" s="14">
        <v>1917</v>
      </c>
      <c r="J1450" s="14">
        <v>2371</v>
      </c>
      <c r="K1450" s="14">
        <v>2617</v>
      </c>
      <c r="L1450" s="14">
        <v>3208</v>
      </c>
      <c r="M1450" s="14">
        <v>3225</v>
      </c>
      <c r="N1450" s="14">
        <v>4332</v>
      </c>
      <c r="O1450" s="14">
        <v>5083</v>
      </c>
      <c r="P1450" s="14">
        <v>5719</v>
      </c>
      <c r="Q1450" s="14">
        <v>5851</v>
      </c>
      <c r="R1450" s="14">
        <v>6147</v>
      </c>
      <c r="S1450" s="14">
        <v>6849</v>
      </c>
      <c r="T1450" s="14">
        <v>7978</v>
      </c>
      <c r="U1450" s="14">
        <v>9036</v>
      </c>
      <c r="V1450" s="14">
        <v>10334</v>
      </c>
      <c r="W1450" s="14">
        <v>12294</v>
      </c>
      <c r="X1450" s="14">
        <v>14202</v>
      </c>
      <c r="Y1450" s="14">
        <v>14157</v>
      </c>
      <c r="Z1450" s="14">
        <v>15823</v>
      </c>
      <c r="AA1450" s="14"/>
      <c r="AB1450" s="14"/>
    </row>
    <row r="1451" spans="1:30">
      <c r="A1451" s="45" t="s">
        <v>351</v>
      </c>
      <c r="B1451" s="45" t="s">
        <v>352</v>
      </c>
      <c r="C1451" s="45" t="s">
        <v>490</v>
      </c>
      <c r="D1451" s="45" t="s">
        <v>497</v>
      </c>
      <c r="E1451" s="45" t="s">
        <v>492</v>
      </c>
      <c r="F1451" s="45" t="s">
        <v>493</v>
      </c>
      <c r="G1451" s="14">
        <v>5747</v>
      </c>
      <c r="H1451" s="14">
        <v>5976</v>
      </c>
      <c r="I1451" s="14">
        <v>6533</v>
      </c>
      <c r="J1451" s="14">
        <v>8610</v>
      </c>
      <c r="K1451" s="14">
        <v>9145</v>
      </c>
      <c r="L1451" s="14">
        <v>11530</v>
      </c>
      <c r="M1451" s="14">
        <v>12090</v>
      </c>
      <c r="N1451" s="14">
        <v>14216</v>
      </c>
      <c r="O1451" s="14">
        <v>15482</v>
      </c>
      <c r="P1451" s="14">
        <v>17274</v>
      </c>
      <c r="Q1451" s="14">
        <v>18827</v>
      </c>
      <c r="R1451" s="14">
        <v>22278</v>
      </c>
      <c r="S1451" s="14">
        <v>23913</v>
      </c>
      <c r="T1451" s="14">
        <v>25523</v>
      </c>
      <c r="U1451" s="14">
        <v>26560</v>
      </c>
      <c r="V1451" s="14">
        <v>30243</v>
      </c>
      <c r="W1451" s="14">
        <v>28799</v>
      </c>
      <c r="X1451" s="14">
        <v>31596</v>
      </c>
      <c r="Y1451" s="14">
        <v>30595</v>
      </c>
      <c r="Z1451" s="14">
        <v>34228</v>
      </c>
      <c r="AA1451" s="14"/>
      <c r="AB1451" s="14"/>
    </row>
    <row r="1452" spans="1:30">
      <c r="A1452" s="45" t="s">
        <v>351</v>
      </c>
      <c r="B1452" s="45" t="s">
        <v>352</v>
      </c>
      <c r="C1452" s="45" t="s">
        <v>498</v>
      </c>
      <c r="D1452" s="45" t="s">
        <v>491</v>
      </c>
      <c r="E1452" s="45" t="s">
        <v>499</v>
      </c>
      <c r="F1452" s="45" t="s">
        <v>500</v>
      </c>
      <c r="G1452" s="14">
        <v>15173</v>
      </c>
      <c r="H1452" s="14">
        <v>16100.8</v>
      </c>
      <c r="I1452" s="14">
        <v>17900.099999999999</v>
      </c>
      <c r="J1452" s="14">
        <v>18861.599999999999</v>
      </c>
      <c r="K1452" s="14">
        <v>18710.3</v>
      </c>
      <c r="L1452" s="14">
        <v>22150.400000000001</v>
      </c>
      <c r="M1452" s="14">
        <v>21998.1</v>
      </c>
      <c r="N1452" s="14">
        <v>23458.5</v>
      </c>
      <c r="O1452" s="14">
        <v>23482</v>
      </c>
      <c r="P1452" s="14">
        <v>23953.4</v>
      </c>
      <c r="Q1452" s="14">
        <v>23308.6</v>
      </c>
      <c r="R1452" s="14">
        <v>24726.1</v>
      </c>
      <c r="S1452" s="14">
        <v>24638.5</v>
      </c>
      <c r="T1452" s="14">
        <v>25484</v>
      </c>
      <c r="U1452" s="14">
        <v>25263.1</v>
      </c>
      <c r="V1452" s="14">
        <v>27540.6</v>
      </c>
      <c r="W1452" s="14">
        <v>27109.9</v>
      </c>
      <c r="X1452" s="14">
        <v>28752.5</v>
      </c>
      <c r="Y1452" s="14">
        <v>27040</v>
      </c>
      <c r="Z1452" s="14">
        <v>26799.4</v>
      </c>
      <c r="AA1452" s="14"/>
      <c r="AB1452" s="14"/>
      <c r="AC1452" s="15">
        <f>IFERROR(Z1452/G1452-1,"")</f>
        <v>0.76625584920582623</v>
      </c>
      <c r="AD1452" s="15">
        <f>IFERROR((Z1452/G1452)^(1/19)-1,"")</f>
        <v>3.0392815190772415E-2</v>
      </c>
    </row>
    <row r="1453" spans="1:30">
      <c r="A1453" s="45" t="s">
        <v>351</v>
      </c>
      <c r="B1453" s="45" t="s">
        <v>352</v>
      </c>
      <c r="C1453" s="45" t="s">
        <v>498</v>
      </c>
      <c r="D1453" s="45" t="s">
        <v>495</v>
      </c>
      <c r="E1453" s="45" t="s">
        <v>499</v>
      </c>
      <c r="F1453" s="45" t="s">
        <v>500</v>
      </c>
      <c r="G1453" s="14">
        <v>532.70000000000005</v>
      </c>
      <c r="H1453" s="14">
        <v>435.6</v>
      </c>
      <c r="I1453" s="14">
        <v>531.9</v>
      </c>
      <c r="J1453" s="14">
        <v>763.1</v>
      </c>
      <c r="K1453" s="14">
        <v>564.1</v>
      </c>
      <c r="L1453" s="14">
        <v>869</v>
      </c>
      <c r="M1453" s="14">
        <v>1167.5999999999999</v>
      </c>
      <c r="N1453" s="14">
        <v>966.1</v>
      </c>
      <c r="O1453" s="14">
        <v>695</v>
      </c>
      <c r="P1453" s="14">
        <v>605.6</v>
      </c>
      <c r="Q1453" s="14">
        <v>809.9</v>
      </c>
      <c r="R1453" s="14">
        <v>817</v>
      </c>
      <c r="S1453" s="14">
        <v>694.9</v>
      </c>
      <c r="T1453" s="14">
        <v>917.6</v>
      </c>
      <c r="U1453" s="14">
        <v>1225.5999999999999</v>
      </c>
      <c r="V1453" s="14">
        <v>1299.0999999999999</v>
      </c>
      <c r="W1453" s="14">
        <v>1176.5</v>
      </c>
      <c r="X1453" s="14">
        <v>1025.4000000000001</v>
      </c>
      <c r="Y1453" s="14">
        <v>997.4</v>
      </c>
      <c r="Z1453" s="14">
        <v>1286.0999999999999</v>
      </c>
      <c r="AA1453" s="14"/>
      <c r="AB1453" s="14"/>
      <c r="AC1453" s="15">
        <f>IFERROR(Z1453/G1453-1,"")</f>
        <v>1.4143044865778109</v>
      </c>
      <c r="AD1453" s="15">
        <f>IFERROR((Z1453/G1453)^(1/19)-1,"")</f>
        <v>4.7482918439903932E-2</v>
      </c>
    </row>
    <row r="1454" spans="1:30">
      <c r="A1454" s="45" t="s">
        <v>351</v>
      </c>
      <c r="B1454" s="45" t="s">
        <v>352</v>
      </c>
      <c r="C1454" s="45" t="s">
        <v>498</v>
      </c>
      <c r="D1454" s="45" t="s">
        <v>496</v>
      </c>
      <c r="E1454" s="45" t="s">
        <v>499</v>
      </c>
      <c r="F1454" s="45" t="s">
        <v>500</v>
      </c>
      <c r="G1454" s="14">
        <v>2170.1999999999998</v>
      </c>
      <c r="H1454" s="14">
        <v>2465.6999999999998</v>
      </c>
      <c r="I1454" s="14">
        <v>2962.4</v>
      </c>
      <c r="J1454" s="14">
        <v>3410.3</v>
      </c>
      <c r="K1454" s="14">
        <v>3525</v>
      </c>
      <c r="L1454" s="14">
        <v>4059.8</v>
      </c>
      <c r="M1454" s="14">
        <v>3752.4</v>
      </c>
      <c r="N1454" s="14">
        <v>4696.8999999999996</v>
      </c>
      <c r="O1454" s="14">
        <v>5083</v>
      </c>
      <c r="P1454" s="14">
        <v>5279.8</v>
      </c>
      <c r="Q1454" s="14">
        <v>5004.2</v>
      </c>
      <c r="R1454" s="14">
        <v>4890.3</v>
      </c>
      <c r="S1454" s="14">
        <v>5052.3999999999996</v>
      </c>
      <c r="T1454" s="14">
        <v>5471.2</v>
      </c>
      <c r="U1454" s="14">
        <v>5732.3</v>
      </c>
      <c r="V1454" s="14">
        <v>6323.6</v>
      </c>
      <c r="W1454" s="14">
        <v>7199.4</v>
      </c>
      <c r="X1454" s="14">
        <v>7979.7</v>
      </c>
      <c r="Y1454" s="14">
        <v>7470.8</v>
      </c>
      <c r="Z1454" s="14">
        <v>7386.3</v>
      </c>
      <c r="AA1454" s="14"/>
      <c r="AB1454" s="14"/>
      <c r="AC1454" s="15">
        <f>IFERROR(Z1454/G1454-1,"")</f>
        <v>2.4035111971246894</v>
      </c>
      <c r="AD1454" s="15">
        <f>IFERROR((Z1454/G1454)^(1/19)-1,"")</f>
        <v>6.6586709083814366E-2</v>
      </c>
    </row>
    <row r="1455" spans="1:30">
      <c r="A1455" s="45" t="s">
        <v>351</v>
      </c>
      <c r="B1455" s="45" t="s">
        <v>352</v>
      </c>
      <c r="C1455" s="45" t="s">
        <v>498</v>
      </c>
      <c r="D1455" s="45" t="s">
        <v>497</v>
      </c>
      <c r="E1455" s="45" t="s">
        <v>499</v>
      </c>
      <c r="F1455" s="45" t="s">
        <v>500</v>
      </c>
      <c r="G1455" s="14">
        <v>10917.3</v>
      </c>
      <c r="H1455" s="14">
        <v>9950.7000000000007</v>
      </c>
      <c r="I1455" s="14">
        <v>10096.299999999999</v>
      </c>
      <c r="J1455" s="14">
        <v>12384.8</v>
      </c>
      <c r="K1455" s="14">
        <v>12319.6</v>
      </c>
      <c r="L1455" s="14">
        <v>14593.2</v>
      </c>
      <c r="M1455" s="14">
        <v>14066.8</v>
      </c>
      <c r="N1455" s="14">
        <v>15413.5</v>
      </c>
      <c r="O1455" s="14">
        <v>15482</v>
      </c>
      <c r="P1455" s="14">
        <v>15947.4</v>
      </c>
      <c r="Q1455" s="14">
        <v>16102.1</v>
      </c>
      <c r="R1455" s="14">
        <v>17723.599999999999</v>
      </c>
      <c r="S1455" s="14">
        <v>17640.099999999999</v>
      </c>
      <c r="T1455" s="14">
        <v>17503.5</v>
      </c>
      <c r="U1455" s="14">
        <v>16849.2</v>
      </c>
      <c r="V1455" s="14">
        <v>18506.2</v>
      </c>
      <c r="W1455" s="14">
        <v>16864.8</v>
      </c>
      <c r="X1455" s="14">
        <v>17752.8</v>
      </c>
      <c r="Y1455" s="14">
        <v>16145.4</v>
      </c>
      <c r="Z1455" s="14">
        <v>15978.3</v>
      </c>
      <c r="AA1455" s="14"/>
      <c r="AB1455" s="14"/>
      <c r="AC1455" s="15">
        <f>IFERROR(Z1455/G1455-1,"")</f>
        <v>0.46357615894039728</v>
      </c>
      <c r="AD1455" s="15">
        <f>IFERROR((Z1455/G1455)^(1/19)-1,"")</f>
        <v>2.0248746378304316E-2</v>
      </c>
    </row>
    <row r="1456" spans="1:30">
      <c r="A1456" s="45" t="s">
        <v>351</v>
      </c>
      <c r="B1456" s="45" t="s">
        <v>352</v>
      </c>
      <c r="C1456" s="45" t="s">
        <v>498</v>
      </c>
      <c r="D1456" s="45" t="s">
        <v>501</v>
      </c>
      <c r="E1456" s="45" t="s">
        <v>499</v>
      </c>
      <c r="F1456" s="45" t="s">
        <v>500</v>
      </c>
      <c r="G1456" s="14">
        <v>1136.2</v>
      </c>
      <c r="H1456" s="14">
        <v>2812.7</v>
      </c>
      <c r="I1456" s="14">
        <v>3735.7</v>
      </c>
      <c r="J1456" s="14">
        <v>1710.8</v>
      </c>
      <c r="K1456" s="14">
        <v>1503.9</v>
      </c>
      <c r="L1456" s="14">
        <v>1522.9</v>
      </c>
      <c r="M1456" s="14">
        <v>1948.1</v>
      </c>
      <c r="N1456" s="14">
        <v>1451.8</v>
      </c>
      <c r="O1456" s="14">
        <v>1132</v>
      </c>
      <c r="P1456" s="14">
        <v>1078.3</v>
      </c>
      <c r="Q1456" s="14">
        <v>566.20000000000005</v>
      </c>
      <c r="R1456" s="14">
        <v>590.29999999999995</v>
      </c>
      <c r="S1456" s="14">
        <v>515.6</v>
      </c>
      <c r="T1456" s="14">
        <v>609</v>
      </c>
      <c r="U1456" s="14">
        <v>663.6</v>
      </c>
      <c r="V1456" s="14">
        <v>623.5</v>
      </c>
      <c r="W1456" s="14">
        <v>787.1</v>
      </c>
      <c r="X1456" s="14">
        <v>876</v>
      </c>
      <c r="Y1456" s="14">
        <v>1238</v>
      </c>
      <c r="Z1456" s="14">
        <v>754.8</v>
      </c>
      <c r="AA1456" s="14"/>
      <c r="AB1456" s="14"/>
      <c r="AC1456" s="15">
        <f>IFERROR(Z1456/G1456-1,"")</f>
        <v>-0.33568033796866759</v>
      </c>
      <c r="AD1456" s="15">
        <f>IFERROR((Z1456/G1456)^(1/19)-1,"")</f>
        <v>-2.1295857214488345E-2</v>
      </c>
    </row>
    <row r="1457" spans="1:30">
      <c r="A1457" s="45" t="s">
        <v>127</v>
      </c>
      <c r="B1457" s="45" t="s">
        <v>128</v>
      </c>
      <c r="C1457" s="45" t="s">
        <v>490</v>
      </c>
      <c r="D1457" s="45" t="s">
        <v>491</v>
      </c>
      <c r="E1457" s="45" t="s">
        <v>492</v>
      </c>
      <c r="F1457" s="45" t="s">
        <v>493</v>
      </c>
      <c r="G1457" s="14">
        <v>33416</v>
      </c>
      <c r="H1457" s="14">
        <v>34834</v>
      </c>
      <c r="I1457" s="14">
        <v>43825</v>
      </c>
      <c r="J1457" s="14">
        <v>50621</v>
      </c>
      <c r="K1457" s="14">
        <v>64810</v>
      </c>
      <c r="L1457" s="14">
        <v>67974</v>
      </c>
      <c r="M1457" s="14">
        <v>76698</v>
      </c>
      <c r="N1457" s="14">
        <v>76131</v>
      </c>
      <c r="O1457" s="14">
        <v>74673</v>
      </c>
      <c r="P1457" s="14">
        <v>117509</v>
      </c>
      <c r="Q1457" s="14">
        <v>115959</v>
      </c>
      <c r="R1457" s="14">
        <v>119733</v>
      </c>
      <c r="S1457" s="14">
        <v>120690</v>
      </c>
      <c r="T1457" s="14">
        <v>108622</v>
      </c>
      <c r="U1457" s="14">
        <v>148846</v>
      </c>
      <c r="V1457" s="14">
        <v>306571</v>
      </c>
      <c r="W1457" s="14">
        <v>254557</v>
      </c>
      <c r="X1457" s="14">
        <v>303363</v>
      </c>
      <c r="Y1457" s="14">
        <v>617353</v>
      </c>
      <c r="Z1457" s="14">
        <v>858721</v>
      </c>
      <c r="AA1457" s="14">
        <v>976555</v>
      </c>
      <c r="AB1457" s="14">
        <v>685341</v>
      </c>
    </row>
    <row r="1458" spans="1:30">
      <c r="A1458" s="45" t="s">
        <v>127</v>
      </c>
      <c r="B1458" s="45" t="s">
        <v>128</v>
      </c>
      <c r="C1458" s="45" t="s">
        <v>490</v>
      </c>
      <c r="D1458" s="45" t="s">
        <v>494</v>
      </c>
      <c r="E1458" s="45" t="s">
        <v>492</v>
      </c>
      <c r="F1458" s="45" t="s">
        <v>493</v>
      </c>
      <c r="G1458" s="14">
        <v>32228</v>
      </c>
      <c r="H1458" s="14">
        <v>33604</v>
      </c>
      <c r="I1458" s="14">
        <v>41953</v>
      </c>
      <c r="J1458" s="14">
        <v>47559</v>
      </c>
      <c r="K1458" s="14">
        <v>60772</v>
      </c>
      <c r="L1458" s="14">
        <v>61549</v>
      </c>
      <c r="M1458" s="14">
        <v>72137</v>
      </c>
      <c r="N1458" s="14">
        <v>70169</v>
      </c>
      <c r="O1458" s="14">
        <v>69651</v>
      </c>
      <c r="P1458" s="14">
        <v>107078</v>
      </c>
      <c r="Q1458" s="14">
        <v>103082</v>
      </c>
      <c r="R1458" s="14">
        <v>108542</v>
      </c>
      <c r="S1458" s="14">
        <v>111237</v>
      </c>
      <c r="T1458" s="14">
        <v>97709</v>
      </c>
      <c r="U1458" s="14">
        <v>123532</v>
      </c>
      <c r="V1458" s="14">
        <v>256259</v>
      </c>
      <c r="W1458" s="14">
        <v>222351</v>
      </c>
      <c r="X1458" s="14">
        <v>261412</v>
      </c>
      <c r="Y1458" s="14">
        <v>558337</v>
      </c>
      <c r="Z1458" s="14">
        <v>771900</v>
      </c>
      <c r="AA1458" s="14"/>
      <c r="AB1458" s="14"/>
    </row>
    <row r="1459" spans="1:30">
      <c r="A1459" s="45" t="s">
        <v>127</v>
      </c>
      <c r="B1459" s="45" t="s">
        <v>128</v>
      </c>
      <c r="C1459" s="45" t="s">
        <v>490</v>
      </c>
      <c r="D1459" s="45" t="s">
        <v>495</v>
      </c>
      <c r="E1459" s="45" t="s">
        <v>492</v>
      </c>
      <c r="F1459" s="45" t="s">
        <v>493</v>
      </c>
      <c r="G1459" s="14">
        <v>13515</v>
      </c>
      <c r="H1459" s="14">
        <v>11050</v>
      </c>
      <c r="I1459" s="14">
        <v>14838</v>
      </c>
      <c r="J1459" s="14">
        <v>15733</v>
      </c>
      <c r="K1459" s="14">
        <v>23549</v>
      </c>
      <c r="L1459" s="14">
        <v>21422</v>
      </c>
      <c r="M1459" s="14">
        <v>28822</v>
      </c>
      <c r="N1459" s="14">
        <v>18626</v>
      </c>
      <c r="O1459" s="14">
        <v>19394</v>
      </c>
      <c r="P1459" s="14">
        <v>36291</v>
      </c>
      <c r="Q1459" s="14">
        <v>31308</v>
      </c>
      <c r="R1459" s="14">
        <v>29872</v>
      </c>
      <c r="S1459" s="14">
        <v>29215</v>
      </c>
      <c r="T1459" s="14">
        <v>12544</v>
      </c>
      <c r="U1459" s="14">
        <v>21952</v>
      </c>
      <c r="V1459" s="14">
        <v>109359</v>
      </c>
      <c r="W1459" s="14">
        <v>70920</v>
      </c>
      <c r="X1459" s="14">
        <v>82049</v>
      </c>
      <c r="Y1459" s="14">
        <v>339233</v>
      </c>
      <c r="Z1459" s="14">
        <v>565336</v>
      </c>
      <c r="AA1459" s="14"/>
      <c r="AB1459" s="14"/>
    </row>
    <row r="1460" spans="1:30">
      <c r="A1460" s="45" t="s">
        <v>127</v>
      </c>
      <c r="B1460" s="45" t="s">
        <v>128</v>
      </c>
      <c r="C1460" s="45" t="s">
        <v>490</v>
      </c>
      <c r="D1460" s="45" t="s">
        <v>496</v>
      </c>
      <c r="E1460" s="45" t="s">
        <v>492</v>
      </c>
      <c r="F1460" s="45" t="s">
        <v>493</v>
      </c>
      <c r="G1460" s="14">
        <v>5521</v>
      </c>
      <c r="H1460" s="14">
        <v>5863</v>
      </c>
      <c r="I1460" s="14">
        <v>8166</v>
      </c>
      <c r="J1460" s="14">
        <v>8261</v>
      </c>
      <c r="K1460" s="14">
        <v>10765</v>
      </c>
      <c r="L1460" s="14">
        <v>10419</v>
      </c>
      <c r="M1460" s="14">
        <v>11532</v>
      </c>
      <c r="N1460" s="14">
        <v>14011</v>
      </c>
      <c r="O1460" s="14">
        <v>12789</v>
      </c>
      <c r="P1460" s="14">
        <v>17482</v>
      </c>
      <c r="Q1460" s="14">
        <v>18967</v>
      </c>
      <c r="R1460" s="14">
        <v>21195</v>
      </c>
      <c r="S1460" s="14">
        <v>21965</v>
      </c>
      <c r="T1460" s="14">
        <v>22237</v>
      </c>
      <c r="U1460" s="14">
        <v>30383</v>
      </c>
      <c r="V1460" s="14">
        <v>63436</v>
      </c>
      <c r="W1460" s="14">
        <v>53742</v>
      </c>
      <c r="X1460" s="14">
        <v>65006</v>
      </c>
      <c r="Y1460" s="14">
        <v>82533</v>
      </c>
      <c r="Z1460" s="14">
        <v>80193</v>
      </c>
      <c r="AA1460" s="14"/>
      <c r="AB1460" s="14"/>
    </row>
    <row r="1461" spans="1:30">
      <c r="A1461" s="45" t="s">
        <v>127</v>
      </c>
      <c r="B1461" s="45" t="s">
        <v>128</v>
      </c>
      <c r="C1461" s="45" t="s">
        <v>490</v>
      </c>
      <c r="D1461" s="45" t="s">
        <v>497</v>
      </c>
      <c r="E1461" s="45" t="s">
        <v>492</v>
      </c>
      <c r="F1461" s="45" t="s">
        <v>493</v>
      </c>
      <c r="G1461" s="14">
        <v>9965</v>
      </c>
      <c r="H1461" s="14">
        <v>10910</v>
      </c>
      <c r="I1461" s="14">
        <v>11956</v>
      </c>
      <c r="J1461" s="14">
        <v>13945</v>
      </c>
      <c r="K1461" s="14">
        <v>16059</v>
      </c>
      <c r="L1461" s="14">
        <v>20513</v>
      </c>
      <c r="M1461" s="14">
        <v>23716</v>
      </c>
      <c r="N1461" s="14">
        <v>27187</v>
      </c>
      <c r="O1461" s="14">
        <v>30294</v>
      </c>
      <c r="P1461" s="14">
        <v>34307</v>
      </c>
      <c r="Q1461" s="14">
        <v>38400</v>
      </c>
      <c r="R1461" s="14">
        <v>46376</v>
      </c>
      <c r="S1461" s="14">
        <v>49088</v>
      </c>
      <c r="T1461" s="14">
        <v>53094</v>
      </c>
      <c r="U1461" s="14">
        <v>58053</v>
      </c>
      <c r="V1461" s="14">
        <v>63312</v>
      </c>
      <c r="W1461" s="14">
        <v>65257</v>
      </c>
      <c r="X1461" s="14">
        <v>71358</v>
      </c>
      <c r="Y1461" s="14">
        <v>75724</v>
      </c>
      <c r="Z1461" s="14">
        <v>80731</v>
      </c>
      <c r="AA1461" s="14"/>
      <c r="AB1461" s="14"/>
    </row>
    <row r="1462" spans="1:30">
      <c r="A1462" s="45" t="s">
        <v>127</v>
      </c>
      <c r="B1462" s="45" t="s">
        <v>128</v>
      </c>
      <c r="C1462" s="45" t="s">
        <v>498</v>
      </c>
      <c r="D1462" s="45" t="s">
        <v>491</v>
      </c>
      <c r="E1462" s="45" t="s">
        <v>499</v>
      </c>
      <c r="F1462" s="45" t="s">
        <v>500</v>
      </c>
      <c r="G1462" s="14">
        <v>63482.1</v>
      </c>
      <c r="H1462" s="14">
        <v>58002.7</v>
      </c>
      <c r="I1462" s="14">
        <v>67724.100000000006</v>
      </c>
      <c r="J1462" s="14">
        <v>72814.3</v>
      </c>
      <c r="K1462" s="14">
        <v>87309.3</v>
      </c>
      <c r="L1462" s="14">
        <v>86033.1</v>
      </c>
      <c r="M1462" s="14">
        <v>89240.8</v>
      </c>
      <c r="N1462" s="14">
        <v>82543.8</v>
      </c>
      <c r="O1462" s="14">
        <v>74673</v>
      </c>
      <c r="P1462" s="14">
        <v>108484.6</v>
      </c>
      <c r="Q1462" s="14">
        <v>99176</v>
      </c>
      <c r="R1462" s="14">
        <v>95255.3</v>
      </c>
      <c r="S1462" s="14">
        <v>89030.6</v>
      </c>
      <c r="T1462" s="14">
        <v>74492.100000000006</v>
      </c>
      <c r="U1462" s="14">
        <v>94425.5</v>
      </c>
      <c r="V1462" s="14">
        <v>187596.4</v>
      </c>
      <c r="W1462" s="14">
        <v>149069.6</v>
      </c>
      <c r="X1462" s="14">
        <v>170450.3</v>
      </c>
      <c r="Y1462" s="14">
        <v>325785.09999999998</v>
      </c>
      <c r="Z1462" s="14">
        <v>400857.2</v>
      </c>
      <c r="AA1462" s="14"/>
      <c r="AB1462" s="14"/>
      <c r="AC1462" s="15">
        <f>IFERROR(Z1462/G1462-1,"")</f>
        <v>5.3144918016259703</v>
      </c>
      <c r="AD1462" s="15">
        <f>IFERROR((Z1462/G1462)^(1/19)-1,"")</f>
        <v>0.10185151688913674</v>
      </c>
    </row>
    <row r="1463" spans="1:30">
      <c r="A1463" s="45" t="s">
        <v>127</v>
      </c>
      <c r="B1463" s="45" t="s">
        <v>128</v>
      </c>
      <c r="C1463" s="45" t="s">
        <v>498</v>
      </c>
      <c r="D1463" s="45" t="s">
        <v>495</v>
      </c>
      <c r="E1463" s="45" t="s">
        <v>499</v>
      </c>
      <c r="F1463" s="45" t="s">
        <v>500</v>
      </c>
      <c r="G1463" s="14">
        <v>25675.5</v>
      </c>
      <c r="H1463" s="14">
        <v>18398.900000000001</v>
      </c>
      <c r="I1463" s="14">
        <v>22930.2</v>
      </c>
      <c r="J1463" s="14">
        <v>22631.4</v>
      </c>
      <c r="K1463" s="14">
        <v>31724.7</v>
      </c>
      <c r="L1463" s="14">
        <v>27113</v>
      </c>
      <c r="M1463" s="14">
        <v>33535.5</v>
      </c>
      <c r="N1463" s="14">
        <v>20194.900000000001</v>
      </c>
      <c r="O1463" s="14">
        <v>19394</v>
      </c>
      <c r="P1463" s="14">
        <v>33503.9</v>
      </c>
      <c r="Q1463" s="14">
        <v>26776.7</v>
      </c>
      <c r="R1463" s="14">
        <v>23765.1</v>
      </c>
      <c r="S1463" s="14">
        <v>21551.3</v>
      </c>
      <c r="T1463" s="14">
        <v>8602.6</v>
      </c>
      <c r="U1463" s="14">
        <v>13926</v>
      </c>
      <c r="V1463" s="14">
        <v>66918.8</v>
      </c>
      <c r="W1463" s="14">
        <v>41531</v>
      </c>
      <c r="X1463" s="14">
        <v>46100.800000000003</v>
      </c>
      <c r="Y1463" s="14">
        <v>179017.60000000001</v>
      </c>
      <c r="Z1463" s="14">
        <v>263903</v>
      </c>
      <c r="AA1463" s="14"/>
      <c r="AB1463" s="14"/>
      <c r="AC1463" s="15">
        <f>IFERROR(Z1463/G1463-1,"")</f>
        <v>9.278397694300013</v>
      </c>
      <c r="AD1463" s="15">
        <f>IFERROR((Z1463/G1463)^(1/19)-1,"")</f>
        <v>0.13047049669020816</v>
      </c>
    </row>
    <row r="1464" spans="1:30">
      <c r="A1464" s="45" t="s">
        <v>127</v>
      </c>
      <c r="B1464" s="45" t="s">
        <v>128</v>
      </c>
      <c r="C1464" s="45" t="s">
        <v>498</v>
      </c>
      <c r="D1464" s="45" t="s">
        <v>496</v>
      </c>
      <c r="E1464" s="45" t="s">
        <v>499</v>
      </c>
      <c r="F1464" s="45" t="s">
        <v>500</v>
      </c>
      <c r="G1464" s="14">
        <v>10487.7</v>
      </c>
      <c r="H1464" s="14">
        <v>9762.9</v>
      </c>
      <c r="I1464" s="14">
        <v>12618.4</v>
      </c>
      <c r="J1464" s="14">
        <v>11883.4</v>
      </c>
      <c r="K1464" s="14">
        <v>14501.9</v>
      </c>
      <c r="L1464" s="14">
        <v>13187.4</v>
      </c>
      <c r="M1464" s="14">
        <v>13418.2</v>
      </c>
      <c r="N1464" s="14">
        <v>15191.2</v>
      </c>
      <c r="O1464" s="14">
        <v>12789</v>
      </c>
      <c r="P1464" s="14">
        <v>16139.4</v>
      </c>
      <c r="Q1464" s="14">
        <v>16221.9</v>
      </c>
      <c r="R1464" s="14">
        <v>16862</v>
      </c>
      <c r="S1464" s="14">
        <v>16203.1</v>
      </c>
      <c r="T1464" s="14">
        <v>15250</v>
      </c>
      <c r="U1464" s="14">
        <v>19274.5</v>
      </c>
      <c r="V1464" s="14">
        <v>38817.599999999999</v>
      </c>
      <c r="W1464" s="14">
        <v>31471.5</v>
      </c>
      <c r="X1464" s="14">
        <v>36524.9</v>
      </c>
      <c r="Y1464" s="14">
        <v>43553.7</v>
      </c>
      <c r="Z1464" s="14">
        <v>37434.699999999997</v>
      </c>
      <c r="AA1464" s="14"/>
      <c r="AB1464" s="14"/>
      <c r="AC1464" s="15">
        <f>IFERROR(Z1464/G1464-1,"")</f>
        <v>2.569390810187171</v>
      </c>
      <c r="AD1464" s="15">
        <f>IFERROR((Z1464/G1464)^(1/19)-1,"")</f>
        <v>6.9261426711131335E-2</v>
      </c>
    </row>
    <row r="1465" spans="1:30">
      <c r="A1465" s="45" t="s">
        <v>127</v>
      </c>
      <c r="B1465" s="45" t="s">
        <v>128</v>
      </c>
      <c r="C1465" s="45" t="s">
        <v>498</v>
      </c>
      <c r="D1465" s="45" t="s">
        <v>497</v>
      </c>
      <c r="E1465" s="45" t="s">
        <v>499</v>
      </c>
      <c r="F1465" s="45" t="s">
        <v>500</v>
      </c>
      <c r="G1465" s="14">
        <v>18930.099999999999</v>
      </c>
      <c r="H1465" s="14">
        <v>18166.7</v>
      </c>
      <c r="I1465" s="14">
        <v>18476</v>
      </c>
      <c r="J1465" s="14">
        <v>20058.5</v>
      </c>
      <c r="K1465" s="14">
        <v>21634.7</v>
      </c>
      <c r="L1465" s="14">
        <v>25963.1</v>
      </c>
      <c r="M1465" s="14">
        <v>27594.7</v>
      </c>
      <c r="N1465" s="14">
        <v>29477.1</v>
      </c>
      <c r="O1465" s="14">
        <v>30294</v>
      </c>
      <c r="P1465" s="14">
        <v>31672.3</v>
      </c>
      <c r="Q1465" s="14">
        <v>32842.300000000003</v>
      </c>
      <c r="R1465" s="14">
        <v>36895.1</v>
      </c>
      <c r="S1465" s="14">
        <v>36211.300000000003</v>
      </c>
      <c r="T1465" s="14">
        <v>36411.4</v>
      </c>
      <c r="U1465" s="14">
        <v>36827.9</v>
      </c>
      <c r="V1465" s="14">
        <v>38741.800000000003</v>
      </c>
      <c r="W1465" s="14">
        <v>38214.800000000003</v>
      </c>
      <c r="X1465" s="14">
        <v>40093.9</v>
      </c>
      <c r="Y1465" s="14">
        <v>39960.5</v>
      </c>
      <c r="Z1465" s="14">
        <v>37686.800000000003</v>
      </c>
      <c r="AA1465" s="14"/>
      <c r="AB1465" s="14"/>
      <c r="AC1465" s="15">
        <f>IFERROR(Z1465/G1465-1,"")</f>
        <v>0.99083998499743831</v>
      </c>
      <c r="AD1465" s="15">
        <f>IFERROR((Z1465/G1465)^(1/19)-1,"")</f>
        <v>3.6904491076299895E-2</v>
      </c>
    </row>
    <row r="1466" spans="1:30">
      <c r="A1466" s="45" t="s">
        <v>127</v>
      </c>
      <c r="B1466" s="45" t="s">
        <v>128</v>
      </c>
      <c r="C1466" s="45" t="s">
        <v>498</v>
      </c>
      <c r="D1466" s="45" t="s">
        <v>501</v>
      </c>
      <c r="E1466" s="45" t="s">
        <v>499</v>
      </c>
      <c r="F1466" s="45" t="s">
        <v>500</v>
      </c>
      <c r="G1466" s="14">
        <v>6131.4</v>
      </c>
      <c r="H1466" s="14">
        <v>9626.6</v>
      </c>
      <c r="I1466" s="14">
        <v>10806.6</v>
      </c>
      <c r="J1466" s="14">
        <v>13837.5</v>
      </c>
      <c r="K1466" s="14">
        <v>14008.3</v>
      </c>
      <c r="L1466" s="14">
        <v>11637.3</v>
      </c>
      <c r="M1466" s="14">
        <v>9385.2999999999993</v>
      </c>
      <c r="N1466" s="14">
        <v>11217.5</v>
      </c>
      <c r="O1466" s="14">
        <v>7174</v>
      </c>
      <c r="P1466" s="14">
        <v>17539</v>
      </c>
      <c r="Q1466" s="14">
        <v>12321</v>
      </c>
      <c r="R1466" s="14">
        <v>8830</v>
      </c>
      <c r="S1466" s="14">
        <v>8091.6</v>
      </c>
      <c r="T1466" s="14">
        <v>6744.1</v>
      </c>
      <c r="U1466" s="14">
        <v>8338.2999999999993</v>
      </c>
      <c r="V1466" s="14">
        <v>12331.4</v>
      </c>
      <c r="W1466" s="14">
        <v>18992.3</v>
      </c>
      <c r="X1466" s="14">
        <v>24159.8</v>
      </c>
      <c r="Y1466" s="14">
        <v>32109.7</v>
      </c>
      <c r="Z1466" s="14">
        <v>21305.1</v>
      </c>
      <c r="AA1466" s="14"/>
      <c r="AB1466" s="14"/>
      <c r="AC1466" s="15">
        <f>IFERROR(Z1466/G1466-1,"")</f>
        <v>2.4747529112437614</v>
      </c>
      <c r="AD1466" s="15">
        <f>IFERROR((Z1466/G1466)^(1/19)-1,"")</f>
        <v>6.7750246580667195E-2</v>
      </c>
    </row>
    <row r="1467" spans="1:30">
      <c r="A1467" s="45" t="s">
        <v>259</v>
      </c>
      <c r="B1467" s="45" t="s">
        <v>260</v>
      </c>
      <c r="C1467" s="45" t="s">
        <v>490</v>
      </c>
      <c r="D1467" s="45" t="s">
        <v>491</v>
      </c>
      <c r="E1467" s="45" t="s">
        <v>492</v>
      </c>
      <c r="F1467" s="45" t="s">
        <v>493</v>
      </c>
      <c r="G1467" s="14">
        <v>18298</v>
      </c>
      <c r="H1467" s="14">
        <v>19068</v>
      </c>
      <c r="I1467" s="14">
        <v>21125</v>
      </c>
      <c r="J1467" s="14">
        <v>21709</v>
      </c>
      <c r="K1467" s="14">
        <v>25162</v>
      </c>
      <c r="L1467" s="14">
        <v>26739</v>
      </c>
      <c r="M1467" s="14">
        <v>29672</v>
      </c>
      <c r="N1467" s="14">
        <v>31966</v>
      </c>
      <c r="O1467" s="14">
        <v>37069</v>
      </c>
      <c r="P1467" s="14">
        <v>45438</v>
      </c>
      <c r="Q1467" s="14">
        <v>51983</v>
      </c>
      <c r="R1467" s="14">
        <v>59261</v>
      </c>
      <c r="S1467" s="14">
        <v>64358</v>
      </c>
      <c r="T1467" s="14">
        <v>71203</v>
      </c>
      <c r="U1467" s="14">
        <v>75779</v>
      </c>
      <c r="V1467" s="14">
        <v>73353</v>
      </c>
      <c r="W1467" s="14">
        <v>83465</v>
      </c>
      <c r="X1467" s="14">
        <v>95592</v>
      </c>
      <c r="Y1467" s="14">
        <v>98846</v>
      </c>
      <c r="Z1467" s="14">
        <v>118874</v>
      </c>
      <c r="AA1467" s="14">
        <v>134900</v>
      </c>
      <c r="AB1467" s="14">
        <v>162339</v>
      </c>
    </row>
    <row r="1468" spans="1:30">
      <c r="A1468" s="45" t="s">
        <v>259</v>
      </c>
      <c r="B1468" s="45" t="s">
        <v>260</v>
      </c>
      <c r="C1468" s="45" t="s">
        <v>490</v>
      </c>
      <c r="D1468" s="45" t="s">
        <v>494</v>
      </c>
      <c r="E1468" s="45" t="s">
        <v>492</v>
      </c>
      <c r="F1468" s="45" t="s">
        <v>493</v>
      </c>
      <c r="G1468" s="14">
        <v>17524</v>
      </c>
      <c r="H1468" s="14">
        <v>18378</v>
      </c>
      <c r="I1468" s="14">
        <v>20321</v>
      </c>
      <c r="J1468" s="14">
        <v>20686</v>
      </c>
      <c r="K1468" s="14">
        <v>23430</v>
      </c>
      <c r="L1468" s="14">
        <v>24660</v>
      </c>
      <c r="M1468" s="14">
        <v>27576</v>
      </c>
      <c r="N1468" s="14">
        <v>29966</v>
      </c>
      <c r="O1468" s="14">
        <v>34079</v>
      </c>
      <c r="P1468" s="14">
        <v>41261</v>
      </c>
      <c r="Q1468" s="14">
        <v>47178</v>
      </c>
      <c r="R1468" s="14">
        <v>54197</v>
      </c>
      <c r="S1468" s="14">
        <v>58618</v>
      </c>
      <c r="T1468" s="14">
        <v>64713</v>
      </c>
      <c r="U1468" s="14">
        <v>72394</v>
      </c>
      <c r="V1468" s="14">
        <v>70498</v>
      </c>
      <c r="W1468" s="14">
        <v>78753</v>
      </c>
      <c r="X1468" s="14">
        <v>89971</v>
      </c>
      <c r="Y1468" s="14">
        <v>93509</v>
      </c>
      <c r="Z1468" s="14">
        <v>111030</v>
      </c>
      <c r="AA1468" s="14"/>
      <c r="AB1468" s="14"/>
    </row>
    <row r="1469" spans="1:30">
      <c r="A1469" s="45" t="s">
        <v>259</v>
      </c>
      <c r="B1469" s="45" t="s">
        <v>260</v>
      </c>
      <c r="C1469" s="45" t="s">
        <v>490</v>
      </c>
      <c r="D1469" s="45" t="s">
        <v>495</v>
      </c>
      <c r="E1469" s="45" t="s">
        <v>492</v>
      </c>
      <c r="F1469" s="45" t="s">
        <v>493</v>
      </c>
      <c r="G1469" s="14">
        <v>1167</v>
      </c>
      <c r="H1469" s="14">
        <v>982</v>
      </c>
      <c r="I1469" s="14">
        <v>1274</v>
      </c>
      <c r="J1469" s="14">
        <v>1521</v>
      </c>
      <c r="K1469" s="14">
        <v>1549</v>
      </c>
      <c r="L1469" s="14">
        <v>2075</v>
      </c>
      <c r="M1469" s="14">
        <v>2090</v>
      </c>
      <c r="N1469" s="14">
        <v>1670</v>
      </c>
      <c r="O1469" s="14">
        <v>2331</v>
      </c>
      <c r="P1469" s="14">
        <v>3700</v>
      </c>
      <c r="Q1469" s="14">
        <v>7094</v>
      </c>
      <c r="R1469" s="14">
        <v>6134</v>
      </c>
      <c r="S1469" s="14">
        <v>7668</v>
      </c>
      <c r="T1469" s="14">
        <v>6933</v>
      </c>
      <c r="U1469" s="14">
        <v>10295</v>
      </c>
      <c r="V1469" s="14">
        <v>7035</v>
      </c>
      <c r="W1469" s="14">
        <v>7340</v>
      </c>
      <c r="X1469" s="14">
        <v>5000</v>
      </c>
      <c r="Y1469" s="14">
        <v>3930</v>
      </c>
      <c r="Z1469" s="14">
        <v>6653</v>
      </c>
      <c r="AA1469" s="14"/>
      <c r="AB1469" s="14"/>
    </row>
    <row r="1470" spans="1:30">
      <c r="A1470" s="45" t="s">
        <v>259</v>
      </c>
      <c r="B1470" s="45" t="s">
        <v>260</v>
      </c>
      <c r="C1470" s="45" t="s">
        <v>490</v>
      </c>
      <c r="D1470" s="45" t="s">
        <v>496</v>
      </c>
      <c r="E1470" s="45" t="s">
        <v>492</v>
      </c>
      <c r="F1470" s="45" t="s">
        <v>493</v>
      </c>
      <c r="G1470" s="14">
        <v>3867</v>
      </c>
      <c r="H1470" s="14">
        <v>4041</v>
      </c>
      <c r="I1470" s="14">
        <v>4366</v>
      </c>
      <c r="J1470" s="14">
        <v>4275</v>
      </c>
      <c r="K1470" s="14">
        <v>4792</v>
      </c>
      <c r="L1470" s="14">
        <v>5399</v>
      </c>
      <c r="M1470" s="14">
        <v>5419</v>
      </c>
      <c r="N1470" s="14">
        <v>5619</v>
      </c>
      <c r="O1470" s="14">
        <v>6987</v>
      </c>
      <c r="P1470" s="14">
        <v>8782</v>
      </c>
      <c r="Q1470" s="14">
        <v>10276</v>
      </c>
      <c r="R1470" s="14">
        <v>11704</v>
      </c>
      <c r="S1470" s="14">
        <v>11498</v>
      </c>
      <c r="T1470" s="14">
        <v>13947</v>
      </c>
      <c r="U1470" s="14">
        <v>16131</v>
      </c>
      <c r="V1470" s="14">
        <v>16581</v>
      </c>
      <c r="W1470" s="14">
        <v>23911</v>
      </c>
      <c r="X1470" s="14">
        <v>27953</v>
      </c>
      <c r="Y1470" s="14">
        <v>30688</v>
      </c>
      <c r="Z1470" s="14">
        <v>41904</v>
      </c>
      <c r="AA1470" s="14"/>
      <c r="AB1470" s="14"/>
    </row>
    <row r="1471" spans="1:30">
      <c r="A1471" s="45" t="s">
        <v>259</v>
      </c>
      <c r="B1471" s="45" t="s">
        <v>260</v>
      </c>
      <c r="C1471" s="45" t="s">
        <v>490</v>
      </c>
      <c r="D1471" s="45" t="s">
        <v>497</v>
      </c>
      <c r="E1471" s="45" t="s">
        <v>492</v>
      </c>
      <c r="F1471" s="45" t="s">
        <v>493</v>
      </c>
      <c r="G1471" s="14">
        <v>9510</v>
      </c>
      <c r="H1471" s="14">
        <v>9717</v>
      </c>
      <c r="I1471" s="14">
        <v>10600</v>
      </c>
      <c r="J1471" s="14">
        <v>11167</v>
      </c>
      <c r="K1471" s="14">
        <v>12386</v>
      </c>
      <c r="L1471" s="14">
        <v>14117</v>
      </c>
      <c r="M1471" s="14">
        <v>16096</v>
      </c>
      <c r="N1471" s="14">
        <v>17884</v>
      </c>
      <c r="O1471" s="14">
        <v>20584</v>
      </c>
      <c r="P1471" s="14">
        <v>23566</v>
      </c>
      <c r="Q1471" s="14">
        <v>25447</v>
      </c>
      <c r="R1471" s="14">
        <v>31034</v>
      </c>
      <c r="S1471" s="14">
        <v>32510</v>
      </c>
      <c r="T1471" s="14">
        <v>35435</v>
      </c>
      <c r="U1471" s="14">
        <v>37896</v>
      </c>
      <c r="V1471" s="14">
        <v>38903</v>
      </c>
      <c r="W1471" s="14">
        <v>39460</v>
      </c>
      <c r="X1471" s="14">
        <v>42515</v>
      </c>
      <c r="Y1471" s="14">
        <v>43973</v>
      </c>
      <c r="Z1471" s="14">
        <v>46063</v>
      </c>
      <c r="AA1471" s="14"/>
      <c r="AB1471" s="14"/>
    </row>
    <row r="1472" spans="1:30">
      <c r="A1472" s="45" t="s">
        <v>259</v>
      </c>
      <c r="B1472" s="45" t="s">
        <v>260</v>
      </c>
      <c r="C1472" s="45" t="s">
        <v>498</v>
      </c>
      <c r="D1472" s="45" t="s">
        <v>491</v>
      </c>
      <c r="E1472" s="45" t="s">
        <v>499</v>
      </c>
      <c r="F1472" s="45" t="s">
        <v>500</v>
      </c>
      <c r="G1472" s="14">
        <v>34762.1</v>
      </c>
      <c r="H1472" s="14">
        <v>31749.599999999999</v>
      </c>
      <c r="I1472" s="14">
        <v>32645.5</v>
      </c>
      <c r="J1472" s="14">
        <v>31227.200000000001</v>
      </c>
      <c r="K1472" s="14">
        <v>33896.9</v>
      </c>
      <c r="L1472" s="14">
        <v>33843</v>
      </c>
      <c r="M1472" s="14">
        <v>34524.400000000001</v>
      </c>
      <c r="N1472" s="14">
        <v>34658.6</v>
      </c>
      <c r="O1472" s="14">
        <v>37069</v>
      </c>
      <c r="P1472" s="14">
        <v>41948.5</v>
      </c>
      <c r="Q1472" s="14">
        <v>44459.4</v>
      </c>
      <c r="R1472" s="14">
        <v>47145.9</v>
      </c>
      <c r="S1472" s="14">
        <v>47475.6</v>
      </c>
      <c r="T1472" s="14">
        <v>48830.5</v>
      </c>
      <c r="U1472" s="14">
        <v>48073</v>
      </c>
      <c r="V1472" s="14">
        <v>44886</v>
      </c>
      <c r="W1472" s="14">
        <v>48877.4</v>
      </c>
      <c r="X1472" s="14">
        <v>53710.2</v>
      </c>
      <c r="Y1472" s="14">
        <v>52162.3</v>
      </c>
      <c r="Z1472" s="14">
        <v>55491.199999999997</v>
      </c>
      <c r="AA1472" s="14"/>
      <c r="AB1472" s="14"/>
      <c r="AC1472" s="15">
        <f>IFERROR(Z1472/G1472-1,"")</f>
        <v>0.59631322618598981</v>
      </c>
      <c r="AD1472" s="15">
        <f>IFERROR((Z1472/G1472)^(1/19)-1,"")</f>
        <v>2.4921083301419955E-2</v>
      </c>
    </row>
    <row r="1473" spans="1:30">
      <c r="A1473" s="45" t="s">
        <v>259</v>
      </c>
      <c r="B1473" s="45" t="s">
        <v>260</v>
      </c>
      <c r="C1473" s="45" t="s">
        <v>498</v>
      </c>
      <c r="D1473" s="45" t="s">
        <v>495</v>
      </c>
      <c r="E1473" s="45" t="s">
        <v>499</v>
      </c>
      <c r="F1473" s="45" t="s">
        <v>500</v>
      </c>
      <c r="G1473" s="14">
        <v>2217.1</v>
      </c>
      <c r="H1473" s="14">
        <v>1635.2</v>
      </c>
      <c r="I1473" s="14">
        <v>1968.8</v>
      </c>
      <c r="J1473" s="14">
        <v>2188.6</v>
      </c>
      <c r="K1473" s="14">
        <v>2086.5</v>
      </c>
      <c r="L1473" s="14">
        <v>2626.2</v>
      </c>
      <c r="M1473" s="14">
        <v>2431.6</v>
      </c>
      <c r="N1473" s="14">
        <v>1810.7</v>
      </c>
      <c r="O1473" s="14">
        <v>2331</v>
      </c>
      <c r="P1473" s="14">
        <v>3415.8</v>
      </c>
      <c r="Q1473" s="14">
        <v>6067.3</v>
      </c>
      <c r="R1473" s="14">
        <v>4880</v>
      </c>
      <c r="S1473" s="14">
        <v>5656.5</v>
      </c>
      <c r="T1473" s="14">
        <v>4754.6000000000004</v>
      </c>
      <c r="U1473" s="14">
        <v>6531</v>
      </c>
      <c r="V1473" s="14">
        <v>4304.8</v>
      </c>
      <c r="W1473" s="14">
        <v>4298.3</v>
      </c>
      <c r="X1473" s="14">
        <v>2809.3</v>
      </c>
      <c r="Y1473" s="14">
        <v>2073.9</v>
      </c>
      <c r="Z1473" s="14">
        <v>3105.7</v>
      </c>
      <c r="AA1473" s="14"/>
      <c r="AB1473" s="14"/>
      <c r="AC1473" s="15">
        <f>IFERROR(Z1473/G1473-1,"")</f>
        <v>0.40079382977763744</v>
      </c>
      <c r="AD1473" s="15">
        <f>IFERROR((Z1473/G1473)^(1/19)-1,"")</f>
        <v>1.7897168589090739E-2</v>
      </c>
    </row>
    <row r="1474" spans="1:30">
      <c r="A1474" s="45" t="s">
        <v>259</v>
      </c>
      <c r="B1474" s="45" t="s">
        <v>260</v>
      </c>
      <c r="C1474" s="45" t="s">
        <v>498</v>
      </c>
      <c r="D1474" s="45" t="s">
        <v>496</v>
      </c>
      <c r="E1474" s="45" t="s">
        <v>499</v>
      </c>
      <c r="F1474" s="45" t="s">
        <v>500</v>
      </c>
      <c r="G1474" s="14">
        <v>7345.8</v>
      </c>
      <c r="H1474" s="14">
        <v>6728.5</v>
      </c>
      <c r="I1474" s="14">
        <v>6747.1</v>
      </c>
      <c r="J1474" s="14">
        <v>6149.8</v>
      </c>
      <c r="K1474" s="14">
        <v>6456.1</v>
      </c>
      <c r="L1474" s="14">
        <v>6832.8</v>
      </c>
      <c r="M1474" s="14">
        <v>6305.4</v>
      </c>
      <c r="N1474" s="14">
        <v>6092.3</v>
      </c>
      <c r="O1474" s="14">
        <v>6987</v>
      </c>
      <c r="P1474" s="14">
        <v>8107.6</v>
      </c>
      <c r="Q1474" s="14">
        <v>8788.7000000000007</v>
      </c>
      <c r="R1474" s="14">
        <v>9311.2999999999993</v>
      </c>
      <c r="S1474" s="14">
        <v>8481.7999999999993</v>
      </c>
      <c r="T1474" s="14">
        <v>9564.7000000000007</v>
      </c>
      <c r="U1474" s="14">
        <v>10233.299999999999</v>
      </c>
      <c r="V1474" s="14">
        <v>10146.200000000001</v>
      </c>
      <c r="W1474" s="14">
        <v>14002.4</v>
      </c>
      <c r="X1474" s="14">
        <v>15705.9</v>
      </c>
      <c r="Y1474" s="14">
        <v>16194.5</v>
      </c>
      <c r="Z1474" s="14">
        <v>19561.099999999999</v>
      </c>
      <c r="AA1474" s="14"/>
      <c r="AB1474" s="14"/>
      <c r="AC1474" s="15">
        <f>IFERROR(Z1474/G1474-1,"")</f>
        <v>1.6628958044052382</v>
      </c>
      <c r="AD1474" s="15">
        <f>IFERROR((Z1474/G1474)^(1/19)-1,"")</f>
        <v>5.2899845012438051E-2</v>
      </c>
    </row>
    <row r="1475" spans="1:30">
      <c r="A1475" s="45" t="s">
        <v>259</v>
      </c>
      <c r="B1475" s="45" t="s">
        <v>260</v>
      </c>
      <c r="C1475" s="45" t="s">
        <v>498</v>
      </c>
      <c r="D1475" s="45" t="s">
        <v>497</v>
      </c>
      <c r="E1475" s="45" t="s">
        <v>499</v>
      </c>
      <c r="F1475" s="45" t="s">
        <v>500</v>
      </c>
      <c r="G1475" s="14">
        <v>18066.400000000001</v>
      </c>
      <c r="H1475" s="14">
        <v>16179.4</v>
      </c>
      <c r="I1475" s="14">
        <v>16380</v>
      </c>
      <c r="J1475" s="14">
        <v>16063.5</v>
      </c>
      <c r="K1475" s="14">
        <v>16685.5</v>
      </c>
      <c r="L1475" s="14">
        <v>17867.599999999999</v>
      </c>
      <c r="M1475" s="14">
        <v>18728.5</v>
      </c>
      <c r="N1475" s="14">
        <v>19390.400000000001</v>
      </c>
      <c r="O1475" s="14">
        <v>20584</v>
      </c>
      <c r="P1475" s="14">
        <v>21756.2</v>
      </c>
      <c r="Q1475" s="14">
        <v>21764</v>
      </c>
      <c r="R1475" s="14">
        <v>24689.5</v>
      </c>
      <c r="S1475" s="14">
        <v>23982</v>
      </c>
      <c r="T1475" s="14">
        <v>24301</v>
      </c>
      <c r="U1475" s="14">
        <v>24040.6</v>
      </c>
      <c r="V1475" s="14">
        <v>23805.5</v>
      </c>
      <c r="W1475" s="14">
        <v>23107.9</v>
      </c>
      <c r="X1475" s="14">
        <v>23887.9</v>
      </c>
      <c r="Y1475" s="14">
        <v>23205.1</v>
      </c>
      <c r="Z1475" s="14">
        <v>21503</v>
      </c>
      <c r="AA1475" s="14"/>
      <c r="AB1475" s="14"/>
      <c r="AC1475" s="15">
        <f>IFERROR(Z1475/G1475-1,"")</f>
        <v>0.19022051986007171</v>
      </c>
      <c r="AD1475" s="15">
        <f>IFERROR((Z1475/G1475)^(1/19)-1,"")</f>
        <v>9.207318471482262E-3</v>
      </c>
    </row>
    <row r="1476" spans="1:30">
      <c r="A1476" s="45" t="s">
        <v>259</v>
      </c>
      <c r="B1476" s="45" t="s">
        <v>260</v>
      </c>
      <c r="C1476" s="45" t="s">
        <v>498</v>
      </c>
      <c r="D1476" s="45" t="s">
        <v>501</v>
      </c>
      <c r="E1476" s="45" t="s">
        <v>499</v>
      </c>
      <c r="F1476" s="45" t="s">
        <v>500</v>
      </c>
      <c r="G1476" s="14">
        <v>5661</v>
      </c>
      <c r="H1476" s="14">
        <v>6058.4</v>
      </c>
      <c r="I1476" s="14">
        <v>6306</v>
      </c>
      <c r="J1476" s="14">
        <v>5353.8</v>
      </c>
      <c r="K1476" s="14">
        <v>6336.2</v>
      </c>
      <c r="L1476" s="14">
        <v>3884.6</v>
      </c>
      <c r="M1476" s="14">
        <v>4620.6000000000004</v>
      </c>
      <c r="N1476" s="14">
        <v>5196.7</v>
      </c>
      <c r="O1476" s="14">
        <v>4176</v>
      </c>
      <c r="P1476" s="14">
        <v>4812.7</v>
      </c>
      <c r="Q1476" s="14">
        <v>3730.7</v>
      </c>
      <c r="R1476" s="14">
        <v>4237.2</v>
      </c>
      <c r="S1476" s="14">
        <v>5121</v>
      </c>
      <c r="T1476" s="14">
        <v>5759.3</v>
      </c>
      <c r="U1476" s="14">
        <v>5120.7</v>
      </c>
      <c r="V1476" s="14">
        <v>4882.5</v>
      </c>
      <c r="W1476" s="14">
        <v>4709.3999999999996</v>
      </c>
      <c r="X1476" s="14">
        <v>8148.8</v>
      </c>
      <c r="Y1476" s="14">
        <v>7872.4</v>
      </c>
      <c r="Z1476" s="14">
        <v>7660.3</v>
      </c>
      <c r="AA1476" s="14"/>
      <c r="AB1476" s="14"/>
      <c r="AC1476" s="15">
        <f>IFERROR(Z1476/G1476-1,"")</f>
        <v>0.35317081787670035</v>
      </c>
      <c r="AD1476" s="15">
        <f>IFERROR((Z1476/G1476)^(1/19)-1,"")</f>
        <v>1.604582575909963E-2</v>
      </c>
    </row>
    <row r="1477" spans="1:30">
      <c r="A1477" s="45" t="s">
        <v>327</v>
      </c>
      <c r="B1477" s="45" t="s">
        <v>328</v>
      </c>
      <c r="C1477" s="45" t="s">
        <v>490</v>
      </c>
      <c r="D1477" s="45" t="s">
        <v>491</v>
      </c>
      <c r="E1477" s="45" t="s">
        <v>492</v>
      </c>
      <c r="F1477" s="45" t="s">
        <v>493</v>
      </c>
      <c r="G1477" s="14">
        <v>13060</v>
      </c>
      <c r="H1477" s="14">
        <v>16436</v>
      </c>
      <c r="I1477" s="14">
        <v>18492</v>
      </c>
      <c r="J1477" s="14">
        <v>20910</v>
      </c>
      <c r="K1477" s="14">
        <v>26009</v>
      </c>
      <c r="L1477" s="14">
        <v>28623</v>
      </c>
      <c r="M1477" s="14">
        <v>30421</v>
      </c>
      <c r="N1477" s="14">
        <v>32763</v>
      </c>
      <c r="O1477" s="14">
        <v>32263</v>
      </c>
      <c r="P1477" s="14">
        <v>36316</v>
      </c>
      <c r="Q1477" s="14">
        <v>39371</v>
      </c>
      <c r="R1477" s="14">
        <v>44749</v>
      </c>
      <c r="S1477" s="14">
        <v>47739</v>
      </c>
      <c r="T1477" s="14">
        <v>50790</v>
      </c>
      <c r="U1477" s="14">
        <v>49552</v>
      </c>
      <c r="V1477" s="14">
        <v>54688</v>
      </c>
      <c r="W1477" s="14">
        <v>57749</v>
      </c>
      <c r="X1477" s="14">
        <v>64213</v>
      </c>
      <c r="Y1477" s="14">
        <v>66698</v>
      </c>
      <c r="Z1477" s="14">
        <v>71897</v>
      </c>
      <c r="AA1477" s="14">
        <v>81783</v>
      </c>
      <c r="AB1477" s="14">
        <v>92368</v>
      </c>
    </row>
    <row r="1478" spans="1:30">
      <c r="A1478" s="45" t="s">
        <v>327</v>
      </c>
      <c r="B1478" s="45" t="s">
        <v>328</v>
      </c>
      <c r="C1478" s="45" t="s">
        <v>490</v>
      </c>
      <c r="D1478" s="45" t="s">
        <v>494</v>
      </c>
      <c r="E1478" s="45" t="s">
        <v>492</v>
      </c>
      <c r="F1478" s="45" t="s">
        <v>493</v>
      </c>
      <c r="G1478" s="14">
        <v>12666</v>
      </c>
      <c r="H1478" s="14">
        <v>16009</v>
      </c>
      <c r="I1478" s="14">
        <v>17979</v>
      </c>
      <c r="J1478" s="14">
        <v>20219</v>
      </c>
      <c r="K1478" s="14">
        <v>24389</v>
      </c>
      <c r="L1478" s="14">
        <v>26053</v>
      </c>
      <c r="M1478" s="14">
        <v>28029</v>
      </c>
      <c r="N1478" s="14">
        <v>30619</v>
      </c>
      <c r="O1478" s="14">
        <v>29848</v>
      </c>
      <c r="P1478" s="14">
        <v>33869</v>
      </c>
      <c r="Q1478" s="14">
        <v>36324</v>
      </c>
      <c r="R1478" s="14">
        <v>41272</v>
      </c>
      <c r="S1478" s="14">
        <v>44129</v>
      </c>
      <c r="T1478" s="14">
        <v>47185</v>
      </c>
      <c r="U1478" s="14">
        <v>48119</v>
      </c>
      <c r="V1478" s="14">
        <v>53220</v>
      </c>
      <c r="W1478" s="14">
        <v>56181</v>
      </c>
      <c r="X1478" s="14">
        <v>62150</v>
      </c>
      <c r="Y1478" s="14">
        <v>64766</v>
      </c>
      <c r="Z1478" s="14">
        <v>69105</v>
      </c>
      <c r="AA1478" s="14"/>
      <c r="AB1478" s="14"/>
    </row>
    <row r="1479" spans="1:30">
      <c r="A1479" s="45" t="s">
        <v>327</v>
      </c>
      <c r="B1479" s="45" t="s">
        <v>328</v>
      </c>
      <c r="C1479" s="45" t="s">
        <v>490</v>
      </c>
      <c r="D1479" s="45" t="s">
        <v>495</v>
      </c>
      <c r="E1479" s="45" t="s">
        <v>492</v>
      </c>
      <c r="F1479" s="45" t="s">
        <v>493</v>
      </c>
      <c r="G1479" s="14">
        <v>764</v>
      </c>
      <c r="H1479" s="14">
        <v>865</v>
      </c>
      <c r="I1479" s="14">
        <v>692</v>
      </c>
      <c r="J1479" s="14">
        <v>738</v>
      </c>
      <c r="K1479" s="14">
        <v>803</v>
      </c>
      <c r="L1479" s="14">
        <v>1090</v>
      </c>
      <c r="M1479" s="14">
        <v>963</v>
      </c>
      <c r="N1479" s="14">
        <v>956</v>
      </c>
      <c r="O1479" s="14">
        <v>856</v>
      </c>
      <c r="P1479" s="14">
        <v>1143</v>
      </c>
      <c r="Q1479" s="14">
        <v>1389</v>
      </c>
      <c r="R1479" s="14">
        <v>1461</v>
      </c>
      <c r="S1479" s="14">
        <v>1542</v>
      </c>
      <c r="T1479" s="14">
        <v>1509</v>
      </c>
      <c r="U1479" s="14">
        <v>1797</v>
      </c>
      <c r="V1479" s="14">
        <v>1593</v>
      </c>
      <c r="W1479" s="14">
        <v>1812</v>
      </c>
      <c r="X1479" s="14">
        <v>1936</v>
      </c>
      <c r="Y1479" s="14">
        <v>1899</v>
      </c>
      <c r="Z1479" s="14">
        <v>2343</v>
      </c>
      <c r="AA1479" s="14"/>
      <c r="AB1479" s="14"/>
    </row>
    <row r="1480" spans="1:30">
      <c r="A1480" s="45" t="s">
        <v>327</v>
      </c>
      <c r="B1480" s="45" t="s">
        <v>328</v>
      </c>
      <c r="C1480" s="45" t="s">
        <v>490</v>
      </c>
      <c r="D1480" s="45" t="s">
        <v>496</v>
      </c>
      <c r="E1480" s="45" t="s">
        <v>492</v>
      </c>
      <c r="F1480" s="45" t="s">
        <v>493</v>
      </c>
      <c r="G1480" s="14">
        <v>1809</v>
      </c>
      <c r="H1480" s="14">
        <v>2235</v>
      </c>
      <c r="I1480" s="14">
        <v>2725</v>
      </c>
      <c r="J1480" s="14">
        <v>3022</v>
      </c>
      <c r="K1480" s="14">
        <v>3738</v>
      </c>
      <c r="L1480" s="14">
        <v>4109</v>
      </c>
      <c r="M1480" s="14">
        <v>4029</v>
      </c>
      <c r="N1480" s="14">
        <v>4623</v>
      </c>
      <c r="O1480" s="14">
        <v>4949</v>
      </c>
      <c r="P1480" s="14">
        <v>5627</v>
      </c>
      <c r="Q1480" s="14">
        <v>6267</v>
      </c>
      <c r="R1480" s="14">
        <v>7068</v>
      </c>
      <c r="S1480" s="14">
        <v>7659</v>
      </c>
      <c r="T1480" s="14">
        <v>8883</v>
      </c>
      <c r="U1480" s="14">
        <v>9117</v>
      </c>
      <c r="V1480" s="14">
        <v>10366</v>
      </c>
      <c r="W1480" s="14">
        <v>11498</v>
      </c>
      <c r="X1480" s="14">
        <v>13880</v>
      </c>
      <c r="Y1480" s="14">
        <v>14425</v>
      </c>
      <c r="Z1480" s="14">
        <v>15200</v>
      </c>
      <c r="AA1480" s="14"/>
      <c r="AB1480" s="14"/>
    </row>
    <row r="1481" spans="1:30">
      <c r="A1481" s="45" t="s">
        <v>327</v>
      </c>
      <c r="B1481" s="45" t="s">
        <v>328</v>
      </c>
      <c r="C1481" s="45" t="s">
        <v>490</v>
      </c>
      <c r="D1481" s="45" t="s">
        <v>497</v>
      </c>
      <c r="E1481" s="45" t="s">
        <v>492</v>
      </c>
      <c r="F1481" s="45" t="s">
        <v>493</v>
      </c>
      <c r="G1481" s="14">
        <v>8344</v>
      </c>
      <c r="H1481" s="14">
        <v>9012</v>
      </c>
      <c r="I1481" s="14">
        <v>10403</v>
      </c>
      <c r="J1481" s="14">
        <v>12240</v>
      </c>
      <c r="K1481" s="14">
        <v>13948</v>
      </c>
      <c r="L1481" s="14">
        <v>15295</v>
      </c>
      <c r="M1481" s="14">
        <v>16525</v>
      </c>
      <c r="N1481" s="14">
        <v>18745</v>
      </c>
      <c r="O1481" s="14">
        <v>20006</v>
      </c>
      <c r="P1481" s="14">
        <v>22731</v>
      </c>
      <c r="Q1481" s="14">
        <v>24675</v>
      </c>
      <c r="R1481" s="14">
        <v>27457</v>
      </c>
      <c r="S1481" s="14">
        <v>29395</v>
      </c>
      <c r="T1481" s="14">
        <v>31611</v>
      </c>
      <c r="U1481" s="14">
        <v>31783</v>
      </c>
      <c r="V1481" s="14">
        <v>35315</v>
      </c>
      <c r="W1481" s="14">
        <v>35866</v>
      </c>
      <c r="X1481" s="14">
        <v>39431</v>
      </c>
      <c r="Y1481" s="14">
        <v>41087</v>
      </c>
      <c r="Z1481" s="14">
        <v>43900</v>
      </c>
      <c r="AA1481" s="14"/>
      <c r="AB1481" s="14"/>
    </row>
    <row r="1482" spans="1:30">
      <c r="A1482" s="45" t="s">
        <v>327</v>
      </c>
      <c r="B1482" s="45" t="s">
        <v>328</v>
      </c>
      <c r="C1482" s="45" t="s">
        <v>498</v>
      </c>
      <c r="D1482" s="45" t="s">
        <v>491</v>
      </c>
      <c r="E1482" s="45" t="s">
        <v>499</v>
      </c>
      <c r="F1482" s="45" t="s">
        <v>500</v>
      </c>
      <c r="G1482" s="14">
        <v>24811.200000000001</v>
      </c>
      <c r="H1482" s="14">
        <v>27368.6</v>
      </c>
      <c r="I1482" s="14">
        <v>28576.6</v>
      </c>
      <c r="J1482" s="14">
        <v>30076.9</v>
      </c>
      <c r="K1482" s="14">
        <v>35037.9</v>
      </c>
      <c r="L1482" s="14">
        <v>36227</v>
      </c>
      <c r="M1482" s="14">
        <v>35395.800000000003</v>
      </c>
      <c r="N1482" s="14">
        <v>35522.699999999997</v>
      </c>
      <c r="O1482" s="14">
        <v>32263</v>
      </c>
      <c r="P1482" s="14">
        <v>33527</v>
      </c>
      <c r="Q1482" s="14">
        <v>33672.699999999997</v>
      </c>
      <c r="R1482" s="14">
        <v>35600.699999999997</v>
      </c>
      <c r="S1482" s="14">
        <v>35216.1</v>
      </c>
      <c r="T1482" s="14">
        <v>34831.4</v>
      </c>
      <c r="U1482" s="14">
        <v>31435</v>
      </c>
      <c r="V1482" s="14">
        <v>33464.6</v>
      </c>
      <c r="W1482" s="14">
        <v>33818</v>
      </c>
      <c r="X1482" s="14">
        <v>36079.300000000003</v>
      </c>
      <c r="Y1482" s="14">
        <v>35197.4</v>
      </c>
      <c r="Z1482" s="14">
        <v>33562</v>
      </c>
      <c r="AA1482" s="14"/>
      <c r="AB1482" s="14"/>
      <c r="AC1482" s="15">
        <f>IFERROR(Z1482/G1482-1,"")</f>
        <v>0.35269555684529563</v>
      </c>
      <c r="AD1482" s="15">
        <f>IFERROR((Z1482/G1482)^(1/19)-1,"")</f>
        <v>1.6027040744332588E-2</v>
      </c>
    </row>
    <row r="1483" spans="1:30">
      <c r="A1483" s="45" t="s">
        <v>327</v>
      </c>
      <c r="B1483" s="45" t="s">
        <v>328</v>
      </c>
      <c r="C1483" s="45" t="s">
        <v>498</v>
      </c>
      <c r="D1483" s="45" t="s">
        <v>495</v>
      </c>
      <c r="E1483" s="45" t="s">
        <v>499</v>
      </c>
      <c r="F1483" s="45" t="s">
        <v>500</v>
      </c>
      <c r="G1483" s="14">
        <v>1451.1</v>
      </c>
      <c r="H1483" s="14">
        <v>1439.6</v>
      </c>
      <c r="I1483" s="14">
        <v>1069.5999999999999</v>
      </c>
      <c r="J1483" s="14">
        <v>1062.0999999999999</v>
      </c>
      <c r="K1483" s="14">
        <v>1081.9000000000001</v>
      </c>
      <c r="L1483" s="14">
        <v>1379.3</v>
      </c>
      <c r="M1483" s="14">
        <v>1120.4000000000001</v>
      </c>
      <c r="N1483" s="14">
        <v>1036.5</v>
      </c>
      <c r="O1483" s="14">
        <v>856</v>
      </c>
      <c r="P1483" s="14">
        <v>1055.2</v>
      </c>
      <c r="Q1483" s="14">
        <v>1188</v>
      </c>
      <c r="R1483" s="14">
        <v>1162.3</v>
      </c>
      <c r="S1483" s="14">
        <v>1137.5</v>
      </c>
      <c r="T1483" s="14">
        <v>1034.9000000000001</v>
      </c>
      <c r="U1483" s="14">
        <v>1140</v>
      </c>
      <c r="V1483" s="14">
        <v>974.8</v>
      </c>
      <c r="W1483" s="14">
        <v>1061.0999999999999</v>
      </c>
      <c r="X1483" s="14">
        <v>1087.8</v>
      </c>
      <c r="Y1483" s="14">
        <v>1002.1</v>
      </c>
      <c r="Z1483" s="14">
        <v>1093.7</v>
      </c>
      <c r="AA1483" s="14"/>
      <c r="AB1483" s="14"/>
      <c r="AC1483" s="15">
        <f>IFERROR(Z1483/G1483-1,"")</f>
        <v>-0.2462959134449727</v>
      </c>
      <c r="AD1483" s="15">
        <f>IFERROR((Z1483/G1483)^(1/19)-1,"")</f>
        <v>-1.4771677902108205E-2</v>
      </c>
    </row>
    <row r="1484" spans="1:30">
      <c r="A1484" s="45" t="s">
        <v>327</v>
      </c>
      <c r="B1484" s="45" t="s">
        <v>328</v>
      </c>
      <c r="C1484" s="45" t="s">
        <v>498</v>
      </c>
      <c r="D1484" s="45" t="s">
        <v>496</v>
      </c>
      <c r="E1484" s="45" t="s">
        <v>499</v>
      </c>
      <c r="F1484" s="45" t="s">
        <v>500</v>
      </c>
      <c r="G1484" s="14">
        <v>3435.9</v>
      </c>
      <c r="H1484" s="14">
        <v>3722</v>
      </c>
      <c r="I1484" s="14">
        <v>4210.8</v>
      </c>
      <c r="J1484" s="14">
        <v>4347.5</v>
      </c>
      <c r="K1484" s="14">
        <v>5035.7</v>
      </c>
      <c r="L1484" s="14">
        <v>5200.7</v>
      </c>
      <c r="M1484" s="14">
        <v>4687.3</v>
      </c>
      <c r="N1484" s="14">
        <v>5012.3999999999996</v>
      </c>
      <c r="O1484" s="14">
        <v>4949</v>
      </c>
      <c r="P1484" s="14">
        <v>5194.8999999999996</v>
      </c>
      <c r="Q1484" s="14">
        <v>5360</v>
      </c>
      <c r="R1484" s="14">
        <v>5623</v>
      </c>
      <c r="S1484" s="14">
        <v>5649.9</v>
      </c>
      <c r="T1484" s="14">
        <v>6091.9</v>
      </c>
      <c r="U1484" s="14">
        <v>5783.7</v>
      </c>
      <c r="V1484" s="14">
        <v>6343.1</v>
      </c>
      <c r="W1484" s="14">
        <v>6733.3</v>
      </c>
      <c r="X1484" s="14">
        <v>7798.7</v>
      </c>
      <c r="Y1484" s="14">
        <v>7612.3</v>
      </c>
      <c r="Z1484" s="14">
        <v>7095.9</v>
      </c>
      <c r="AA1484" s="14"/>
      <c r="AB1484" s="14"/>
      <c r="AC1484" s="15">
        <f>IFERROR(Z1484/G1484-1,"")</f>
        <v>1.0652230856544134</v>
      </c>
      <c r="AD1484" s="15">
        <f>IFERROR((Z1484/G1484)^(1/19)-1,"")</f>
        <v>3.8908283433111812E-2</v>
      </c>
    </row>
    <row r="1485" spans="1:30">
      <c r="A1485" s="45" t="s">
        <v>327</v>
      </c>
      <c r="B1485" s="45" t="s">
        <v>328</v>
      </c>
      <c r="C1485" s="45" t="s">
        <v>498</v>
      </c>
      <c r="D1485" s="45" t="s">
        <v>497</v>
      </c>
      <c r="E1485" s="45" t="s">
        <v>499</v>
      </c>
      <c r="F1485" s="45" t="s">
        <v>500</v>
      </c>
      <c r="G1485" s="14">
        <v>15851.2</v>
      </c>
      <c r="H1485" s="14">
        <v>15006.1</v>
      </c>
      <c r="I1485" s="14">
        <v>16075.3</v>
      </c>
      <c r="J1485" s="14">
        <v>17605.900000000001</v>
      </c>
      <c r="K1485" s="14">
        <v>18790.7</v>
      </c>
      <c r="L1485" s="14">
        <v>19357.8</v>
      </c>
      <c r="M1485" s="14">
        <v>19226.900000000001</v>
      </c>
      <c r="N1485" s="14">
        <v>20324</v>
      </c>
      <c r="O1485" s="14">
        <v>20006</v>
      </c>
      <c r="P1485" s="14">
        <v>20985.3</v>
      </c>
      <c r="Q1485" s="14">
        <v>21103.7</v>
      </c>
      <c r="R1485" s="14">
        <v>21843.8</v>
      </c>
      <c r="S1485" s="14">
        <v>21684.1</v>
      </c>
      <c r="T1485" s="14">
        <v>21678.6</v>
      </c>
      <c r="U1485" s="14">
        <v>20162.599999999999</v>
      </c>
      <c r="V1485" s="14">
        <v>21609.9</v>
      </c>
      <c r="W1485" s="14">
        <v>21003.3</v>
      </c>
      <c r="X1485" s="14">
        <v>22155.1</v>
      </c>
      <c r="Y1485" s="14">
        <v>21682.1</v>
      </c>
      <c r="Z1485" s="14">
        <v>20493.8</v>
      </c>
      <c r="AA1485" s="14"/>
      <c r="AB1485" s="14"/>
      <c r="AC1485" s="15">
        <f>IFERROR(Z1485/G1485-1,"")</f>
        <v>0.29288634298980498</v>
      </c>
      <c r="AD1485" s="15">
        <f>IFERROR((Z1485/G1485)^(1/19)-1,"")</f>
        <v>1.3611658796644832E-2</v>
      </c>
    </row>
    <row r="1486" spans="1:30">
      <c r="A1486" s="45" t="s">
        <v>327</v>
      </c>
      <c r="B1486" s="45" t="s">
        <v>328</v>
      </c>
      <c r="C1486" s="45" t="s">
        <v>498</v>
      </c>
      <c r="D1486" s="45" t="s">
        <v>501</v>
      </c>
      <c r="E1486" s="45" t="s">
        <v>499</v>
      </c>
      <c r="F1486" s="45" t="s">
        <v>500</v>
      </c>
      <c r="G1486" s="14">
        <v>3323.1</v>
      </c>
      <c r="H1486" s="14">
        <v>6489.9</v>
      </c>
      <c r="I1486" s="14">
        <v>6428.2</v>
      </c>
      <c r="J1486" s="14">
        <v>6067.5</v>
      </c>
      <c r="K1486" s="14">
        <v>7947.3</v>
      </c>
      <c r="L1486" s="14">
        <v>7036.9</v>
      </c>
      <c r="M1486" s="14">
        <v>7577.8</v>
      </c>
      <c r="N1486" s="14">
        <v>6824.2</v>
      </c>
      <c r="O1486" s="14">
        <v>4037</v>
      </c>
      <c r="P1486" s="14">
        <v>4032.5</v>
      </c>
      <c r="Q1486" s="14">
        <v>3415.1</v>
      </c>
      <c r="R1486" s="14">
        <v>4205.3999999999996</v>
      </c>
      <c r="S1486" s="14">
        <v>4080.8</v>
      </c>
      <c r="T1486" s="14">
        <v>3554.5</v>
      </c>
      <c r="U1486" s="14">
        <v>3439.6</v>
      </c>
      <c r="V1486" s="14">
        <v>3638.5</v>
      </c>
      <c r="W1486" s="14">
        <v>4102.2</v>
      </c>
      <c r="X1486" s="14">
        <v>3878.6</v>
      </c>
      <c r="Y1486" s="14">
        <v>3880.3</v>
      </c>
      <c r="Z1486" s="14">
        <v>3576.2</v>
      </c>
      <c r="AA1486" s="14"/>
      <c r="AB1486" s="14"/>
      <c r="AC1486" s="15">
        <f>IFERROR(Z1486/G1486-1,"")</f>
        <v>7.6163822936414771E-2</v>
      </c>
      <c r="AD1486" s="15">
        <f>IFERROR((Z1486/G1486)^(1/19)-1,"")</f>
        <v>3.870772265782918E-3</v>
      </c>
    </row>
    <row r="1487" spans="1:30">
      <c r="A1487" s="45" t="s">
        <v>377</v>
      </c>
      <c r="B1487" s="45" t="s">
        <v>378</v>
      </c>
      <c r="C1487" s="45" t="s">
        <v>490</v>
      </c>
      <c r="D1487" s="45" t="s">
        <v>491</v>
      </c>
      <c r="E1487" s="45" t="s">
        <v>492</v>
      </c>
      <c r="F1487" s="45" t="s">
        <v>493</v>
      </c>
      <c r="G1487" s="14">
        <v>9403</v>
      </c>
      <c r="H1487" s="14">
        <v>10121</v>
      </c>
      <c r="I1487" s="14">
        <v>11958</v>
      </c>
      <c r="J1487" s="14">
        <v>12680</v>
      </c>
      <c r="K1487" s="14">
        <v>14344</v>
      </c>
      <c r="L1487" s="14">
        <v>17523</v>
      </c>
      <c r="M1487" s="14">
        <v>18846</v>
      </c>
      <c r="N1487" s="14">
        <v>20807</v>
      </c>
      <c r="O1487" s="14">
        <v>21971</v>
      </c>
      <c r="P1487" s="14">
        <v>23255</v>
      </c>
      <c r="Q1487" s="14">
        <v>24818</v>
      </c>
      <c r="R1487" s="14">
        <v>28095</v>
      </c>
      <c r="S1487" s="14">
        <v>31247</v>
      </c>
      <c r="T1487" s="14">
        <v>34040</v>
      </c>
      <c r="U1487" s="14">
        <v>34777</v>
      </c>
      <c r="V1487" s="14">
        <v>37323</v>
      </c>
      <c r="W1487" s="14">
        <v>39951</v>
      </c>
      <c r="X1487" s="14">
        <v>43736</v>
      </c>
      <c r="Y1487" s="14">
        <v>46709</v>
      </c>
      <c r="Z1487" s="14">
        <v>49786</v>
      </c>
      <c r="AA1487" s="14">
        <v>56138</v>
      </c>
      <c r="AB1487" s="14">
        <v>64722</v>
      </c>
    </row>
    <row r="1488" spans="1:30">
      <c r="A1488" s="45" t="s">
        <v>377</v>
      </c>
      <c r="B1488" s="45" t="s">
        <v>378</v>
      </c>
      <c r="C1488" s="45" t="s">
        <v>490</v>
      </c>
      <c r="D1488" s="45" t="s">
        <v>494</v>
      </c>
      <c r="E1488" s="45" t="s">
        <v>492</v>
      </c>
      <c r="F1488" s="45" t="s">
        <v>493</v>
      </c>
      <c r="G1488" s="14">
        <v>8918</v>
      </c>
      <c r="H1488" s="14">
        <v>9599</v>
      </c>
      <c r="I1488" s="14">
        <v>11297</v>
      </c>
      <c r="J1488" s="14">
        <v>12116</v>
      </c>
      <c r="K1488" s="14">
        <v>13574</v>
      </c>
      <c r="L1488" s="14">
        <v>16442</v>
      </c>
      <c r="M1488" s="14">
        <v>17649</v>
      </c>
      <c r="N1488" s="14">
        <v>19644</v>
      </c>
      <c r="O1488" s="14">
        <v>20859</v>
      </c>
      <c r="P1488" s="14">
        <v>22010</v>
      </c>
      <c r="Q1488" s="14">
        <v>23624</v>
      </c>
      <c r="R1488" s="14">
        <v>26713</v>
      </c>
      <c r="S1488" s="14">
        <v>29845</v>
      </c>
      <c r="T1488" s="14">
        <v>32360</v>
      </c>
      <c r="U1488" s="14">
        <v>33646</v>
      </c>
      <c r="V1488" s="14">
        <v>35854</v>
      </c>
      <c r="W1488" s="14">
        <v>38407</v>
      </c>
      <c r="X1488" s="14">
        <v>41995</v>
      </c>
      <c r="Y1488" s="14">
        <v>44697</v>
      </c>
      <c r="Z1488" s="14">
        <v>47329</v>
      </c>
      <c r="AA1488" s="14"/>
      <c r="AB1488" s="14"/>
    </row>
    <row r="1489" spans="1:30">
      <c r="A1489" s="45" t="s">
        <v>377</v>
      </c>
      <c r="B1489" s="45" t="s">
        <v>378</v>
      </c>
      <c r="C1489" s="45" t="s">
        <v>490</v>
      </c>
      <c r="D1489" s="45" t="s">
        <v>495</v>
      </c>
      <c r="E1489" s="45" t="s">
        <v>492</v>
      </c>
      <c r="F1489" s="45" t="s">
        <v>493</v>
      </c>
      <c r="G1489" s="14">
        <v>507</v>
      </c>
      <c r="H1489" s="14">
        <v>298</v>
      </c>
      <c r="I1489" s="14">
        <v>399</v>
      </c>
      <c r="J1489" s="14">
        <v>420</v>
      </c>
      <c r="K1489" s="14">
        <v>442</v>
      </c>
      <c r="L1489" s="14">
        <v>559</v>
      </c>
      <c r="M1489" s="14">
        <v>543</v>
      </c>
      <c r="N1489" s="14">
        <v>630</v>
      </c>
      <c r="O1489" s="14">
        <v>630</v>
      </c>
      <c r="P1489" s="14">
        <v>648</v>
      </c>
      <c r="Q1489" s="14">
        <v>791</v>
      </c>
      <c r="R1489" s="14">
        <v>891</v>
      </c>
      <c r="S1489" s="14">
        <v>1268</v>
      </c>
      <c r="T1489" s="14">
        <v>1603</v>
      </c>
      <c r="U1489" s="14">
        <v>1786</v>
      </c>
      <c r="V1489" s="14">
        <v>1355</v>
      </c>
      <c r="W1489" s="14">
        <v>1976</v>
      </c>
      <c r="X1489" s="14">
        <v>2455</v>
      </c>
      <c r="Y1489" s="14">
        <v>2487</v>
      </c>
      <c r="Z1489" s="14">
        <v>3051</v>
      </c>
      <c r="AA1489" s="14"/>
      <c r="AB1489" s="14"/>
    </row>
    <row r="1490" spans="1:30">
      <c r="A1490" s="45" t="s">
        <v>377</v>
      </c>
      <c r="B1490" s="45" t="s">
        <v>378</v>
      </c>
      <c r="C1490" s="45" t="s">
        <v>490</v>
      </c>
      <c r="D1490" s="45" t="s">
        <v>496</v>
      </c>
      <c r="E1490" s="45" t="s">
        <v>492</v>
      </c>
      <c r="F1490" s="45" t="s">
        <v>493</v>
      </c>
      <c r="G1490" s="14">
        <v>2409</v>
      </c>
      <c r="H1490" s="14">
        <v>2662</v>
      </c>
      <c r="I1490" s="14">
        <v>3358</v>
      </c>
      <c r="J1490" s="14">
        <v>3268</v>
      </c>
      <c r="K1490" s="14">
        <v>3688</v>
      </c>
      <c r="L1490" s="14">
        <v>4430</v>
      </c>
      <c r="M1490" s="14">
        <v>4347</v>
      </c>
      <c r="N1490" s="14">
        <v>4598</v>
      </c>
      <c r="O1490" s="14">
        <v>5368</v>
      </c>
      <c r="P1490" s="14">
        <v>4805</v>
      </c>
      <c r="Q1490" s="14">
        <v>5612</v>
      </c>
      <c r="R1490" s="14">
        <v>5986</v>
      </c>
      <c r="S1490" s="14">
        <v>6199</v>
      </c>
      <c r="T1490" s="14">
        <v>7792</v>
      </c>
      <c r="U1490" s="14">
        <v>7622</v>
      </c>
      <c r="V1490" s="14">
        <v>8995</v>
      </c>
      <c r="W1490" s="14">
        <v>9397</v>
      </c>
      <c r="X1490" s="14">
        <v>10594</v>
      </c>
      <c r="Y1490" s="14">
        <v>11731</v>
      </c>
      <c r="Z1490" s="14">
        <v>12535</v>
      </c>
      <c r="AA1490" s="14"/>
      <c r="AB1490" s="14"/>
    </row>
    <row r="1491" spans="1:30">
      <c r="A1491" s="45" t="s">
        <v>377</v>
      </c>
      <c r="B1491" s="45" t="s">
        <v>378</v>
      </c>
      <c r="C1491" s="45" t="s">
        <v>490</v>
      </c>
      <c r="D1491" s="45" t="s">
        <v>497</v>
      </c>
      <c r="E1491" s="45" t="s">
        <v>492</v>
      </c>
      <c r="F1491" s="45" t="s">
        <v>493</v>
      </c>
      <c r="G1491" s="14">
        <v>5148</v>
      </c>
      <c r="H1491" s="14">
        <v>5552</v>
      </c>
      <c r="I1491" s="14">
        <v>6158</v>
      </c>
      <c r="J1491" s="14">
        <v>7355</v>
      </c>
      <c r="K1491" s="14">
        <v>8163</v>
      </c>
      <c r="L1491" s="14">
        <v>10087</v>
      </c>
      <c r="M1491" s="14">
        <v>10774</v>
      </c>
      <c r="N1491" s="14">
        <v>12408</v>
      </c>
      <c r="O1491" s="14">
        <v>13692</v>
      </c>
      <c r="P1491" s="14">
        <v>14966</v>
      </c>
      <c r="Q1491" s="14">
        <v>16205</v>
      </c>
      <c r="R1491" s="14">
        <v>18663</v>
      </c>
      <c r="S1491" s="14">
        <v>20874</v>
      </c>
      <c r="T1491" s="14">
        <v>21666</v>
      </c>
      <c r="U1491" s="14">
        <v>22991</v>
      </c>
      <c r="V1491" s="14">
        <v>24105</v>
      </c>
      <c r="W1491" s="14">
        <v>25294</v>
      </c>
      <c r="X1491" s="14">
        <v>27486</v>
      </c>
      <c r="Y1491" s="14">
        <v>28631</v>
      </c>
      <c r="Z1491" s="14">
        <v>29640</v>
      </c>
      <c r="AA1491" s="14"/>
      <c r="AB1491" s="14"/>
    </row>
    <row r="1492" spans="1:30">
      <c r="A1492" s="45" t="s">
        <v>377</v>
      </c>
      <c r="B1492" s="45" t="s">
        <v>378</v>
      </c>
      <c r="C1492" s="45" t="s">
        <v>498</v>
      </c>
      <c r="D1492" s="45" t="s">
        <v>491</v>
      </c>
      <c r="E1492" s="45" t="s">
        <v>499</v>
      </c>
      <c r="F1492" s="45" t="s">
        <v>500</v>
      </c>
      <c r="G1492" s="14">
        <v>17863</v>
      </c>
      <c r="H1492" s="14">
        <v>16852.900000000001</v>
      </c>
      <c r="I1492" s="14">
        <v>18478.8</v>
      </c>
      <c r="J1492" s="14">
        <v>18238.8</v>
      </c>
      <c r="K1492" s="14">
        <v>19323.3</v>
      </c>
      <c r="L1492" s="14">
        <v>22177.8</v>
      </c>
      <c r="M1492" s="14">
        <v>21928.1</v>
      </c>
      <c r="N1492" s="14">
        <v>22559.599999999999</v>
      </c>
      <c r="O1492" s="14">
        <v>21971</v>
      </c>
      <c r="P1492" s="14">
        <v>21469.1</v>
      </c>
      <c r="Q1492" s="14">
        <v>21226</v>
      </c>
      <c r="R1492" s="14">
        <v>22351.4</v>
      </c>
      <c r="S1492" s="14">
        <v>23050.3</v>
      </c>
      <c r="T1492" s="14">
        <v>23344.400000000001</v>
      </c>
      <c r="U1492" s="14">
        <v>22062</v>
      </c>
      <c r="V1492" s="14">
        <v>22838.6</v>
      </c>
      <c r="W1492" s="14">
        <v>23395.5</v>
      </c>
      <c r="X1492" s="14">
        <v>24573.9</v>
      </c>
      <c r="Y1492" s="14">
        <v>24648.9</v>
      </c>
      <c r="Z1492" s="14">
        <v>23240.5</v>
      </c>
      <c r="AA1492" s="14"/>
      <c r="AB1492" s="14"/>
      <c r="AC1492" s="15">
        <f>IFERROR(Z1492/G1492-1,"")</f>
        <v>0.30104125846722285</v>
      </c>
      <c r="AD1492" s="15">
        <f>IFERROR((Z1492/G1492)^(1/19)-1,"")</f>
        <v>1.3947151361282772E-2</v>
      </c>
    </row>
    <row r="1493" spans="1:30">
      <c r="A1493" s="45" t="s">
        <v>377</v>
      </c>
      <c r="B1493" s="45" t="s">
        <v>378</v>
      </c>
      <c r="C1493" s="45" t="s">
        <v>498</v>
      </c>
      <c r="D1493" s="45" t="s">
        <v>495</v>
      </c>
      <c r="E1493" s="45" t="s">
        <v>499</v>
      </c>
      <c r="F1493" s="45" t="s">
        <v>500</v>
      </c>
      <c r="G1493" s="14">
        <v>963.4</v>
      </c>
      <c r="H1493" s="14">
        <v>496.8</v>
      </c>
      <c r="I1493" s="14">
        <v>616.9</v>
      </c>
      <c r="J1493" s="14">
        <v>603.6</v>
      </c>
      <c r="K1493" s="14">
        <v>595.5</v>
      </c>
      <c r="L1493" s="14">
        <v>707.6</v>
      </c>
      <c r="M1493" s="14">
        <v>631.6</v>
      </c>
      <c r="N1493" s="14">
        <v>683.1</v>
      </c>
      <c r="O1493" s="14">
        <v>630</v>
      </c>
      <c r="P1493" s="14">
        <v>598.20000000000005</v>
      </c>
      <c r="Q1493" s="14">
        <v>676.5</v>
      </c>
      <c r="R1493" s="14">
        <v>708.8</v>
      </c>
      <c r="S1493" s="14">
        <v>935.4</v>
      </c>
      <c r="T1493" s="14">
        <v>1099.3</v>
      </c>
      <c r="U1493" s="14">
        <v>1133</v>
      </c>
      <c r="V1493" s="14">
        <v>829.1</v>
      </c>
      <c r="W1493" s="14">
        <v>1157.2</v>
      </c>
      <c r="X1493" s="14">
        <v>1379.4</v>
      </c>
      <c r="Y1493" s="14">
        <v>1312.4</v>
      </c>
      <c r="Z1493" s="14">
        <v>1424.2</v>
      </c>
      <c r="AA1493" s="14"/>
      <c r="AB1493" s="14"/>
      <c r="AC1493" s="15">
        <f>IFERROR(Z1493/G1493-1,"")</f>
        <v>0.4783059995848038</v>
      </c>
      <c r="AD1493" s="15">
        <f>IFERROR((Z1493/G1493)^(1/19)-1,"")</f>
        <v>2.0786611425033463E-2</v>
      </c>
    </row>
    <row r="1494" spans="1:30">
      <c r="A1494" s="45" t="s">
        <v>377</v>
      </c>
      <c r="B1494" s="45" t="s">
        <v>378</v>
      </c>
      <c r="C1494" s="45" t="s">
        <v>498</v>
      </c>
      <c r="D1494" s="45" t="s">
        <v>496</v>
      </c>
      <c r="E1494" s="45" t="s">
        <v>499</v>
      </c>
      <c r="F1494" s="45" t="s">
        <v>500</v>
      </c>
      <c r="G1494" s="14">
        <v>4575.6000000000004</v>
      </c>
      <c r="H1494" s="14">
        <v>4432.1000000000004</v>
      </c>
      <c r="I1494" s="14">
        <v>5189.2</v>
      </c>
      <c r="J1494" s="14">
        <v>4701.5</v>
      </c>
      <c r="K1494" s="14">
        <v>4968.1000000000004</v>
      </c>
      <c r="L1494" s="14">
        <v>5607.3</v>
      </c>
      <c r="M1494" s="14">
        <v>5058.1000000000004</v>
      </c>
      <c r="N1494" s="14">
        <v>4985.3</v>
      </c>
      <c r="O1494" s="14">
        <v>5368</v>
      </c>
      <c r="P1494" s="14">
        <v>4436</v>
      </c>
      <c r="Q1494" s="14">
        <v>4799.8</v>
      </c>
      <c r="R1494" s="14">
        <v>4762.2</v>
      </c>
      <c r="S1494" s="14">
        <v>4572.8999999999996</v>
      </c>
      <c r="T1494" s="14">
        <v>5343.7</v>
      </c>
      <c r="U1494" s="14">
        <v>4835.3</v>
      </c>
      <c r="V1494" s="14">
        <v>5504.2</v>
      </c>
      <c r="W1494" s="14">
        <v>5502.9</v>
      </c>
      <c r="X1494" s="14">
        <v>5952.4</v>
      </c>
      <c r="Y1494" s="14">
        <v>6190.6</v>
      </c>
      <c r="Z1494" s="14">
        <v>5851.9</v>
      </c>
      <c r="AA1494" s="14"/>
      <c r="AB1494" s="14"/>
      <c r="AC1494" s="15">
        <f>IFERROR(Z1494/G1494-1,"")</f>
        <v>0.27893609581257084</v>
      </c>
      <c r="AD1494" s="15">
        <f>IFERROR((Z1494/G1494)^(1/19)-1,"")</f>
        <v>1.3033071103265126E-2</v>
      </c>
    </row>
    <row r="1495" spans="1:30">
      <c r="A1495" s="45" t="s">
        <v>377</v>
      </c>
      <c r="B1495" s="45" t="s">
        <v>378</v>
      </c>
      <c r="C1495" s="45" t="s">
        <v>498</v>
      </c>
      <c r="D1495" s="45" t="s">
        <v>497</v>
      </c>
      <c r="E1495" s="45" t="s">
        <v>499</v>
      </c>
      <c r="F1495" s="45" t="s">
        <v>500</v>
      </c>
      <c r="G1495" s="14">
        <v>9780</v>
      </c>
      <c r="H1495" s="14">
        <v>9244.2999999999993</v>
      </c>
      <c r="I1495" s="14">
        <v>9516.2999999999993</v>
      </c>
      <c r="J1495" s="14">
        <v>10580</v>
      </c>
      <c r="K1495" s="14">
        <v>10996.6</v>
      </c>
      <c r="L1495" s="14">
        <v>12766.9</v>
      </c>
      <c r="M1495" s="14">
        <v>12535.6</v>
      </c>
      <c r="N1495" s="14">
        <v>13453.2</v>
      </c>
      <c r="O1495" s="14">
        <v>13692</v>
      </c>
      <c r="P1495" s="14">
        <v>13816.6</v>
      </c>
      <c r="Q1495" s="14">
        <v>13859.6</v>
      </c>
      <c r="R1495" s="14">
        <v>14847.6</v>
      </c>
      <c r="S1495" s="14">
        <v>15398.3</v>
      </c>
      <c r="T1495" s="14">
        <v>14858.4</v>
      </c>
      <c r="U1495" s="14">
        <v>14585.1</v>
      </c>
      <c r="V1495" s="14">
        <v>14750.3</v>
      </c>
      <c r="W1495" s="14">
        <v>14812.3</v>
      </c>
      <c r="X1495" s="14">
        <v>15443.5</v>
      </c>
      <c r="Y1495" s="14">
        <v>15108.9</v>
      </c>
      <c r="Z1495" s="14">
        <v>13836.6</v>
      </c>
      <c r="AA1495" s="14"/>
      <c r="AB1495" s="14"/>
      <c r="AC1495" s="15">
        <f>IFERROR(Z1495/G1495-1,"")</f>
        <v>0.4147852760736197</v>
      </c>
      <c r="AD1495" s="15">
        <f>IFERROR((Z1495/G1495)^(1/19)-1,"")</f>
        <v>1.8429757775211275E-2</v>
      </c>
    </row>
    <row r="1496" spans="1:30">
      <c r="A1496" s="45" t="s">
        <v>377</v>
      </c>
      <c r="B1496" s="45" t="s">
        <v>378</v>
      </c>
      <c r="C1496" s="45" t="s">
        <v>498</v>
      </c>
      <c r="D1496" s="45" t="s">
        <v>501</v>
      </c>
      <c r="E1496" s="45" t="s">
        <v>499</v>
      </c>
      <c r="F1496" s="45" t="s">
        <v>500</v>
      </c>
      <c r="G1496" s="14">
        <v>1623.3</v>
      </c>
      <c r="H1496" s="14">
        <v>1809.5</v>
      </c>
      <c r="I1496" s="14">
        <v>2134.5</v>
      </c>
      <c r="J1496" s="14">
        <v>1542.7</v>
      </c>
      <c r="K1496" s="14">
        <v>1726.6</v>
      </c>
      <c r="L1496" s="14">
        <v>1728.2</v>
      </c>
      <c r="M1496" s="14">
        <v>2310.3000000000002</v>
      </c>
      <c r="N1496" s="14">
        <v>2177.1</v>
      </c>
      <c r="O1496" s="14">
        <v>1170</v>
      </c>
      <c r="P1496" s="14">
        <v>1468.8</v>
      </c>
      <c r="Q1496" s="14">
        <v>869.8</v>
      </c>
      <c r="R1496" s="14">
        <v>933.2</v>
      </c>
      <c r="S1496" s="14">
        <v>1109.5</v>
      </c>
      <c r="T1496" s="14">
        <v>890.8</v>
      </c>
      <c r="U1496" s="14">
        <v>790.4</v>
      </c>
      <c r="V1496" s="14">
        <v>856.1</v>
      </c>
      <c r="W1496" s="14">
        <v>1019</v>
      </c>
      <c r="X1496" s="14">
        <v>820.3</v>
      </c>
      <c r="Y1496" s="14">
        <v>974.7</v>
      </c>
      <c r="Z1496" s="14">
        <v>981.2</v>
      </c>
      <c r="AA1496" s="14"/>
      <c r="AB1496" s="14"/>
      <c r="AC1496" s="15">
        <f>IFERROR(Z1496/G1496-1,"")</f>
        <v>-0.3955522700671471</v>
      </c>
      <c r="AD1496" s="15">
        <f>IFERROR((Z1496/G1496)^(1/19)-1,"")</f>
        <v>-2.6148884998216659E-2</v>
      </c>
    </row>
    <row r="1497" spans="1:30">
      <c r="A1497" s="45" t="s">
        <v>339</v>
      </c>
      <c r="B1497" s="45" t="s">
        <v>340</v>
      </c>
      <c r="C1497" s="45" t="s">
        <v>490</v>
      </c>
      <c r="D1497" s="45" t="s">
        <v>491</v>
      </c>
      <c r="E1497" s="45" t="s">
        <v>492</v>
      </c>
      <c r="F1497" s="45" t="s">
        <v>493</v>
      </c>
      <c r="G1497" s="14">
        <v>28206</v>
      </c>
      <c r="H1497" s="14">
        <v>25721</v>
      </c>
      <c r="I1497" s="14">
        <v>32319</v>
      </c>
      <c r="J1497" s="14">
        <v>30250</v>
      </c>
      <c r="K1497" s="14">
        <v>29932</v>
      </c>
      <c r="L1497" s="14">
        <v>28638</v>
      </c>
      <c r="M1497" s="14">
        <v>28977</v>
      </c>
      <c r="N1497" s="14">
        <v>29547</v>
      </c>
      <c r="O1497" s="14">
        <v>31085</v>
      </c>
      <c r="P1497" s="14">
        <v>36359</v>
      </c>
      <c r="Q1497" s="14">
        <v>36027</v>
      </c>
      <c r="R1497" s="14">
        <v>40449</v>
      </c>
      <c r="S1497" s="14">
        <v>40981</v>
      </c>
      <c r="T1497" s="14">
        <v>38560</v>
      </c>
      <c r="U1497" s="14">
        <v>38504</v>
      </c>
      <c r="V1497" s="14">
        <v>41443</v>
      </c>
      <c r="W1497" s="14">
        <v>45372</v>
      </c>
      <c r="X1497" s="14">
        <v>52995</v>
      </c>
      <c r="Y1497" s="14">
        <v>59150</v>
      </c>
      <c r="Z1497" s="14">
        <v>63098</v>
      </c>
      <c r="AA1497" s="14">
        <v>92738</v>
      </c>
      <c r="AB1497" s="14">
        <v>96870</v>
      </c>
    </row>
    <row r="1498" spans="1:30">
      <c r="A1498" s="45" t="s">
        <v>339</v>
      </c>
      <c r="B1498" s="45" t="s">
        <v>340</v>
      </c>
      <c r="C1498" s="45" t="s">
        <v>490</v>
      </c>
      <c r="D1498" s="45" t="s">
        <v>494</v>
      </c>
      <c r="E1498" s="45" t="s">
        <v>492</v>
      </c>
      <c r="F1498" s="45" t="s">
        <v>493</v>
      </c>
      <c r="G1498" s="14">
        <v>27391</v>
      </c>
      <c r="H1498" s="14">
        <v>24794</v>
      </c>
      <c r="I1498" s="14">
        <v>31220</v>
      </c>
      <c r="J1498" s="14">
        <v>29070</v>
      </c>
      <c r="K1498" s="14">
        <v>28331</v>
      </c>
      <c r="L1498" s="14">
        <v>26504</v>
      </c>
      <c r="M1498" s="14">
        <v>26828</v>
      </c>
      <c r="N1498" s="14">
        <v>27577</v>
      </c>
      <c r="O1498" s="14">
        <v>29058</v>
      </c>
      <c r="P1498" s="14">
        <v>33542</v>
      </c>
      <c r="Q1498" s="14">
        <v>33635</v>
      </c>
      <c r="R1498" s="14">
        <v>37059</v>
      </c>
      <c r="S1498" s="14">
        <v>37097</v>
      </c>
      <c r="T1498" s="14">
        <v>35738</v>
      </c>
      <c r="U1498" s="14">
        <v>36778</v>
      </c>
      <c r="V1498" s="14">
        <v>39766</v>
      </c>
      <c r="W1498" s="14">
        <v>42566</v>
      </c>
      <c r="X1498" s="14">
        <v>48871</v>
      </c>
      <c r="Y1498" s="14">
        <v>54650</v>
      </c>
      <c r="Z1498" s="14">
        <v>56876</v>
      </c>
      <c r="AA1498" s="14"/>
      <c r="AB1498" s="14"/>
    </row>
    <row r="1499" spans="1:30">
      <c r="A1499" s="45" t="s">
        <v>339</v>
      </c>
      <c r="B1499" s="45" t="s">
        <v>340</v>
      </c>
      <c r="C1499" s="45" t="s">
        <v>490</v>
      </c>
      <c r="D1499" s="45" t="s">
        <v>495</v>
      </c>
      <c r="E1499" s="45" t="s">
        <v>492</v>
      </c>
      <c r="F1499" s="45" t="s">
        <v>493</v>
      </c>
      <c r="G1499" s="14">
        <v>9898</v>
      </c>
      <c r="H1499" s="14">
        <v>5579</v>
      </c>
      <c r="I1499" s="14">
        <v>9907</v>
      </c>
      <c r="J1499" s="14">
        <v>5642</v>
      </c>
      <c r="K1499" s="14">
        <v>1010</v>
      </c>
      <c r="L1499" s="14">
        <v>1308</v>
      </c>
      <c r="M1499" s="14">
        <v>1180</v>
      </c>
      <c r="N1499" s="14">
        <v>1165</v>
      </c>
      <c r="O1499" s="14">
        <v>1208</v>
      </c>
      <c r="P1499" s="14">
        <v>1334</v>
      </c>
      <c r="Q1499" s="14">
        <v>1623</v>
      </c>
      <c r="R1499" s="14">
        <v>1866</v>
      </c>
      <c r="S1499" s="14">
        <v>1941</v>
      </c>
      <c r="T1499" s="14">
        <v>2114</v>
      </c>
      <c r="U1499" s="14">
        <v>2046</v>
      </c>
      <c r="V1499" s="14">
        <v>2425</v>
      </c>
      <c r="W1499" s="14">
        <v>3046</v>
      </c>
      <c r="X1499" s="14">
        <v>4240</v>
      </c>
      <c r="Y1499" s="14">
        <v>4635</v>
      </c>
      <c r="Z1499" s="14">
        <v>4556</v>
      </c>
      <c r="AA1499" s="14"/>
      <c r="AB1499" s="14"/>
    </row>
    <row r="1500" spans="1:30">
      <c r="A1500" s="45" t="s">
        <v>339</v>
      </c>
      <c r="B1500" s="45" t="s">
        <v>340</v>
      </c>
      <c r="C1500" s="45" t="s">
        <v>490</v>
      </c>
      <c r="D1500" s="45" t="s">
        <v>496</v>
      </c>
      <c r="E1500" s="45" t="s">
        <v>492</v>
      </c>
      <c r="F1500" s="45" t="s">
        <v>493</v>
      </c>
      <c r="G1500" s="14">
        <v>4305</v>
      </c>
      <c r="H1500" s="14">
        <v>4243</v>
      </c>
      <c r="I1500" s="14">
        <v>5496</v>
      </c>
      <c r="J1500" s="14">
        <v>5618</v>
      </c>
      <c r="K1500" s="14">
        <v>6683</v>
      </c>
      <c r="L1500" s="14">
        <v>8170</v>
      </c>
      <c r="M1500" s="14">
        <v>7113</v>
      </c>
      <c r="N1500" s="14">
        <v>7460</v>
      </c>
      <c r="O1500" s="14">
        <v>7970</v>
      </c>
      <c r="P1500" s="14">
        <v>7832</v>
      </c>
      <c r="Q1500" s="14">
        <v>8496</v>
      </c>
      <c r="R1500" s="14">
        <v>10440</v>
      </c>
      <c r="S1500" s="14">
        <v>9940</v>
      </c>
      <c r="T1500" s="14">
        <v>9894</v>
      </c>
      <c r="U1500" s="14">
        <v>11468</v>
      </c>
      <c r="V1500" s="14">
        <v>11698</v>
      </c>
      <c r="W1500" s="14">
        <v>15185</v>
      </c>
      <c r="X1500" s="14">
        <v>20121</v>
      </c>
      <c r="Y1500" s="14">
        <v>21768</v>
      </c>
      <c r="Z1500" s="14">
        <v>22768</v>
      </c>
      <c r="AA1500" s="14"/>
      <c r="AB1500" s="14"/>
    </row>
    <row r="1501" spans="1:30">
      <c r="A1501" s="45" t="s">
        <v>339</v>
      </c>
      <c r="B1501" s="45" t="s">
        <v>340</v>
      </c>
      <c r="C1501" s="45" t="s">
        <v>490</v>
      </c>
      <c r="D1501" s="45" t="s">
        <v>497</v>
      </c>
      <c r="E1501" s="45" t="s">
        <v>492</v>
      </c>
      <c r="F1501" s="45" t="s">
        <v>493</v>
      </c>
      <c r="G1501" s="14">
        <v>11299</v>
      </c>
      <c r="H1501" s="14">
        <v>12269</v>
      </c>
      <c r="I1501" s="14">
        <v>13411</v>
      </c>
      <c r="J1501" s="14">
        <v>15580</v>
      </c>
      <c r="K1501" s="14">
        <v>17986</v>
      </c>
      <c r="L1501" s="14">
        <v>14649</v>
      </c>
      <c r="M1501" s="14">
        <v>15173</v>
      </c>
      <c r="N1501" s="14">
        <v>15177</v>
      </c>
      <c r="O1501" s="14">
        <v>17922</v>
      </c>
      <c r="P1501" s="14">
        <v>20153</v>
      </c>
      <c r="Q1501" s="14">
        <v>21348</v>
      </c>
      <c r="R1501" s="14">
        <v>20677</v>
      </c>
      <c r="S1501" s="14">
        <v>20518</v>
      </c>
      <c r="T1501" s="14">
        <v>20583</v>
      </c>
      <c r="U1501" s="14">
        <v>20352</v>
      </c>
      <c r="V1501" s="14">
        <v>21403</v>
      </c>
      <c r="W1501" s="14">
        <v>20389</v>
      </c>
      <c r="X1501" s="14">
        <v>20772</v>
      </c>
      <c r="Y1501" s="14">
        <v>22326</v>
      </c>
      <c r="Z1501" s="14">
        <v>21259</v>
      </c>
      <c r="AA1501" s="14"/>
      <c r="AB1501" s="14"/>
    </row>
    <row r="1502" spans="1:30">
      <c r="A1502" s="45" t="s">
        <v>339</v>
      </c>
      <c r="B1502" s="45" t="s">
        <v>340</v>
      </c>
      <c r="C1502" s="45" t="s">
        <v>498</v>
      </c>
      <c r="D1502" s="45" t="s">
        <v>491</v>
      </c>
      <c r="E1502" s="45" t="s">
        <v>499</v>
      </c>
      <c r="F1502" s="45" t="s">
        <v>500</v>
      </c>
      <c r="G1502" s="14">
        <v>53584.7</v>
      </c>
      <c r="H1502" s="14">
        <v>42828.4</v>
      </c>
      <c r="I1502" s="14">
        <v>49943.8</v>
      </c>
      <c r="J1502" s="14">
        <v>43511.8</v>
      </c>
      <c r="K1502" s="14">
        <v>40323</v>
      </c>
      <c r="L1502" s="14">
        <v>36246.300000000003</v>
      </c>
      <c r="M1502" s="14">
        <v>33715</v>
      </c>
      <c r="N1502" s="14">
        <v>32035.8</v>
      </c>
      <c r="O1502" s="14">
        <v>31085</v>
      </c>
      <c r="P1502" s="14">
        <v>33566.699999999997</v>
      </c>
      <c r="Q1502" s="14">
        <v>30812.7</v>
      </c>
      <c r="R1502" s="14">
        <v>32179.8</v>
      </c>
      <c r="S1502" s="14">
        <v>30230.9</v>
      </c>
      <c r="T1502" s="14">
        <v>26444.1</v>
      </c>
      <c r="U1502" s="14">
        <v>24426.3</v>
      </c>
      <c r="V1502" s="14">
        <v>25359.7</v>
      </c>
      <c r="W1502" s="14">
        <v>26570</v>
      </c>
      <c r="X1502" s="14">
        <v>29776.3</v>
      </c>
      <c r="Y1502" s="14">
        <v>31214.2</v>
      </c>
      <c r="Z1502" s="14">
        <v>29454.6</v>
      </c>
      <c r="AA1502" s="14"/>
      <c r="AB1502" s="14"/>
      <c r="AC1502" s="15">
        <f>IFERROR(Z1502/G1502-1,"")</f>
        <v>-0.45031697480810751</v>
      </c>
      <c r="AD1502" s="15">
        <f>IFERROR((Z1502/G1502)^(1/19)-1,"")</f>
        <v>-3.1004631298292562E-2</v>
      </c>
    </row>
    <row r="1503" spans="1:30">
      <c r="A1503" s="45" t="s">
        <v>339</v>
      </c>
      <c r="B1503" s="45" t="s">
        <v>340</v>
      </c>
      <c r="C1503" s="45" t="s">
        <v>498</v>
      </c>
      <c r="D1503" s="45" t="s">
        <v>495</v>
      </c>
      <c r="E1503" s="45" t="s">
        <v>499</v>
      </c>
      <c r="F1503" s="45" t="s">
        <v>500</v>
      </c>
      <c r="G1503" s="14">
        <v>18804.599999999999</v>
      </c>
      <c r="H1503" s="14">
        <v>9289.2999999999993</v>
      </c>
      <c r="I1503" s="14">
        <v>15309.1</v>
      </c>
      <c r="J1503" s="14">
        <v>8115.3</v>
      </c>
      <c r="K1503" s="14">
        <v>1360.7</v>
      </c>
      <c r="L1503" s="14">
        <v>1655.2</v>
      </c>
      <c r="M1503" s="14">
        <v>1373.2</v>
      </c>
      <c r="N1503" s="14">
        <v>1263.0999999999999</v>
      </c>
      <c r="O1503" s="14">
        <v>1208</v>
      </c>
      <c r="P1503" s="14">
        <v>1231.5999999999999</v>
      </c>
      <c r="Q1503" s="14">
        <v>1388.1</v>
      </c>
      <c r="R1503" s="14">
        <v>1484.5</v>
      </c>
      <c r="S1503" s="14">
        <v>1431.8</v>
      </c>
      <c r="T1503" s="14">
        <v>1449.8</v>
      </c>
      <c r="U1503" s="14">
        <v>1297.9000000000001</v>
      </c>
      <c r="V1503" s="14">
        <v>1483.9</v>
      </c>
      <c r="W1503" s="14">
        <v>1783.7</v>
      </c>
      <c r="X1503" s="14">
        <v>2382.3000000000002</v>
      </c>
      <c r="Y1503" s="14">
        <v>2445.9</v>
      </c>
      <c r="Z1503" s="14">
        <v>2126.8000000000002</v>
      </c>
      <c r="AA1503" s="14"/>
      <c r="AB1503" s="14"/>
      <c r="AC1503" s="15">
        <f>IFERROR(Z1503/G1503-1,"")</f>
        <v>-0.88690001382640415</v>
      </c>
      <c r="AD1503" s="15">
        <f>IFERROR((Z1503/G1503)^(1/19)-1,"")</f>
        <v>-0.10837499478233625</v>
      </c>
    </row>
    <row r="1504" spans="1:30">
      <c r="A1504" s="45" t="s">
        <v>339</v>
      </c>
      <c r="B1504" s="45" t="s">
        <v>340</v>
      </c>
      <c r="C1504" s="45" t="s">
        <v>498</v>
      </c>
      <c r="D1504" s="45" t="s">
        <v>496</v>
      </c>
      <c r="E1504" s="45" t="s">
        <v>499</v>
      </c>
      <c r="F1504" s="45" t="s">
        <v>500</v>
      </c>
      <c r="G1504" s="14">
        <v>8178.6</v>
      </c>
      <c r="H1504" s="14">
        <v>7064.3</v>
      </c>
      <c r="I1504" s="14">
        <v>8493.6</v>
      </c>
      <c r="J1504" s="14">
        <v>8080.6</v>
      </c>
      <c r="K1504" s="14">
        <v>9003.1</v>
      </c>
      <c r="L1504" s="14">
        <v>10341</v>
      </c>
      <c r="M1504" s="14">
        <v>8276.4</v>
      </c>
      <c r="N1504" s="14">
        <v>8088.4</v>
      </c>
      <c r="O1504" s="14">
        <v>7970</v>
      </c>
      <c r="P1504" s="14">
        <v>7230.5</v>
      </c>
      <c r="Q1504" s="14">
        <v>7266.4</v>
      </c>
      <c r="R1504" s="14">
        <v>8305.7000000000007</v>
      </c>
      <c r="S1504" s="14">
        <v>7332.5</v>
      </c>
      <c r="T1504" s="14">
        <v>6785.2</v>
      </c>
      <c r="U1504" s="14">
        <v>7275.1</v>
      </c>
      <c r="V1504" s="14">
        <v>7158.2</v>
      </c>
      <c r="W1504" s="14">
        <v>8892.4</v>
      </c>
      <c r="X1504" s="14">
        <v>11305.4</v>
      </c>
      <c r="Y1504" s="14">
        <v>11487.3</v>
      </c>
      <c r="Z1504" s="14">
        <v>10628.3</v>
      </c>
      <c r="AA1504" s="14"/>
      <c r="AB1504" s="14"/>
      <c r="AC1504" s="15">
        <f>IFERROR(Z1504/G1504-1,"")</f>
        <v>0.29952559117697386</v>
      </c>
      <c r="AD1504" s="15">
        <f>IFERROR((Z1504/G1504)^(1/19)-1,"")</f>
        <v>1.3884947936378511E-2</v>
      </c>
    </row>
    <row r="1505" spans="1:30">
      <c r="A1505" s="45" t="s">
        <v>339</v>
      </c>
      <c r="B1505" s="45" t="s">
        <v>340</v>
      </c>
      <c r="C1505" s="45" t="s">
        <v>498</v>
      </c>
      <c r="D1505" s="45" t="s">
        <v>497</v>
      </c>
      <c r="E1505" s="45" t="s">
        <v>499</v>
      </c>
      <c r="F1505" s="45" t="s">
        <v>500</v>
      </c>
      <c r="G1505" s="14">
        <v>21465.8</v>
      </c>
      <c r="H1505" s="14">
        <v>20428.8</v>
      </c>
      <c r="I1505" s="14">
        <v>20723.900000000001</v>
      </c>
      <c r="J1505" s="14">
        <v>22411.4</v>
      </c>
      <c r="K1505" s="14">
        <v>24230.5</v>
      </c>
      <c r="L1505" s="14">
        <v>18541.2</v>
      </c>
      <c r="M1505" s="14">
        <v>17654.3</v>
      </c>
      <c r="N1505" s="14">
        <v>16455.400000000001</v>
      </c>
      <c r="O1505" s="14">
        <v>17922</v>
      </c>
      <c r="P1505" s="14">
        <v>18605.3</v>
      </c>
      <c r="Q1505" s="14">
        <v>18258.3</v>
      </c>
      <c r="R1505" s="14">
        <v>16449.900000000001</v>
      </c>
      <c r="S1505" s="14">
        <v>15135.7</v>
      </c>
      <c r="T1505" s="14">
        <v>14115.7</v>
      </c>
      <c r="U1505" s="14">
        <v>12911</v>
      </c>
      <c r="V1505" s="14">
        <v>13096.9</v>
      </c>
      <c r="W1505" s="14">
        <v>11939.9</v>
      </c>
      <c r="X1505" s="14">
        <v>11671.1</v>
      </c>
      <c r="Y1505" s="14">
        <v>11781.7</v>
      </c>
      <c r="Z1505" s="14">
        <v>9924.2999999999993</v>
      </c>
      <c r="AA1505" s="14"/>
      <c r="AB1505" s="14"/>
      <c r="AC1505" s="15">
        <f>IFERROR(Z1505/G1505-1,"")</f>
        <v>-0.53766922267048045</v>
      </c>
      <c r="AD1505" s="15">
        <f>IFERROR((Z1505/G1505)^(1/19)-1,"")</f>
        <v>-3.9790635528891727E-2</v>
      </c>
    </row>
    <row r="1506" spans="1:30">
      <c r="A1506" s="45" t="s">
        <v>339</v>
      </c>
      <c r="B1506" s="45" t="s">
        <v>340</v>
      </c>
      <c r="C1506" s="45" t="s">
        <v>498</v>
      </c>
      <c r="D1506" s="45" t="s">
        <v>501</v>
      </c>
      <c r="E1506" s="45" t="s">
        <v>499</v>
      </c>
      <c r="F1506" s="45" t="s">
        <v>500</v>
      </c>
      <c r="G1506" s="14">
        <v>3586.2</v>
      </c>
      <c r="H1506" s="14">
        <v>4503.2</v>
      </c>
      <c r="I1506" s="14">
        <v>3718</v>
      </c>
      <c r="J1506" s="14">
        <v>3208</v>
      </c>
      <c r="K1506" s="14">
        <v>3572</v>
      </c>
      <c r="L1506" s="14">
        <v>3008.5</v>
      </c>
      <c r="M1506" s="14">
        <v>3911.4</v>
      </c>
      <c r="N1506" s="14">
        <v>4093</v>
      </c>
      <c r="O1506" s="14">
        <v>1958</v>
      </c>
      <c r="P1506" s="14">
        <v>3898.7</v>
      </c>
      <c r="Q1506" s="14">
        <v>1855.1</v>
      </c>
      <c r="R1506" s="14">
        <v>3243.5</v>
      </c>
      <c r="S1506" s="14">
        <v>3464.9</v>
      </c>
      <c r="T1506" s="14">
        <v>2158.1999999999998</v>
      </c>
      <c r="U1506" s="14">
        <v>1847.3</v>
      </c>
      <c r="V1506" s="14">
        <v>2594.5</v>
      </c>
      <c r="W1506" s="14">
        <v>2310.1999999999998</v>
      </c>
      <c r="X1506" s="14">
        <v>2100.3000000000002</v>
      </c>
      <c r="Y1506" s="14">
        <v>3124.6</v>
      </c>
      <c r="Z1506" s="14">
        <v>3871.2</v>
      </c>
      <c r="AA1506" s="14"/>
      <c r="AB1506" s="14"/>
      <c r="AC1506" s="15">
        <f>IFERROR(Z1506/G1506-1,"")</f>
        <v>7.9471306675589659E-2</v>
      </c>
      <c r="AD1506" s="15">
        <f>IFERROR((Z1506/G1506)^(1/19)-1,"")</f>
        <v>4.0329204473299463E-3</v>
      </c>
    </row>
    <row r="1507" spans="1:30">
      <c r="A1507" s="45" t="s">
        <v>363</v>
      </c>
      <c r="B1507" s="45" t="s">
        <v>364</v>
      </c>
      <c r="C1507" s="45" t="s">
        <v>490</v>
      </c>
      <c r="D1507" s="45" t="s">
        <v>491</v>
      </c>
      <c r="E1507" s="45" t="s">
        <v>492</v>
      </c>
      <c r="F1507" s="45" t="s">
        <v>493</v>
      </c>
      <c r="G1507" s="14">
        <v>9633</v>
      </c>
      <c r="H1507" s="14">
        <v>10616</v>
      </c>
      <c r="I1507" s="14">
        <v>12017</v>
      </c>
      <c r="J1507" s="14">
        <v>13108</v>
      </c>
      <c r="K1507" s="14">
        <v>14937</v>
      </c>
      <c r="L1507" s="14">
        <v>19044</v>
      </c>
      <c r="M1507" s="14">
        <v>21597</v>
      </c>
      <c r="N1507" s="14">
        <v>23007</v>
      </c>
      <c r="O1507" s="14">
        <v>23377</v>
      </c>
      <c r="P1507" s="14">
        <v>25633</v>
      </c>
      <c r="Q1507" s="14">
        <v>27610</v>
      </c>
      <c r="R1507" s="14">
        <v>31075</v>
      </c>
      <c r="S1507" s="14">
        <v>32615</v>
      </c>
      <c r="T1507" s="14">
        <v>37255</v>
      </c>
      <c r="U1507" s="14">
        <v>39324</v>
      </c>
      <c r="V1507" s="14">
        <v>42034</v>
      </c>
      <c r="W1507" s="14">
        <v>43293</v>
      </c>
      <c r="X1507" s="14">
        <v>47709</v>
      </c>
      <c r="Y1507" s="14">
        <v>48415</v>
      </c>
      <c r="Z1507" s="14">
        <v>53783</v>
      </c>
      <c r="AA1507" s="14">
        <v>58723</v>
      </c>
      <c r="AB1507" s="14">
        <v>64195</v>
      </c>
    </row>
    <row r="1508" spans="1:30">
      <c r="A1508" s="45" t="s">
        <v>363</v>
      </c>
      <c r="B1508" s="45" t="s">
        <v>364</v>
      </c>
      <c r="C1508" s="45" t="s">
        <v>490</v>
      </c>
      <c r="D1508" s="45" t="s">
        <v>494</v>
      </c>
      <c r="E1508" s="45" t="s">
        <v>492</v>
      </c>
      <c r="F1508" s="45" t="s">
        <v>493</v>
      </c>
      <c r="G1508" s="14">
        <v>9301</v>
      </c>
      <c r="H1508" s="14">
        <v>10308</v>
      </c>
      <c r="I1508" s="14">
        <v>11639</v>
      </c>
      <c r="J1508" s="14">
        <v>12600</v>
      </c>
      <c r="K1508" s="14">
        <v>14178</v>
      </c>
      <c r="L1508" s="14">
        <v>18024</v>
      </c>
      <c r="M1508" s="14">
        <v>20431</v>
      </c>
      <c r="N1508" s="14">
        <v>21921</v>
      </c>
      <c r="O1508" s="14">
        <v>22284</v>
      </c>
      <c r="P1508" s="14">
        <v>24370</v>
      </c>
      <c r="Q1508" s="14">
        <v>26319</v>
      </c>
      <c r="R1508" s="14">
        <v>29740</v>
      </c>
      <c r="S1508" s="14">
        <v>31359</v>
      </c>
      <c r="T1508" s="14">
        <v>35753</v>
      </c>
      <c r="U1508" s="14">
        <v>38340</v>
      </c>
      <c r="V1508" s="14">
        <v>41066</v>
      </c>
      <c r="W1508" s="14">
        <v>42001</v>
      </c>
      <c r="X1508" s="14">
        <v>46361</v>
      </c>
      <c r="Y1508" s="14">
        <v>46800</v>
      </c>
      <c r="Z1508" s="14">
        <v>51913</v>
      </c>
      <c r="AA1508" s="14"/>
      <c r="AB1508" s="14"/>
    </row>
    <row r="1509" spans="1:30">
      <c r="A1509" s="45" t="s">
        <v>363</v>
      </c>
      <c r="B1509" s="45" t="s">
        <v>364</v>
      </c>
      <c r="C1509" s="45" t="s">
        <v>490</v>
      </c>
      <c r="D1509" s="45" t="s">
        <v>495</v>
      </c>
      <c r="E1509" s="45" t="s">
        <v>492</v>
      </c>
      <c r="F1509" s="45" t="s">
        <v>493</v>
      </c>
      <c r="G1509" s="14">
        <v>420</v>
      </c>
      <c r="H1509" s="14">
        <v>272</v>
      </c>
      <c r="I1509" s="14">
        <v>351</v>
      </c>
      <c r="J1509" s="14">
        <v>387</v>
      </c>
      <c r="K1509" s="14">
        <v>440</v>
      </c>
      <c r="L1509" s="14">
        <v>554</v>
      </c>
      <c r="M1509" s="14">
        <v>903</v>
      </c>
      <c r="N1509" s="14">
        <v>871</v>
      </c>
      <c r="O1509" s="14">
        <v>1061</v>
      </c>
      <c r="P1509" s="14">
        <v>936</v>
      </c>
      <c r="Q1509" s="14">
        <v>1296</v>
      </c>
      <c r="R1509" s="14">
        <v>1115</v>
      </c>
      <c r="S1509" s="14">
        <v>1108</v>
      </c>
      <c r="T1509" s="14">
        <v>1321</v>
      </c>
      <c r="U1509" s="14">
        <v>1697</v>
      </c>
      <c r="V1509" s="14">
        <v>1534</v>
      </c>
      <c r="W1509" s="14">
        <v>1107</v>
      </c>
      <c r="X1509" s="14">
        <v>1344</v>
      </c>
      <c r="Y1509" s="14">
        <v>1293</v>
      </c>
      <c r="Z1509" s="14">
        <v>1613</v>
      </c>
      <c r="AA1509" s="14"/>
      <c r="AB1509" s="14"/>
    </row>
    <row r="1510" spans="1:30">
      <c r="A1510" s="45" t="s">
        <v>363</v>
      </c>
      <c r="B1510" s="45" t="s">
        <v>364</v>
      </c>
      <c r="C1510" s="45" t="s">
        <v>490</v>
      </c>
      <c r="D1510" s="45" t="s">
        <v>496</v>
      </c>
      <c r="E1510" s="45" t="s">
        <v>492</v>
      </c>
      <c r="F1510" s="45" t="s">
        <v>493</v>
      </c>
      <c r="G1510" s="14">
        <v>1614</v>
      </c>
      <c r="H1510" s="14">
        <v>1741</v>
      </c>
      <c r="I1510" s="14">
        <v>2118</v>
      </c>
      <c r="J1510" s="14">
        <v>2309</v>
      </c>
      <c r="K1510" s="14">
        <v>2740</v>
      </c>
      <c r="L1510" s="14">
        <v>3028</v>
      </c>
      <c r="M1510" s="14">
        <v>3124</v>
      </c>
      <c r="N1510" s="14">
        <v>3578</v>
      </c>
      <c r="O1510" s="14">
        <v>3774</v>
      </c>
      <c r="P1510" s="14">
        <v>4052</v>
      </c>
      <c r="Q1510" s="14">
        <v>4651</v>
      </c>
      <c r="R1510" s="14">
        <v>5064</v>
      </c>
      <c r="S1510" s="14">
        <v>5202</v>
      </c>
      <c r="T1510" s="14">
        <v>6385</v>
      </c>
      <c r="U1510" s="14">
        <v>7106</v>
      </c>
      <c r="V1510" s="14">
        <v>7326</v>
      </c>
      <c r="W1510" s="14">
        <v>8955</v>
      </c>
      <c r="X1510" s="14">
        <v>9885</v>
      </c>
      <c r="Y1510" s="14">
        <v>10274</v>
      </c>
      <c r="Z1510" s="14">
        <v>11158</v>
      </c>
      <c r="AA1510" s="14"/>
      <c r="AB1510" s="14"/>
    </row>
    <row r="1511" spans="1:30">
      <c r="A1511" s="45" t="s">
        <v>363</v>
      </c>
      <c r="B1511" s="45" t="s">
        <v>364</v>
      </c>
      <c r="C1511" s="45" t="s">
        <v>490</v>
      </c>
      <c r="D1511" s="45" t="s">
        <v>497</v>
      </c>
      <c r="E1511" s="45" t="s">
        <v>492</v>
      </c>
      <c r="F1511" s="45" t="s">
        <v>493</v>
      </c>
      <c r="G1511" s="14">
        <v>6017</v>
      </c>
      <c r="H1511" s="14">
        <v>6498</v>
      </c>
      <c r="I1511" s="14">
        <v>7333</v>
      </c>
      <c r="J1511" s="14">
        <v>7918</v>
      </c>
      <c r="K1511" s="14">
        <v>9233</v>
      </c>
      <c r="L1511" s="14">
        <v>12750</v>
      </c>
      <c r="M1511" s="14">
        <v>13999</v>
      </c>
      <c r="N1511" s="14">
        <v>15037</v>
      </c>
      <c r="O1511" s="14">
        <v>15810</v>
      </c>
      <c r="P1511" s="14">
        <v>17252</v>
      </c>
      <c r="Q1511" s="14">
        <v>18981</v>
      </c>
      <c r="R1511" s="14">
        <v>21984</v>
      </c>
      <c r="S1511" s="14">
        <v>23495</v>
      </c>
      <c r="T1511" s="14">
        <v>26288</v>
      </c>
      <c r="U1511" s="14">
        <v>27625</v>
      </c>
      <c r="V1511" s="14">
        <v>30148</v>
      </c>
      <c r="W1511" s="14">
        <v>30026</v>
      </c>
      <c r="X1511" s="14">
        <v>32828</v>
      </c>
      <c r="Y1511" s="14">
        <v>32413</v>
      </c>
      <c r="Z1511" s="14">
        <v>36020</v>
      </c>
      <c r="AA1511" s="14"/>
      <c r="AB1511" s="14"/>
    </row>
    <row r="1512" spans="1:30">
      <c r="A1512" s="45" t="s">
        <v>363</v>
      </c>
      <c r="B1512" s="45" t="s">
        <v>364</v>
      </c>
      <c r="C1512" s="45" t="s">
        <v>498</v>
      </c>
      <c r="D1512" s="45" t="s">
        <v>491</v>
      </c>
      <c r="E1512" s="45" t="s">
        <v>499</v>
      </c>
      <c r="F1512" s="45" t="s">
        <v>500</v>
      </c>
      <c r="G1512" s="14">
        <v>18300.099999999999</v>
      </c>
      <c r="H1512" s="14">
        <v>17676.3</v>
      </c>
      <c r="I1512" s="14">
        <v>18569.7</v>
      </c>
      <c r="J1512" s="14">
        <v>18855</v>
      </c>
      <c r="K1512" s="14">
        <v>20122.400000000001</v>
      </c>
      <c r="L1512" s="14">
        <v>24103.1</v>
      </c>
      <c r="M1512" s="14">
        <v>25128.400000000001</v>
      </c>
      <c r="N1512" s="14">
        <v>24945</v>
      </c>
      <c r="O1512" s="14">
        <v>23377</v>
      </c>
      <c r="P1512" s="14">
        <v>23664.5</v>
      </c>
      <c r="Q1512" s="14">
        <v>23613.9</v>
      </c>
      <c r="R1512" s="14">
        <v>24722.1</v>
      </c>
      <c r="S1512" s="14">
        <v>24059.4</v>
      </c>
      <c r="T1512" s="14">
        <v>25549.200000000001</v>
      </c>
      <c r="U1512" s="14">
        <v>24946.5</v>
      </c>
      <c r="V1512" s="14">
        <v>25721.4</v>
      </c>
      <c r="W1512" s="14">
        <v>25352.6</v>
      </c>
      <c r="X1512" s="14">
        <v>26806.2</v>
      </c>
      <c r="Y1512" s="14">
        <v>25549.200000000001</v>
      </c>
      <c r="Z1512" s="14">
        <v>25106.3</v>
      </c>
      <c r="AA1512" s="14"/>
      <c r="AB1512" s="14"/>
      <c r="AC1512" s="15">
        <f>IFERROR(Z1512/G1512-1,"")</f>
        <v>0.37192146491002798</v>
      </c>
      <c r="AD1512" s="15">
        <f>IFERROR((Z1512/G1512)^(1/19)-1,"")</f>
        <v>1.6782014004057544E-2</v>
      </c>
    </row>
    <row r="1513" spans="1:30">
      <c r="A1513" s="45" t="s">
        <v>363</v>
      </c>
      <c r="B1513" s="45" t="s">
        <v>364</v>
      </c>
      <c r="C1513" s="45" t="s">
        <v>498</v>
      </c>
      <c r="D1513" s="45" t="s">
        <v>495</v>
      </c>
      <c r="E1513" s="45" t="s">
        <v>499</v>
      </c>
      <c r="F1513" s="45" t="s">
        <v>500</v>
      </c>
      <c r="G1513" s="14">
        <v>798.8</v>
      </c>
      <c r="H1513" s="14">
        <v>452.5</v>
      </c>
      <c r="I1513" s="14">
        <v>542.70000000000005</v>
      </c>
      <c r="J1513" s="14">
        <v>556</v>
      </c>
      <c r="K1513" s="14">
        <v>592.29999999999995</v>
      </c>
      <c r="L1513" s="14">
        <v>700.6</v>
      </c>
      <c r="M1513" s="14">
        <v>1051.2</v>
      </c>
      <c r="N1513" s="14">
        <v>944.4</v>
      </c>
      <c r="O1513" s="14">
        <v>1061</v>
      </c>
      <c r="P1513" s="14">
        <v>864.1</v>
      </c>
      <c r="Q1513" s="14">
        <v>1108.4000000000001</v>
      </c>
      <c r="R1513" s="14">
        <v>887.1</v>
      </c>
      <c r="S1513" s="14">
        <v>817.3</v>
      </c>
      <c r="T1513" s="14">
        <v>905.9</v>
      </c>
      <c r="U1513" s="14">
        <v>1076.5</v>
      </c>
      <c r="V1513" s="14">
        <v>938.7</v>
      </c>
      <c r="W1513" s="14">
        <v>648.29999999999995</v>
      </c>
      <c r="X1513" s="14">
        <v>755.2</v>
      </c>
      <c r="Y1513" s="14">
        <v>682.3</v>
      </c>
      <c r="Z1513" s="14">
        <v>753</v>
      </c>
      <c r="AA1513" s="14"/>
      <c r="AB1513" s="14"/>
      <c r="AC1513" s="15">
        <f>IFERROR(Z1513/G1513-1,"")</f>
        <v>-5.7336004006008912E-2</v>
      </c>
      <c r="AD1513" s="15">
        <f>IFERROR((Z1513/G1513)^(1/19)-1,"")</f>
        <v>-3.1028274995602567E-3</v>
      </c>
    </row>
    <row r="1514" spans="1:30">
      <c r="A1514" s="45" t="s">
        <v>363</v>
      </c>
      <c r="B1514" s="45" t="s">
        <v>364</v>
      </c>
      <c r="C1514" s="45" t="s">
        <v>498</v>
      </c>
      <c r="D1514" s="45" t="s">
        <v>496</v>
      </c>
      <c r="E1514" s="45" t="s">
        <v>499</v>
      </c>
      <c r="F1514" s="45" t="s">
        <v>500</v>
      </c>
      <c r="G1514" s="14">
        <v>3066.3</v>
      </c>
      <c r="H1514" s="14">
        <v>2898.7</v>
      </c>
      <c r="I1514" s="14">
        <v>3272.8</v>
      </c>
      <c r="J1514" s="14">
        <v>3321.3</v>
      </c>
      <c r="K1514" s="14">
        <v>3691.8</v>
      </c>
      <c r="L1514" s="14">
        <v>3833</v>
      </c>
      <c r="M1514" s="14">
        <v>3634.6</v>
      </c>
      <c r="N1514" s="14">
        <v>3879.4</v>
      </c>
      <c r="O1514" s="14">
        <v>3774</v>
      </c>
      <c r="P1514" s="14">
        <v>3740.8</v>
      </c>
      <c r="Q1514" s="14">
        <v>3977.8</v>
      </c>
      <c r="R1514" s="14">
        <v>4028.7</v>
      </c>
      <c r="S1514" s="14">
        <v>3837.4</v>
      </c>
      <c r="T1514" s="14">
        <v>4378.8</v>
      </c>
      <c r="U1514" s="14">
        <v>4507.8999999999996</v>
      </c>
      <c r="V1514" s="14">
        <v>4482.8999999999996</v>
      </c>
      <c r="W1514" s="14">
        <v>5244.1</v>
      </c>
      <c r="X1514" s="14">
        <v>5554.1</v>
      </c>
      <c r="Y1514" s="14">
        <v>5421.7</v>
      </c>
      <c r="Z1514" s="14">
        <v>5208.6000000000004</v>
      </c>
      <c r="AA1514" s="14"/>
      <c r="AB1514" s="14"/>
      <c r="AC1514" s="15">
        <f>IFERROR(Z1514/G1514-1,"")</f>
        <v>0.69865962234615009</v>
      </c>
      <c r="AD1514" s="15">
        <f>IFERROR((Z1514/G1514)^(1/19)-1,"")</f>
        <v>2.8278750714798129E-2</v>
      </c>
    </row>
    <row r="1515" spans="1:30">
      <c r="A1515" s="45" t="s">
        <v>363</v>
      </c>
      <c r="B1515" s="45" t="s">
        <v>364</v>
      </c>
      <c r="C1515" s="45" t="s">
        <v>498</v>
      </c>
      <c r="D1515" s="45" t="s">
        <v>497</v>
      </c>
      <c r="E1515" s="45" t="s">
        <v>499</v>
      </c>
      <c r="F1515" s="45" t="s">
        <v>500</v>
      </c>
      <c r="G1515" s="14">
        <v>11431.6</v>
      </c>
      <c r="H1515" s="14">
        <v>10820</v>
      </c>
      <c r="I1515" s="14">
        <v>11332.3</v>
      </c>
      <c r="J1515" s="14">
        <v>11389.5</v>
      </c>
      <c r="K1515" s="14">
        <v>12437.9</v>
      </c>
      <c r="L1515" s="14">
        <v>16137</v>
      </c>
      <c r="M1515" s="14">
        <v>16287.8</v>
      </c>
      <c r="N1515" s="14">
        <v>16303.6</v>
      </c>
      <c r="O1515" s="14">
        <v>15810</v>
      </c>
      <c r="P1515" s="14">
        <v>15927.1</v>
      </c>
      <c r="Q1515" s="14">
        <v>16233.8</v>
      </c>
      <c r="R1515" s="14">
        <v>17489.7</v>
      </c>
      <c r="S1515" s="14">
        <v>17331.8</v>
      </c>
      <c r="T1515" s="14">
        <v>18028.099999999999</v>
      </c>
      <c r="U1515" s="14">
        <v>17524.900000000001</v>
      </c>
      <c r="V1515" s="14">
        <v>18448.099999999999</v>
      </c>
      <c r="W1515" s="14">
        <v>17583.3</v>
      </c>
      <c r="X1515" s="14">
        <v>18445</v>
      </c>
      <c r="Y1515" s="14">
        <v>17104.8</v>
      </c>
      <c r="Z1515" s="14">
        <v>16814.900000000001</v>
      </c>
      <c r="AA1515" s="14"/>
      <c r="AB1515" s="14"/>
      <c r="AC1515" s="15">
        <f>IFERROR(Z1515/G1515-1,"")</f>
        <v>0.47091395780118273</v>
      </c>
      <c r="AD1515" s="15">
        <f>IFERROR((Z1515/G1515)^(1/19)-1,"")</f>
        <v>2.0517326384271728E-2</v>
      </c>
    </row>
    <row r="1516" spans="1:30">
      <c r="A1516" s="45" t="s">
        <v>363</v>
      </c>
      <c r="B1516" s="45" t="s">
        <v>364</v>
      </c>
      <c r="C1516" s="45" t="s">
        <v>498</v>
      </c>
      <c r="D1516" s="45" t="s">
        <v>501</v>
      </c>
      <c r="E1516" s="45" t="s">
        <v>499</v>
      </c>
      <c r="F1516" s="45" t="s">
        <v>500</v>
      </c>
      <c r="G1516" s="14">
        <v>2372.6</v>
      </c>
      <c r="H1516" s="14">
        <v>2993.3</v>
      </c>
      <c r="I1516" s="14">
        <v>2837.9</v>
      </c>
      <c r="J1516" s="14">
        <v>2857.6</v>
      </c>
      <c r="K1516" s="14">
        <v>2377.5</v>
      </c>
      <c r="L1516" s="14">
        <v>2142.4</v>
      </c>
      <c r="M1516" s="14">
        <v>2798.4</v>
      </c>
      <c r="N1516" s="14">
        <v>2639</v>
      </c>
      <c r="O1516" s="14">
        <v>1639</v>
      </c>
      <c r="P1516" s="14">
        <v>1965.5</v>
      </c>
      <c r="Q1516" s="14">
        <v>1189.7</v>
      </c>
      <c r="R1516" s="14">
        <v>1254.5999999999999</v>
      </c>
      <c r="S1516" s="14">
        <v>1145.5999999999999</v>
      </c>
      <c r="T1516" s="14">
        <v>1205.5999999999999</v>
      </c>
      <c r="U1516" s="14">
        <v>1212.9000000000001</v>
      </c>
      <c r="V1516" s="14">
        <v>1259.3</v>
      </c>
      <c r="W1516" s="14">
        <v>1120.8</v>
      </c>
      <c r="X1516" s="14">
        <v>1295.0999999999999</v>
      </c>
      <c r="Y1516" s="14">
        <v>1488.2</v>
      </c>
      <c r="Z1516" s="14">
        <v>1457.4</v>
      </c>
      <c r="AA1516" s="14"/>
      <c r="AB1516" s="14"/>
      <c r="AC1516" s="15">
        <f>IFERROR(Z1516/G1516-1,"")</f>
        <v>-0.38573716597825169</v>
      </c>
      <c r="AD1516" s="15">
        <f>IFERROR((Z1516/G1516)^(1/19)-1,"")</f>
        <v>-2.5322929232319935E-2</v>
      </c>
    </row>
    <row r="1517" spans="1:30">
      <c r="A1517" s="45" t="s">
        <v>427</v>
      </c>
      <c r="B1517" s="45" t="s">
        <v>428</v>
      </c>
      <c r="C1517" s="45" t="s">
        <v>490</v>
      </c>
      <c r="D1517" s="45" t="s">
        <v>491</v>
      </c>
      <c r="E1517" s="45" t="s">
        <v>492</v>
      </c>
      <c r="F1517" s="45" t="s">
        <v>493</v>
      </c>
      <c r="G1517" s="14">
        <v>5778</v>
      </c>
      <c r="H1517" s="14">
        <v>6209</v>
      </c>
      <c r="I1517" s="14">
        <v>6549</v>
      </c>
      <c r="J1517" s="14">
        <v>7461</v>
      </c>
      <c r="K1517" s="14">
        <v>8414</v>
      </c>
      <c r="L1517" s="14">
        <v>11586</v>
      </c>
      <c r="M1517" s="14">
        <v>13071</v>
      </c>
      <c r="N1517" s="14">
        <v>13046</v>
      </c>
      <c r="O1517" s="14">
        <v>12960</v>
      </c>
      <c r="P1517" s="14">
        <v>15198</v>
      </c>
      <c r="Q1517" s="14">
        <v>16831</v>
      </c>
      <c r="R1517" s="14">
        <v>19318</v>
      </c>
      <c r="S1517" s="14">
        <v>20572</v>
      </c>
      <c r="T1517" s="14">
        <v>21200</v>
      </c>
      <c r="U1517" s="14">
        <v>23390</v>
      </c>
      <c r="V1517" s="14">
        <v>25076</v>
      </c>
      <c r="W1517" s="14">
        <v>26357</v>
      </c>
      <c r="X1517" s="14">
        <v>28278</v>
      </c>
      <c r="Y1517" s="14">
        <v>30067</v>
      </c>
      <c r="Z1517" s="14">
        <v>32472</v>
      </c>
      <c r="AA1517" s="14">
        <v>37505</v>
      </c>
      <c r="AB1517" s="14">
        <v>43556</v>
      </c>
    </row>
    <row r="1518" spans="1:30">
      <c r="A1518" s="45" t="s">
        <v>427</v>
      </c>
      <c r="B1518" s="45" t="s">
        <v>428</v>
      </c>
      <c r="C1518" s="45" t="s">
        <v>490</v>
      </c>
      <c r="D1518" s="45" t="s">
        <v>494</v>
      </c>
      <c r="E1518" s="45" t="s">
        <v>492</v>
      </c>
      <c r="F1518" s="45" t="s">
        <v>493</v>
      </c>
      <c r="G1518" s="14">
        <v>5500</v>
      </c>
      <c r="H1518" s="14">
        <v>5937</v>
      </c>
      <c r="I1518" s="14">
        <v>6253</v>
      </c>
      <c r="J1518" s="14">
        <v>7103</v>
      </c>
      <c r="K1518" s="14">
        <v>7931</v>
      </c>
      <c r="L1518" s="14">
        <v>10695</v>
      </c>
      <c r="M1518" s="14">
        <v>12020</v>
      </c>
      <c r="N1518" s="14">
        <v>12248</v>
      </c>
      <c r="O1518" s="14">
        <v>12153</v>
      </c>
      <c r="P1518" s="14">
        <v>14270</v>
      </c>
      <c r="Q1518" s="14">
        <v>15950</v>
      </c>
      <c r="R1518" s="14">
        <v>18323</v>
      </c>
      <c r="S1518" s="14">
        <v>19459</v>
      </c>
      <c r="T1518" s="14">
        <v>20242</v>
      </c>
      <c r="U1518" s="14">
        <v>22756</v>
      </c>
      <c r="V1518" s="14">
        <v>24376</v>
      </c>
      <c r="W1518" s="14">
        <v>25527</v>
      </c>
      <c r="X1518" s="14">
        <v>27355</v>
      </c>
      <c r="Y1518" s="14">
        <v>29145</v>
      </c>
      <c r="Z1518" s="14">
        <v>31296</v>
      </c>
      <c r="AA1518" s="14"/>
      <c r="AB1518" s="14"/>
    </row>
    <row r="1519" spans="1:30">
      <c r="A1519" s="45" t="s">
        <v>427</v>
      </c>
      <c r="B1519" s="45" t="s">
        <v>428</v>
      </c>
      <c r="C1519" s="45" t="s">
        <v>490</v>
      </c>
      <c r="D1519" s="45" t="s">
        <v>495</v>
      </c>
      <c r="E1519" s="45" t="s">
        <v>492</v>
      </c>
      <c r="F1519" s="45" t="s">
        <v>493</v>
      </c>
      <c r="G1519" s="14">
        <v>324</v>
      </c>
      <c r="H1519" s="14">
        <v>218</v>
      </c>
      <c r="I1519" s="14">
        <v>237</v>
      </c>
      <c r="J1519" s="14">
        <v>274</v>
      </c>
      <c r="K1519" s="14">
        <v>289</v>
      </c>
      <c r="L1519" s="14">
        <v>362</v>
      </c>
      <c r="M1519" s="14">
        <v>391</v>
      </c>
      <c r="N1519" s="14">
        <v>439</v>
      </c>
      <c r="O1519" s="14">
        <v>556</v>
      </c>
      <c r="P1519" s="14">
        <v>741</v>
      </c>
      <c r="Q1519" s="14">
        <v>680</v>
      </c>
      <c r="R1519" s="14">
        <v>1134</v>
      </c>
      <c r="S1519" s="14">
        <v>1014</v>
      </c>
      <c r="T1519" s="14">
        <v>836</v>
      </c>
      <c r="U1519" s="14">
        <v>1088</v>
      </c>
      <c r="V1519" s="14">
        <v>1222</v>
      </c>
      <c r="W1519" s="14">
        <v>1320</v>
      </c>
      <c r="X1519" s="14">
        <v>1331</v>
      </c>
      <c r="Y1519" s="14">
        <v>1393</v>
      </c>
      <c r="Z1519" s="14">
        <v>1477</v>
      </c>
      <c r="AA1519" s="14"/>
      <c r="AB1519" s="14"/>
    </row>
    <row r="1520" spans="1:30">
      <c r="A1520" s="45" t="s">
        <v>427</v>
      </c>
      <c r="B1520" s="45" t="s">
        <v>428</v>
      </c>
      <c r="C1520" s="45" t="s">
        <v>490</v>
      </c>
      <c r="D1520" s="45" t="s">
        <v>496</v>
      </c>
      <c r="E1520" s="45" t="s">
        <v>492</v>
      </c>
      <c r="F1520" s="45" t="s">
        <v>493</v>
      </c>
      <c r="G1520" s="14">
        <v>1229</v>
      </c>
      <c r="H1520" s="14">
        <v>1406</v>
      </c>
      <c r="I1520" s="14">
        <v>1607</v>
      </c>
      <c r="J1520" s="14">
        <v>1860</v>
      </c>
      <c r="K1520" s="14">
        <v>2037</v>
      </c>
      <c r="L1520" s="14">
        <v>3134</v>
      </c>
      <c r="M1520" s="14">
        <v>3217</v>
      </c>
      <c r="N1520" s="14">
        <v>2818</v>
      </c>
      <c r="O1520" s="14">
        <v>2794</v>
      </c>
      <c r="P1520" s="14">
        <v>3064</v>
      </c>
      <c r="Q1520" s="14">
        <v>3685</v>
      </c>
      <c r="R1520" s="14">
        <v>4171</v>
      </c>
      <c r="S1520" s="14">
        <v>4087</v>
      </c>
      <c r="T1520" s="14">
        <v>4747</v>
      </c>
      <c r="U1520" s="14">
        <v>5380</v>
      </c>
      <c r="V1520" s="14">
        <v>5430</v>
      </c>
      <c r="W1520" s="14">
        <v>6183</v>
      </c>
      <c r="X1520" s="14">
        <v>6821</v>
      </c>
      <c r="Y1520" s="14">
        <v>7135</v>
      </c>
      <c r="Z1520" s="14">
        <v>7701</v>
      </c>
      <c r="AA1520" s="14"/>
      <c r="AB1520" s="14"/>
    </row>
    <row r="1521" spans="1:30">
      <c r="A1521" s="45" t="s">
        <v>427</v>
      </c>
      <c r="B1521" s="45" t="s">
        <v>428</v>
      </c>
      <c r="C1521" s="45" t="s">
        <v>490</v>
      </c>
      <c r="D1521" s="45" t="s">
        <v>497</v>
      </c>
      <c r="E1521" s="45" t="s">
        <v>492</v>
      </c>
      <c r="F1521" s="45" t="s">
        <v>493</v>
      </c>
      <c r="G1521" s="14">
        <v>3117</v>
      </c>
      <c r="H1521" s="14">
        <v>3282</v>
      </c>
      <c r="I1521" s="14">
        <v>3593</v>
      </c>
      <c r="J1521" s="14">
        <v>4328</v>
      </c>
      <c r="K1521" s="14">
        <v>4828</v>
      </c>
      <c r="L1521" s="14">
        <v>6348</v>
      </c>
      <c r="M1521" s="14">
        <v>6904</v>
      </c>
      <c r="N1521" s="14">
        <v>7502</v>
      </c>
      <c r="O1521" s="14">
        <v>8007</v>
      </c>
      <c r="P1521" s="14">
        <v>9441</v>
      </c>
      <c r="Q1521" s="14">
        <v>10869</v>
      </c>
      <c r="R1521" s="14">
        <v>12160</v>
      </c>
      <c r="S1521" s="14">
        <v>13296</v>
      </c>
      <c r="T1521" s="14">
        <v>13818</v>
      </c>
      <c r="U1521" s="14">
        <v>15469</v>
      </c>
      <c r="V1521" s="14">
        <v>16914</v>
      </c>
      <c r="W1521" s="14">
        <v>16856</v>
      </c>
      <c r="X1521" s="14">
        <v>18069</v>
      </c>
      <c r="Y1521" s="14">
        <v>19124</v>
      </c>
      <c r="Z1521" s="14">
        <v>20648</v>
      </c>
      <c r="AA1521" s="14"/>
      <c r="AB1521" s="14"/>
    </row>
    <row r="1522" spans="1:30">
      <c r="A1522" s="45" t="s">
        <v>427</v>
      </c>
      <c r="B1522" s="45" t="s">
        <v>428</v>
      </c>
      <c r="C1522" s="45" t="s">
        <v>498</v>
      </c>
      <c r="D1522" s="45" t="s">
        <v>491</v>
      </c>
      <c r="E1522" s="45" t="s">
        <v>499</v>
      </c>
      <c r="F1522" s="45" t="s">
        <v>500</v>
      </c>
      <c r="G1522" s="14">
        <v>10977.7</v>
      </c>
      <c r="H1522" s="14">
        <v>10338.4</v>
      </c>
      <c r="I1522" s="14">
        <v>10120.200000000001</v>
      </c>
      <c r="J1522" s="14">
        <v>10731.9</v>
      </c>
      <c r="K1522" s="14">
        <v>11335.7</v>
      </c>
      <c r="L1522" s="14">
        <v>14664.6</v>
      </c>
      <c r="M1522" s="14">
        <v>15208</v>
      </c>
      <c r="N1522" s="14">
        <v>14144.9</v>
      </c>
      <c r="O1522" s="14">
        <v>12960</v>
      </c>
      <c r="P1522" s="14">
        <v>14030.8</v>
      </c>
      <c r="Q1522" s="14">
        <v>14395</v>
      </c>
      <c r="R1522" s="14">
        <v>15368.7</v>
      </c>
      <c r="S1522" s="14">
        <v>15175.6</v>
      </c>
      <c r="T1522" s="14">
        <v>14538.8</v>
      </c>
      <c r="U1522" s="14">
        <v>14838.2</v>
      </c>
      <c r="V1522" s="14">
        <v>15344.5</v>
      </c>
      <c r="W1522" s="14">
        <v>15434.8</v>
      </c>
      <c r="X1522" s="14">
        <v>15888.5</v>
      </c>
      <c r="Y1522" s="14">
        <v>15866.7</v>
      </c>
      <c r="Z1522" s="14">
        <v>15158.2</v>
      </c>
      <c r="AA1522" s="14"/>
      <c r="AB1522" s="14"/>
      <c r="AC1522" s="15">
        <f>IFERROR(Z1522/G1522-1,"")</f>
        <v>0.38081747542745736</v>
      </c>
      <c r="AD1522" s="15">
        <f>IFERROR((Z1522/G1522)^(1/19)-1,"")</f>
        <v>1.7127961263339042E-2</v>
      </c>
    </row>
    <row r="1523" spans="1:30">
      <c r="A1523" s="45" t="s">
        <v>427</v>
      </c>
      <c r="B1523" s="45" t="s">
        <v>428</v>
      </c>
      <c r="C1523" s="45" t="s">
        <v>498</v>
      </c>
      <c r="D1523" s="45" t="s">
        <v>495</v>
      </c>
      <c r="E1523" s="45" t="s">
        <v>499</v>
      </c>
      <c r="F1523" s="45" t="s">
        <v>500</v>
      </c>
      <c r="G1523" s="14">
        <v>615.4</v>
      </c>
      <c r="H1523" s="14">
        <v>362.6</v>
      </c>
      <c r="I1523" s="14">
        <v>366.3</v>
      </c>
      <c r="J1523" s="14">
        <v>394.1</v>
      </c>
      <c r="K1523" s="14">
        <v>389.6</v>
      </c>
      <c r="L1523" s="14">
        <v>457.7</v>
      </c>
      <c r="M1523" s="14">
        <v>454.9</v>
      </c>
      <c r="N1523" s="14">
        <v>476</v>
      </c>
      <c r="O1523" s="14">
        <v>556</v>
      </c>
      <c r="P1523" s="14">
        <v>684.1</v>
      </c>
      <c r="Q1523" s="14">
        <v>581.6</v>
      </c>
      <c r="R1523" s="14">
        <v>902.2</v>
      </c>
      <c r="S1523" s="14">
        <v>748</v>
      </c>
      <c r="T1523" s="14">
        <v>573.29999999999995</v>
      </c>
      <c r="U1523" s="14">
        <v>690.2</v>
      </c>
      <c r="V1523" s="14">
        <v>747.8</v>
      </c>
      <c r="W1523" s="14">
        <v>773</v>
      </c>
      <c r="X1523" s="14">
        <v>747.8</v>
      </c>
      <c r="Y1523" s="14">
        <v>735.1</v>
      </c>
      <c r="Z1523" s="14">
        <v>689.5</v>
      </c>
      <c r="AA1523" s="14"/>
      <c r="AB1523" s="14"/>
      <c r="AC1523" s="15">
        <f>IFERROR(Z1523/G1523-1,"")</f>
        <v>0.12040948976275589</v>
      </c>
      <c r="AD1523" s="15">
        <f>IFERROR((Z1523/G1523)^(1/19)-1,"")</f>
        <v>6.0018464073179345E-3</v>
      </c>
    </row>
    <row r="1524" spans="1:30">
      <c r="A1524" s="45" t="s">
        <v>427</v>
      </c>
      <c r="B1524" s="45" t="s">
        <v>428</v>
      </c>
      <c r="C1524" s="45" t="s">
        <v>498</v>
      </c>
      <c r="D1524" s="45" t="s">
        <v>496</v>
      </c>
      <c r="E1524" s="45" t="s">
        <v>499</v>
      </c>
      <c r="F1524" s="45" t="s">
        <v>500</v>
      </c>
      <c r="G1524" s="14">
        <v>2334.1999999999998</v>
      </c>
      <c r="H1524" s="14">
        <v>2340.6</v>
      </c>
      <c r="I1524" s="14">
        <v>2483.5</v>
      </c>
      <c r="J1524" s="14">
        <v>2675.6</v>
      </c>
      <c r="K1524" s="14">
        <v>2744.4</v>
      </c>
      <c r="L1524" s="14">
        <v>3966.7</v>
      </c>
      <c r="M1524" s="14">
        <v>3743.4</v>
      </c>
      <c r="N1524" s="14">
        <v>3055.4</v>
      </c>
      <c r="O1524" s="14">
        <v>2794</v>
      </c>
      <c r="P1524" s="14">
        <v>2828.7</v>
      </c>
      <c r="Q1524" s="14">
        <v>3151.7</v>
      </c>
      <c r="R1524" s="14">
        <v>3318.3</v>
      </c>
      <c r="S1524" s="14">
        <v>3014.9</v>
      </c>
      <c r="T1524" s="14">
        <v>3255.5</v>
      </c>
      <c r="U1524" s="14">
        <v>3413</v>
      </c>
      <c r="V1524" s="14">
        <v>3322.7</v>
      </c>
      <c r="W1524" s="14">
        <v>3620.8</v>
      </c>
      <c r="X1524" s="14">
        <v>3832.5</v>
      </c>
      <c r="Y1524" s="14">
        <v>3765.2</v>
      </c>
      <c r="Z1524" s="14">
        <v>3594.9</v>
      </c>
      <c r="AA1524" s="14"/>
      <c r="AB1524" s="14"/>
      <c r="AC1524" s="15">
        <f>IFERROR(Z1524/G1524-1,"")</f>
        <v>0.54009939165452847</v>
      </c>
      <c r="AD1524" s="15">
        <f>IFERROR((Z1524/G1524)^(1/19)-1,"")</f>
        <v>2.2989054063984771E-2</v>
      </c>
    </row>
    <row r="1525" spans="1:30">
      <c r="A1525" s="45" t="s">
        <v>427</v>
      </c>
      <c r="B1525" s="45" t="s">
        <v>428</v>
      </c>
      <c r="C1525" s="45" t="s">
        <v>498</v>
      </c>
      <c r="D1525" s="45" t="s">
        <v>497</v>
      </c>
      <c r="E1525" s="45" t="s">
        <v>499</v>
      </c>
      <c r="F1525" s="45" t="s">
        <v>500</v>
      </c>
      <c r="G1525" s="14">
        <v>5922.1</v>
      </c>
      <c r="H1525" s="14">
        <v>5465.1</v>
      </c>
      <c r="I1525" s="14">
        <v>5551.8</v>
      </c>
      <c r="J1525" s="14">
        <v>6225.9</v>
      </c>
      <c r="K1525" s="14">
        <v>6503.9</v>
      </c>
      <c r="L1525" s="14">
        <v>8034.8</v>
      </c>
      <c r="M1525" s="14">
        <v>8032.8</v>
      </c>
      <c r="N1525" s="14">
        <v>8133.9</v>
      </c>
      <c r="O1525" s="14">
        <v>8007</v>
      </c>
      <c r="P1525" s="14">
        <v>8716</v>
      </c>
      <c r="Q1525" s="14">
        <v>9295.9</v>
      </c>
      <c r="R1525" s="14">
        <v>9674.1</v>
      </c>
      <c r="S1525" s="14">
        <v>9808.2000000000007</v>
      </c>
      <c r="T1525" s="14">
        <v>9476.2999999999993</v>
      </c>
      <c r="U1525" s="14">
        <v>9813.2999999999993</v>
      </c>
      <c r="V1525" s="14">
        <v>10350</v>
      </c>
      <c r="W1525" s="14">
        <v>9870.9</v>
      </c>
      <c r="X1525" s="14">
        <v>10152.4</v>
      </c>
      <c r="Y1525" s="14">
        <v>10092</v>
      </c>
      <c r="Z1525" s="14">
        <v>9639.1</v>
      </c>
      <c r="AA1525" s="14"/>
      <c r="AB1525" s="14"/>
      <c r="AC1525" s="15">
        <f>IFERROR(Z1525/G1525-1,"")</f>
        <v>0.62764897587004609</v>
      </c>
      <c r="AD1525" s="15">
        <f>IFERROR((Z1525/G1525)^(1/19)-1,"")</f>
        <v>2.5970270154090702E-2</v>
      </c>
    </row>
    <row r="1526" spans="1:30">
      <c r="A1526" s="45" t="s">
        <v>427</v>
      </c>
      <c r="B1526" s="45" t="s">
        <v>428</v>
      </c>
      <c r="C1526" s="45" t="s">
        <v>498</v>
      </c>
      <c r="D1526" s="45" t="s">
        <v>501</v>
      </c>
      <c r="E1526" s="45" t="s">
        <v>499</v>
      </c>
      <c r="F1526" s="45" t="s">
        <v>500</v>
      </c>
      <c r="G1526" s="14">
        <v>1577.9</v>
      </c>
      <c r="H1526" s="14">
        <v>1717.5</v>
      </c>
      <c r="I1526" s="14">
        <v>1260.7</v>
      </c>
      <c r="J1526" s="14">
        <v>922.3</v>
      </c>
      <c r="K1526" s="14">
        <v>1045.9000000000001</v>
      </c>
      <c r="L1526" s="14">
        <v>1077</v>
      </c>
      <c r="M1526" s="14">
        <v>1755</v>
      </c>
      <c r="N1526" s="14">
        <v>1615.5</v>
      </c>
      <c r="O1526" s="14">
        <v>797</v>
      </c>
      <c r="P1526" s="14">
        <v>944.4</v>
      </c>
      <c r="Q1526" s="14">
        <v>612.4</v>
      </c>
      <c r="R1526" s="14">
        <v>682.6</v>
      </c>
      <c r="S1526" s="14">
        <v>783.4</v>
      </c>
      <c r="T1526" s="14">
        <v>577.4</v>
      </c>
      <c r="U1526" s="14">
        <v>519.6</v>
      </c>
      <c r="V1526" s="14">
        <v>495.7</v>
      </c>
      <c r="W1526" s="14">
        <v>683.4</v>
      </c>
      <c r="X1526" s="14">
        <v>637.70000000000005</v>
      </c>
      <c r="Y1526" s="14">
        <v>787.9</v>
      </c>
      <c r="Z1526" s="14">
        <v>686.2</v>
      </c>
      <c r="AA1526" s="14"/>
      <c r="AB1526" s="14"/>
      <c r="AC1526" s="15">
        <f>IFERROR(Z1526/G1526-1,"")</f>
        <v>-0.56511819506939598</v>
      </c>
      <c r="AD1526" s="15">
        <f>IFERROR((Z1526/G1526)^(1/19)-1,"")</f>
        <v>-4.2878863058981698E-2</v>
      </c>
    </row>
    <row r="1527" spans="1:30">
      <c r="A1527" s="45" t="s">
        <v>221</v>
      </c>
      <c r="B1527" s="45" t="s">
        <v>222</v>
      </c>
      <c r="C1527" s="45" t="s">
        <v>490</v>
      </c>
      <c r="D1527" s="45" t="s">
        <v>491</v>
      </c>
      <c r="E1527" s="45" t="s">
        <v>492</v>
      </c>
      <c r="F1527" s="45" t="s">
        <v>493</v>
      </c>
      <c r="G1527" s="14">
        <v>27643</v>
      </c>
      <c r="H1527" s="14">
        <v>36919</v>
      </c>
      <c r="I1527" s="14">
        <v>41706</v>
      </c>
      <c r="J1527" s="14">
        <v>47539</v>
      </c>
      <c r="K1527" s="14">
        <v>61106</v>
      </c>
      <c r="L1527" s="14">
        <v>68761</v>
      </c>
      <c r="M1527" s="14">
        <v>70341</v>
      </c>
      <c r="N1527" s="14">
        <v>71459</v>
      </c>
      <c r="O1527" s="14">
        <v>80556</v>
      </c>
      <c r="P1527" s="14">
        <v>100043</v>
      </c>
      <c r="Q1527" s="14">
        <v>110146</v>
      </c>
      <c r="R1527" s="14">
        <v>111438</v>
      </c>
      <c r="S1527" s="14">
        <v>101443</v>
      </c>
      <c r="T1527" s="14">
        <v>101084</v>
      </c>
      <c r="U1527" s="14">
        <v>106528</v>
      </c>
      <c r="V1527" s="14">
        <v>120768</v>
      </c>
      <c r="W1527" s="14">
        <v>114950</v>
      </c>
      <c r="X1527" s="14">
        <v>127011</v>
      </c>
      <c r="Y1527" s="14">
        <v>136398</v>
      </c>
      <c r="Z1527" s="14">
        <v>155197</v>
      </c>
      <c r="AA1527" s="14">
        <v>174535</v>
      </c>
      <c r="AB1527" s="14">
        <v>184091</v>
      </c>
    </row>
    <row r="1528" spans="1:30">
      <c r="A1528" s="45" t="s">
        <v>221</v>
      </c>
      <c r="B1528" s="45" t="s">
        <v>222</v>
      </c>
      <c r="C1528" s="45" t="s">
        <v>490</v>
      </c>
      <c r="D1528" s="45" t="s">
        <v>494</v>
      </c>
      <c r="E1528" s="45" t="s">
        <v>492</v>
      </c>
      <c r="F1528" s="45" t="s">
        <v>493</v>
      </c>
      <c r="G1528" s="14">
        <v>25911</v>
      </c>
      <c r="H1528" s="14">
        <v>34743</v>
      </c>
      <c r="I1528" s="14">
        <v>38612</v>
      </c>
      <c r="J1528" s="14">
        <v>44042</v>
      </c>
      <c r="K1528" s="14">
        <v>53259</v>
      </c>
      <c r="L1528" s="14">
        <v>59878</v>
      </c>
      <c r="M1528" s="14">
        <v>63138</v>
      </c>
      <c r="N1528" s="14">
        <v>64957</v>
      </c>
      <c r="O1528" s="14">
        <v>71110</v>
      </c>
      <c r="P1528" s="14">
        <v>90324</v>
      </c>
      <c r="Q1528" s="14">
        <v>98047</v>
      </c>
      <c r="R1528" s="14">
        <v>98038</v>
      </c>
      <c r="S1528" s="14">
        <v>89402</v>
      </c>
      <c r="T1528" s="14">
        <v>90068</v>
      </c>
      <c r="U1528" s="14">
        <v>100887</v>
      </c>
      <c r="V1528" s="14">
        <v>115463</v>
      </c>
      <c r="W1528" s="14">
        <v>109280</v>
      </c>
      <c r="X1528" s="14">
        <v>120940</v>
      </c>
      <c r="Y1528" s="14">
        <v>130117</v>
      </c>
      <c r="Z1528" s="14">
        <v>145244</v>
      </c>
      <c r="AA1528" s="14"/>
      <c r="AB1528" s="14"/>
    </row>
    <row r="1529" spans="1:30">
      <c r="A1529" s="45" t="s">
        <v>221</v>
      </c>
      <c r="B1529" s="45" t="s">
        <v>222</v>
      </c>
      <c r="C1529" s="45" t="s">
        <v>490</v>
      </c>
      <c r="D1529" s="45" t="s">
        <v>495</v>
      </c>
      <c r="E1529" s="45" t="s">
        <v>492</v>
      </c>
      <c r="F1529" s="45" t="s">
        <v>493</v>
      </c>
      <c r="G1529" s="14">
        <v>2308</v>
      </c>
      <c r="H1529" s="14">
        <v>2807</v>
      </c>
      <c r="I1529" s="14">
        <v>3534</v>
      </c>
      <c r="J1529" s="14">
        <v>4172</v>
      </c>
      <c r="K1529" s="14">
        <v>8958</v>
      </c>
      <c r="L1529" s="14">
        <v>12103</v>
      </c>
      <c r="M1529" s="14">
        <v>11354</v>
      </c>
      <c r="N1529" s="14">
        <v>7285</v>
      </c>
      <c r="O1529" s="14">
        <v>9073</v>
      </c>
      <c r="P1529" s="14">
        <v>20426</v>
      </c>
      <c r="Q1529" s="14">
        <v>25690</v>
      </c>
      <c r="R1529" s="14">
        <v>12277</v>
      </c>
      <c r="S1529" s="14">
        <v>8220</v>
      </c>
      <c r="T1529" s="14">
        <v>6463</v>
      </c>
      <c r="U1529" s="14">
        <v>8166</v>
      </c>
      <c r="V1529" s="14">
        <v>10176</v>
      </c>
      <c r="W1529" s="14">
        <v>8602</v>
      </c>
      <c r="X1529" s="14">
        <v>8383</v>
      </c>
      <c r="Y1529" s="14">
        <v>10422</v>
      </c>
      <c r="Z1529" s="14">
        <v>8996</v>
      </c>
      <c r="AA1529" s="14"/>
      <c r="AB1529" s="14"/>
    </row>
    <row r="1530" spans="1:30">
      <c r="A1530" s="45" t="s">
        <v>221</v>
      </c>
      <c r="B1530" s="45" t="s">
        <v>222</v>
      </c>
      <c r="C1530" s="45" t="s">
        <v>490</v>
      </c>
      <c r="D1530" s="45" t="s">
        <v>496</v>
      </c>
      <c r="E1530" s="45" t="s">
        <v>492</v>
      </c>
      <c r="F1530" s="45" t="s">
        <v>493</v>
      </c>
      <c r="G1530" s="14">
        <v>3906</v>
      </c>
      <c r="H1530" s="14">
        <v>5136</v>
      </c>
      <c r="I1530" s="14">
        <v>6036</v>
      </c>
      <c r="J1530" s="14">
        <v>6213</v>
      </c>
      <c r="K1530" s="14">
        <v>8370</v>
      </c>
      <c r="L1530" s="14">
        <v>9619</v>
      </c>
      <c r="M1530" s="14">
        <v>8584</v>
      </c>
      <c r="N1530" s="14">
        <v>9230</v>
      </c>
      <c r="O1530" s="14">
        <v>10906</v>
      </c>
      <c r="P1530" s="14">
        <v>13106</v>
      </c>
      <c r="Q1530" s="14">
        <v>14764</v>
      </c>
      <c r="R1530" s="14">
        <v>15271</v>
      </c>
      <c r="S1530" s="14">
        <v>13214</v>
      </c>
      <c r="T1530" s="14">
        <v>14870</v>
      </c>
      <c r="U1530" s="14">
        <v>17300</v>
      </c>
      <c r="V1530" s="14">
        <v>18847</v>
      </c>
      <c r="W1530" s="14">
        <v>21889</v>
      </c>
      <c r="X1530" s="14">
        <v>23535</v>
      </c>
      <c r="Y1530" s="14">
        <v>24259</v>
      </c>
      <c r="Z1530" s="14">
        <v>26351</v>
      </c>
      <c r="AA1530" s="14"/>
      <c r="AB1530" s="14"/>
    </row>
    <row r="1531" spans="1:30">
      <c r="A1531" s="45" t="s">
        <v>221</v>
      </c>
      <c r="B1531" s="45" t="s">
        <v>222</v>
      </c>
      <c r="C1531" s="45" t="s">
        <v>490</v>
      </c>
      <c r="D1531" s="45" t="s">
        <v>497</v>
      </c>
      <c r="E1531" s="45" t="s">
        <v>492</v>
      </c>
      <c r="F1531" s="45" t="s">
        <v>493</v>
      </c>
      <c r="G1531" s="14">
        <v>12142</v>
      </c>
      <c r="H1531" s="14">
        <v>13595</v>
      </c>
      <c r="I1531" s="14">
        <v>14962</v>
      </c>
      <c r="J1531" s="14">
        <v>18655</v>
      </c>
      <c r="K1531" s="14">
        <v>21277</v>
      </c>
      <c r="L1531" s="14">
        <v>25487</v>
      </c>
      <c r="M1531" s="14">
        <v>28227</v>
      </c>
      <c r="N1531" s="14">
        <v>31370</v>
      </c>
      <c r="O1531" s="14">
        <v>33073</v>
      </c>
      <c r="P1531" s="14">
        <v>38185</v>
      </c>
      <c r="Q1531" s="14">
        <v>40837</v>
      </c>
      <c r="R1531" s="14">
        <v>50911</v>
      </c>
      <c r="S1531" s="14">
        <v>50019</v>
      </c>
      <c r="T1531" s="14">
        <v>52841</v>
      </c>
      <c r="U1531" s="14">
        <v>56916</v>
      </c>
      <c r="V1531" s="14">
        <v>62712</v>
      </c>
      <c r="W1531" s="14">
        <v>61695</v>
      </c>
      <c r="X1531" s="14">
        <v>66491</v>
      </c>
      <c r="Y1531" s="14">
        <v>68220</v>
      </c>
      <c r="Z1531" s="14">
        <v>71871</v>
      </c>
      <c r="AA1531" s="14"/>
      <c r="AB1531" s="14"/>
    </row>
    <row r="1532" spans="1:30">
      <c r="A1532" s="45" t="s">
        <v>221</v>
      </c>
      <c r="B1532" s="45" t="s">
        <v>222</v>
      </c>
      <c r="C1532" s="45" t="s">
        <v>498</v>
      </c>
      <c r="D1532" s="45" t="s">
        <v>491</v>
      </c>
      <c r="E1532" s="45" t="s">
        <v>499</v>
      </c>
      <c r="F1532" s="45" t="s">
        <v>500</v>
      </c>
      <c r="G1532" s="14">
        <v>52513.8</v>
      </c>
      <c r="H1532" s="14">
        <v>61473.599999999999</v>
      </c>
      <c r="I1532" s="14">
        <v>64448.4</v>
      </c>
      <c r="J1532" s="14">
        <v>68381.5</v>
      </c>
      <c r="K1532" s="14">
        <v>82319.399999999994</v>
      </c>
      <c r="L1532" s="14">
        <v>87029.3</v>
      </c>
      <c r="M1532" s="14">
        <v>81843.399999999994</v>
      </c>
      <c r="N1532" s="14">
        <v>77478.2</v>
      </c>
      <c r="O1532" s="14">
        <v>80556</v>
      </c>
      <c r="P1532" s="14">
        <v>92360</v>
      </c>
      <c r="Q1532" s="14">
        <v>94204.3</v>
      </c>
      <c r="R1532" s="14">
        <v>88656.1</v>
      </c>
      <c r="S1532" s="14">
        <v>74832.5</v>
      </c>
      <c r="T1532" s="14">
        <v>69322.600000000006</v>
      </c>
      <c r="U1532" s="14">
        <v>67579.7</v>
      </c>
      <c r="V1532" s="14">
        <v>73900.100000000006</v>
      </c>
      <c r="W1532" s="14">
        <v>67315.199999999997</v>
      </c>
      <c r="X1532" s="14">
        <v>71363.600000000006</v>
      </c>
      <c r="Y1532" s="14">
        <v>71979</v>
      </c>
      <c r="Z1532" s="14">
        <v>72447.100000000006</v>
      </c>
      <c r="AA1532" s="14"/>
      <c r="AB1532" s="14"/>
      <c r="AC1532" s="15">
        <f>IFERROR(Z1532/G1532-1,"")</f>
        <v>0.37958212888802567</v>
      </c>
      <c r="AD1532" s="15">
        <f>IFERROR((Z1532/G1532)^(1/19)-1,"")</f>
        <v>1.7080047681938826E-2</v>
      </c>
    </row>
    <row r="1533" spans="1:30">
      <c r="A1533" s="45" t="s">
        <v>221</v>
      </c>
      <c r="B1533" s="45" t="s">
        <v>222</v>
      </c>
      <c r="C1533" s="45" t="s">
        <v>498</v>
      </c>
      <c r="D1533" s="45" t="s">
        <v>495</v>
      </c>
      <c r="E1533" s="45" t="s">
        <v>499</v>
      </c>
      <c r="F1533" s="45" t="s">
        <v>500</v>
      </c>
      <c r="G1533" s="14">
        <v>4385.3999999999996</v>
      </c>
      <c r="H1533" s="14">
        <v>4674.8</v>
      </c>
      <c r="I1533" s="14">
        <v>5461</v>
      </c>
      <c r="J1533" s="14">
        <v>6001.3</v>
      </c>
      <c r="K1533" s="14">
        <v>12067.3</v>
      </c>
      <c r="L1533" s="14">
        <v>15318.9</v>
      </c>
      <c r="M1533" s="14">
        <v>13210.6</v>
      </c>
      <c r="N1533" s="14">
        <v>7898.6</v>
      </c>
      <c r="O1533" s="14">
        <v>9073</v>
      </c>
      <c r="P1533" s="14">
        <v>18857.3</v>
      </c>
      <c r="Q1533" s="14">
        <v>21971.8</v>
      </c>
      <c r="R1533" s="14">
        <v>9767.1</v>
      </c>
      <c r="S1533" s="14">
        <v>6063.7</v>
      </c>
      <c r="T1533" s="14">
        <v>4432.3</v>
      </c>
      <c r="U1533" s="14">
        <v>5180.3999999999996</v>
      </c>
      <c r="V1533" s="14">
        <v>6226.9</v>
      </c>
      <c r="W1533" s="14">
        <v>5037.3999999999996</v>
      </c>
      <c r="X1533" s="14">
        <v>4710.1000000000004</v>
      </c>
      <c r="Y1533" s="14">
        <v>5499.8</v>
      </c>
      <c r="Z1533" s="14">
        <v>4199.3999999999996</v>
      </c>
      <c r="AA1533" s="14"/>
      <c r="AB1533" s="14"/>
      <c r="AC1533" s="15">
        <f>IFERROR(Z1533/G1533-1,"")</f>
        <v>-4.2413462854015593E-2</v>
      </c>
      <c r="AD1533" s="15">
        <f>IFERROR((Z1533/G1533)^(1/19)-1,"")</f>
        <v>-2.2784101475281648E-3</v>
      </c>
    </row>
    <row r="1534" spans="1:30">
      <c r="A1534" s="45" t="s">
        <v>221</v>
      </c>
      <c r="B1534" s="45" t="s">
        <v>222</v>
      </c>
      <c r="C1534" s="45" t="s">
        <v>498</v>
      </c>
      <c r="D1534" s="45" t="s">
        <v>496</v>
      </c>
      <c r="E1534" s="45" t="s">
        <v>499</v>
      </c>
      <c r="F1534" s="45" t="s">
        <v>500</v>
      </c>
      <c r="G1534" s="14">
        <v>7421.3</v>
      </c>
      <c r="H1534" s="14">
        <v>8551.2999999999993</v>
      </c>
      <c r="I1534" s="14">
        <v>9328.2999999999993</v>
      </c>
      <c r="J1534" s="14">
        <v>8936.7000000000007</v>
      </c>
      <c r="K1534" s="14">
        <v>11276.4</v>
      </c>
      <c r="L1534" s="14">
        <v>12174.4</v>
      </c>
      <c r="M1534" s="14">
        <v>9987.5</v>
      </c>
      <c r="N1534" s="14">
        <v>10007.5</v>
      </c>
      <c r="O1534" s="14">
        <v>10906</v>
      </c>
      <c r="P1534" s="14">
        <v>12099.5</v>
      </c>
      <c r="Q1534" s="14">
        <v>12627.2</v>
      </c>
      <c r="R1534" s="14">
        <v>12149.1</v>
      </c>
      <c r="S1534" s="14">
        <v>9747.7000000000007</v>
      </c>
      <c r="T1534" s="14">
        <v>10197.700000000001</v>
      </c>
      <c r="U1534" s="14">
        <v>10974.8</v>
      </c>
      <c r="V1534" s="14">
        <v>11532.8</v>
      </c>
      <c r="W1534" s="14">
        <v>12818.3</v>
      </c>
      <c r="X1534" s="14">
        <v>13223.6</v>
      </c>
      <c r="Y1534" s="14">
        <v>12801.8</v>
      </c>
      <c r="Z1534" s="14">
        <v>12300.8</v>
      </c>
      <c r="AA1534" s="14"/>
      <c r="AB1534" s="14"/>
      <c r="AC1534" s="15">
        <f>IFERROR(Z1534/G1534-1,"")</f>
        <v>0.65749935995041286</v>
      </c>
      <c r="AD1534" s="15">
        <f>IFERROR((Z1534/G1534)^(1/19)-1,"")</f>
        <v>2.6952076376268286E-2</v>
      </c>
    </row>
    <row r="1535" spans="1:30">
      <c r="A1535" s="45" t="s">
        <v>221</v>
      </c>
      <c r="B1535" s="45" t="s">
        <v>222</v>
      </c>
      <c r="C1535" s="45" t="s">
        <v>498</v>
      </c>
      <c r="D1535" s="45" t="s">
        <v>497</v>
      </c>
      <c r="E1535" s="45" t="s">
        <v>499</v>
      </c>
      <c r="F1535" s="45" t="s">
        <v>500</v>
      </c>
      <c r="G1535" s="14">
        <v>23066.9</v>
      </c>
      <c r="H1535" s="14">
        <v>22637.9</v>
      </c>
      <c r="I1535" s="14">
        <v>23120.6</v>
      </c>
      <c r="J1535" s="14">
        <v>26834.400000000001</v>
      </c>
      <c r="K1535" s="14">
        <v>28664</v>
      </c>
      <c r="L1535" s="14">
        <v>32257.599999999999</v>
      </c>
      <c r="M1535" s="14">
        <v>32842.9</v>
      </c>
      <c r="N1535" s="14">
        <v>34012.400000000001</v>
      </c>
      <c r="O1535" s="14">
        <v>33073</v>
      </c>
      <c r="P1535" s="14">
        <v>35252.5</v>
      </c>
      <c r="Q1535" s="14">
        <v>34926.6</v>
      </c>
      <c r="R1535" s="14">
        <v>40503</v>
      </c>
      <c r="S1535" s="14">
        <v>36898</v>
      </c>
      <c r="T1535" s="14">
        <v>36237.9</v>
      </c>
      <c r="U1535" s="14">
        <v>36106.6</v>
      </c>
      <c r="V1535" s="14">
        <v>38374.6</v>
      </c>
      <c r="W1535" s="14">
        <v>36128.800000000003</v>
      </c>
      <c r="X1535" s="14">
        <v>37359.199999999997</v>
      </c>
      <c r="Y1535" s="14">
        <v>36000.6</v>
      </c>
      <c r="Z1535" s="14">
        <v>33550.800000000003</v>
      </c>
      <c r="AA1535" s="14"/>
      <c r="AB1535" s="14"/>
      <c r="AC1535" s="15">
        <f>IFERROR(Z1535/G1535-1,"")</f>
        <v>0.45449973771941621</v>
      </c>
      <c r="AD1535" s="15">
        <f>IFERROR((Z1535/G1535)^(1/19)-1,"")</f>
        <v>1.9914758404247612E-2</v>
      </c>
    </row>
    <row r="1536" spans="1:30">
      <c r="A1536" s="45" t="s">
        <v>221</v>
      </c>
      <c r="B1536" s="45" t="s">
        <v>222</v>
      </c>
      <c r="C1536" s="45" t="s">
        <v>498</v>
      </c>
      <c r="D1536" s="45" t="s">
        <v>501</v>
      </c>
      <c r="E1536" s="45" t="s">
        <v>499</v>
      </c>
      <c r="F1536" s="45" t="s">
        <v>500</v>
      </c>
      <c r="G1536" s="14">
        <v>14350.9</v>
      </c>
      <c r="H1536" s="14">
        <v>21986.7</v>
      </c>
      <c r="I1536" s="14">
        <v>21758</v>
      </c>
      <c r="J1536" s="14">
        <v>21578.400000000001</v>
      </c>
      <c r="K1536" s="14">
        <v>19741.3</v>
      </c>
      <c r="L1536" s="14">
        <v>16034.3</v>
      </c>
      <c r="M1536" s="14">
        <v>17421.8</v>
      </c>
      <c r="N1536" s="14">
        <v>18510</v>
      </c>
      <c r="O1536" s="14">
        <v>18059</v>
      </c>
      <c r="P1536" s="14">
        <v>17177.099999999999</v>
      </c>
      <c r="Q1536" s="14">
        <v>14331.7</v>
      </c>
      <c r="R1536" s="14">
        <v>15576.3</v>
      </c>
      <c r="S1536" s="14">
        <v>13239.9</v>
      </c>
      <c r="T1536" s="14">
        <v>10900</v>
      </c>
      <c r="U1536" s="14">
        <v>11739.9</v>
      </c>
      <c r="V1536" s="14">
        <v>14519.6</v>
      </c>
      <c r="W1536" s="14">
        <v>10010.299999999999</v>
      </c>
      <c r="X1536" s="14">
        <v>12659.5</v>
      </c>
      <c r="Y1536" s="14">
        <v>14361.7</v>
      </c>
      <c r="Z1536" s="14">
        <v>17750.8</v>
      </c>
      <c r="AA1536" s="14"/>
      <c r="AB1536" s="14"/>
      <c r="AC1536" s="15">
        <f>IFERROR(Z1536/G1536-1,"")</f>
        <v>0.23691197067779712</v>
      </c>
      <c r="AD1536" s="15">
        <f>IFERROR((Z1536/G1536)^(1/19)-1,"")</f>
        <v>1.125326415520056E-2</v>
      </c>
    </row>
    <row r="1537" spans="1:30">
      <c r="A1537" s="45" t="s">
        <v>197</v>
      </c>
      <c r="B1537" s="45" t="s">
        <v>198</v>
      </c>
      <c r="C1537" s="45" t="s">
        <v>490</v>
      </c>
      <c r="D1537" s="45" t="s">
        <v>491</v>
      </c>
      <c r="E1537" s="45" t="s">
        <v>492</v>
      </c>
      <c r="F1537" s="45" t="s">
        <v>493</v>
      </c>
      <c r="G1537" s="14">
        <v>25465</v>
      </c>
      <c r="H1537" s="14">
        <v>30327</v>
      </c>
      <c r="I1537" s="14">
        <v>33033</v>
      </c>
      <c r="J1537" s="14">
        <v>40535</v>
      </c>
      <c r="K1537" s="14">
        <v>46901</v>
      </c>
      <c r="L1537" s="14">
        <v>47942</v>
      </c>
      <c r="M1537" s="14">
        <v>56954</v>
      </c>
      <c r="N1537" s="14">
        <v>59184</v>
      </c>
      <c r="O1537" s="14">
        <v>72404</v>
      </c>
      <c r="P1537" s="14">
        <v>84693</v>
      </c>
      <c r="Q1537" s="14">
        <v>98253</v>
      </c>
      <c r="R1537" s="14">
        <v>107650</v>
      </c>
      <c r="S1537" s="14">
        <v>112045</v>
      </c>
      <c r="T1537" s="14">
        <v>120137</v>
      </c>
      <c r="U1537" s="14">
        <v>133264</v>
      </c>
      <c r="V1537" s="14">
        <v>137350</v>
      </c>
      <c r="W1537" s="14">
        <v>171900</v>
      </c>
      <c r="X1537" s="14">
        <v>185503</v>
      </c>
      <c r="Y1537" s="14">
        <v>192122</v>
      </c>
      <c r="Z1537" s="14">
        <v>201782</v>
      </c>
      <c r="AA1537" s="14">
        <v>213678</v>
      </c>
      <c r="AB1537" s="14">
        <v>225000</v>
      </c>
    </row>
    <row r="1538" spans="1:30">
      <c r="A1538" s="45" t="s">
        <v>197</v>
      </c>
      <c r="B1538" s="45" t="s">
        <v>198</v>
      </c>
      <c r="C1538" s="45" t="s">
        <v>490</v>
      </c>
      <c r="D1538" s="45" t="s">
        <v>494</v>
      </c>
      <c r="E1538" s="45" t="s">
        <v>492</v>
      </c>
      <c r="F1538" s="45" t="s">
        <v>493</v>
      </c>
      <c r="G1538" s="14">
        <v>24040</v>
      </c>
      <c r="H1538" s="14">
        <v>28616</v>
      </c>
      <c r="I1538" s="14">
        <v>31015</v>
      </c>
      <c r="J1538" s="14">
        <v>37656</v>
      </c>
      <c r="K1538" s="14">
        <v>42682</v>
      </c>
      <c r="L1538" s="14">
        <v>44127</v>
      </c>
      <c r="M1538" s="14">
        <v>51769</v>
      </c>
      <c r="N1538" s="14">
        <v>54823</v>
      </c>
      <c r="O1538" s="14">
        <v>65993</v>
      </c>
      <c r="P1538" s="14">
        <v>77269</v>
      </c>
      <c r="Q1538" s="14">
        <v>88608</v>
      </c>
      <c r="R1538" s="14">
        <v>98389</v>
      </c>
      <c r="S1538" s="14">
        <v>103340</v>
      </c>
      <c r="T1538" s="14">
        <v>111738</v>
      </c>
      <c r="U1538" s="14">
        <v>123970</v>
      </c>
      <c r="V1538" s="14">
        <v>128777</v>
      </c>
      <c r="W1538" s="14">
        <v>154826</v>
      </c>
      <c r="X1538" s="14">
        <v>168453</v>
      </c>
      <c r="Y1538" s="14">
        <v>174831</v>
      </c>
      <c r="Z1538" s="14">
        <v>182311</v>
      </c>
      <c r="AA1538" s="14"/>
      <c r="AB1538" s="14"/>
    </row>
    <row r="1539" spans="1:30">
      <c r="A1539" s="45" t="s">
        <v>197</v>
      </c>
      <c r="B1539" s="45" t="s">
        <v>198</v>
      </c>
      <c r="C1539" s="45" t="s">
        <v>490</v>
      </c>
      <c r="D1539" s="45" t="s">
        <v>495</v>
      </c>
      <c r="E1539" s="45" t="s">
        <v>492</v>
      </c>
      <c r="F1539" s="45" t="s">
        <v>493</v>
      </c>
      <c r="G1539" s="14">
        <v>2502</v>
      </c>
      <c r="H1539" s="14">
        <v>2370</v>
      </c>
      <c r="I1539" s="14">
        <v>2411</v>
      </c>
      <c r="J1539" s="14">
        <v>4222</v>
      </c>
      <c r="K1539" s="14">
        <v>5155</v>
      </c>
      <c r="L1539" s="14">
        <v>3316</v>
      </c>
      <c r="M1539" s="14">
        <v>5010</v>
      </c>
      <c r="N1539" s="14">
        <v>3646</v>
      </c>
      <c r="O1539" s="14">
        <v>6835</v>
      </c>
      <c r="P1539" s="14">
        <v>7968</v>
      </c>
      <c r="Q1539" s="14">
        <v>11288</v>
      </c>
      <c r="R1539" s="14">
        <v>8633</v>
      </c>
      <c r="S1539" s="14">
        <v>8772</v>
      </c>
      <c r="T1539" s="14">
        <v>9554</v>
      </c>
      <c r="U1539" s="14">
        <v>10413</v>
      </c>
      <c r="V1539" s="14">
        <v>10385</v>
      </c>
      <c r="W1539" s="14">
        <v>15224</v>
      </c>
      <c r="X1539" s="14">
        <v>15437</v>
      </c>
      <c r="Y1539" s="14">
        <v>20493</v>
      </c>
      <c r="Z1539" s="14">
        <v>18673</v>
      </c>
      <c r="AA1539" s="14"/>
      <c r="AB1539" s="14"/>
    </row>
    <row r="1540" spans="1:30">
      <c r="A1540" s="45" t="s">
        <v>197</v>
      </c>
      <c r="B1540" s="45" t="s">
        <v>198</v>
      </c>
      <c r="C1540" s="45" t="s">
        <v>490</v>
      </c>
      <c r="D1540" s="45" t="s">
        <v>496</v>
      </c>
      <c r="E1540" s="45" t="s">
        <v>492</v>
      </c>
      <c r="F1540" s="45" t="s">
        <v>493</v>
      </c>
      <c r="G1540" s="14">
        <v>4599</v>
      </c>
      <c r="H1540" s="14">
        <v>5425</v>
      </c>
      <c r="I1540" s="14">
        <v>6123</v>
      </c>
      <c r="J1540" s="14">
        <v>7290</v>
      </c>
      <c r="K1540" s="14">
        <v>8463</v>
      </c>
      <c r="L1540" s="14">
        <v>8803</v>
      </c>
      <c r="M1540" s="14">
        <v>9559</v>
      </c>
      <c r="N1540" s="14">
        <v>10871</v>
      </c>
      <c r="O1540" s="14">
        <v>13726</v>
      </c>
      <c r="P1540" s="14">
        <v>19941</v>
      </c>
      <c r="Q1540" s="14">
        <v>23287</v>
      </c>
      <c r="R1540" s="14">
        <v>26790</v>
      </c>
      <c r="S1540" s="14">
        <v>29732</v>
      </c>
      <c r="T1540" s="14">
        <v>32854</v>
      </c>
      <c r="U1540" s="14">
        <v>38670</v>
      </c>
      <c r="V1540" s="14">
        <v>38325</v>
      </c>
      <c r="W1540" s="14">
        <v>59795</v>
      </c>
      <c r="X1540" s="14">
        <v>65847</v>
      </c>
      <c r="Y1540" s="14">
        <v>62876</v>
      </c>
      <c r="Z1540" s="14">
        <v>64277</v>
      </c>
      <c r="AA1540" s="14"/>
      <c r="AB1540" s="14"/>
    </row>
    <row r="1541" spans="1:30">
      <c r="A1541" s="45" t="s">
        <v>197</v>
      </c>
      <c r="B1541" s="45" t="s">
        <v>198</v>
      </c>
      <c r="C1541" s="45" t="s">
        <v>490</v>
      </c>
      <c r="D1541" s="45" t="s">
        <v>497</v>
      </c>
      <c r="E1541" s="45" t="s">
        <v>492</v>
      </c>
      <c r="F1541" s="45" t="s">
        <v>493</v>
      </c>
      <c r="G1541" s="14">
        <v>14180</v>
      </c>
      <c r="H1541" s="14">
        <v>16225</v>
      </c>
      <c r="I1541" s="14">
        <v>17923</v>
      </c>
      <c r="J1541" s="14">
        <v>21038</v>
      </c>
      <c r="K1541" s="14">
        <v>23827</v>
      </c>
      <c r="L1541" s="14">
        <v>27337</v>
      </c>
      <c r="M1541" s="14">
        <v>29877</v>
      </c>
      <c r="N1541" s="14">
        <v>33684</v>
      </c>
      <c r="O1541" s="14">
        <v>39291</v>
      </c>
      <c r="P1541" s="14">
        <v>43905</v>
      </c>
      <c r="Q1541" s="14">
        <v>48358</v>
      </c>
      <c r="R1541" s="14">
        <v>56076</v>
      </c>
      <c r="S1541" s="14">
        <v>59571</v>
      </c>
      <c r="T1541" s="14">
        <v>65477</v>
      </c>
      <c r="U1541" s="14">
        <v>70717</v>
      </c>
      <c r="V1541" s="14">
        <v>75687</v>
      </c>
      <c r="W1541" s="14">
        <v>75688</v>
      </c>
      <c r="X1541" s="14">
        <v>82575</v>
      </c>
      <c r="Y1541" s="14">
        <v>85795</v>
      </c>
      <c r="Z1541" s="14">
        <v>94105</v>
      </c>
      <c r="AA1541" s="14"/>
      <c r="AB1541" s="14"/>
    </row>
    <row r="1542" spans="1:30">
      <c r="A1542" s="45" t="s">
        <v>197</v>
      </c>
      <c r="B1542" s="45" t="s">
        <v>198</v>
      </c>
      <c r="C1542" s="45" t="s">
        <v>498</v>
      </c>
      <c r="D1542" s="45" t="s">
        <v>491</v>
      </c>
      <c r="E1542" s="45" t="s">
        <v>499</v>
      </c>
      <c r="F1542" s="45" t="s">
        <v>500</v>
      </c>
      <c r="G1542" s="14">
        <v>48377.3</v>
      </c>
      <c r="H1542" s="14">
        <v>50497.7</v>
      </c>
      <c r="I1542" s="14">
        <v>51046.8</v>
      </c>
      <c r="J1542" s="14">
        <v>58306.1</v>
      </c>
      <c r="K1542" s="14">
        <v>63183.3</v>
      </c>
      <c r="L1542" s="14">
        <v>60678.2</v>
      </c>
      <c r="M1542" s="14">
        <v>66267</v>
      </c>
      <c r="N1542" s="14">
        <v>64169.3</v>
      </c>
      <c r="O1542" s="14">
        <v>72404</v>
      </c>
      <c r="P1542" s="14">
        <v>78188.800000000003</v>
      </c>
      <c r="Q1542" s="14">
        <v>84032.6</v>
      </c>
      <c r="R1542" s="14">
        <v>85642.5</v>
      </c>
      <c r="S1542" s="14">
        <v>82653.399999999994</v>
      </c>
      <c r="T1542" s="14">
        <v>82389</v>
      </c>
      <c r="U1542" s="14">
        <v>84540.6</v>
      </c>
      <c r="V1542" s="14">
        <v>84047</v>
      </c>
      <c r="W1542" s="14">
        <v>100665.3</v>
      </c>
      <c r="X1542" s="14">
        <v>104228.4</v>
      </c>
      <c r="Y1542" s="14">
        <v>101385.3</v>
      </c>
      <c r="Z1542" s="14">
        <v>94193.3</v>
      </c>
      <c r="AA1542" s="14"/>
      <c r="AB1542" s="14"/>
      <c r="AC1542" s="15">
        <f>IFERROR(Z1542/G1542-1,"")</f>
        <v>0.94705574722028718</v>
      </c>
      <c r="AD1542" s="15">
        <f>IFERROR((Z1542/G1542)^(1/19)-1,"")</f>
        <v>3.5691570128962846E-2</v>
      </c>
    </row>
    <row r="1543" spans="1:30">
      <c r="A1543" s="45" t="s">
        <v>197</v>
      </c>
      <c r="B1543" s="45" t="s">
        <v>198</v>
      </c>
      <c r="C1543" s="45" t="s">
        <v>498</v>
      </c>
      <c r="D1543" s="45" t="s">
        <v>495</v>
      </c>
      <c r="E1543" s="45" t="s">
        <v>499</v>
      </c>
      <c r="F1543" s="45" t="s">
        <v>500</v>
      </c>
      <c r="G1543" s="14">
        <v>4754</v>
      </c>
      <c r="H1543" s="14">
        <v>3946.2</v>
      </c>
      <c r="I1543" s="14">
        <v>3725.5</v>
      </c>
      <c r="J1543" s="14">
        <v>6072.8</v>
      </c>
      <c r="K1543" s="14">
        <v>6944.4</v>
      </c>
      <c r="L1543" s="14">
        <v>4197.3999999999996</v>
      </c>
      <c r="M1543" s="14">
        <v>5828.7</v>
      </c>
      <c r="N1543" s="14">
        <v>3953.1</v>
      </c>
      <c r="O1543" s="14">
        <v>6835</v>
      </c>
      <c r="P1543" s="14">
        <v>7356.1</v>
      </c>
      <c r="Q1543" s="14">
        <v>9654.2999999999993</v>
      </c>
      <c r="R1543" s="14">
        <v>6868.1</v>
      </c>
      <c r="S1543" s="14">
        <v>6470.9</v>
      </c>
      <c r="T1543" s="14">
        <v>6552.1</v>
      </c>
      <c r="U1543" s="14">
        <v>6605.8</v>
      </c>
      <c r="V1543" s="14">
        <v>6354.8</v>
      </c>
      <c r="W1543" s="14">
        <v>8915.2000000000007</v>
      </c>
      <c r="X1543" s="14">
        <v>8673.6</v>
      </c>
      <c r="Y1543" s="14">
        <v>10814.4</v>
      </c>
      <c r="Z1543" s="14">
        <v>8716.7000000000007</v>
      </c>
      <c r="AA1543" s="14"/>
      <c r="AB1543" s="14"/>
      <c r="AC1543" s="15">
        <f>IFERROR(Z1543/G1543-1,"")</f>
        <v>0.83355069415229299</v>
      </c>
      <c r="AD1543" s="15">
        <f>IFERROR((Z1543/G1543)^(1/19)-1,"")</f>
        <v>3.2422646138266398E-2</v>
      </c>
    </row>
    <row r="1544" spans="1:30">
      <c r="A1544" s="45" t="s">
        <v>197</v>
      </c>
      <c r="B1544" s="45" t="s">
        <v>198</v>
      </c>
      <c r="C1544" s="45" t="s">
        <v>498</v>
      </c>
      <c r="D1544" s="45" t="s">
        <v>496</v>
      </c>
      <c r="E1544" s="45" t="s">
        <v>499</v>
      </c>
      <c r="F1544" s="45" t="s">
        <v>500</v>
      </c>
      <c r="G1544" s="14">
        <v>8736.6</v>
      </c>
      <c r="H1544" s="14">
        <v>9034</v>
      </c>
      <c r="I1544" s="14">
        <v>9461.5</v>
      </c>
      <c r="J1544" s="14">
        <v>10485.9</v>
      </c>
      <c r="K1544" s="14">
        <v>11400.6</v>
      </c>
      <c r="L1544" s="14">
        <v>11141.2</v>
      </c>
      <c r="M1544" s="14">
        <v>11122.2</v>
      </c>
      <c r="N1544" s="14">
        <v>11786.7</v>
      </c>
      <c r="O1544" s="14">
        <v>13726</v>
      </c>
      <c r="P1544" s="14">
        <v>18409.599999999999</v>
      </c>
      <c r="Q1544" s="14">
        <v>19916.599999999999</v>
      </c>
      <c r="R1544" s="14">
        <v>21313.200000000001</v>
      </c>
      <c r="S1544" s="14">
        <v>21932.7</v>
      </c>
      <c r="T1544" s="14">
        <v>22531</v>
      </c>
      <c r="U1544" s="14">
        <v>24531.599999999999</v>
      </c>
      <c r="V1544" s="14">
        <v>23451.8</v>
      </c>
      <c r="W1544" s="14">
        <v>35016.199999999997</v>
      </c>
      <c r="X1544" s="14">
        <v>36997.4</v>
      </c>
      <c r="Y1544" s="14">
        <v>33180.5</v>
      </c>
      <c r="Z1544" s="14">
        <v>30005.4</v>
      </c>
      <c r="AA1544" s="14"/>
      <c r="AB1544" s="14"/>
      <c r="AC1544" s="15">
        <f>IFERROR(Z1544/G1544-1,"")</f>
        <v>2.4344481835038803</v>
      </c>
      <c r="AD1544" s="15">
        <f>IFERROR((Z1544/G1544)^(1/19)-1,"")</f>
        <v>6.7094787135668188E-2</v>
      </c>
    </row>
    <row r="1545" spans="1:30">
      <c r="A1545" s="45" t="s">
        <v>197</v>
      </c>
      <c r="B1545" s="45" t="s">
        <v>198</v>
      </c>
      <c r="C1545" s="45" t="s">
        <v>498</v>
      </c>
      <c r="D1545" s="45" t="s">
        <v>497</v>
      </c>
      <c r="E1545" s="45" t="s">
        <v>499</v>
      </c>
      <c r="F1545" s="45" t="s">
        <v>500</v>
      </c>
      <c r="G1545" s="14">
        <v>26938.799999999999</v>
      </c>
      <c r="H1545" s="14">
        <v>27016.1</v>
      </c>
      <c r="I1545" s="14">
        <v>27696.400000000001</v>
      </c>
      <c r="J1545" s="14">
        <v>30261.9</v>
      </c>
      <c r="K1545" s="14">
        <v>32099.4</v>
      </c>
      <c r="L1545" s="14">
        <v>34599</v>
      </c>
      <c r="M1545" s="14">
        <v>34763.199999999997</v>
      </c>
      <c r="N1545" s="14">
        <v>36521.300000000003</v>
      </c>
      <c r="O1545" s="14">
        <v>39291</v>
      </c>
      <c r="P1545" s="14">
        <v>40533.199999999997</v>
      </c>
      <c r="Q1545" s="14">
        <v>41359</v>
      </c>
      <c r="R1545" s="14">
        <v>44612</v>
      </c>
      <c r="S1545" s="14">
        <v>43944.4</v>
      </c>
      <c r="T1545" s="14">
        <v>44903.6</v>
      </c>
      <c r="U1545" s="14">
        <v>44861.7</v>
      </c>
      <c r="V1545" s="14">
        <v>46314.3</v>
      </c>
      <c r="W1545" s="14">
        <v>44323.199999999997</v>
      </c>
      <c r="X1545" s="14">
        <v>46396.3</v>
      </c>
      <c r="Y1545" s="14">
        <v>45275.1</v>
      </c>
      <c r="Z1545" s="14">
        <v>43930.3</v>
      </c>
      <c r="AA1545" s="14"/>
      <c r="AB1545" s="14"/>
      <c r="AC1545" s="15">
        <f>IFERROR(Z1545/G1545-1,"")</f>
        <v>0.63074450235348278</v>
      </c>
      <c r="AD1545" s="15">
        <f>IFERROR((Z1545/G1545)^(1/19)-1,"")</f>
        <v>2.6072874088180154E-2</v>
      </c>
    </row>
    <row r="1546" spans="1:30">
      <c r="A1546" s="45" t="s">
        <v>197</v>
      </c>
      <c r="B1546" s="45" t="s">
        <v>198</v>
      </c>
      <c r="C1546" s="45" t="s">
        <v>498</v>
      </c>
      <c r="D1546" s="45" t="s">
        <v>501</v>
      </c>
      <c r="E1546" s="45" t="s">
        <v>499</v>
      </c>
      <c r="F1546" s="45" t="s">
        <v>500</v>
      </c>
      <c r="G1546" s="14">
        <v>5239.7</v>
      </c>
      <c r="H1546" s="14">
        <v>7652.9</v>
      </c>
      <c r="I1546" s="14">
        <v>7045</v>
      </c>
      <c r="J1546" s="14">
        <v>7345.1</v>
      </c>
      <c r="K1546" s="14">
        <v>7055</v>
      </c>
      <c r="L1546" s="14">
        <v>5912.3</v>
      </c>
      <c r="M1546" s="14">
        <v>8520.9</v>
      </c>
      <c r="N1546" s="14">
        <v>7179.8</v>
      </c>
      <c r="O1546" s="14">
        <v>6142</v>
      </c>
      <c r="P1546" s="14">
        <v>5035.1000000000004</v>
      </c>
      <c r="Q1546" s="14">
        <v>4852.8</v>
      </c>
      <c r="R1546" s="14">
        <v>5481.4</v>
      </c>
      <c r="S1546" s="14">
        <v>3884.6</v>
      </c>
      <c r="T1546" s="14">
        <v>2643</v>
      </c>
      <c r="U1546" s="14">
        <v>2645.4</v>
      </c>
      <c r="V1546" s="14">
        <v>2680.2</v>
      </c>
      <c r="W1546" s="14">
        <v>2412.1</v>
      </c>
      <c r="X1546" s="14">
        <v>2581.8000000000002</v>
      </c>
      <c r="Y1546" s="14">
        <v>2990</v>
      </c>
      <c r="Z1546" s="14">
        <v>2453.5</v>
      </c>
      <c r="AA1546" s="14"/>
      <c r="AB1546" s="14"/>
      <c r="AC1546" s="15">
        <f>IFERROR(Z1546/G1546-1,"")</f>
        <v>-0.53174800083974272</v>
      </c>
      <c r="AD1546" s="15">
        <f>IFERROR((Z1546/G1546)^(1/19)-1,"")</f>
        <v>-3.9147281588031713E-2</v>
      </c>
    </row>
    <row r="1547" spans="1:30">
      <c r="A1547" s="45" t="s">
        <v>267</v>
      </c>
      <c r="B1547" s="45" t="s">
        <v>268</v>
      </c>
      <c r="C1547" s="45" t="s">
        <v>490</v>
      </c>
      <c r="D1547" s="45" t="s">
        <v>491</v>
      </c>
      <c r="E1547" s="45" t="s">
        <v>492</v>
      </c>
      <c r="F1547" s="45" t="s">
        <v>493</v>
      </c>
      <c r="G1547" s="14">
        <v>15748</v>
      </c>
      <c r="H1547" s="14">
        <v>16676</v>
      </c>
      <c r="I1547" s="14">
        <v>19580</v>
      </c>
      <c r="J1547" s="14">
        <v>21462</v>
      </c>
      <c r="K1547" s="14">
        <v>24393</v>
      </c>
      <c r="L1547" s="14">
        <v>30630</v>
      </c>
      <c r="M1547" s="14">
        <v>35140</v>
      </c>
      <c r="N1547" s="14">
        <v>38965</v>
      </c>
      <c r="O1547" s="14">
        <v>44942</v>
      </c>
      <c r="P1547" s="14">
        <v>54202</v>
      </c>
      <c r="Q1547" s="14">
        <v>61241</v>
      </c>
      <c r="R1547" s="14">
        <v>68562</v>
      </c>
      <c r="S1547" s="14">
        <v>72424</v>
      </c>
      <c r="T1547" s="14">
        <v>76051</v>
      </c>
      <c r="U1547" s="14">
        <v>76639</v>
      </c>
      <c r="V1547" s="14">
        <v>83173</v>
      </c>
      <c r="W1547" s="14">
        <v>91483</v>
      </c>
      <c r="X1547" s="14">
        <v>104254</v>
      </c>
      <c r="Y1547" s="14">
        <v>107122</v>
      </c>
      <c r="Z1547" s="14">
        <v>113586</v>
      </c>
      <c r="AA1547" s="14">
        <v>128347</v>
      </c>
      <c r="AB1547" s="14">
        <v>142795</v>
      </c>
    </row>
    <row r="1548" spans="1:30">
      <c r="A1548" s="45" t="s">
        <v>267</v>
      </c>
      <c r="B1548" s="45" t="s">
        <v>268</v>
      </c>
      <c r="C1548" s="45" t="s">
        <v>490</v>
      </c>
      <c r="D1548" s="45" t="s">
        <v>494</v>
      </c>
      <c r="E1548" s="45" t="s">
        <v>492</v>
      </c>
      <c r="F1548" s="45" t="s">
        <v>493</v>
      </c>
      <c r="G1548" s="14">
        <v>15073</v>
      </c>
      <c r="H1548" s="14">
        <v>16015</v>
      </c>
      <c r="I1548" s="14">
        <v>18754</v>
      </c>
      <c r="J1548" s="14">
        <v>20528</v>
      </c>
      <c r="K1548" s="14">
        <v>22960</v>
      </c>
      <c r="L1548" s="14">
        <v>28374</v>
      </c>
      <c r="M1548" s="14">
        <v>32677</v>
      </c>
      <c r="N1548" s="14">
        <v>36652</v>
      </c>
      <c r="O1548" s="14">
        <v>41721</v>
      </c>
      <c r="P1548" s="14">
        <v>50202</v>
      </c>
      <c r="Q1548" s="14">
        <v>56629</v>
      </c>
      <c r="R1548" s="14">
        <v>63792</v>
      </c>
      <c r="S1548" s="14">
        <v>67626</v>
      </c>
      <c r="T1548" s="14">
        <v>71048</v>
      </c>
      <c r="U1548" s="14">
        <v>73569</v>
      </c>
      <c r="V1548" s="14">
        <v>79662</v>
      </c>
      <c r="W1548" s="14">
        <v>86508</v>
      </c>
      <c r="X1548" s="14">
        <v>98843</v>
      </c>
      <c r="Y1548" s="14">
        <v>101544</v>
      </c>
      <c r="Z1548" s="14">
        <v>107575</v>
      </c>
      <c r="AA1548" s="14"/>
      <c r="AB1548" s="14"/>
    </row>
    <row r="1549" spans="1:30">
      <c r="A1549" s="45" t="s">
        <v>267</v>
      </c>
      <c r="B1549" s="45" t="s">
        <v>268</v>
      </c>
      <c r="C1549" s="45" t="s">
        <v>490</v>
      </c>
      <c r="D1549" s="45" t="s">
        <v>495</v>
      </c>
      <c r="E1549" s="45" t="s">
        <v>492</v>
      </c>
      <c r="F1549" s="45" t="s">
        <v>493</v>
      </c>
      <c r="G1549" s="14">
        <v>707</v>
      </c>
      <c r="H1549" s="14">
        <v>584</v>
      </c>
      <c r="I1549" s="14">
        <v>730</v>
      </c>
      <c r="J1549" s="14">
        <v>861</v>
      </c>
      <c r="K1549" s="14">
        <v>1023</v>
      </c>
      <c r="L1549" s="14">
        <v>1353</v>
      </c>
      <c r="M1549" s="14">
        <v>1557</v>
      </c>
      <c r="N1549" s="14">
        <v>1626</v>
      </c>
      <c r="O1549" s="14">
        <v>1857</v>
      </c>
      <c r="P1549" s="14">
        <v>2679</v>
      </c>
      <c r="Q1549" s="14">
        <v>3118</v>
      </c>
      <c r="R1549" s="14">
        <v>3802</v>
      </c>
      <c r="S1549" s="14">
        <v>2846</v>
      </c>
      <c r="T1549" s="14">
        <v>2628</v>
      </c>
      <c r="U1549" s="14">
        <v>2390</v>
      </c>
      <c r="V1549" s="14">
        <v>3468</v>
      </c>
      <c r="W1549" s="14">
        <v>3386</v>
      </c>
      <c r="X1549" s="14">
        <v>4180</v>
      </c>
      <c r="Y1549" s="14">
        <v>4111</v>
      </c>
      <c r="Z1549" s="14">
        <v>4534</v>
      </c>
      <c r="AA1549" s="14"/>
      <c r="AB1549" s="14"/>
    </row>
    <row r="1550" spans="1:30">
      <c r="A1550" s="45" t="s">
        <v>267</v>
      </c>
      <c r="B1550" s="45" t="s">
        <v>268</v>
      </c>
      <c r="C1550" s="45" t="s">
        <v>490</v>
      </c>
      <c r="D1550" s="45" t="s">
        <v>496</v>
      </c>
      <c r="E1550" s="45" t="s">
        <v>492</v>
      </c>
      <c r="F1550" s="45" t="s">
        <v>493</v>
      </c>
      <c r="G1550" s="14">
        <v>2767</v>
      </c>
      <c r="H1550" s="14">
        <v>3089</v>
      </c>
      <c r="I1550" s="14">
        <v>3825</v>
      </c>
      <c r="J1550" s="14">
        <v>4148</v>
      </c>
      <c r="K1550" s="14">
        <v>4697</v>
      </c>
      <c r="L1550" s="14">
        <v>5678</v>
      </c>
      <c r="M1550" s="14">
        <v>5747</v>
      </c>
      <c r="N1550" s="14">
        <v>6865</v>
      </c>
      <c r="O1550" s="14">
        <v>8273</v>
      </c>
      <c r="P1550" s="14">
        <v>11793</v>
      </c>
      <c r="Q1550" s="14">
        <v>16192</v>
      </c>
      <c r="R1550" s="14">
        <v>16785</v>
      </c>
      <c r="S1550" s="14">
        <v>18197</v>
      </c>
      <c r="T1550" s="14">
        <v>19973</v>
      </c>
      <c r="U1550" s="14">
        <v>20240</v>
      </c>
      <c r="V1550" s="14">
        <v>22366</v>
      </c>
      <c r="W1550" s="14">
        <v>27616</v>
      </c>
      <c r="X1550" s="14">
        <v>32333</v>
      </c>
      <c r="Y1550" s="14">
        <v>32462</v>
      </c>
      <c r="Z1550" s="14">
        <v>32517</v>
      </c>
      <c r="AA1550" s="14"/>
      <c r="AB1550" s="14"/>
    </row>
    <row r="1551" spans="1:30">
      <c r="A1551" s="45" t="s">
        <v>267</v>
      </c>
      <c r="B1551" s="45" t="s">
        <v>268</v>
      </c>
      <c r="C1551" s="45" t="s">
        <v>490</v>
      </c>
      <c r="D1551" s="45" t="s">
        <v>497</v>
      </c>
      <c r="E1551" s="45" t="s">
        <v>492</v>
      </c>
      <c r="F1551" s="45" t="s">
        <v>493</v>
      </c>
      <c r="G1551" s="14">
        <v>9606</v>
      </c>
      <c r="H1551" s="14">
        <v>9825</v>
      </c>
      <c r="I1551" s="14">
        <v>11357</v>
      </c>
      <c r="J1551" s="14">
        <v>12939</v>
      </c>
      <c r="K1551" s="14">
        <v>14516</v>
      </c>
      <c r="L1551" s="14">
        <v>18469</v>
      </c>
      <c r="M1551" s="14">
        <v>20794</v>
      </c>
      <c r="N1551" s="14">
        <v>24083</v>
      </c>
      <c r="O1551" s="14">
        <v>27193</v>
      </c>
      <c r="P1551" s="14">
        <v>30805</v>
      </c>
      <c r="Q1551" s="14">
        <v>33296</v>
      </c>
      <c r="R1551" s="14">
        <v>38780</v>
      </c>
      <c r="S1551" s="14">
        <v>41707</v>
      </c>
      <c r="T1551" s="14">
        <v>44124</v>
      </c>
      <c r="U1551" s="14">
        <v>46601</v>
      </c>
      <c r="V1551" s="14">
        <v>49791</v>
      </c>
      <c r="W1551" s="14">
        <v>51042</v>
      </c>
      <c r="X1551" s="14">
        <v>57913</v>
      </c>
      <c r="Y1551" s="14">
        <v>60458</v>
      </c>
      <c r="Z1551" s="14">
        <v>65178</v>
      </c>
      <c r="AA1551" s="14"/>
      <c r="AB1551" s="14"/>
    </row>
    <row r="1552" spans="1:30">
      <c r="A1552" s="45" t="s">
        <v>267</v>
      </c>
      <c r="B1552" s="45" t="s">
        <v>268</v>
      </c>
      <c r="C1552" s="45" t="s">
        <v>498</v>
      </c>
      <c r="D1552" s="45" t="s">
        <v>491</v>
      </c>
      <c r="E1552" s="45" t="s">
        <v>499</v>
      </c>
      <c r="F1552" s="45" t="s">
        <v>500</v>
      </c>
      <c r="G1552" s="14">
        <v>29916.7</v>
      </c>
      <c r="H1552" s="14">
        <v>27766.9</v>
      </c>
      <c r="I1552" s="14">
        <v>30258</v>
      </c>
      <c r="J1552" s="14">
        <v>30871</v>
      </c>
      <c r="K1552" s="14">
        <v>32860.800000000003</v>
      </c>
      <c r="L1552" s="14">
        <v>38767.199999999997</v>
      </c>
      <c r="M1552" s="14">
        <v>40885.800000000003</v>
      </c>
      <c r="N1552" s="14">
        <v>42247.199999999997</v>
      </c>
      <c r="O1552" s="14">
        <v>44942</v>
      </c>
      <c r="P1552" s="14">
        <v>50039.4</v>
      </c>
      <c r="Q1552" s="14">
        <v>52377.4</v>
      </c>
      <c r="R1552" s="14">
        <v>54545.5</v>
      </c>
      <c r="S1552" s="14">
        <v>53425.8</v>
      </c>
      <c r="T1552" s="14">
        <v>52155.199999999997</v>
      </c>
      <c r="U1552" s="14">
        <v>48618.6</v>
      </c>
      <c r="V1552" s="14">
        <v>50895.1</v>
      </c>
      <c r="W1552" s="14">
        <v>53572.800000000003</v>
      </c>
      <c r="X1552" s="14">
        <v>58577.1</v>
      </c>
      <c r="Y1552" s="14">
        <v>56529.7</v>
      </c>
      <c r="Z1552" s="14">
        <v>53022.8</v>
      </c>
      <c r="AA1552" s="14"/>
      <c r="AB1552" s="14"/>
      <c r="AC1552" s="15">
        <f>IFERROR(Z1552/G1552-1,"")</f>
        <v>0.77234788596335835</v>
      </c>
      <c r="AD1552" s="15">
        <f>IFERROR((Z1552/G1552)^(1/19)-1,"")</f>
        <v>3.0579560448125154E-2</v>
      </c>
    </row>
    <row r="1553" spans="1:30">
      <c r="A1553" s="45" t="s">
        <v>267</v>
      </c>
      <c r="B1553" s="45" t="s">
        <v>268</v>
      </c>
      <c r="C1553" s="45" t="s">
        <v>498</v>
      </c>
      <c r="D1553" s="45" t="s">
        <v>495</v>
      </c>
      <c r="E1553" s="45" t="s">
        <v>499</v>
      </c>
      <c r="F1553" s="45" t="s">
        <v>500</v>
      </c>
      <c r="G1553" s="14">
        <v>1343.4</v>
      </c>
      <c r="H1553" s="14">
        <v>973</v>
      </c>
      <c r="I1553" s="14">
        <v>1127.9000000000001</v>
      </c>
      <c r="J1553" s="14">
        <v>1239</v>
      </c>
      <c r="K1553" s="14">
        <v>1378.2</v>
      </c>
      <c r="L1553" s="14">
        <v>1712.1</v>
      </c>
      <c r="M1553" s="14">
        <v>1811.3</v>
      </c>
      <c r="N1553" s="14">
        <v>1763</v>
      </c>
      <c r="O1553" s="14">
        <v>1857</v>
      </c>
      <c r="P1553" s="14">
        <v>2473.3000000000002</v>
      </c>
      <c r="Q1553" s="14">
        <v>2666.7</v>
      </c>
      <c r="R1553" s="14">
        <v>3024.7</v>
      </c>
      <c r="S1553" s="14">
        <v>2099.4</v>
      </c>
      <c r="T1553" s="14">
        <v>1802.3</v>
      </c>
      <c r="U1553" s="14">
        <v>1516.2</v>
      </c>
      <c r="V1553" s="14">
        <v>2122.1</v>
      </c>
      <c r="W1553" s="14">
        <v>1982.9</v>
      </c>
      <c r="X1553" s="14">
        <v>2348.6</v>
      </c>
      <c r="Y1553" s="14">
        <v>2169.4</v>
      </c>
      <c r="Z1553" s="14">
        <v>2116.5</v>
      </c>
      <c r="AA1553" s="14"/>
      <c r="AB1553" s="14"/>
      <c r="AC1553" s="15">
        <f>IFERROR(Z1553/G1553-1,"")</f>
        <v>0.57548012505582835</v>
      </c>
      <c r="AD1553" s="15">
        <f>IFERROR((Z1553/G1553)^(1/19)-1,"")</f>
        <v>2.4212694026847892E-2</v>
      </c>
    </row>
    <row r="1554" spans="1:30">
      <c r="A1554" s="45" t="s">
        <v>267</v>
      </c>
      <c r="B1554" s="45" t="s">
        <v>268</v>
      </c>
      <c r="C1554" s="45" t="s">
        <v>498</v>
      </c>
      <c r="D1554" s="45" t="s">
        <v>496</v>
      </c>
      <c r="E1554" s="45" t="s">
        <v>499</v>
      </c>
      <c r="F1554" s="45" t="s">
        <v>500</v>
      </c>
      <c r="G1554" s="14">
        <v>5257.2</v>
      </c>
      <c r="H1554" s="14">
        <v>5144.2</v>
      </c>
      <c r="I1554" s="14">
        <v>5911.1</v>
      </c>
      <c r="J1554" s="14">
        <v>5966.6</v>
      </c>
      <c r="K1554" s="14">
        <v>6327.1</v>
      </c>
      <c r="L1554" s="14">
        <v>7187.1</v>
      </c>
      <c r="M1554" s="14">
        <v>6687</v>
      </c>
      <c r="N1554" s="14">
        <v>7443.3</v>
      </c>
      <c r="O1554" s="14">
        <v>8273</v>
      </c>
      <c r="P1554" s="14">
        <v>10887.3</v>
      </c>
      <c r="Q1554" s="14">
        <v>13848.5</v>
      </c>
      <c r="R1554" s="14">
        <v>13353.5</v>
      </c>
      <c r="S1554" s="14">
        <v>13423.6</v>
      </c>
      <c r="T1554" s="14">
        <v>13697.3</v>
      </c>
      <c r="U1554" s="14">
        <v>12839.9</v>
      </c>
      <c r="V1554" s="14">
        <v>13686.2</v>
      </c>
      <c r="W1554" s="14">
        <v>16172</v>
      </c>
      <c r="X1554" s="14">
        <v>18166.900000000001</v>
      </c>
      <c r="Y1554" s="14">
        <v>17130.599999999999</v>
      </c>
      <c r="Z1554" s="14">
        <v>15179.2</v>
      </c>
      <c r="AA1554" s="14"/>
      <c r="AB1554" s="14"/>
      <c r="AC1554" s="15">
        <f>IFERROR(Z1554/G1554-1,"")</f>
        <v>1.887316442212585</v>
      </c>
      <c r="AD1554" s="15">
        <f>IFERROR((Z1554/G1554)^(1/19)-1,"")</f>
        <v>5.7393281216358893E-2</v>
      </c>
    </row>
    <row r="1555" spans="1:30">
      <c r="A1555" s="45" t="s">
        <v>267</v>
      </c>
      <c r="B1555" s="45" t="s">
        <v>268</v>
      </c>
      <c r="C1555" s="45" t="s">
        <v>498</v>
      </c>
      <c r="D1555" s="45" t="s">
        <v>497</v>
      </c>
      <c r="E1555" s="45" t="s">
        <v>499</v>
      </c>
      <c r="F1555" s="45" t="s">
        <v>500</v>
      </c>
      <c r="G1555" s="14">
        <v>18248.900000000001</v>
      </c>
      <c r="H1555" s="14">
        <v>16360.4</v>
      </c>
      <c r="I1555" s="14">
        <v>17550</v>
      </c>
      <c r="J1555" s="14">
        <v>18612</v>
      </c>
      <c r="K1555" s="14">
        <v>19554.900000000001</v>
      </c>
      <c r="L1555" s="14">
        <v>23375.200000000001</v>
      </c>
      <c r="M1555" s="14">
        <v>24194</v>
      </c>
      <c r="N1555" s="14">
        <v>26111.599999999999</v>
      </c>
      <c r="O1555" s="14">
        <v>27193</v>
      </c>
      <c r="P1555" s="14">
        <v>28439.3</v>
      </c>
      <c r="Q1555" s="14">
        <v>28477</v>
      </c>
      <c r="R1555" s="14">
        <v>30852</v>
      </c>
      <c r="S1555" s="14">
        <v>30766.400000000001</v>
      </c>
      <c r="T1555" s="14">
        <v>30259.9</v>
      </c>
      <c r="U1555" s="14">
        <v>29562.9</v>
      </c>
      <c r="V1555" s="14">
        <v>30468</v>
      </c>
      <c r="W1555" s="14">
        <v>29890.400000000001</v>
      </c>
      <c r="X1555" s="14">
        <v>32539.5</v>
      </c>
      <c r="Y1555" s="14">
        <v>31904.5</v>
      </c>
      <c r="Z1555" s="14">
        <v>30426.5</v>
      </c>
      <c r="AA1555" s="14"/>
      <c r="AB1555" s="14"/>
      <c r="AC1555" s="15">
        <f>IFERROR(Z1555/G1555-1,"")</f>
        <v>0.6673059746066885</v>
      </c>
      <c r="AD1555" s="15">
        <f>IFERROR((Z1555/G1555)^(1/19)-1,"")</f>
        <v>2.7270971692257229E-2</v>
      </c>
    </row>
    <row r="1556" spans="1:30">
      <c r="A1556" s="45" t="s">
        <v>267</v>
      </c>
      <c r="B1556" s="45" t="s">
        <v>268</v>
      </c>
      <c r="C1556" s="45" t="s">
        <v>498</v>
      </c>
      <c r="D1556" s="45" t="s">
        <v>501</v>
      </c>
      <c r="E1556" s="45" t="s">
        <v>499</v>
      </c>
      <c r="F1556" s="45" t="s">
        <v>500</v>
      </c>
      <c r="G1556" s="14">
        <v>3786</v>
      </c>
      <c r="H1556" s="14">
        <v>4188.8999999999996</v>
      </c>
      <c r="I1556" s="14">
        <v>4391.6000000000004</v>
      </c>
      <c r="J1556" s="14">
        <v>3710.5</v>
      </c>
      <c r="K1556" s="14">
        <v>3670.3</v>
      </c>
      <c r="L1556" s="14">
        <v>3638.2</v>
      </c>
      <c r="M1556" s="14">
        <v>5328.5</v>
      </c>
      <c r="N1556" s="14">
        <v>4422.6000000000004</v>
      </c>
      <c r="O1556" s="14">
        <v>4399</v>
      </c>
      <c r="P1556" s="14">
        <v>4546.8</v>
      </c>
      <c r="Q1556" s="14">
        <v>3441.6</v>
      </c>
      <c r="R1556" s="14">
        <v>3520.4</v>
      </c>
      <c r="S1556" s="14">
        <v>3596.9</v>
      </c>
      <c r="T1556" s="14">
        <v>2964.7</v>
      </c>
      <c r="U1556" s="14">
        <v>2752</v>
      </c>
      <c r="V1556" s="14">
        <v>2470.9</v>
      </c>
      <c r="W1556" s="14">
        <v>2614.1</v>
      </c>
      <c r="X1556" s="14">
        <v>2481.8000000000002</v>
      </c>
      <c r="Y1556" s="14">
        <v>2381.6</v>
      </c>
      <c r="Z1556" s="14">
        <v>2495.6</v>
      </c>
      <c r="AA1556" s="14"/>
      <c r="AB1556" s="14"/>
      <c r="AC1556" s="15">
        <f>IFERROR(Z1556/G1556-1,"")</f>
        <v>-0.34083465398837831</v>
      </c>
      <c r="AD1556" s="15">
        <f>IFERROR((Z1556/G1556)^(1/19)-1,"")</f>
        <v>-2.1696994486648413E-2</v>
      </c>
    </row>
    <row r="1557" spans="1:30">
      <c r="A1557" s="45" t="s">
        <v>279</v>
      </c>
      <c r="B1557" s="45" t="s">
        <v>280</v>
      </c>
      <c r="C1557" s="45" t="s">
        <v>490</v>
      </c>
      <c r="D1557" s="45" t="s">
        <v>491</v>
      </c>
      <c r="E1557" s="45" t="s">
        <v>492</v>
      </c>
      <c r="F1557" s="45" t="s">
        <v>493</v>
      </c>
      <c r="G1557" s="14">
        <v>10588</v>
      </c>
      <c r="H1557" s="14">
        <v>12391</v>
      </c>
      <c r="I1557" s="14">
        <v>12222</v>
      </c>
      <c r="J1557" s="14">
        <v>13853</v>
      </c>
      <c r="K1557" s="14">
        <v>17254</v>
      </c>
      <c r="L1557" s="14">
        <v>18485</v>
      </c>
      <c r="M1557" s="14">
        <v>20427</v>
      </c>
      <c r="N1557" s="14">
        <v>24159</v>
      </c>
      <c r="O1557" s="14">
        <v>25820</v>
      </c>
      <c r="P1557" s="14">
        <v>32248</v>
      </c>
      <c r="Q1557" s="14">
        <v>35504</v>
      </c>
      <c r="R1557" s="14">
        <v>38540</v>
      </c>
      <c r="S1557" s="14">
        <v>39421</v>
      </c>
      <c r="T1557" s="14">
        <v>53401</v>
      </c>
      <c r="U1557" s="14">
        <v>56382</v>
      </c>
      <c r="V1557" s="14">
        <v>94070</v>
      </c>
      <c r="W1557" s="14">
        <v>84549</v>
      </c>
      <c r="X1557" s="14">
        <v>92226</v>
      </c>
      <c r="Y1557" s="14">
        <v>102889</v>
      </c>
      <c r="Z1557" s="14">
        <v>107284</v>
      </c>
      <c r="AA1557" s="14">
        <v>117560</v>
      </c>
      <c r="AB1557" s="14">
        <v>120493</v>
      </c>
    </row>
    <row r="1558" spans="1:30">
      <c r="A1558" s="45" t="s">
        <v>279</v>
      </c>
      <c r="B1558" s="45" t="s">
        <v>280</v>
      </c>
      <c r="C1558" s="45" t="s">
        <v>490</v>
      </c>
      <c r="D1558" s="45" t="s">
        <v>494</v>
      </c>
      <c r="E1558" s="45" t="s">
        <v>492</v>
      </c>
      <c r="F1558" s="45" t="s">
        <v>493</v>
      </c>
      <c r="G1558" s="14">
        <v>10130</v>
      </c>
      <c r="H1558" s="14">
        <v>11930</v>
      </c>
      <c r="I1558" s="14">
        <v>11749</v>
      </c>
      <c r="J1558" s="14">
        <v>13301</v>
      </c>
      <c r="K1558" s="14">
        <v>16242</v>
      </c>
      <c r="L1558" s="14">
        <v>17321</v>
      </c>
      <c r="M1558" s="14">
        <v>19395</v>
      </c>
      <c r="N1558" s="14">
        <v>22994</v>
      </c>
      <c r="O1558" s="14">
        <v>24296</v>
      </c>
      <c r="P1558" s="14">
        <v>30275</v>
      </c>
      <c r="Q1558" s="14">
        <v>33278</v>
      </c>
      <c r="R1558" s="14">
        <v>36457</v>
      </c>
      <c r="S1558" s="14">
        <v>36108</v>
      </c>
      <c r="T1558" s="14">
        <v>50125</v>
      </c>
      <c r="U1558" s="14">
        <v>54224</v>
      </c>
      <c r="V1558" s="14">
        <v>85449</v>
      </c>
      <c r="W1558" s="14">
        <v>80910</v>
      </c>
      <c r="X1558" s="14">
        <v>88046</v>
      </c>
      <c r="Y1558" s="14">
        <v>97598</v>
      </c>
      <c r="Z1558" s="14">
        <v>99755</v>
      </c>
      <c r="AA1558" s="14"/>
      <c r="AB1558" s="14"/>
    </row>
    <row r="1559" spans="1:30">
      <c r="A1559" s="45" t="s">
        <v>279</v>
      </c>
      <c r="B1559" s="45" t="s">
        <v>280</v>
      </c>
      <c r="C1559" s="45" t="s">
        <v>490</v>
      </c>
      <c r="D1559" s="45" t="s">
        <v>495</v>
      </c>
      <c r="E1559" s="45" t="s">
        <v>492</v>
      </c>
      <c r="F1559" s="45" t="s">
        <v>493</v>
      </c>
      <c r="G1559" s="14">
        <v>536</v>
      </c>
      <c r="H1559" s="14">
        <v>368</v>
      </c>
      <c r="I1559" s="14">
        <v>394</v>
      </c>
      <c r="J1559" s="14">
        <v>456</v>
      </c>
      <c r="K1559" s="14">
        <v>608</v>
      </c>
      <c r="L1559" s="14">
        <v>822</v>
      </c>
      <c r="M1559" s="14">
        <v>859</v>
      </c>
      <c r="N1559" s="14">
        <v>1042</v>
      </c>
      <c r="O1559" s="14">
        <v>1391</v>
      </c>
      <c r="P1559" s="14">
        <v>1552</v>
      </c>
      <c r="Q1559" s="14">
        <v>1483</v>
      </c>
      <c r="R1559" s="14">
        <v>1774</v>
      </c>
      <c r="S1559" s="14">
        <v>2003</v>
      </c>
      <c r="T1559" s="14">
        <v>4326</v>
      </c>
      <c r="U1559" s="14">
        <v>2567</v>
      </c>
      <c r="V1559" s="14">
        <v>22428</v>
      </c>
      <c r="W1559" s="14">
        <v>20075</v>
      </c>
      <c r="X1559" s="14">
        <v>20944</v>
      </c>
      <c r="Y1559" s="14">
        <v>21274</v>
      </c>
      <c r="Z1559" s="14">
        <v>21190</v>
      </c>
      <c r="AA1559" s="14"/>
      <c r="AB1559" s="14"/>
    </row>
    <row r="1560" spans="1:30">
      <c r="A1560" s="45" t="s">
        <v>279</v>
      </c>
      <c r="B1560" s="45" t="s">
        <v>280</v>
      </c>
      <c r="C1560" s="45" t="s">
        <v>490</v>
      </c>
      <c r="D1560" s="45" t="s">
        <v>496</v>
      </c>
      <c r="E1560" s="45" t="s">
        <v>492</v>
      </c>
      <c r="F1560" s="45" t="s">
        <v>493</v>
      </c>
      <c r="G1560" s="14">
        <v>1654</v>
      </c>
      <c r="H1560" s="14">
        <v>1991</v>
      </c>
      <c r="I1560" s="14">
        <v>2095</v>
      </c>
      <c r="J1560" s="14">
        <v>2359</v>
      </c>
      <c r="K1560" s="14">
        <v>2808</v>
      </c>
      <c r="L1560" s="14">
        <v>2971</v>
      </c>
      <c r="M1560" s="14">
        <v>3169</v>
      </c>
      <c r="N1560" s="14">
        <v>4157</v>
      </c>
      <c r="O1560" s="14">
        <v>4528</v>
      </c>
      <c r="P1560" s="14">
        <v>6437</v>
      </c>
      <c r="Q1560" s="14">
        <v>8280</v>
      </c>
      <c r="R1560" s="14">
        <v>8783</v>
      </c>
      <c r="S1560" s="14">
        <v>8910</v>
      </c>
      <c r="T1560" s="14">
        <v>11881</v>
      </c>
      <c r="U1560" s="14">
        <v>12821</v>
      </c>
      <c r="V1560" s="14">
        <v>21449</v>
      </c>
      <c r="W1560" s="14">
        <v>18600</v>
      </c>
      <c r="X1560" s="14">
        <v>20743</v>
      </c>
      <c r="Y1560" s="14">
        <v>23050</v>
      </c>
      <c r="Z1560" s="14">
        <v>26124</v>
      </c>
      <c r="AA1560" s="14"/>
      <c r="AB1560" s="14"/>
    </row>
    <row r="1561" spans="1:30">
      <c r="A1561" s="45" t="s">
        <v>279</v>
      </c>
      <c r="B1561" s="45" t="s">
        <v>280</v>
      </c>
      <c r="C1561" s="45" t="s">
        <v>490</v>
      </c>
      <c r="D1561" s="45" t="s">
        <v>497</v>
      </c>
      <c r="E1561" s="45" t="s">
        <v>492</v>
      </c>
      <c r="F1561" s="45" t="s">
        <v>493</v>
      </c>
      <c r="G1561" s="14">
        <v>6037</v>
      </c>
      <c r="H1561" s="14">
        <v>6772</v>
      </c>
      <c r="I1561" s="14">
        <v>7288</v>
      </c>
      <c r="J1561" s="14">
        <v>8851</v>
      </c>
      <c r="K1561" s="14">
        <v>10023</v>
      </c>
      <c r="L1561" s="14">
        <v>11664</v>
      </c>
      <c r="M1561" s="14">
        <v>13376</v>
      </c>
      <c r="N1561" s="14">
        <v>15358</v>
      </c>
      <c r="O1561" s="14">
        <v>16510</v>
      </c>
      <c r="P1561" s="14">
        <v>19881</v>
      </c>
      <c r="Q1561" s="14">
        <v>21676</v>
      </c>
      <c r="R1561" s="14">
        <v>24053</v>
      </c>
      <c r="S1561" s="14">
        <v>22350</v>
      </c>
      <c r="T1561" s="14">
        <v>31350</v>
      </c>
      <c r="U1561" s="14">
        <v>35547</v>
      </c>
      <c r="V1561" s="14">
        <v>37876</v>
      </c>
      <c r="W1561" s="14">
        <v>37627</v>
      </c>
      <c r="X1561" s="14">
        <v>40406</v>
      </c>
      <c r="Y1561" s="14">
        <v>41133</v>
      </c>
      <c r="Z1561" s="14">
        <v>43470</v>
      </c>
      <c r="AA1561" s="14"/>
      <c r="AB1561" s="14"/>
    </row>
    <row r="1562" spans="1:30">
      <c r="A1562" s="45" t="s">
        <v>279</v>
      </c>
      <c r="B1562" s="45" t="s">
        <v>280</v>
      </c>
      <c r="C1562" s="45" t="s">
        <v>498</v>
      </c>
      <c r="D1562" s="45" t="s">
        <v>491</v>
      </c>
      <c r="E1562" s="45" t="s">
        <v>499</v>
      </c>
      <c r="F1562" s="45" t="s">
        <v>500</v>
      </c>
      <c r="G1562" s="14">
        <v>20114.8</v>
      </c>
      <c r="H1562" s="14">
        <v>20632</v>
      </c>
      <c r="I1562" s="14">
        <v>18886.599999999999</v>
      </c>
      <c r="J1562" s="14">
        <v>19926.3</v>
      </c>
      <c r="K1562" s="14">
        <v>23244.3</v>
      </c>
      <c r="L1562" s="14">
        <v>23395.3</v>
      </c>
      <c r="M1562" s="14">
        <v>23766.799999999999</v>
      </c>
      <c r="N1562" s="14">
        <v>26194</v>
      </c>
      <c r="O1562" s="14">
        <v>25820</v>
      </c>
      <c r="P1562" s="14">
        <v>29771.4</v>
      </c>
      <c r="Q1562" s="14">
        <v>30365.4</v>
      </c>
      <c r="R1562" s="14">
        <v>30661</v>
      </c>
      <c r="S1562" s="14">
        <v>29080.1</v>
      </c>
      <c r="T1562" s="14">
        <v>36622</v>
      </c>
      <c r="U1562" s="14">
        <v>35767.800000000003</v>
      </c>
      <c r="V1562" s="14">
        <v>57563.1</v>
      </c>
      <c r="W1562" s="14">
        <v>49512.2</v>
      </c>
      <c r="X1562" s="14">
        <v>51818.9</v>
      </c>
      <c r="Y1562" s="14">
        <v>54295.9</v>
      </c>
      <c r="Z1562" s="14">
        <v>50081</v>
      </c>
      <c r="AA1562" s="14"/>
      <c r="AB1562" s="14"/>
      <c r="AC1562" s="15">
        <f>IFERROR(Z1562/G1562-1,"")</f>
        <v>1.489758784576531</v>
      </c>
      <c r="AD1562" s="15">
        <f>IFERROR((Z1562/G1562)^(1/19)-1,"")</f>
        <v>4.9180916932923369E-2</v>
      </c>
    </row>
    <row r="1563" spans="1:30">
      <c r="A1563" s="45" t="s">
        <v>279</v>
      </c>
      <c r="B1563" s="45" t="s">
        <v>280</v>
      </c>
      <c r="C1563" s="45" t="s">
        <v>498</v>
      </c>
      <c r="D1563" s="45" t="s">
        <v>495</v>
      </c>
      <c r="E1563" s="45" t="s">
        <v>499</v>
      </c>
      <c r="F1563" s="45" t="s">
        <v>500</v>
      </c>
      <c r="G1563" s="14">
        <v>1017.8</v>
      </c>
      <c r="H1563" s="14">
        <v>612.6</v>
      </c>
      <c r="I1563" s="14">
        <v>608.9</v>
      </c>
      <c r="J1563" s="14">
        <v>655.7</v>
      </c>
      <c r="K1563" s="14">
        <v>819.2</v>
      </c>
      <c r="L1563" s="14">
        <v>1040.8</v>
      </c>
      <c r="M1563" s="14">
        <v>999.4</v>
      </c>
      <c r="N1563" s="14">
        <v>1129.8</v>
      </c>
      <c r="O1563" s="14">
        <v>1391</v>
      </c>
      <c r="P1563" s="14">
        <v>1432.8</v>
      </c>
      <c r="Q1563" s="14">
        <v>1268.4000000000001</v>
      </c>
      <c r="R1563" s="14">
        <v>1411.3</v>
      </c>
      <c r="S1563" s="14">
        <v>1477.6</v>
      </c>
      <c r="T1563" s="14">
        <v>2966.7</v>
      </c>
      <c r="U1563" s="14">
        <v>1628.5</v>
      </c>
      <c r="V1563" s="14">
        <v>13724.1</v>
      </c>
      <c r="W1563" s="14">
        <v>11756</v>
      </c>
      <c r="X1563" s="14">
        <v>11767.8</v>
      </c>
      <c r="Y1563" s="14">
        <v>11226.6</v>
      </c>
      <c r="Z1563" s="14">
        <v>9891.6</v>
      </c>
      <c r="AA1563" s="14"/>
      <c r="AB1563" s="14"/>
      <c r="AC1563" s="15">
        <f>IFERROR(Z1563/G1563-1,"")</f>
        <v>8.7186087640007877</v>
      </c>
      <c r="AD1563" s="15">
        <f>IFERROR((Z1563/G1563)^(1/19)-1,"")</f>
        <v>0.12714337602648507</v>
      </c>
    </row>
    <row r="1564" spans="1:30">
      <c r="A1564" s="45" t="s">
        <v>279</v>
      </c>
      <c r="B1564" s="45" t="s">
        <v>280</v>
      </c>
      <c r="C1564" s="45" t="s">
        <v>498</v>
      </c>
      <c r="D1564" s="45" t="s">
        <v>496</v>
      </c>
      <c r="E1564" s="45" t="s">
        <v>499</v>
      </c>
      <c r="F1564" s="45" t="s">
        <v>500</v>
      </c>
      <c r="G1564" s="14">
        <v>3142.8</v>
      </c>
      <c r="H1564" s="14">
        <v>3315.9</v>
      </c>
      <c r="I1564" s="14">
        <v>3237.6</v>
      </c>
      <c r="J1564" s="14">
        <v>3392.6</v>
      </c>
      <c r="K1564" s="14">
        <v>3782.2</v>
      </c>
      <c r="L1564" s="14">
        <v>3759.7</v>
      </c>
      <c r="M1564" s="14">
        <v>3687.5</v>
      </c>
      <c r="N1564" s="14">
        <v>4507.2</v>
      </c>
      <c r="O1564" s="14">
        <v>4528</v>
      </c>
      <c r="P1564" s="14">
        <v>5942.7</v>
      </c>
      <c r="Q1564" s="14">
        <v>7081.6</v>
      </c>
      <c r="R1564" s="14">
        <v>6987.4</v>
      </c>
      <c r="S1564" s="14">
        <v>6572.7</v>
      </c>
      <c r="T1564" s="14">
        <v>8147.9</v>
      </c>
      <c r="U1564" s="14">
        <v>8133.4</v>
      </c>
      <c r="V1564" s="14">
        <v>13125</v>
      </c>
      <c r="W1564" s="14">
        <v>10892.2</v>
      </c>
      <c r="X1564" s="14">
        <v>11654.9</v>
      </c>
      <c r="Y1564" s="14">
        <v>12163.8</v>
      </c>
      <c r="Z1564" s="14">
        <v>12195.3</v>
      </c>
      <c r="AA1564" s="14"/>
      <c r="AB1564" s="14"/>
      <c r="AC1564" s="15">
        <f>IFERROR(Z1564/G1564-1,"")</f>
        <v>2.8803932798778153</v>
      </c>
      <c r="AD1564" s="15">
        <f>IFERROR((Z1564/G1564)^(1/19)-1,"")</f>
        <v>7.397323985100468E-2</v>
      </c>
    </row>
    <row r="1565" spans="1:30">
      <c r="A1565" s="45" t="s">
        <v>279</v>
      </c>
      <c r="B1565" s="45" t="s">
        <v>280</v>
      </c>
      <c r="C1565" s="45" t="s">
        <v>498</v>
      </c>
      <c r="D1565" s="45" t="s">
        <v>497</v>
      </c>
      <c r="E1565" s="45" t="s">
        <v>499</v>
      </c>
      <c r="F1565" s="45" t="s">
        <v>500</v>
      </c>
      <c r="G1565" s="14">
        <v>11467.9</v>
      </c>
      <c r="H1565" s="14">
        <v>11276.3</v>
      </c>
      <c r="I1565" s="14">
        <v>11261.8</v>
      </c>
      <c r="J1565" s="14">
        <v>12732.1</v>
      </c>
      <c r="K1565" s="14">
        <v>13502.7</v>
      </c>
      <c r="L1565" s="14">
        <v>14762.6</v>
      </c>
      <c r="M1565" s="14">
        <v>15563.9</v>
      </c>
      <c r="N1565" s="14">
        <v>16651.7</v>
      </c>
      <c r="O1565" s="14">
        <v>16510</v>
      </c>
      <c r="P1565" s="14">
        <v>18354.2</v>
      </c>
      <c r="Q1565" s="14">
        <v>18538.8</v>
      </c>
      <c r="R1565" s="14">
        <v>19135.7</v>
      </c>
      <c r="S1565" s="14">
        <v>16487.2</v>
      </c>
      <c r="T1565" s="14">
        <v>21499.599999999999</v>
      </c>
      <c r="U1565" s="14">
        <v>22550.5</v>
      </c>
      <c r="V1565" s="14">
        <v>23177</v>
      </c>
      <c r="W1565" s="14">
        <v>22034.5</v>
      </c>
      <c r="X1565" s="14">
        <v>22702.9</v>
      </c>
      <c r="Y1565" s="14">
        <v>21706.400000000001</v>
      </c>
      <c r="Z1565" s="14">
        <v>20292.599999999999</v>
      </c>
      <c r="AA1565" s="14"/>
      <c r="AB1565" s="14"/>
      <c r="AC1565" s="15">
        <f>IFERROR(Z1565/G1565-1,"")</f>
        <v>0.76951316282841664</v>
      </c>
      <c r="AD1565" s="15">
        <f>IFERROR((Z1565/G1565)^(1/19)-1,"")</f>
        <v>3.0492740634915805E-2</v>
      </c>
    </row>
    <row r="1566" spans="1:30">
      <c r="A1566" s="45" t="s">
        <v>279</v>
      </c>
      <c r="B1566" s="45" t="s">
        <v>280</v>
      </c>
      <c r="C1566" s="45" t="s">
        <v>498</v>
      </c>
      <c r="D1566" s="45" t="s">
        <v>501</v>
      </c>
      <c r="E1566" s="45" t="s">
        <v>499</v>
      </c>
      <c r="F1566" s="45" t="s">
        <v>500</v>
      </c>
      <c r="G1566" s="14">
        <v>3616.4</v>
      </c>
      <c r="H1566" s="14">
        <v>4659.6000000000004</v>
      </c>
      <c r="I1566" s="14">
        <v>3047.4</v>
      </c>
      <c r="J1566" s="14">
        <v>2351.9</v>
      </c>
      <c r="K1566" s="14">
        <v>3776</v>
      </c>
      <c r="L1566" s="14">
        <v>2359.1999999999998</v>
      </c>
      <c r="M1566" s="14">
        <v>2316.4</v>
      </c>
      <c r="N1566" s="14">
        <v>2642.3</v>
      </c>
      <c r="O1566" s="14">
        <v>1867</v>
      </c>
      <c r="P1566" s="14">
        <v>2220.3000000000002</v>
      </c>
      <c r="Q1566" s="14">
        <v>1572</v>
      </c>
      <c r="R1566" s="14">
        <v>1470.2</v>
      </c>
      <c r="S1566" s="14">
        <v>2098.6999999999998</v>
      </c>
      <c r="T1566" s="14">
        <v>1761.1</v>
      </c>
      <c r="U1566" s="14">
        <v>2085.9</v>
      </c>
      <c r="V1566" s="14">
        <v>2261.6</v>
      </c>
      <c r="W1566" s="14">
        <v>2698.5</v>
      </c>
      <c r="X1566" s="14">
        <v>3344.8</v>
      </c>
      <c r="Y1566" s="14">
        <v>6407</v>
      </c>
      <c r="Z1566" s="14">
        <v>4187.7</v>
      </c>
      <c r="AA1566" s="14"/>
      <c r="AB1566" s="14"/>
      <c r="AC1566" s="15">
        <f>IFERROR(Z1566/G1566-1,"")</f>
        <v>0.15797478155071332</v>
      </c>
      <c r="AD1566" s="15">
        <f>IFERROR((Z1566/G1566)^(1/19)-1,"")</f>
        <v>7.7494836097251607E-3</v>
      </c>
    </row>
    <row r="1567" spans="1:30">
      <c r="A1567" s="45" t="s">
        <v>161</v>
      </c>
      <c r="B1567" s="45" t="s">
        <v>162</v>
      </c>
      <c r="C1567" s="45" t="s">
        <v>490</v>
      </c>
      <c r="D1567" s="45" t="s">
        <v>491</v>
      </c>
      <c r="E1567" s="45" t="s">
        <v>492</v>
      </c>
      <c r="F1567" s="45" t="s">
        <v>493</v>
      </c>
      <c r="G1567" s="14">
        <v>32889</v>
      </c>
      <c r="H1567" s="14">
        <v>46663</v>
      </c>
      <c r="I1567" s="14">
        <v>54473</v>
      </c>
      <c r="J1567" s="14">
        <v>62677</v>
      </c>
      <c r="K1567" s="14">
        <v>83619</v>
      </c>
      <c r="L1567" s="14">
        <v>100514</v>
      </c>
      <c r="M1567" s="14">
        <v>107265</v>
      </c>
      <c r="N1567" s="14">
        <v>137721</v>
      </c>
      <c r="O1567" s="14">
        <v>143265</v>
      </c>
      <c r="P1567" s="14">
        <v>159377</v>
      </c>
      <c r="Q1567" s="14">
        <v>183132</v>
      </c>
      <c r="R1567" s="14">
        <v>223628</v>
      </c>
      <c r="S1567" s="14">
        <v>258278</v>
      </c>
      <c r="T1567" s="14">
        <v>265087</v>
      </c>
      <c r="U1567" s="14">
        <v>287147</v>
      </c>
      <c r="V1567" s="14">
        <v>305228</v>
      </c>
      <c r="W1567" s="14">
        <v>373020</v>
      </c>
      <c r="X1567" s="14">
        <v>418587</v>
      </c>
      <c r="Y1567" s="14">
        <v>397610</v>
      </c>
      <c r="Z1567" s="14">
        <v>415829</v>
      </c>
      <c r="AA1567" s="14">
        <v>578304</v>
      </c>
      <c r="AB1567" s="14">
        <v>576215</v>
      </c>
    </row>
    <row r="1568" spans="1:30">
      <c r="A1568" s="45" t="s">
        <v>161</v>
      </c>
      <c r="B1568" s="45" t="s">
        <v>162</v>
      </c>
      <c r="C1568" s="45" t="s">
        <v>490</v>
      </c>
      <c r="D1568" s="45" t="s">
        <v>494</v>
      </c>
      <c r="E1568" s="45" t="s">
        <v>492</v>
      </c>
      <c r="F1568" s="45" t="s">
        <v>493</v>
      </c>
      <c r="G1568" s="14">
        <v>30966</v>
      </c>
      <c r="H1568" s="14">
        <v>44148</v>
      </c>
      <c r="I1568" s="14">
        <v>51468</v>
      </c>
      <c r="J1568" s="14">
        <v>58619</v>
      </c>
      <c r="K1568" s="14">
        <v>76670</v>
      </c>
      <c r="L1568" s="14">
        <v>90408</v>
      </c>
      <c r="M1568" s="14">
        <v>97294</v>
      </c>
      <c r="N1568" s="14">
        <v>127681</v>
      </c>
      <c r="O1568" s="14">
        <v>130362</v>
      </c>
      <c r="P1568" s="14">
        <v>146155</v>
      </c>
      <c r="Q1568" s="14">
        <v>163505</v>
      </c>
      <c r="R1568" s="14">
        <v>196179</v>
      </c>
      <c r="S1568" s="14">
        <v>233637</v>
      </c>
      <c r="T1568" s="14">
        <v>237871</v>
      </c>
      <c r="U1568" s="14">
        <v>271308</v>
      </c>
      <c r="V1568" s="14">
        <v>289195</v>
      </c>
      <c r="W1568" s="14">
        <v>350809</v>
      </c>
      <c r="X1568" s="14">
        <v>394901</v>
      </c>
      <c r="Y1568" s="14">
        <v>374547</v>
      </c>
      <c r="Z1568" s="14">
        <v>381886</v>
      </c>
      <c r="AA1568" s="14"/>
      <c r="AB1568" s="14"/>
    </row>
    <row r="1569" spans="1:30">
      <c r="A1569" s="45" t="s">
        <v>161</v>
      </c>
      <c r="B1569" s="45" t="s">
        <v>162</v>
      </c>
      <c r="C1569" s="45" t="s">
        <v>490</v>
      </c>
      <c r="D1569" s="45" t="s">
        <v>495</v>
      </c>
      <c r="E1569" s="45" t="s">
        <v>492</v>
      </c>
      <c r="F1569" s="45" t="s">
        <v>493</v>
      </c>
      <c r="G1569" s="14">
        <v>2078</v>
      </c>
      <c r="H1569" s="14">
        <v>2729</v>
      </c>
      <c r="I1569" s="14">
        <v>4353</v>
      </c>
      <c r="J1569" s="14">
        <v>5302</v>
      </c>
      <c r="K1569" s="14">
        <v>8479</v>
      </c>
      <c r="L1569" s="14">
        <v>15141</v>
      </c>
      <c r="M1569" s="14">
        <v>14095</v>
      </c>
      <c r="N1569" s="14">
        <v>24793</v>
      </c>
      <c r="O1569" s="14">
        <v>16400</v>
      </c>
      <c r="P1569" s="14">
        <v>17052</v>
      </c>
      <c r="Q1569" s="14">
        <v>18660</v>
      </c>
      <c r="R1569" s="14">
        <v>21085</v>
      </c>
      <c r="S1569" s="14">
        <v>21615</v>
      </c>
      <c r="T1569" s="14">
        <v>25624</v>
      </c>
      <c r="U1569" s="14">
        <v>23128</v>
      </c>
      <c r="V1569" s="14">
        <v>22610</v>
      </c>
      <c r="W1569" s="14">
        <v>33838</v>
      </c>
      <c r="X1569" s="14">
        <v>37346</v>
      </c>
      <c r="Y1569" s="14">
        <v>43527</v>
      </c>
      <c r="Z1569" s="14">
        <v>34868</v>
      </c>
      <c r="AA1569" s="14"/>
      <c r="AB1569" s="14"/>
    </row>
    <row r="1570" spans="1:30">
      <c r="A1570" s="45" t="s">
        <v>161</v>
      </c>
      <c r="B1570" s="45" t="s">
        <v>162</v>
      </c>
      <c r="C1570" s="45" t="s">
        <v>490</v>
      </c>
      <c r="D1570" s="45" t="s">
        <v>496</v>
      </c>
      <c r="E1570" s="45" t="s">
        <v>492</v>
      </c>
      <c r="F1570" s="45" t="s">
        <v>493</v>
      </c>
      <c r="G1570" s="14">
        <v>12173</v>
      </c>
      <c r="H1570" s="14">
        <v>17248</v>
      </c>
      <c r="I1570" s="14">
        <v>21810</v>
      </c>
      <c r="J1570" s="14">
        <v>24417</v>
      </c>
      <c r="K1570" s="14">
        <v>35541</v>
      </c>
      <c r="L1570" s="14">
        <v>37467</v>
      </c>
      <c r="M1570" s="14">
        <v>41087</v>
      </c>
      <c r="N1570" s="14">
        <v>49677</v>
      </c>
      <c r="O1570" s="14">
        <v>57608</v>
      </c>
      <c r="P1570" s="14">
        <v>67542</v>
      </c>
      <c r="Q1570" s="14">
        <v>74183</v>
      </c>
      <c r="R1570" s="14">
        <v>89358</v>
      </c>
      <c r="S1570" s="14">
        <v>119709</v>
      </c>
      <c r="T1570" s="14">
        <v>115795</v>
      </c>
      <c r="U1570" s="14">
        <v>133309</v>
      </c>
      <c r="V1570" s="14">
        <v>135242</v>
      </c>
      <c r="W1570" s="14">
        <v>171854</v>
      </c>
      <c r="X1570" s="14">
        <v>206258</v>
      </c>
      <c r="Y1570" s="14">
        <v>179361</v>
      </c>
      <c r="Z1570" s="14">
        <v>228062</v>
      </c>
      <c r="AA1570" s="14"/>
      <c r="AB1570" s="14"/>
    </row>
    <row r="1571" spans="1:30">
      <c r="A1571" s="45" t="s">
        <v>161</v>
      </c>
      <c r="B1571" s="45" t="s">
        <v>162</v>
      </c>
      <c r="C1571" s="45" t="s">
        <v>490</v>
      </c>
      <c r="D1571" s="45" t="s">
        <v>497</v>
      </c>
      <c r="E1571" s="45" t="s">
        <v>492</v>
      </c>
      <c r="F1571" s="45" t="s">
        <v>493</v>
      </c>
      <c r="G1571" s="14">
        <v>9112</v>
      </c>
      <c r="H1571" s="14">
        <v>10547</v>
      </c>
      <c r="I1571" s="14">
        <v>12084</v>
      </c>
      <c r="J1571" s="14">
        <v>15066</v>
      </c>
      <c r="K1571" s="14">
        <v>17060</v>
      </c>
      <c r="L1571" s="14">
        <v>23067</v>
      </c>
      <c r="M1571" s="14">
        <v>26358</v>
      </c>
      <c r="N1571" s="14">
        <v>31243</v>
      </c>
      <c r="O1571" s="14">
        <v>33810</v>
      </c>
      <c r="P1571" s="14">
        <v>38817</v>
      </c>
      <c r="Q1571" s="14">
        <v>43931</v>
      </c>
      <c r="R1571" s="14">
        <v>52228</v>
      </c>
      <c r="S1571" s="14">
        <v>59437</v>
      </c>
      <c r="T1571" s="14">
        <v>63626</v>
      </c>
      <c r="U1571" s="14">
        <v>69151</v>
      </c>
      <c r="V1571" s="14">
        <v>76086</v>
      </c>
      <c r="W1571" s="14">
        <v>77494</v>
      </c>
      <c r="X1571" s="14">
        <v>86075</v>
      </c>
      <c r="Y1571" s="14">
        <v>92651</v>
      </c>
      <c r="Z1571" s="14">
        <v>99757</v>
      </c>
      <c r="AA1571" s="14"/>
      <c r="AB1571" s="14"/>
    </row>
    <row r="1572" spans="1:30">
      <c r="A1572" s="45" t="s">
        <v>161</v>
      </c>
      <c r="B1572" s="45" t="s">
        <v>162</v>
      </c>
      <c r="C1572" s="45" t="s">
        <v>498</v>
      </c>
      <c r="D1572" s="45" t="s">
        <v>491</v>
      </c>
      <c r="E1572" s="45" t="s">
        <v>499</v>
      </c>
      <c r="F1572" s="45" t="s">
        <v>500</v>
      </c>
      <c r="G1572" s="14">
        <v>62480.3</v>
      </c>
      <c r="H1572" s="14">
        <v>77698.600000000006</v>
      </c>
      <c r="I1572" s="14">
        <v>84177.9</v>
      </c>
      <c r="J1572" s="14">
        <v>90156.9</v>
      </c>
      <c r="K1572" s="14">
        <v>112649.3</v>
      </c>
      <c r="L1572" s="14">
        <v>127218</v>
      </c>
      <c r="M1572" s="14">
        <v>124806</v>
      </c>
      <c r="N1572" s="14">
        <v>149321.70000000001</v>
      </c>
      <c r="O1572" s="14">
        <v>143265</v>
      </c>
      <c r="P1572" s="14">
        <v>147137.29999999999</v>
      </c>
      <c r="Q1572" s="14">
        <v>156626.9</v>
      </c>
      <c r="R1572" s="14">
        <v>177910.39999999999</v>
      </c>
      <c r="S1572" s="14">
        <v>190526.6</v>
      </c>
      <c r="T1572" s="14">
        <v>181794.6</v>
      </c>
      <c r="U1572" s="14">
        <v>182161.5</v>
      </c>
      <c r="V1572" s="14">
        <v>186774.6</v>
      </c>
      <c r="W1572" s="14">
        <v>218442</v>
      </c>
      <c r="X1572" s="14">
        <v>235191.1</v>
      </c>
      <c r="Y1572" s="14">
        <v>209823.9</v>
      </c>
      <c r="Z1572" s="14">
        <v>194112</v>
      </c>
      <c r="AA1572" s="14"/>
      <c r="AB1572" s="14"/>
      <c r="AC1572" s="15">
        <f>IFERROR(Z1572/G1572-1,"")</f>
        <v>2.1067712542993551</v>
      </c>
      <c r="AD1572" s="15">
        <f>IFERROR((Z1572/G1572)^(1/19)-1,"")</f>
        <v>6.1478041923439974E-2</v>
      </c>
    </row>
    <row r="1573" spans="1:30">
      <c r="A1573" s="45" t="s">
        <v>161</v>
      </c>
      <c r="B1573" s="45" t="s">
        <v>162</v>
      </c>
      <c r="C1573" s="45" t="s">
        <v>498</v>
      </c>
      <c r="D1573" s="45" t="s">
        <v>495</v>
      </c>
      <c r="E1573" s="45" t="s">
        <v>499</v>
      </c>
      <c r="F1573" s="45" t="s">
        <v>500</v>
      </c>
      <c r="G1573" s="14">
        <v>3946.9</v>
      </c>
      <c r="H1573" s="14">
        <v>4543.8999999999996</v>
      </c>
      <c r="I1573" s="14">
        <v>6727.4</v>
      </c>
      <c r="J1573" s="14">
        <v>7626.7</v>
      </c>
      <c r="K1573" s="14">
        <v>11422</v>
      </c>
      <c r="L1573" s="14">
        <v>19163.2</v>
      </c>
      <c r="M1573" s="14">
        <v>16399.400000000001</v>
      </c>
      <c r="N1573" s="14">
        <v>26881.4</v>
      </c>
      <c r="O1573" s="14">
        <v>16400</v>
      </c>
      <c r="P1573" s="14">
        <v>15742.4</v>
      </c>
      <c r="Q1573" s="14">
        <v>15959.3</v>
      </c>
      <c r="R1573" s="14">
        <v>16774.5</v>
      </c>
      <c r="S1573" s="14">
        <v>15945</v>
      </c>
      <c r="T1573" s="14">
        <v>17572.7</v>
      </c>
      <c r="U1573" s="14">
        <v>14672</v>
      </c>
      <c r="V1573" s="14">
        <v>13835.5</v>
      </c>
      <c r="W1573" s="14">
        <v>19815.7</v>
      </c>
      <c r="X1573" s="14">
        <v>20983.599999999999</v>
      </c>
      <c r="Y1573" s="14">
        <v>22969.8</v>
      </c>
      <c r="Z1573" s="14">
        <v>16277.1</v>
      </c>
      <c r="AA1573" s="14"/>
      <c r="AB1573" s="14"/>
      <c r="AC1573" s="15">
        <f>IFERROR(Z1573/G1573-1,"")</f>
        <v>3.1240213838708861</v>
      </c>
      <c r="AD1573" s="15">
        <f>IFERROR((Z1573/G1573)^(1/19)-1,"")</f>
        <v>7.7420689530434128E-2</v>
      </c>
    </row>
    <row r="1574" spans="1:30">
      <c r="A1574" s="45" t="s">
        <v>161</v>
      </c>
      <c r="B1574" s="45" t="s">
        <v>162</v>
      </c>
      <c r="C1574" s="45" t="s">
        <v>498</v>
      </c>
      <c r="D1574" s="45" t="s">
        <v>496</v>
      </c>
      <c r="E1574" s="45" t="s">
        <v>499</v>
      </c>
      <c r="F1574" s="45" t="s">
        <v>500</v>
      </c>
      <c r="G1574" s="14">
        <v>23124.9</v>
      </c>
      <c r="H1574" s="14">
        <v>28719.8</v>
      </c>
      <c r="I1574" s="14">
        <v>33703.800000000003</v>
      </c>
      <c r="J1574" s="14">
        <v>35122.400000000001</v>
      </c>
      <c r="K1574" s="14">
        <v>47879.6</v>
      </c>
      <c r="L1574" s="14">
        <v>47420.7</v>
      </c>
      <c r="M1574" s="14">
        <v>47806</v>
      </c>
      <c r="N1574" s="14">
        <v>53861.5</v>
      </c>
      <c r="O1574" s="14">
        <v>57608</v>
      </c>
      <c r="P1574" s="14">
        <v>62354.9</v>
      </c>
      <c r="Q1574" s="14">
        <v>63446.3</v>
      </c>
      <c r="R1574" s="14">
        <v>71090</v>
      </c>
      <c r="S1574" s="14">
        <v>88307</v>
      </c>
      <c r="T1574" s="14">
        <v>79411.3</v>
      </c>
      <c r="U1574" s="14">
        <v>84569.1</v>
      </c>
      <c r="V1574" s="14">
        <v>82757</v>
      </c>
      <c r="W1574" s="14">
        <v>100638.39999999999</v>
      </c>
      <c r="X1574" s="14">
        <v>115890</v>
      </c>
      <c r="Y1574" s="14">
        <v>94651.1</v>
      </c>
      <c r="Z1574" s="14">
        <v>106461.5</v>
      </c>
      <c r="AA1574" s="14"/>
      <c r="AB1574" s="14"/>
      <c r="AC1574" s="15">
        <f>IFERROR(Z1574/G1574-1,"")</f>
        <v>3.6037604486938317</v>
      </c>
      <c r="AD1574" s="15">
        <f>IFERROR((Z1574/G1574)^(1/19)-1,"")</f>
        <v>8.3679029546449346E-2</v>
      </c>
    </row>
    <row r="1575" spans="1:30">
      <c r="A1575" s="45" t="s">
        <v>161</v>
      </c>
      <c r="B1575" s="45" t="s">
        <v>162</v>
      </c>
      <c r="C1575" s="45" t="s">
        <v>498</v>
      </c>
      <c r="D1575" s="45" t="s">
        <v>497</v>
      </c>
      <c r="E1575" s="45" t="s">
        <v>499</v>
      </c>
      <c r="F1575" s="45" t="s">
        <v>500</v>
      </c>
      <c r="G1575" s="14">
        <v>17310</v>
      </c>
      <c r="H1575" s="14">
        <v>17562.099999999999</v>
      </c>
      <c r="I1575" s="14">
        <v>18673.099999999999</v>
      </c>
      <c r="J1575" s="14">
        <v>21670.7</v>
      </c>
      <c r="K1575" s="14">
        <v>22982.9</v>
      </c>
      <c r="L1575" s="14">
        <v>29195.4</v>
      </c>
      <c r="M1575" s="14">
        <v>30668.1</v>
      </c>
      <c r="N1575" s="14">
        <v>33874.699999999997</v>
      </c>
      <c r="O1575" s="14">
        <v>33810</v>
      </c>
      <c r="P1575" s="14">
        <v>35836</v>
      </c>
      <c r="Q1575" s="14">
        <v>37572.800000000003</v>
      </c>
      <c r="R1575" s="14">
        <v>41550.699999999997</v>
      </c>
      <c r="S1575" s="14">
        <v>43845.5</v>
      </c>
      <c r="T1575" s="14">
        <v>43634.2</v>
      </c>
      <c r="U1575" s="14">
        <v>43868.3</v>
      </c>
      <c r="V1575" s="14">
        <v>46558.400000000001</v>
      </c>
      <c r="W1575" s="14">
        <v>45380.800000000003</v>
      </c>
      <c r="X1575" s="14">
        <v>48362.9</v>
      </c>
      <c r="Y1575" s="14">
        <v>48893.1</v>
      </c>
      <c r="Z1575" s="14">
        <v>46568.7</v>
      </c>
      <c r="AA1575" s="14"/>
      <c r="AB1575" s="14"/>
      <c r="AC1575" s="15">
        <f>IFERROR(Z1575/G1575-1,"")</f>
        <v>1.6902772963604851</v>
      </c>
      <c r="AD1575" s="15">
        <f>IFERROR((Z1575/G1575)^(1/19)-1,"")</f>
        <v>5.3466906284979743E-2</v>
      </c>
    </row>
    <row r="1576" spans="1:30">
      <c r="A1576" s="45" t="s">
        <v>161</v>
      </c>
      <c r="B1576" s="45" t="s">
        <v>162</v>
      </c>
      <c r="C1576" s="45" t="s">
        <v>498</v>
      </c>
      <c r="D1576" s="45" t="s">
        <v>501</v>
      </c>
      <c r="E1576" s="45" t="s">
        <v>499</v>
      </c>
      <c r="F1576" s="45" t="s">
        <v>500</v>
      </c>
      <c r="G1576" s="14">
        <v>14445.6</v>
      </c>
      <c r="H1576" s="14">
        <v>22684.9</v>
      </c>
      <c r="I1576" s="14">
        <v>20430.599999999999</v>
      </c>
      <c r="J1576" s="14">
        <v>19898.900000000001</v>
      </c>
      <c r="K1576" s="14">
        <v>21002.799999999999</v>
      </c>
      <c r="L1576" s="14">
        <v>18647.5</v>
      </c>
      <c r="M1576" s="14">
        <v>18330.5</v>
      </c>
      <c r="N1576" s="14">
        <v>23818.400000000001</v>
      </c>
      <c r="O1576" s="14">
        <v>22544</v>
      </c>
      <c r="P1576" s="14">
        <v>20997.3</v>
      </c>
      <c r="Q1576" s="14">
        <v>22862.2</v>
      </c>
      <c r="R1576" s="14">
        <v>26657.8</v>
      </c>
      <c r="S1576" s="14">
        <v>24252</v>
      </c>
      <c r="T1576" s="14">
        <v>22511.1</v>
      </c>
      <c r="U1576" s="14">
        <v>29004.7</v>
      </c>
      <c r="V1576" s="14">
        <v>33812.800000000003</v>
      </c>
      <c r="W1576" s="14">
        <v>39600.9</v>
      </c>
      <c r="X1576" s="14">
        <v>36645.699999999997</v>
      </c>
      <c r="Y1576" s="14">
        <v>31139.3</v>
      </c>
      <c r="Z1576" s="14">
        <v>8961.7999999999993</v>
      </c>
      <c r="AA1576" s="14"/>
      <c r="AB1576" s="14"/>
      <c r="AC1576" s="15">
        <f>IFERROR(Z1576/G1576-1,"")</f>
        <v>-0.37961732292185868</v>
      </c>
      <c r="AD1576" s="15">
        <f>IFERROR((Z1576/G1576)^(1/19)-1,"")</f>
        <v>-2.4814240626928274E-2</v>
      </c>
    </row>
    <row r="1577" spans="1:30">
      <c r="A1577" s="45" t="s">
        <v>399</v>
      </c>
      <c r="B1577" s="45" t="s">
        <v>400</v>
      </c>
      <c r="C1577" s="45" t="s">
        <v>490</v>
      </c>
      <c r="D1577" s="45" t="s">
        <v>491</v>
      </c>
      <c r="E1577" s="45" t="s">
        <v>492</v>
      </c>
      <c r="F1577" s="45" t="s">
        <v>493</v>
      </c>
      <c r="G1577" s="14">
        <v>5286</v>
      </c>
      <c r="H1577" s="14">
        <v>5645</v>
      </c>
      <c r="I1577" s="14">
        <v>6779</v>
      </c>
      <c r="J1577" s="14">
        <v>7910</v>
      </c>
      <c r="K1577" s="14">
        <v>8911</v>
      </c>
      <c r="L1577" s="14">
        <v>9848</v>
      </c>
      <c r="M1577" s="14">
        <v>11057</v>
      </c>
      <c r="N1577" s="14">
        <v>14338</v>
      </c>
      <c r="O1577" s="14">
        <v>14320</v>
      </c>
      <c r="P1577" s="14">
        <v>14665</v>
      </c>
      <c r="Q1577" s="14">
        <v>16286</v>
      </c>
      <c r="R1577" s="14">
        <v>21011</v>
      </c>
      <c r="S1577" s="14">
        <v>23273</v>
      </c>
      <c r="T1577" s="14">
        <v>26464</v>
      </c>
      <c r="U1577" s="14">
        <v>28279</v>
      </c>
      <c r="V1577" s="14">
        <v>30008</v>
      </c>
      <c r="W1577" s="14">
        <v>29768</v>
      </c>
      <c r="X1577" s="14">
        <v>33885</v>
      </c>
      <c r="Y1577" s="14">
        <v>34565</v>
      </c>
      <c r="Z1577" s="14">
        <v>43617</v>
      </c>
      <c r="AA1577" s="14">
        <v>44947</v>
      </c>
      <c r="AB1577" s="14">
        <v>47341</v>
      </c>
    </row>
    <row r="1578" spans="1:30">
      <c r="A1578" s="45" t="s">
        <v>399</v>
      </c>
      <c r="B1578" s="45" t="s">
        <v>400</v>
      </c>
      <c r="C1578" s="45" t="s">
        <v>490</v>
      </c>
      <c r="D1578" s="45" t="s">
        <v>494</v>
      </c>
      <c r="E1578" s="45" t="s">
        <v>492</v>
      </c>
      <c r="F1578" s="45" t="s">
        <v>493</v>
      </c>
      <c r="G1578" s="14">
        <v>5122</v>
      </c>
      <c r="H1578" s="14">
        <v>5505</v>
      </c>
      <c r="I1578" s="14">
        <v>6589</v>
      </c>
      <c r="J1578" s="14">
        <v>7668</v>
      </c>
      <c r="K1578" s="14">
        <v>8482</v>
      </c>
      <c r="L1578" s="14">
        <v>9300</v>
      </c>
      <c r="M1578" s="14">
        <v>10459</v>
      </c>
      <c r="N1578" s="14">
        <v>13291</v>
      </c>
      <c r="O1578" s="14">
        <v>13101</v>
      </c>
      <c r="P1578" s="14">
        <v>13232</v>
      </c>
      <c r="Q1578" s="14">
        <v>15088</v>
      </c>
      <c r="R1578" s="14">
        <v>19288</v>
      </c>
      <c r="S1578" s="14">
        <v>21496</v>
      </c>
      <c r="T1578" s="14">
        <v>24073</v>
      </c>
      <c r="U1578" s="14">
        <v>27093</v>
      </c>
      <c r="V1578" s="14">
        <v>28821</v>
      </c>
      <c r="W1578" s="14">
        <v>28822</v>
      </c>
      <c r="X1578" s="14">
        <v>32704</v>
      </c>
      <c r="Y1578" s="14">
        <v>33437</v>
      </c>
      <c r="Z1578" s="14">
        <v>41148</v>
      </c>
      <c r="AA1578" s="14"/>
      <c r="AB1578" s="14"/>
    </row>
    <row r="1579" spans="1:30">
      <c r="A1579" s="45" t="s">
        <v>399</v>
      </c>
      <c r="B1579" s="45" t="s">
        <v>400</v>
      </c>
      <c r="C1579" s="45" t="s">
        <v>490</v>
      </c>
      <c r="D1579" s="45" t="s">
        <v>495</v>
      </c>
      <c r="E1579" s="45" t="s">
        <v>492</v>
      </c>
      <c r="F1579" s="45" t="s">
        <v>493</v>
      </c>
      <c r="G1579" s="14">
        <v>255</v>
      </c>
      <c r="H1579" s="14">
        <v>191</v>
      </c>
      <c r="I1579" s="14">
        <v>258</v>
      </c>
      <c r="J1579" s="14">
        <v>292</v>
      </c>
      <c r="K1579" s="14">
        <v>324</v>
      </c>
      <c r="L1579" s="14">
        <v>447</v>
      </c>
      <c r="M1579" s="14">
        <v>388</v>
      </c>
      <c r="N1579" s="14">
        <v>494</v>
      </c>
      <c r="O1579" s="14">
        <v>543</v>
      </c>
      <c r="P1579" s="14">
        <v>598</v>
      </c>
      <c r="Q1579" s="14">
        <v>781</v>
      </c>
      <c r="R1579" s="14">
        <v>845</v>
      </c>
      <c r="S1579" s="14">
        <v>1143</v>
      </c>
      <c r="T1579" s="14">
        <v>1305</v>
      </c>
      <c r="U1579" s="14">
        <v>1305</v>
      </c>
      <c r="V1579" s="14">
        <v>1274</v>
      </c>
      <c r="W1579" s="14">
        <v>1111</v>
      </c>
      <c r="X1579" s="14">
        <v>1204</v>
      </c>
      <c r="Y1579" s="14">
        <v>1146</v>
      </c>
      <c r="Z1579" s="14">
        <v>1281</v>
      </c>
      <c r="AA1579" s="14"/>
      <c r="AB1579" s="14"/>
    </row>
    <row r="1580" spans="1:30">
      <c r="A1580" s="45" t="s">
        <v>399</v>
      </c>
      <c r="B1580" s="45" t="s">
        <v>400</v>
      </c>
      <c r="C1580" s="45" t="s">
        <v>490</v>
      </c>
      <c r="D1580" s="45" t="s">
        <v>496</v>
      </c>
      <c r="E1580" s="45" t="s">
        <v>492</v>
      </c>
      <c r="F1580" s="45" t="s">
        <v>493</v>
      </c>
      <c r="G1580" s="14">
        <v>1094</v>
      </c>
      <c r="H1580" s="14">
        <v>1158</v>
      </c>
      <c r="I1580" s="14">
        <v>1464</v>
      </c>
      <c r="J1580" s="14">
        <v>1615</v>
      </c>
      <c r="K1580" s="14">
        <v>1753</v>
      </c>
      <c r="L1580" s="14">
        <v>1952</v>
      </c>
      <c r="M1580" s="14">
        <v>1976</v>
      </c>
      <c r="N1580" s="14">
        <v>3253</v>
      </c>
      <c r="O1580" s="14">
        <v>3263</v>
      </c>
      <c r="P1580" s="14">
        <v>2773</v>
      </c>
      <c r="Q1580" s="14">
        <v>3507</v>
      </c>
      <c r="R1580" s="14">
        <v>4393</v>
      </c>
      <c r="S1580" s="14">
        <v>4610</v>
      </c>
      <c r="T1580" s="14">
        <v>5920</v>
      </c>
      <c r="U1580" s="14">
        <v>5933</v>
      </c>
      <c r="V1580" s="14">
        <v>6961</v>
      </c>
      <c r="W1580" s="14">
        <v>5974</v>
      </c>
      <c r="X1580" s="14">
        <v>7257</v>
      </c>
      <c r="Y1580" s="14">
        <v>7497</v>
      </c>
      <c r="Z1580" s="14">
        <v>8684</v>
      </c>
      <c r="AA1580" s="14"/>
      <c r="AB1580" s="14"/>
    </row>
    <row r="1581" spans="1:30">
      <c r="A1581" s="45" t="s">
        <v>399</v>
      </c>
      <c r="B1581" s="45" t="s">
        <v>400</v>
      </c>
      <c r="C1581" s="45" t="s">
        <v>490</v>
      </c>
      <c r="D1581" s="45" t="s">
        <v>497</v>
      </c>
      <c r="E1581" s="45" t="s">
        <v>492</v>
      </c>
      <c r="F1581" s="45" t="s">
        <v>493</v>
      </c>
      <c r="G1581" s="14">
        <v>2932</v>
      </c>
      <c r="H1581" s="14">
        <v>3208</v>
      </c>
      <c r="I1581" s="14">
        <v>3783</v>
      </c>
      <c r="J1581" s="14">
        <v>4620</v>
      </c>
      <c r="K1581" s="14">
        <v>5152</v>
      </c>
      <c r="L1581" s="14">
        <v>6019</v>
      </c>
      <c r="M1581" s="14">
        <v>6815</v>
      </c>
      <c r="N1581" s="14">
        <v>7790</v>
      </c>
      <c r="O1581" s="14">
        <v>7792</v>
      </c>
      <c r="P1581" s="14">
        <v>8107</v>
      </c>
      <c r="Q1581" s="14">
        <v>9326</v>
      </c>
      <c r="R1581" s="14">
        <v>11779</v>
      </c>
      <c r="S1581" s="14">
        <v>13302</v>
      </c>
      <c r="T1581" s="14">
        <v>13785</v>
      </c>
      <c r="U1581" s="14">
        <v>15479</v>
      </c>
      <c r="V1581" s="14">
        <v>16249</v>
      </c>
      <c r="W1581" s="14">
        <v>16503</v>
      </c>
      <c r="X1581" s="14">
        <v>18636</v>
      </c>
      <c r="Y1581" s="14">
        <v>18932</v>
      </c>
      <c r="Z1581" s="14">
        <v>20312</v>
      </c>
      <c r="AA1581" s="14"/>
      <c r="AB1581" s="14"/>
    </row>
    <row r="1582" spans="1:30">
      <c r="A1582" s="45" t="s">
        <v>399</v>
      </c>
      <c r="B1582" s="45" t="s">
        <v>400</v>
      </c>
      <c r="C1582" s="45" t="s">
        <v>498</v>
      </c>
      <c r="D1582" s="45" t="s">
        <v>491</v>
      </c>
      <c r="E1582" s="45" t="s">
        <v>499</v>
      </c>
      <c r="F1582" s="45" t="s">
        <v>500</v>
      </c>
      <c r="G1582" s="14">
        <v>10041.299999999999</v>
      </c>
      <c r="H1582" s="14">
        <v>9399.7000000000007</v>
      </c>
      <c r="I1582" s="14">
        <v>10476.4</v>
      </c>
      <c r="J1582" s="14">
        <v>11378.6</v>
      </c>
      <c r="K1582" s="14">
        <v>12004.2</v>
      </c>
      <c r="L1582" s="14">
        <v>12464.7</v>
      </c>
      <c r="M1582" s="14">
        <v>12865.1</v>
      </c>
      <c r="N1582" s="14">
        <v>15545.7</v>
      </c>
      <c r="O1582" s="14">
        <v>14320</v>
      </c>
      <c r="P1582" s="14">
        <v>13538.8</v>
      </c>
      <c r="Q1582" s="14">
        <v>13928.9</v>
      </c>
      <c r="R1582" s="14">
        <v>16715.599999999999</v>
      </c>
      <c r="S1582" s="14">
        <v>17168</v>
      </c>
      <c r="T1582" s="14">
        <v>18148.8</v>
      </c>
      <c r="U1582" s="14">
        <v>17939.7</v>
      </c>
      <c r="V1582" s="14">
        <v>18362.400000000001</v>
      </c>
      <c r="W1582" s="14">
        <v>17432.3</v>
      </c>
      <c r="X1582" s="14">
        <v>19038.900000000001</v>
      </c>
      <c r="Y1582" s="14">
        <v>18240.400000000001</v>
      </c>
      <c r="Z1582" s="14">
        <v>20360.7</v>
      </c>
      <c r="AA1582" s="14"/>
      <c r="AB1582" s="14"/>
      <c r="AC1582" s="15">
        <f>IFERROR(Z1582/G1582-1,"")</f>
        <v>1.0276956171013714</v>
      </c>
      <c r="AD1582" s="15">
        <f>IFERROR((Z1582/G1582)^(1/19)-1,"")</f>
        <v>3.7906041987713746E-2</v>
      </c>
    </row>
    <row r="1583" spans="1:30">
      <c r="A1583" s="45" t="s">
        <v>399</v>
      </c>
      <c r="B1583" s="45" t="s">
        <v>400</v>
      </c>
      <c r="C1583" s="45" t="s">
        <v>498</v>
      </c>
      <c r="D1583" s="45" t="s">
        <v>495</v>
      </c>
      <c r="E1583" s="45" t="s">
        <v>499</v>
      </c>
      <c r="F1583" s="45" t="s">
        <v>500</v>
      </c>
      <c r="G1583" s="14">
        <v>484.1</v>
      </c>
      <c r="H1583" s="14">
        <v>317.8</v>
      </c>
      <c r="I1583" s="14">
        <v>399.1</v>
      </c>
      <c r="J1583" s="14">
        <v>420.4</v>
      </c>
      <c r="K1583" s="14">
        <v>436</v>
      </c>
      <c r="L1583" s="14">
        <v>565.6</v>
      </c>
      <c r="M1583" s="14">
        <v>451.9</v>
      </c>
      <c r="N1583" s="14">
        <v>535.6</v>
      </c>
      <c r="O1583" s="14">
        <v>543</v>
      </c>
      <c r="P1583" s="14">
        <v>552.1</v>
      </c>
      <c r="Q1583" s="14">
        <v>668</v>
      </c>
      <c r="R1583" s="14">
        <v>672.3</v>
      </c>
      <c r="S1583" s="14">
        <v>843.2</v>
      </c>
      <c r="T1583" s="14">
        <v>895</v>
      </c>
      <c r="U1583" s="14">
        <v>827.9</v>
      </c>
      <c r="V1583" s="14">
        <v>779.6</v>
      </c>
      <c r="W1583" s="14">
        <v>650.6</v>
      </c>
      <c r="X1583" s="14">
        <v>676.5</v>
      </c>
      <c r="Y1583" s="14">
        <v>604.79999999999995</v>
      </c>
      <c r="Z1583" s="14">
        <v>598</v>
      </c>
      <c r="AA1583" s="14"/>
      <c r="AB1583" s="14"/>
      <c r="AC1583" s="15">
        <f>IFERROR(Z1583/G1583-1,"")</f>
        <v>0.23528196653583966</v>
      </c>
      <c r="AD1583" s="15">
        <f>IFERROR((Z1583/G1583)^(1/19)-1,"")</f>
        <v>1.1183081871750655E-2</v>
      </c>
    </row>
    <row r="1584" spans="1:30">
      <c r="A1584" s="45" t="s">
        <v>399</v>
      </c>
      <c r="B1584" s="45" t="s">
        <v>400</v>
      </c>
      <c r="C1584" s="45" t="s">
        <v>498</v>
      </c>
      <c r="D1584" s="45" t="s">
        <v>496</v>
      </c>
      <c r="E1584" s="45" t="s">
        <v>499</v>
      </c>
      <c r="F1584" s="45" t="s">
        <v>500</v>
      </c>
      <c r="G1584" s="14">
        <v>2078.4</v>
      </c>
      <c r="H1584" s="14">
        <v>1927.4</v>
      </c>
      <c r="I1584" s="14">
        <v>2261.8000000000002</v>
      </c>
      <c r="J1584" s="14">
        <v>2323.6999999999998</v>
      </c>
      <c r="K1584" s="14">
        <v>2362.1</v>
      </c>
      <c r="L1584" s="14">
        <v>2471.1999999999998</v>
      </c>
      <c r="M1584" s="14">
        <v>2299.6</v>
      </c>
      <c r="N1584" s="14">
        <v>3527</v>
      </c>
      <c r="O1584" s="14">
        <v>3263</v>
      </c>
      <c r="P1584" s="14">
        <v>2560</v>
      </c>
      <c r="Q1584" s="14">
        <v>2999.4</v>
      </c>
      <c r="R1584" s="14">
        <v>3494.9</v>
      </c>
      <c r="S1584" s="14">
        <v>3400.7</v>
      </c>
      <c r="T1584" s="14">
        <v>4059.9</v>
      </c>
      <c r="U1584" s="14">
        <v>3763.8</v>
      </c>
      <c r="V1584" s="14">
        <v>4259.6000000000004</v>
      </c>
      <c r="W1584" s="14">
        <v>3498.4</v>
      </c>
      <c r="X1584" s="14">
        <v>4077.5</v>
      </c>
      <c r="Y1584" s="14">
        <v>3956.3</v>
      </c>
      <c r="Z1584" s="14">
        <v>4054.2</v>
      </c>
      <c r="AA1584" s="14"/>
      <c r="AB1584" s="14"/>
      <c r="AC1584" s="15">
        <f>IFERROR(Z1584/G1584-1,"")</f>
        <v>0.95063510392609674</v>
      </c>
      <c r="AD1584" s="15">
        <f>IFERROR((Z1584/G1584)^(1/19)-1,"")</f>
        <v>3.5791691212312182E-2</v>
      </c>
    </row>
    <row r="1585" spans="1:30">
      <c r="A1585" s="45" t="s">
        <v>399</v>
      </c>
      <c r="B1585" s="45" t="s">
        <v>400</v>
      </c>
      <c r="C1585" s="45" t="s">
        <v>498</v>
      </c>
      <c r="D1585" s="45" t="s">
        <v>497</v>
      </c>
      <c r="E1585" s="45" t="s">
        <v>499</v>
      </c>
      <c r="F1585" s="45" t="s">
        <v>500</v>
      </c>
      <c r="G1585" s="14">
        <v>5569.9</v>
      </c>
      <c r="H1585" s="14">
        <v>5341.8</v>
      </c>
      <c r="I1585" s="14">
        <v>5845.5</v>
      </c>
      <c r="J1585" s="14">
        <v>6646.1</v>
      </c>
      <c r="K1585" s="14">
        <v>6941</v>
      </c>
      <c r="L1585" s="14">
        <v>7618.6</v>
      </c>
      <c r="M1585" s="14">
        <v>7929.3</v>
      </c>
      <c r="N1585" s="14">
        <v>8446.2000000000007</v>
      </c>
      <c r="O1585" s="14">
        <v>7792</v>
      </c>
      <c r="P1585" s="14">
        <v>7484.4</v>
      </c>
      <c r="Q1585" s="14">
        <v>7976.2</v>
      </c>
      <c r="R1585" s="14">
        <v>9370.9</v>
      </c>
      <c r="S1585" s="14">
        <v>9812.6</v>
      </c>
      <c r="T1585" s="14">
        <v>9453.6</v>
      </c>
      <c r="U1585" s="14">
        <v>9819.6</v>
      </c>
      <c r="V1585" s="14">
        <v>9943.1</v>
      </c>
      <c r="W1585" s="14">
        <v>9664.2000000000007</v>
      </c>
      <c r="X1585" s="14">
        <v>10471</v>
      </c>
      <c r="Y1585" s="14">
        <v>9990.7000000000007</v>
      </c>
      <c r="Z1585" s="14">
        <v>9482.2999999999993</v>
      </c>
      <c r="AA1585" s="14"/>
      <c r="AB1585" s="14"/>
      <c r="AC1585" s="15">
        <f>IFERROR(Z1585/G1585-1,"")</f>
        <v>0.70241835580531076</v>
      </c>
      <c r="AD1585" s="15">
        <f>IFERROR((Z1585/G1585)^(1/19)-1,"")</f>
        <v>2.8398380035023152E-2</v>
      </c>
    </row>
    <row r="1586" spans="1:30">
      <c r="A1586" s="45" t="s">
        <v>399</v>
      </c>
      <c r="B1586" s="45" t="s">
        <v>400</v>
      </c>
      <c r="C1586" s="45" t="s">
        <v>498</v>
      </c>
      <c r="D1586" s="45" t="s">
        <v>501</v>
      </c>
      <c r="E1586" s="45" t="s">
        <v>499</v>
      </c>
      <c r="F1586" s="45" t="s">
        <v>500</v>
      </c>
      <c r="G1586" s="14">
        <v>1597.3</v>
      </c>
      <c r="H1586" s="14">
        <v>1578.9</v>
      </c>
      <c r="I1586" s="14">
        <v>1676.5</v>
      </c>
      <c r="J1586" s="14">
        <v>1639.6</v>
      </c>
      <c r="K1586" s="14">
        <v>1687.6</v>
      </c>
      <c r="L1586" s="14">
        <v>1114.8</v>
      </c>
      <c r="M1586" s="14">
        <v>1488.1</v>
      </c>
      <c r="N1586" s="14">
        <v>1901.7</v>
      </c>
      <c r="O1586" s="14">
        <v>1502</v>
      </c>
      <c r="P1586" s="14">
        <v>1619.3</v>
      </c>
      <c r="Q1586" s="14">
        <v>1260.7</v>
      </c>
      <c r="R1586" s="14">
        <v>1807.5</v>
      </c>
      <c r="S1586" s="14">
        <v>1800.7</v>
      </c>
      <c r="T1586" s="14">
        <v>2099.9</v>
      </c>
      <c r="U1586" s="14">
        <v>2775.4</v>
      </c>
      <c r="V1586" s="14">
        <v>2653.9</v>
      </c>
      <c r="W1586" s="14">
        <v>3065.1</v>
      </c>
      <c r="X1586" s="14">
        <v>3150.4</v>
      </c>
      <c r="Y1586" s="14">
        <v>3092.9</v>
      </c>
      <c r="Z1586" s="14">
        <v>5074.2</v>
      </c>
      <c r="AA1586" s="14"/>
      <c r="AB1586" s="14"/>
      <c r="AC1586" s="15">
        <f>IFERROR(Z1586/G1586-1,"")</f>
        <v>2.1767357415638888</v>
      </c>
      <c r="AD1586" s="15">
        <f>IFERROR((Z1586/G1586)^(1/19)-1,"")</f>
        <v>6.2722944762140465E-2</v>
      </c>
    </row>
    <row r="1587" spans="1:30">
      <c r="A1587" s="45" t="s">
        <v>129</v>
      </c>
      <c r="B1587" s="45" t="s">
        <v>130</v>
      </c>
      <c r="C1587" s="45" t="s">
        <v>490</v>
      </c>
      <c r="D1587" s="45" t="s">
        <v>491</v>
      </c>
      <c r="E1587" s="45" t="s">
        <v>492</v>
      </c>
      <c r="F1587" s="45" t="s">
        <v>493</v>
      </c>
      <c r="G1587" s="14">
        <v>68123</v>
      </c>
      <c r="H1587" s="14">
        <v>90254</v>
      </c>
      <c r="I1587" s="14">
        <v>99279</v>
      </c>
      <c r="J1587" s="14">
        <v>112883</v>
      </c>
      <c r="K1587" s="14">
        <v>134065</v>
      </c>
      <c r="L1587" s="14">
        <v>141021</v>
      </c>
      <c r="M1587" s="14">
        <v>148996</v>
      </c>
      <c r="N1587" s="14">
        <v>172521</v>
      </c>
      <c r="O1587" s="14">
        <v>195080</v>
      </c>
      <c r="P1587" s="14">
        <v>208607</v>
      </c>
      <c r="Q1587" s="14">
        <v>259813</v>
      </c>
      <c r="R1587" s="14">
        <v>310227</v>
      </c>
      <c r="S1587" s="14">
        <v>354624</v>
      </c>
      <c r="T1587" s="14">
        <v>398534</v>
      </c>
      <c r="U1587" s="14">
        <v>407063</v>
      </c>
      <c r="V1587" s="14">
        <v>676606</v>
      </c>
      <c r="W1587" s="14">
        <v>517008</v>
      </c>
      <c r="X1587" s="14">
        <v>534519</v>
      </c>
      <c r="Y1587" s="14">
        <v>610444</v>
      </c>
      <c r="Z1587" s="14">
        <v>814838</v>
      </c>
      <c r="AA1587" s="14">
        <v>979898</v>
      </c>
      <c r="AB1587" s="14">
        <v>1015670</v>
      </c>
    </row>
    <row r="1588" spans="1:30">
      <c r="A1588" s="45" t="s">
        <v>129</v>
      </c>
      <c r="B1588" s="45" t="s">
        <v>130</v>
      </c>
      <c r="C1588" s="45" t="s">
        <v>490</v>
      </c>
      <c r="D1588" s="45" t="s">
        <v>494</v>
      </c>
      <c r="E1588" s="45" t="s">
        <v>492</v>
      </c>
      <c r="F1588" s="45" t="s">
        <v>493</v>
      </c>
      <c r="G1588" s="14">
        <v>65507</v>
      </c>
      <c r="H1588" s="14">
        <v>87548</v>
      </c>
      <c r="I1588" s="14">
        <v>95936</v>
      </c>
      <c r="J1588" s="14">
        <v>108202</v>
      </c>
      <c r="K1588" s="14">
        <v>124116</v>
      </c>
      <c r="L1588" s="14">
        <v>126439</v>
      </c>
      <c r="M1588" s="14">
        <v>136117</v>
      </c>
      <c r="N1588" s="14">
        <v>158560</v>
      </c>
      <c r="O1588" s="14">
        <v>173828</v>
      </c>
      <c r="P1588" s="14">
        <v>186224</v>
      </c>
      <c r="Q1588" s="14">
        <v>220811</v>
      </c>
      <c r="R1588" s="14">
        <v>264005</v>
      </c>
      <c r="S1588" s="14">
        <v>303822</v>
      </c>
      <c r="T1588" s="14">
        <v>338219</v>
      </c>
      <c r="U1588" s="14">
        <v>376293</v>
      </c>
      <c r="V1588" s="14">
        <v>623449</v>
      </c>
      <c r="W1588" s="14">
        <v>492382</v>
      </c>
      <c r="X1588" s="14">
        <v>506116</v>
      </c>
      <c r="Y1588" s="14">
        <v>573804</v>
      </c>
      <c r="Z1588" s="14">
        <v>766925</v>
      </c>
      <c r="AA1588" s="14"/>
      <c r="AB1588" s="14"/>
    </row>
    <row r="1589" spans="1:30">
      <c r="A1589" s="45" t="s">
        <v>129</v>
      </c>
      <c r="B1589" s="45" t="s">
        <v>130</v>
      </c>
      <c r="C1589" s="45" t="s">
        <v>490</v>
      </c>
      <c r="D1589" s="45" t="s">
        <v>495</v>
      </c>
      <c r="E1589" s="45" t="s">
        <v>492</v>
      </c>
      <c r="F1589" s="45" t="s">
        <v>493</v>
      </c>
      <c r="G1589" s="14">
        <v>3690</v>
      </c>
      <c r="H1589" s="14">
        <v>5753</v>
      </c>
      <c r="I1589" s="14">
        <v>7756</v>
      </c>
      <c r="J1589" s="14">
        <v>4769</v>
      </c>
      <c r="K1589" s="14">
        <v>4978</v>
      </c>
      <c r="L1589" s="14">
        <v>5103</v>
      </c>
      <c r="M1589" s="14">
        <v>5285</v>
      </c>
      <c r="N1589" s="14">
        <v>5800</v>
      </c>
      <c r="O1589" s="14">
        <v>6570</v>
      </c>
      <c r="P1589" s="14">
        <v>6234</v>
      </c>
      <c r="Q1589" s="14">
        <v>7765</v>
      </c>
      <c r="R1589" s="14">
        <v>7983</v>
      </c>
      <c r="S1589" s="14">
        <v>9785</v>
      </c>
      <c r="T1589" s="14">
        <v>10790</v>
      </c>
      <c r="U1589" s="14">
        <v>25336</v>
      </c>
      <c r="V1589" s="14">
        <v>195511</v>
      </c>
      <c r="W1589" s="14">
        <v>108961</v>
      </c>
      <c r="X1589" s="14">
        <v>101454</v>
      </c>
      <c r="Y1589" s="14">
        <v>122024</v>
      </c>
      <c r="Z1589" s="14">
        <v>286754</v>
      </c>
      <c r="AA1589" s="14"/>
      <c r="AB1589" s="14"/>
    </row>
    <row r="1590" spans="1:30">
      <c r="A1590" s="45" t="s">
        <v>129</v>
      </c>
      <c r="B1590" s="45" t="s">
        <v>130</v>
      </c>
      <c r="C1590" s="45" t="s">
        <v>490</v>
      </c>
      <c r="D1590" s="45" t="s">
        <v>496</v>
      </c>
      <c r="E1590" s="45" t="s">
        <v>492</v>
      </c>
      <c r="F1590" s="45" t="s">
        <v>493</v>
      </c>
      <c r="G1590" s="14">
        <v>12726</v>
      </c>
      <c r="H1590" s="14">
        <v>15868</v>
      </c>
      <c r="I1590" s="14">
        <v>18514</v>
      </c>
      <c r="J1590" s="14">
        <v>21172</v>
      </c>
      <c r="K1590" s="14">
        <v>23544</v>
      </c>
      <c r="L1590" s="14">
        <v>25148</v>
      </c>
      <c r="M1590" s="14">
        <v>24386</v>
      </c>
      <c r="N1590" s="14">
        <v>28180</v>
      </c>
      <c r="O1590" s="14">
        <v>32023</v>
      </c>
      <c r="P1590" s="14">
        <v>34531</v>
      </c>
      <c r="Q1590" s="14">
        <v>50596</v>
      </c>
      <c r="R1590" s="14">
        <v>59750</v>
      </c>
      <c r="S1590" s="14">
        <v>71608</v>
      </c>
      <c r="T1590" s="14">
        <v>93499</v>
      </c>
      <c r="U1590" s="14">
        <v>94133</v>
      </c>
      <c r="V1590" s="14">
        <v>145364</v>
      </c>
      <c r="W1590" s="14">
        <v>116203</v>
      </c>
      <c r="X1590" s="14">
        <v>126552</v>
      </c>
      <c r="Y1590" s="14">
        <v>149480</v>
      </c>
      <c r="Z1590" s="14">
        <v>173527</v>
      </c>
      <c r="AA1590" s="14"/>
      <c r="AB1590" s="14"/>
    </row>
    <row r="1591" spans="1:30">
      <c r="A1591" s="45" t="s">
        <v>129</v>
      </c>
      <c r="B1591" s="45" t="s">
        <v>130</v>
      </c>
      <c r="C1591" s="45" t="s">
        <v>490</v>
      </c>
      <c r="D1591" s="45" t="s">
        <v>497</v>
      </c>
      <c r="E1591" s="45" t="s">
        <v>492</v>
      </c>
      <c r="F1591" s="45" t="s">
        <v>493</v>
      </c>
      <c r="G1591" s="14">
        <v>33048</v>
      </c>
      <c r="H1591" s="14">
        <v>36772</v>
      </c>
      <c r="I1591" s="14">
        <v>41164</v>
      </c>
      <c r="J1591" s="14">
        <v>51353</v>
      </c>
      <c r="K1591" s="14">
        <v>59377</v>
      </c>
      <c r="L1591" s="14">
        <v>65492</v>
      </c>
      <c r="M1591" s="14">
        <v>73124</v>
      </c>
      <c r="N1591" s="14">
        <v>80482</v>
      </c>
      <c r="O1591" s="14">
        <v>89949</v>
      </c>
      <c r="P1591" s="14">
        <v>97098</v>
      </c>
      <c r="Q1591" s="14">
        <v>103090</v>
      </c>
      <c r="R1591" s="14">
        <v>121295</v>
      </c>
      <c r="S1591" s="14">
        <v>135137</v>
      </c>
      <c r="T1591" s="14">
        <v>143529</v>
      </c>
      <c r="U1591" s="14">
        <v>151323</v>
      </c>
      <c r="V1591" s="14">
        <v>168925</v>
      </c>
      <c r="W1591" s="14">
        <v>176325</v>
      </c>
      <c r="X1591" s="14">
        <v>187614</v>
      </c>
      <c r="Y1591" s="14">
        <v>197259</v>
      </c>
      <c r="Z1591" s="14">
        <v>207128</v>
      </c>
      <c r="AA1591" s="14"/>
      <c r="AB1591" s="14"/>
    </row>
    <row r="1592" spans="1:30">
      <c r="A1592" s="45" t="s">
        <v>129</v>
      </c>
      <c r="B1592" s="45" t="s">
        <v>130</v>
      </c>
      <c r="C1592" s="45" t="s">
        <v>498</v>
      </c>
      <c r="D1592" s="45" t="s">
        <v>491</v>
      </c>
      <c r="E1592" s="45" t="s">
        <v>499</v>
      </c>
      <c r="F1592" s="45" t="s">
        <v>500</v>
      </c>
      <c r="G1592" s="14">
        <v>129416.1</v>
      </c>
      <c r="H1592" s="14">
        <v>150283.1</v>
      </c>
      <c r="I1592" s="14">
        <v>153418.29999999999</v>
      </c>
      <c r="J1592" s="14">
        <v>162374.70000000001</v>
      </c>
      <c r="K1592" s="14">
        <v>180607.4</v>
      </c>
      <c r="L1592" s="14">
        <v>178485.9</v>
      </c>
      <c r="M1592" s="14">
        <v>173361.5</v>
      </c>
      <c r="N1592" s="14">
        <v>187053</v>
      </c>
      <c r="O1592" s="14">
        <v>195080</v>
      </c>
      <c r="P1592" s="14">
        <v>192586.5</v>
      </c>
      <c r="Q1592" s="14">
        <v>222209.6</v>
      </c>
      <c r="R1592" s="14">
        <v>246805.4</v>
      </c>
      <c r="S1592" s="14">
        <v>261599.1</v>
      </c>
      <c r="T1592" s="14">
        <v>273311.5</v>
      </c>
      <c r="U1592" s="14">
        <v>258234.3</v>
      </c>
      <c r="V1592" s="14">
        <v>414027.5</v>
      </c>
      <c r="W1592" s="14">
        <v>302761.90000000002</v>
      </c>
      <c r="X1592" s="14">
        <v>300329.7</v>
      </c>
      <c r="Y1592" s="14">
        <v>322139.2</v>
      </c>
      <c r="Z1592" s="14">
        <v>380372.3</v>
      </c>
      <c r="AA1592" s="14"/>
      <c r="AB1592" s="14"/>
      <c r="AC1592" s="15">
        <f>IFERROR(Z1592/G1592-1,"")</f>
        <v>1.9391420387417018</v>
      </c>
      <c r="AD1592" s="15">
        <f>IFERROR((Z1592/G1592)^(1/19)-1,"")</f>
        <v>5.8383810650860735E-2</v>
      </c>
    </row>
    <row r="1593" spans="1:30">
      <c r="A1593" s="45" t="s">
        <v>129</v>
      </c>
      <c r="B1593" s="45" t="s">
        <v>130</v>
      </c>
      <c r="C1593" s="45" t="s">
        <v>498</v>
      </c>
      <c r="D1593" s="45" t="s">
        <v>495</v>
      </c>
      <c r="E1593" s="45" t="s">
        <v>499</v>
      </c>
      <c r="F1593" s="45" t="s">
        <v>500</v>
      </c>
      <c r="G1593" s="14">
        <v>7010.3</v>
      </c>
      <c r="H1593" s="14">
        <v>9579.4</v>
      </c>
      <c r="I1593" s="14">
        <v>11985.8</v>
      </c>
      <c r="J1593" s="14">
        <v>6860.1</v>
      </c>
      <c r="K1593" s="14">
        <v>6706.6</v>
      </c>
      <c r="L1593" s="14">
        <v>6458.6</v>
      </c>
      <c r="M1593" s="14">
        <v>6149.7</v>
      </c>
      <c r="N1593" s="14">
        <v>6288.6</v>
      </c>
      <c r="O1593" s="14">
        <v>6570</v>
      </c>
      <c r="P1593" s="14">
        <v>5755.2</v>
      </c>
      <c r="Q1593" s="14">
        <v>6641.2</v>
      </c>
      <c r="R1593" s="14">
        <v>6351</v>
      </c>
      <c r="S1593" s="14">
        <v>7218.2</v>
      </c>
      <c r="T1593" s="14">
        <v>7399.7</v>
      </c>
      <c r="U1593" s="14">
        <v>16072.8</v>
      </c>
      <c r="V1593" s="14">
        <v>119636.7</v>
      </c>
      <c r="W1593" s="14">
        <v>63808</v>
      </c>
      <c r="X1593" s="14">
        <v>57003.9</v>
      </c>
      <c r="Y1593" s="14">
        <v>64393.599999999999</v>
      </c>
      <c r="Z1593" s="14">
        <v>133858.9</v>
      </c>
      <c r="AA1593" s="14"/>
      <c r="AB1593" s="14"/>
      <c r="AC1593" s="15">
        <f>IFERROR(Z1593/G1593-1,"")</f>
        <v>18.094603654622482</v>
      </c>
      <c r="AD1593" s="15">
        <f>IFERROR((Z1593/G1593)^(1/19)-1,"")</f>
        <v>0.16792875172939725</v>
      </c>
    </row>
    <row r="1594" spans="1:30">
      <c r="A1594" s="45" t="s">
        <v>129</v>
      </c>
      <c r="B1594" s="45" t="s">
        <v>130</v>
      </c>
      <c r="C1594" s="45" t="s">
        <v>498</v>
      </c>
      <c r="D1594" s="45" t="s">
        <v>496</v>
      </c>
      <c r="E1594" s="45" t="s">
        <v>499</v>
      </c>
      <c r="F1594" s="45" t="s">
        <v>500</v>
      </c>
      <c r="G1594" s="14">
        <v>24176.3</v>
      </c>
      <c r="H1594" s="14">
        <v>26422</v>
      </c>
      <c r="I1594" s="14">
        <v>28610.7</v>
      </c>
      <c r="J1594" s="14">
        <v>30454.799999999999</v>
      </c>
      <c r="K1594" s="14">
        <v>31717.4</v>
      </c>
      <c r="L1594" s="14">
        <v>31829.599999999999</v>
      </c>
      <c r="M1594" s="14">
        <v>28373.8</v>
      </c>
      <c r="N1594" s="14">
        <v>30553.7</v>
      </c>
      <c r="O1594" s="14">
        <v>32023</v>
      </c>
      <c r="P1594" s="14">
        <v>31879.1</v>
      </c>
      <c r="Q1594" s="14">
        <v>43273.1</v>
      </c>
      <c r="R1594" s="14">
        <v>47534.9</v>
      </c>
      <c r="S1594" s="14">
        <v>52823.8</v>
      </c>
      <c r="T1594" s="14">
        <v>64120.9</v>
      </c>
      <c r="U1594" s="14">
        <v>59716.5</v>
      </c>
      <c r="V1594" s="14">
        <v>88950.9</v>
      </c>
      <c r="W1594" s="14">
        <v>68048.899999999994</v>
      </c>
      <c r="X1594" s="14">
        <v>71105.7</v>
      </c>
      <c r="Y1594" s="14">
        <v>78882.5</v>
      </c>
      <c r="Z1594" s="14">
        <v>81004.600000000006</v>
      </c>
      <c r="AA1594" s="14"/>
      <c r="AB1594" s="14"/>
      <c r="AC1594" s="15">
        <f>IFERROR(Z1594/G1594-1,"")</f>
        <v>2.3505788726976422</v>
      </c>
      <c r="AD1594" s="15">
        <f>IFERROR((Z1594/G1594)^(1/19)-1,"")</f>
        <v>6.5707167365818497E-2</v>
      </c>
    </row>
    <row r="1595" spans="1:30">
      <c r="A1595" s="45" t="s">
        <v>129</v>
      </c>
      <c r="B1595" s="45" t="s">
        <v>130</v>
      </c>
      <c r="C1595" s="45" t="s">
        <v>498</v>
      </c>
      <c r="D1595" s="45" t="s">
        <v>497</v>
      </c>
      <c r="E1595" s="45" t="s">
        <v>499</v>
      </c>
      <c r="F1595" s="45" t="s">
        <v>500</v>
      </c>
      <c r="G1595" s="14">
        <v>62782.9</v>
      </c>
      <c r="H1595" s="14">
        <v>61230.1</v>
      </c>
      <c r="I1595" s="14">
        <v>63611.3</v>
      </c>
      <c r="J1595" s="14">
        <v>73868.2</v>
      </c>
      <c r="K1595" s="14">
        <v>79990.899999999994</v>
      </c>
      <c r="L1595" s="14">
        <v>82890.7</v>
      </c>
      <c r="M1595" s="14">
        <v>85082</v>
      </c>
      <c r="N1595" s="14">
        <v>87261.3</v>
      </c>
      <c r="O1595" s="14">
        <v>89949</v>
      </c>
      <c r="P1595" s="14">
        <v>89641.1</v>
      </c>
      <c r="Q1595" s="14">
        <v>88169.5</v>
      </c>
      <c r="R1595" s="14">
        <v>96497.9</v>
      </c>
      <c r="S1595" s="14">
        <v>99687.9</v>
      </c>
      <c r="T1595" s="14">
        <v>98431.1</v>
      </c>
      <c r="U1595" s="14">
        <v>95996.9</v>
      </c>
      <c r="V1595" s="14">
        <v>103368.3</v>
      </c>
      <c r="W1595" s="14">
        <v>103256.6</v>
      </c>
      <c r="X1595" s="14">
        <v>105414.5</v>
      </c>
      <c r="Y1595" s="14">
        <v>104096.1</v>
      </c>
      <c r="Z1595" s="14">
        <v>96691.199999999997</v>
      </c>
      <c r="AA1595" s="14"/>
      <c r="AB1595" s="14"/>
      <c r="AC1595" s="15">
        <f>IFERROR(Z1595/G1595-1,"")</f>
        <v>0.54008814502037961</v>
      </c>
      <c r="AD1595" s="15">
        <f>IFERROR((Z1595/G1595)^(1/19)-1,"")</f>
        <v>2.2988660882818257E-2</v>
      </c>
    </row>
    <row r="1596" spans="1:30">
      <c r="A1596" s="45" t="s">
        <v>129</v>
      </c>
      <c r="B1596" s="45" t="s">
        <v>130</v>
      </c>
      <c r="C1596" s="45" t="s">
        <v>498</v>
      </c>
      <c r="D1596" s="45" t="s">
        <v>501</v>
      </c>
      <c r="E1596" s="45" t="s">
        <v>499</v>
      </c>
      <c r="F1596" s="45" t="s">
        <v>500</v>
      </c>
      <c r="G1596" s="14">
        <v>30478</v>
      </c>
      <c r="H1596" s="14">
        <v>48546.1</v>
      </c>
      <c r="I1596" s="14">
        <v>44043.6</v>
      </c>
      <c r="J1596" s="14">
        <v>44456.9</v>
      </c>
      <c r="K1596" s="14">
        <v>48790.5</v>
      </c>
      <c r="L1596" s="14">
        <v>38851</v>
      </c>
      <c r="M1596" s="14">
        <v>38770.800000000003</v>
      </c>
      <c r="N1596" s="14">
        <v>47813.599999999999</v>
      </c>
      <c r="O1596" s="14">
        <v>45286</v>
      </c>
      <c r="P1596" s="14">
        <v>44647.9</v>
      </c>
      <c r="Q1596" s="14">
        <v>50769.5</v>
      </c>
      <c r="R1596" s="14">
        <v>59649</v>
      </c>
      <c r="S1596" s="14">
        <v>64393.599999999999</v>
      </c>
      <c r="T1596" s="14">
        <v>61996.3</v>
      </c>
      <c r="U1596" s="14">
        <v>66928.2</v>
      </c>
      <c r="V1596" s="14">
        <v>69544.5</v>
      </c>
      <c r="W1596" s="14">
        <v>53227.3</v>
      </c>
      <c r="X1596" s="14">
        <v>50846.9</v>
      </c>
      <c r="Y1596" s="14">
        <v>55431</v>
      </c>
      <c r="Z1596" s="14">
        <v>46454.3</v>
      </c>
      <c r="AA1596" s="14"/>
      <c r="AB1596" s="14"/>
      <c r="AC1596" s="15">
        <f>IFERROR(Z1596/G1596-1,"")</f>
        <v>0.52419121989631878</v>
      </c>
      <c r="AD1596" s="15">
        <f>IFERROR((Z1596/G1596)^(1/19)-1,"")</f>
        <v>2.2430168433358544E-2</v>
      </c>
    </row>
    <row r="1597" spans="1:30">
      <c r="A1597" s="45" t="s">
        <v>389</v>
      </c>
      <c r="B1597" s="45" t="s">
        <v>390</v>
      </c>
      <c r="C1597" s="45" t="s">
        <v>490</v>
      </c>
      <c r="D1597" s="45" t="s">
        <v>491</v>
      </c>
      <c r="E1597" s="45" t="s">
        <v>492</v>
      </c>
      <c r="F1597" s="45" t="s">
        <v>493</v>
      </c>
      <c r="G1597" s="14">
        <v>7376</v>
      </c>
      <c r="H1597" s="14">
        <v>8091</v>
      </c>
      <c r="I1597" s="14">
        <v>8748</v>
      </c>
      <c r="J1597" s="14">
        <v>10127</v>
      </c>
      <c r="K1597" s="14">
        <v>12157</v>
      </c>
      <c r="L1597" s="14">
        <v>13761</v>
      </c>
      <c r="M1597" s="14">
        <v>14168</v>
      </c>
      <c r="N1597" s="14">
        <v>15570</v>
      </c>
      <c r="O1597" s="14">
        <v>17494</v>
      </c>
      <c r="P1597" s="14">
        <v>20008</v>
      </c>
      <c r="Q1597" s="14">
        <v>21161</v>
      </c>
      <c r="R1597" s="14">
        <v>31533</v>
      </c>
      <c r="S1597" s="14">
        <v>32772</v>
      </c>
      <c r="T1597" s="14">
        <v>40698</v>
      </c>
      <c r="U1597" s="14">
        <v>38454</v>
      </c>
      <c r="V1597" s="14">
        <v>41115</v>
      </c>
      <c r="W1597" s="14">
        <v>38062</v>
      </c>
      <c r="X1597" s="14">
        <v>38833</v>
      </c>
      <c r="Y1597" s="14">
        <v>38496</v>
      </c>
      <c r="Z1597" s="14">
        <v>45829</v>
      </c>
      <c r="AA1597" s="14">
        <v>52839</v>
      </c>
      <c r="AB1597" s="14">
        <v>55944</v>
      </c>
    </row>
    <row r="1598" spans="1:30">
      <c r="A1598" s="45" t="s">
        <v>389</v>
      </c>
      <c r="B1598" s="45" t="s">
        <v>390</v>
      </c>
      <c r="C1598" s="45" t="s">
        <v>490</v>
      </c>
      <c r="D1598" s="45" t="s">
        <v>494</v>
      </c>
      <c r="E1598" s="45" t="s">
        <v>492</v>
      </c>
      <c r="F1598" s="45" t="s">
        <v>493</v>
      </c>
      <c r="G1598" s="14">
        <v>6981</v>
      </c>
      <c r="H1598" s="14">
        <v>7813</v>
      </c>
      <c r="I1598" s="14">
        <v>8449</v>
      </c>
      <c r="J1598" s="14">
        <v>9792</v>
      </c>
      <c r="K1598" s="14">
        <v>11608</v>
      </c>
      <c r="L1598" s="14">
        <v>13055</v>
      </c>
      <c r="M1598" s="14">
        <v>13484</v>
      </c>
      <c r="N1598" s="14">
        <v>14851</v>
      </c>
      <c r="O1598" s="14">
        <v>16376</v>
      </c>
      <c r="P1598" s="14">
        <v>18632</v>
      </c>
      <c r="Q1598" s="14">
        <v>19627</v>
      </c>
      <c r="R1598" s="14">
        <v>28247</v>
      </c>
      <c r="S1598" s="14">
        <v>29488</v>
      </c>
      <c r="T1598" s="14">
        <v>37218</v>
      </c>
      <c r="U1598" s="14">
        <v>37144</v>
      </c>
      <c r="V1598" s="14">
        <v>39487</v>
      </c>
      <c r="W1598" s="14">
        <v>36792</v>
      </c>
      <c r="X1598" s="14">
        <v>37564</v>
      </c>
      <c r="Y1598" s="14">
        <v>37232</v>
      </c>
      <c r="Z1598" s="14">
        <v>44047</v>
      </c>
      <c r="AA1598" s="14"/>
      <c r="AB1598" s="14"/>
    </row>
    <row r="1599" spans="1:30">
      <c r="A1599" s="45" t="s">
        <v>389</v>
      </c>
      <c r="B1599" s="45" t="s">
        <v>390</v>
      </c>
      <c r="C1599" s="45" t="s">
        <v>490</v>
      </c>
      <c r="D1599" s="45" t="s">
        <v>495</v>
      </c>
      <c r="E1599" s="45" t="s">
        <v>492</v>
      </c>
      <c r="F1599" s="45" t="s">
        <v>493</v>
      </c>
      <c r="G1599" s="14">
        <v>569</v>
      </c>
      <c r="H1599" s="14">
        <v>434</v>
      </c>
      <c r="I1599" s="14">
        <v>463</v>
      </c>
      <c r="J1599" s="14">
        <v>575</v>
      </c>
      <c r="K1599" s="14">
        <v>651</v>
      </c>
      <c r="L1599" s="14">
        <v>796</v>
      </c>
      <c r="M1599" s="14">
        <v>740</v>
      </c>
      <c r="N1599" s="14">
        <v>917</v>
      </c>
      <c r="O1599" s="14">
        <v>830</v>
      </c>
      <c r="P1599" s="14">
        <v>992</v>
      </c>
      <c r="Q1599" s="14">
        <v>1315</v>
      </c>
      <c r="R1599" s="14">
        <v>3909</v>
      </c>
      <c r="S1599" s="14">
        <v>3279</v>
      </c>
      <c r="T1599" s="14">
        <v>6178</v>
      </c>
      <c r="U1599" s="14">
        <v>4673</v>
      </c>
      <c r="V1599" s="14">
        <v>1498</v>
      </c>
      <c r="W1599" s="14">
        <v>1379</v>
      </c>
      <c r="X1599" s="14">
        <v>1272</v>
      </c>
      <c r="Y1599" s="14">
        <v>1395</v>
      </c>
      <c r="Z1599" s="14">
        <v>1789</v>
      </c>
      <c r="AA1599" s="14"/>
      <c r="AB1599" s="14"/>
    </row>
    <row r="1600" spans="1:30">
      <c r="A1600" s="45" t="s">
        <v>389</v>
      </c>
      <c r="B1600" s="45" t="s">
        <v>390</v>
      </c>
      <c r="C1600" s="45" t="s">
        <v>490</v>
      </c>
      <c r="D1600" s="45" t="s">
        <v>496</v>
      </c>
      <c r="E1600" s="45" t="s">
        <v>492</v>
      </c>
      <c r="F1600" s="45" t="s">
        <v>493</v>
      </c>
      <c r="G1600" s="14">
        <v>1071</v>
      </c>
      <c r="H1600" s="14">
        <v>1121</v>
      </c>
      <c r="I1600" s="14">
        <v>1377</v>
      </c>
      <c r="J1600" s="14">
        <v>1546</v>
      </c>
      <c r="K1600" s="14">
        <v>1970</v>
      </c>
      <c r="L1600" s="14">
        <v>2326</v>
      </c>
      <c r="M1600" s="14">
        <v>2217</v>
      </c>
      <c r="N1600" s="14">
        <v>2486</v>
      </c>
      <c r="O1600" s="14">
        <v>2905</v>
      </c>
      <c r="P1600" s="14">
        <v>3734</v>
      </c>
      <c r="Q1600" s="14">
        <v>4212</v>
      </c>
      <c r="R1600" s="14">
        <v>5025</v>
      </c>
      <c r="S1600" s="14">
        <v>5381</v>
      </c>
      <c r="T1600" s="14">
        <v>7658</v>
      </c>
      <c r="U1600" s="14">
        <v>7060</v>
      </c>
      <c r="V1600" s="14">
        <v>8911</v>
      </c>
      <c r="W1600" s="14">
        <v>7369</v>
      </c>
      <c r="X1600" s="14">
        <v>8753</v>
      </c>
      <c r="Y1600" s="14">
        <v>8876</v>
      </c>
      <c r="Z1600" s="14">
        <v>10043</v>
      </c>
      <c r="AA1600" s="14"/>
      <c r="AB1600" s="14"/>
    </row>
    <row r="1601" spans="1:30">
      <c r="A1601" s="45" t="s">
        <v>389</v>
      </c>
      <c r="B1601" s="45" t="s">
        <v>390</v>
      </c>
      <c r="C1601" s="45" t="s">
        <v>490</v>
      </c>
      <c r="D1601" s="45" t="s">
        <v>497</v>
      </c>
      <c r="E1601" s="45" t="s">
        <v>492</v>
      </c>
      <c r="F1601" s="45" t="s">
        <v>493</v>
      </c>
      <c r="G1601" s="14">
        <v>4588</v>
      </c>
      <c r="H1601" s="14">
        <v>4806</v>
      </c>
      <c r="I1601" s="14">
        <v>5485</v>
      </c>
      <c r="J1601" s="14">
        <v>6570</v>
      </c>
      <c r="K1601" s="14">
        <v>8005</v>
      </c>
      <c r="L1601" s="14">
        <v>9030</v>
      </c>
      <c r="M1601" s="14">
        <v>9590</v>
      </c>
      <c r="N1601" s="14">
        <v>10161</v>
      </c>
      <c r="O1601" s="14">
        <v>11184</v>
      </c>
      <c r="P1601" s="14">
        <v>12033</v>
      </c>
      <c r="Q1601" s="14">
        <v>12733</v>
      </c>
      <c r="R1601" s="14">
        <v>14651</v>
      </c>
      <c r="S1601" s="14">
        <v>15513</v>
      </c>
      <c r="T1601" s="14">
        <v>17852</v>
      </c>
      <c r="U1601" s="14">
        <v>19649</v>
      </c>
      <c r="V1601" s="14">
        <v>22260</v>
      </c>
      <c r="W1601" s="14">
        <v>21201</v>
      </c>
      <c r="X1601" s="14">
        <v>24200</v>
      </c>
      <c r="Y1601" s="14">
        <v>23675</v>
      </c>
      <c r="Z1601" s="14">
        <v>27621</v>
      </c>
      <c r="AA1601" s="14"/>
      <c r="AB1601" s="14"/>
    </row>
    <row r="1602" spans="1:30">
      <c r="A1602" s="45" t="s">
        <v>389</v>
      </c>
      <c r="B1602" s="45" t="s">
        <v>390</v>
      </c>
      <c r="C1602" s="45" t="s">
        <v>498</v>
      </c>
      <c r="D1602" s="45" t="s">
        <v>491</v>
      </c>
      <c r="E1602" s="45" t="s">
        <v>499</v>
      </c>
      <c r="F1602" s="45" t="s">
        <v>500</v>
      </c>
      <c r="G1602" s="14">
        <v>14011.9</v>
      </c>
      <c r="H1602" s="14">
        <v>13473.3</v>
      </c>
      <c r="I1602" s="14">
        <v>13518</v>
      </c>
      <c r="J1602" s="14">
        <v>14566.3</v>
      </c>
      <c r="K1602" s="14">
        <v>16377.1</v>
      </c>
      <c r="L1602" s="14">
        <v>17416.900000000001</v>
      </c>
      <c r="M1602" s="14">
        <v>16484.5</v>
      </c>
      <c r="N1602" s="14">
        <v>16881.5</v>
      </c>
      <c r="O1602" s="14">
        <v>17494</v>
      </c>
      <c r="P1602" s="14">
        <v>18471.400000000001</v>
      </c>
      <c r="Q1602" s="14">
        <v>18098.3</v>
      </c>
      <c r="R1602" s="14">
        <v>25086.5</v>
      </c>
      <c r="S1602" s="14">
        <v>24175.3</v>
      </c>
      <c r="T1602" s="14">
        <v>27910.400000000001</v>
      </c>
      <c r="U1602" s="14">
        <v>24394.6</v>
      </c>
      <c r="V1602" s="14">
        <v>25159</v>
      </c>
      <c r="W1602" s="14">
        <v>22289.3</v>
      </c>
      <c r="X1602" s="14">
        <v>21819.1</v>
      </c>
      <c r="Y1602" s="14">
        <v>20314.8</v>
      </c>
      <c r="Z1602" s="14">
        <v>21393.3</v>
      </c>
      <c r="AA1602" s="14"/>
      <c r="AB1602" s="14"/>
      <c r="AC1602" s="15">
        <f>IFERROR(Z1602/G1602-1,"")</f>
        <v>0.52679508132373187</v>
      </c>
      <c r="AD1602" s="15">
        <f>IFERROR((Z1602/G1602)^(1/19)-1,"")</f>
        <v>2.2522024379346473E-2</v>
      </c>
    </row>
    <row r="1603" spans="1:30">
      <c r="A1603" s="45" t="s">
        <v>389</v>
      </c>
      <c r="B1603" s="45" t="s">
        <v>390</v>
      </c>
      <c r="C1603" s="45" t="s">
        <v>498</v>
      </c>
      <c r="D1603" s="45" t="s">
        <v>495</v>
      </c>
      <c r="E1603" s="45" t="s">
        <v>499</v>
      </c>
      <c r="F1603" s="45" t="s">
        <v>500</v>
      </c>
      <c r="G1603" s="14">
        <v>1080</v>
      </c>
      <c r="H1603" s="14">
        <v>723.1</v>
      </c>
      <c r="I1603" s="14">
        <v>715.4</v>
      </c>
      <c r="J1603" s="14">
        <v>827.5</v>
      </c>
      <c r="K1603" s="14">
        <v>876.6</v>
      </c>
      <c r="L1603" s="14">
        <v>1007.3</v>
      </c>
      <c r="M1603" s="14">
        <v>861.4</v>
      </c>
      <c r="N1603" s="14">
        <v>994.2</v>
      </c>
      <c r="O1603" s="14">
        <v>830</v>
      </c>
      <c r="P1603" s="14">
        <v>915.8</v>
      </c>
      <c r="Q1603" s="14">
        <v>1124.7</v>
      </c>
      <c r="R1603" s="14">
        <v>3109.9</v>
      </c>
      <c r="S1603" s="14">
        <v>2418.9</v>
      </c>
      <c r="T1603" s="14">
        <v>4236.8</v>
      </c>
      <c r="U1603" s="14">
        <v>2964.5</v>
      </c>
      <c r="V1603" s="14">
        <v>916.7</v>
      </c>
      <c r="W1603" s="14">
        <v>807.5</v>
      </c>
      <c r="X1603" s="14">
        <v>714.7</v>
      </c>
      <c r="Y1603" s="14">
        <v>736.2</v>
      </c>
      <c r="Z1603" s="14">
        <v>835.1</v>
      </c>
      <c r="AA1603" s="14"/>
      <c r="AB1603" s="14"/>
      <c r="AC1603" s="15">
        <f>IFERROR(Z1603/G1603-1,"")</f>
        <v>-0.22675925925925922</v>
      </c>
      <c r="AD1603" s="15">
        <f>IFERROR((Z1603/G1603)^(1/19)-1,"")</f>
        <v>-1.3443805546940468E-2</v>
      </c>
    </row>
    <row r="1604" spans="1:30">
      <c r="A1604" s="45" t="s">
        <v>389</v>
      </c>
      <c r="B1604" s="45" t="s">
        <v>390</v>
      </c>
      <c r="C1604" s="45" t="s">
        <v>498</v>
      </c>
      <c r="D1604" s="45" t="s">
        <v>496</v>
      </c>
      <c r="E1604" s="45" t="s">
        <v>499</v>
      </c>
      <c r="F1604" s="45" t="s">
        <v>500</v>
      </c>
      <c r="G1604" s="14">
        <v>2035.1</v>
      </c>
      <c r="H1604" s="14">
        <v>1866.5</v>
      </c>
      <c r="I1604" s="14">
        <v>2128.6</v>
      </c>
      <c r="J1604" s="14">
        <v>2224.5</v>
      </c>
      <c r="K1604" s="14">
        <v>2654.2</v>
      </c>
      <c r="L1604" s="14">
        <v>2943.8</v>
      </c>
      <c r="M1604" s="14">
        <v>2579</v>
      </c>
      <c r="N1604" s="14">
        <v>2695.4</v>
      </c>
      <c r="O1604" s="14">
        <v>2905</v>
      </c>
      <c r="P1604" s="14">
        <v>3447.2</v>
      </c>
      <c r="Q1604" s="14">
        <v>3602.4</v>
      </c>
      <c r="R1604" s="14">
        <v>3997.7</v>
      </c>
      <c r="S1604" s="14">
        <v>3969.5</v>
      </c>
      <c r="T1604" s="14">
        <v>5251.8</v>
      </c>
      <c r="U1604" s="14">
        <v>4478.8</v>
      </c>
      <c r="V1604" s="14">
        <v>5452.8</v>
      </c>
      <c r="W1604" s="14">
        <v>4315.3</v>
      </c>
      <c r="X1604" s="14">
        <v>4918</v>
      </c>
      <c r="Y1604" s="14">
        <v>4684</v>
      </c>
      <c r="Z1604" s="14">
        <v>4688.1000000000004</v>
      </c>
      <c r="AA1604" s="14"/>
      <c r="AB1604" s="14"/>
      <c r="AC1604" s="15">
        <f>IFERROR(Z1604/G1604-1,"")</f>
        <v>1.3036214436637024</v>
      </c>
      <c r="AD1604" s="15">
        <f>IFERROR((Z1604/G1604)^(1/19)-1,"")</f>
        <v>4.4898893026279696E-2</v>
      </c>
    </row>
    <row r="1605" spans="1:30">
      <c r="A1605" s="45" t="s">
        <v>389</v>
      </c>
      <c r="B1605" s="45" t="s">
        <v>390</v>
      </c>
      <c r="C1605" s="45" t="s">
        <v>498</v>
      </c>
      <c r="D1605" s="45" t="s">
        <v>497</v>
      </c>
      <c r="E1605" s="45" t="s">
        <v>499</v>
      </c>
      <c r="F1605" s="45" t="s">
        <v>500</v>
      </c>
      <c r="G1605" s="14">
        <v>8715.2000000000007</v>
      </c>
      <c r="H1605" s="14">
        <v>8003.3</v>
      </c>
      <c r="I1605" s="14">
        <v>8476.1</v>
      </c>
      <c r="J1605" s="14">
        <v>9450.6</v>
      </c>
      <c r="K1605" s="14">
        <v>10783.5</v>
      </c>
      <c r="L1605" s="14">
        <v>11428.9</v>
      </c>
      <c r="M1605" s="14">
        <v>11158</v>
      </c>
      <c r="N1605" s="14">
        <v>11016.9</v>
      </c>
      <c r="O1605" s="14">
        <v>11184</v>
      </c>
      <c r="P1605" s="14">
        <v>11108.9</v>
      </c>
      <c r="Q1605" s="14">
        <v>10890.1</v>
      </c>
      <c r="R1605" s="14">
        <v>11655.8</v>
      </c>
      <c r="S1605" s="14">
        <v>11443.6</v>
      </c>
      <c r="T1605" s="14">
        <v>12242.8</v>
      </c>
      <c r="U1605" s="14">
        <v>12465</v>
      </c>
      <c r="V1605" s="14">
        <v>13621.3</v>
      </c>
      <c r="W1605" s="14">
        <v>12415.4</v>
      </c>
      <c r="X1605" s="14">
        <v>13597.2</v>
      </c>
      <c r="Y1605" s="14">
        <v>12493.6</v>
      </c>
      <c r="Z1605" s="14">
        <v>12894.2</v>
      </c>
      <c r="AA1605" s="14"/>
      <c r="AB1605" s="14"/>
      <c r="AC1605" s="15">
        <f>IFERROR(Z1605/G1605-1,"")</f>
        <v>0.47950706811088661</v>
      </c>
      <c r="AD1605" s="15">
        <f>IFERROR((Z1605/G1605)^(1/19)-1,"")</f>
        <v>2.0830244691740774E-2</v>
      </c>
    </row>
    <row r="1606" spans="1:30">
      <c r="A1606" s="45" t="s">
        <v>389</v>
      </c>
      <c r="B1606" s="45" t="s">
        <v>390</v>
      </c>
      <c r="C1606" s="45" t="s">
        <v>498</v>
      </c>
      <c r="D1606" s="45" t="s">
        <v>501</v>
      </c>
      <c r="E1606" s="45" t="s">
        <v>499</v>
      </c>
      <c r="F1606" s="45" t="s">
        <v>500</v>
      </c>
      <c r="G1606" s="14">
        <v>1432.5</v>
      </c>
      <c r="H1606" s="14">
        <v>2417.1</v>
      </c>
      <c r="I1606" s="14">
        <v>1735.6</v>
      </c>
      <c r="J1606" s="14">
        <v>1583.1</v>
      </c>
      <c r="K1606" s="14">
        <v>1323.3</v>
      </c>
      <c r="L1606" s="14">
        <v>1143.0999999999999</v>
      </c>
      <c r="M1606" s="14">
        <v>1090.0999999999999</v>
      </c>
      <c r="N1606" s="14">
        <v>1394.3</v>
      </c>
      <c r="O1606" s="14">
        <v>1457</v>
      </c>
      <c r="P1606" s="14">
        <v>1729.2</v>
      </c>
      <c r="Q1606" s="14">
        <v>1170</v>
      </c>
      <c r="R1606" s="14">
        <v>3708.9</v>
      </c>
      <c r="S1606" s="14">
        <v>3921.5</v>
      </c>
      <c r="T1606" s="14">
        <v>3791.7</v>
      </c>
      <c r="U1606" s="14">
        <v>3655.3</v>
      </c>
      <c r="V1606" s="14">
        <v>4172.7</v>
      </c>
      <c r="W1606" s="14">
        <v>4007.3</v>
      </c>
      <c r="X1606" s="14">
        <v>1876.6</v>
      </c>
      <c r="Y1606" s="14">
        <v>1734.1</v>
      </c>
      <c r="Z1606" s="14">
        <v>2144.5</v>
      </c>
      <c r="AA1606" s="14"/>
      <c r="AB1606" s="14"/>
      <c r="AC1606" s="15">
        <f>IFERROR(Z1606/G1606-1,"")</f>
        <v>0.49703315881326349</v>
      </c>
      <c r="AD1606" s="15">
        <f>IFERROR((Z1606/G1606)^(1/19)-1,"")</f>
        <v>2.1463155973057813E-2</v>
      </c>
    </row>
    <row r="1607" spans="1:30">
      <c r="A1607" s="45" t="s">
        <v>225</v>
      </c>
      <c r="B1607" s="45" t="s">
        <v>226</v>
      </c>
      <c r="C1607" s="45" t="s">
        <v>490</v>
      </c>
      <c r="D1607" s="45" t="s">
        <v>491</v>
      </c>
      <c r="E1607" s="45" t="s">
        <v>492</v>
      </c>
      <c r="F1607" s="45" t="s">
        <v>493</v>
      </c>
      <c r="G1607" s="14">
        <v>27467</v>
      </c>
      <c r="H1607" s="14">
        <v>30610</v>
      </c>
      <c r="I1607" s="14">
        <v>31512</v>
      </c>
      <c r="J1607" s="14">
        <v>36155</v>
      </c>
      <c r="K1607" s="14">
        <v>39970</v>
      </c>
      <c r="L1607" s="14">
        <v>40940</v>
      </c>
      <c r="M1607" s="14">
        <v>42815</v>
      </c>
      <c r="N1607" s="14">
        <v>49340</v>
      </c>
      <c r="O1607" s="14">
        <v>53106</v>
      </c>
      <c r="P1607" s="14">
        <v>67414</v>
      </c>
      <c r="Q1607" s="14">
        <v>82984</v>
      </c>
      <c r="R1607" s="14">
        <v>95541</v>
      </c>
      <c r="S1607" s="14">
        <v>100921</v>
      </c>
      <c r="T1607" s="14">
        <v>108764</v>
      </c>
      <c r="U1607" s="14">
        <v>114926</v>
      </c>
      <c r="V1607" s="14">
        <v>129502</v>
      </c>
      <c r="W1607" s="14">
        <v>127163</v>
      </c>
      <c r="X1607" s="14">
        <v>136171</v>
      </c>
      <c r="Y1607" s="14">
        <v>140766</v>
      </c>
      <c r="Z1607" s="14">
        <v>151205</v>
      </c>
      <c r="AA1607" s="14">
        <v>167034</v>
      </c>
      <c r="AB1607" s="14">
        <v>167072</v>
      </c>
    </row>
    <row r="1608" spans="1:30">
      <c r="A1608" s="45" t="s">
        <v>225</v>
      </c>
      <c r="B1608" s="45" t="s">
        <v>226</v>
      </c>
      <c r="C1608" s="45" t="s">
        <v>490</v>
      </c>
      <c r="D1608" s="45" t="s">
        <v>494</v>
      </c>
      <c r="E1608" s="45" t="s">
        <v>492</v>
      </c>
      <c r="F1608" s="45" t="s">
        <v>493</v>
      </c>
      <c r="G1608" s="14">
        <v>25863</v>
      </c>
      <c r="H1608" s="14">
        <v>28632</v>
      </c>
      <c r="I1608" s="14">
        <v>29618</v>
      </c>
      <c r="J1608" s="14">
        <v>33823</v>
      </c>
      <c r="K1608" s="14">
        <v>36994</v>
      </c>
      <c r="L1608" s="14">
        <v>38252</v>
      </c>
      <c r="M1608" s="14">
        <v>40153</v>
      </c>
      <c r="N1608" s="14">
        <v>46284</v>
      </c>
      <c r="O1608" s="14">
        <v>49674</v>
      </c>
      <c r="P1608" s="14">
        <v>62612</v>
      </c>
      <c r="Q1608" s="14">
        <v>76658</v>
      </c>
      <c r="R1608" s="14">
        <v>88449</v>
      </c>
      <c r="S1608" s="14">
        <v>94483</v>
      </c>
      <c r="T1608" s="14">
        <v>100682</v>
      </c>
      <c r="U1608" s="14">
        <v>106747</v>
      </c>
      <c r="V1608" s="14">
        <v>120210</v>
      </c>
      <c r="W1608" s="14">
        <v>117148</v>
      </c>
      <c r="X1608" s="14">
        <v>126103</v>
      </c>
      <c r="Y1608" s="14">
        <v>129979</v>
      </c>
      <c r="Z1608" s="14">
        <v>138367</v>
      </c>
      <c r="AA1608" s="14"/>
      <c r="AB1608" s="14"/>
    </row>
    <row r="1609" spans="1:30">
      <c r="A1609" s="45" t="s">
        <v>225</v>
      </c>
      <c r="B1609" s="45" t="s">
        <v>226</v>
      </c>
      <c r="C1609" s="45" t="s">
        <v>490</v>
      </c>
      <c r="D1609" s="45" t="s">
        <v>495</v>
      </c>
      <c r="E1609" s="45" t="s">
        <v>492</v>
      </c>
      <c r="F1609" s="45" t="s">
        <v>493</v>
      </c>
      <c r="G1609" s="14">
        <v>4079</v>
      </c>
      <c r="H1609" s="14">
        <v>4802</v>
      </c>
      <c r="I1609" s="14">
        <v>3706</v>
      </c>
      <c r="J1609" s="14">
        <v>3296</v>
      </c>
      <c r="K1609" s="14">
        <v>4254</v>
      </c>
      <c r="L1609" s="14">
        <v>4310</v>
      </c>
      <c r="M1609" s="14">
        <v>2628</v>
      </c>
      <c r="N1609" s="14">
        <v>3174</v>
      </c>
      <c r="O1609" s="14">
        <v>3051</v>
      </c>
      <c r="P1609" s="14">
        <v>4935</v>
      </c>
      <c r="Q1609" s="14">
        <v>4342</v>
      </c>
      <c r="R1609" s="14">
        <v>4956</v>
      </c>
      <c r="S1609" s="14">
        <v>6522</v>
      </c>
      <c r="T1609" s="14">
        <v>6593</v>
      </c>
      <c r="U1609" s="14">
        <v>7713</v>
      </c>
      <c r="V1609" s="14">
        <v>7150</v>
      </c>
      <c r="W1609" s="14">
        <v>8789</v>
      </c>
      <c r="X1609" s="14">
        <v>6696</v>
      </c>
      <c r="Y1609" s="14">
        <v>4900</v>
      </c>
      <c r="Z1609" s="14">
        <v>5764</v>
      </c>
      <c r="AA1609" s="14"/>
      <c r="AB1609" s="14"/>
    </row>
    <row r="1610" spans="1:30">
      <c r="A1610" s="45" t="s">
        <v>225</v>
      </c>
      <c r="B1610" s="45" t="s">
        <v>226</v>
      </c>
      <c r="C1610" s="45" t="s">
        <v>490</v>
      </c>
      <c r="D1610" s="45" t="s">
        <v>496</v>
      </c>
      <c r="E1610" s="45" t="s">
        <v>492</v>
      </c>
      <c r="F1610" s="45" t="s">
        <v>493</v>
      </c>
      <c r="G1610" s="14">
        <v>7830</v>
      </c>
      <c r="H1610" s="14">
        <v>8827</v>
      </c>
      <c r="I1610" s="14">
        <v>9806</v>
      </c>
      <c r="J1610" s="14">
        <v>10998</v>
      </c>
      <c r="K1610" s="14">
        <v>11565</v>
      </c>
      <c r="L1610" s="14">
        <v>12664</v>
      </c>
      <c r="M1610" s="14">
        <v>13015</v>
      </c>
      <c r="N1610" s="14">
        <v>14951</v>
      </c>
      <c r="O1610" s="14">
        <v>16999</v>
      </c>
      <c r="P1610" s="14">
        <v>23822</v>
      </c>
      <c r="Q1610" s="14">
        <v>36563</v>
      </c>
      <c r="R1610" s="14">
        <v>39842</v>
      </c>
      <c r="S1610" s="14">
        <v>42354</v>
      </c>
      <c r="T1610" s="14">
        <v>45710</v>
      </c>
      <c r="U1610" s="14">
        <v>47148</v>
      </c>
      <c r="V1610" s="14">
        <v>56344</v>
      </c>
      <c r="W1610" s="14">
        <v>54476</v>
      </c>
      <c r="X1610" s="14">
        <v>59282</v>
      </c>
      <c r="Y1610" s="14">
        <v>59062</v>
      </c>
      <c r="Z1610" s="14">
        <v>61441</v>
      </c>
      <c r="AA1610" s="14"/>
      <c r="AB1610" s="14"/>
    </row>
    <row r="1611" spans="1:30">
      <c r="A1611" s="45" t="s">
        <v>225</v>
      </c>
      <c r="B1611" s="45" t="s">
        <v>226</v>
      </c>
      <c r="C1611" s="45" t="s">
        <v>490</v>
      </c>
      <c r="D1611" s="45" t="s">
        <v>497</v>
      </c>
      <c r="E1611" s="45" t="s">
        <v>492</v>
      </c>
      <c r="F1611" s="45" t="s">
        <v>493</v>
      </c>
      <c r="G1611" s="14">
        <v>12797</v>
      </c>
      <c r="H1611" s="14">
        <v>13603</v>
      </c>
      <c r="I1611" s="14">
        <v>14827</v>
      </c>
      <c r="J1611" s="14">
        <v>18129</v>
      </c>
      <c r="K1611" s="14">
        <v>19098</v>
      </c>
      <c r="L1611" s="14">
        <v>19855</v>
      </c>
      <c r="M1611" s="14">
        <v>23199</v>
      </c>
      <c r="N1611" s="14">
        <v>26564</v>
      </c>
      <c r="O1611" s="14">
        <v>28434</v>
      </c>
      <c r="P1611" s="14">
        <v>31962</v>
      </c>
      <c r="Q1611" s="14">
        <v>34472</v>
      </c>
      <c r="R1611" s="14">
        <v>41465</v>
      </c>
      <c r="S1611" s="14">
        <v>42624</v>
      </c>
      <c r="T1611" s="14">
        <v>45103</v>
      </c>
      <c r="U1611" s="14">
        <v>48521</v>
      </c>
      <c r="V1611" s="14">
        <v>52757</v>
      </c>
      <c r="W1611" s="14">
        <v>49187</v>
      </c>
      <c r="X1611" s="14">
        <v>55244</v>
      </c>
      <c r="Y1611" s="14">
        <v>60109</v>
      </c>
      <c r="Z1611" s="14">
        <v>62538</v>
      </c>
      <c r="AA1611" s="14"/>
      <c r="AB1611" s="14"/>
    </row>
    <row r="1612" spans="1:30">
      <c r="A1612" s="45" t="s">
        <v>225</v>
      </c>
      <c r="B1612" s="45" t="s">
        <v>226</v>
      </c>
      <c r="C1612" s="45" t="s">
        <v>498</v>
      </c>
      <c r="D1612" s="45" t="s">
        <v>491</v>
      </c>
      <c r="E1612" s="45" t="s">
        <v>499</v>
      </c>
      <c r="F1612" s="45" t="s">
        <v>500</v>
      </c>
      <c r="G1612" s="14">
        <v>52179.7</v>
      </c>
      <c r="H1612" s="14">
        <v>50968.9</v>
      </c>
      <c r="I1612" s="14">
        <v>48695.8</v>
      </c>
      <c r="J1612" s="14">
        <v>52005.8</v>
      </c>
      <c r="K1612" s="14">
        <v>53846.8</v>
      </c>
      <c r="L1612" s="14">
        <v>51816.800000000003</v>
      </c>
      <c r="M1612" s="14">
        <v>49816.3</v>
      </c>
      <c r="N1612" s="14">
        <v>53496.1</v>
      </c>
      <c r="O1612" s="14">
        <v>53106</v>
      </c>
      <c r="P1612" s="14">
        <v>62236.800000000003</v>
      </c>
      <c r="Q1612" s="14">
        <v>70973.5</v>
      </c>
      <c r="R1612" s="14">
        <v>76009</v>
      </c>
      <c r="S1612" s="14">
        <v>74447.399999999994</v>
      </c>
      <c r="T1612" s="14">
        <v>74589.5</v>
      </c>
      <c r="U1612" s="14">
        <v>72907.199999999997</v>
      </c>
      <c r="V1612" s="14">
        <v>79244.600000000006</v>
      </c>
      <c r="W1612" s="14">
        <v>74467.199999999997</v>
      </c>
      <c r="X1612" s="14">
        <v>76510.3</v>
      </c>
      <c r="Y1612" s="14">
        <v>74284</v>
      </c>
      <c r="Z1612" s="14">
        <v>70583.600000000006</v>
      </c>
      <c r="AA1612" s="14"/>
      <c r="AB1612" s="14"/>
      <c r="AC1612" s="15">
        <f>IFERROR(Z1612/G1612-1,"")</f>
        <v>0.35270229610365744</v>
      </c>
      <c r="AD1612" s="15">
        <f>IFERROR((Z1612/G1612)^(1/19)-1,"")</f>
        <v>1.6027307161792681E-2</v>
      </c>
    </row>
    <row r="1613" spans="1:30">
      <c r="A1613" s="45" t="s">
        <v>225</v>
      </c>
      <c r="B1613" s="45" t="s">
        <v>226</v>
      </c>
      <c r="C1613" s="45" t="s">
        <v>498</v>
      </c>
      <c r="D1613" s="45" t="s">
        <v>495</v>
      </c>
      <c r="E1613" s="45" t="s">
        <v>499</v>
      </c>
      <c r="F1613" s="45" t="s">
        <v>500</v>
      </c>
      <c r="G1613" s="14">
        <v>7749.7</v>
      </c>
      <c r="H1613" s="14">
        <v>7995.8</v>
      </c>
      <c r="I1613" s="14">
        <v>5727.5</v>
      </c>
      <c r="J1613" s="14">
        <v>4741</v>
      </c>
      <c r="K1613" s="14">
        <v>5730.4</v>
      </c>
      <c r="L1613" s="14">
        <v>5454.5</v>
      </c>
      <c r="M1613" s="14">
        <v>3057.9</v>
      </c>
      <c r="N1613" s="14">
        <v>3441.4</v>
      </c>
      <c r="O1613" s="14">
        <v>3051</v>
      </c>
      <c r="P1613" s="14">
        <v>4556</v>
      </c>
      <c r="Q1613" s="14">
        <v>3713.6</v>
      </c>
      <c r="R1613" s="14">
        <v>3942.8</v>
      </c>
      <c r="S1613" s="14">
        <v>4811.2</v>
      </c>
      <c r="T1613" s="14">
        <v>4521.3999999999996</v>
      </c>
      <c r="U1613" s="14">
        <v>4893</v>
      </c>
      <c r="V1613" s="14">
        <v>4375.2</v>
      </c>
      <c r="W1613" s="14">
        <v>5146.8999999999996</v>
      </c>
      <c r="X1613" s="14">
        <v>3762.3</v>
      </c>
      <c r="Y1613" s="14">
        <v>2585.8000000000002</v>
      </c>
      <c r="Z1613" s="14">
        <v>2690.7</v>
      </c>
      <c r="AA1613" s="14"/>
      <c r="AB1613" s="14"/>
      <c r="AC1613" s="15">
        <f>IFERROR(Z1613/G1613-1,"")</f>
        <v>-0.65279946320502735</v>
      </c>
      <c r="AD1613" s="15">
        <f>IFERROR((Z1613/G1613)^(1/19)-1,"")</f>
        <v>-5.4154895387823587E-2</v>
      </c>
    </row>
    <row r="1614" spans="1:30">
      <c r="A1614" s="45" t="s">
        <v>225</v>
      </c>
      <c r="B1614" s="45" t="s">
        <v>226</v>
      </c>
      <c r="C1614" s="45" t="s">
        <v>498</v>
      </c>
      <c r="D1614" s="45" t="s">
        <v>496</v>
      </c>
      <c r="E1614" s="45" t="s">
        <v>499</v>
      </c>
      <c r="F1614" s="45" t="s">
        <v>500</v>
      </c>
      <c r="G1614" s="14">
        <v>14875.9</v>
      </c>
      <c r="H1614" s="14">
        <v>14698</v>
      </c>
      <c r="I1614" s="14">
        <v>15154</v>
      </c>
      <c r="J1614" s="14">
        <v>15820</v>
      </c>
      <c r="K1614" s="14">
        <v>15579.7</v>
      </c>
      <c r="L1614" s="14">
        <v>16029</v>
      </c>
      <c r="M1614" s="14">
        <v>15143</v>
      </c>
      <c r="N1614" s="14">
        <v>16210.4</v>
      </c>
      <c r="O1614" s="14">
        <v>16999</v>
      </c>
      <c r="P1614" s="14">
        <v>21992.5</v>
      </c>
      <c r="Q1614" s="14">
        <v>31271.1</v>
      </c>
      <c r="R1614" s="14">
        <v>31696.9</v>
      </c>
      <c r="S1614" s="14">
        <v>31243.7</v>
      </c>
      <c r="T1614" s="14">
        <v>31347.599999999999</v>
      </c>
      <c r="U1614" s="14">
        <v>29909.9</v>
      </c>
      <c r="V1614" s="14">
        <v>34477.9</v>
      </c>
      <c r="W1614" s="14">
        <v>31901.4</v>
      </c>
      <c r="X1614" s="14">
        <v>33308.699999999997</v>
      </c>
      <c r="Y1614" s="14">
        <v>31167.8</v>
      </c>
      <c r="Z1614" s="14">
        <v>28681.1</v>
      </c>
      <c r="AA1614" s="14"/>
      <c r="AB1614" s="14"/>
      <c r="AC1614" s="15">
        <f>IFERROR(Z1614/G1614-1,"")</f>
        <v>0.92802452288601023</v>
      </c>
      <c r="AD1614" s="15">
        <f>IFERROR((Z1614/G1614)^(1/19)-1,"")</f>
        <v>3.5156286329634412E-2</v>
      </c>
    </row>
    <row r="1615" spans="1:30">
      <c r="A1615" s="45" t="s">
        <v>225</v>
      </c>
      <c r="B1615" s="45" t="s">
        <v>226</v>
      </c>
      <c r="C1615" s="45" t="s">
        <v>498</v>
      </c>
      <c r="D1615" s="45" t="s">
        <v>497</v>
      </c>
      <c r="E1615" s="45" t="s">
        <v>499</v>
      </c>
      <c r="F1615" s="45" t="s">
        <v>500</v>
      </c>
      <c r="G1615" s="14">
        <v>24311.8</v>
      </c>
      <c r="H1615" s="14">
        <v>22651.1</v>
      </c>
      <c r="I1615" s="14">
        <v>22912.5</v>
      </c>
      <c r="J1615" s="14">
        <v>26076.5</v>
      </c>
      <c r="K1615" s="14">
        <v>25728.5</v>
      </c>
      <c r="L1615" s="14">
        <v>25129.7</v>
      </c>
      <c r="M1615" s="14">
        <v>26992.400000000001</v>
      </c>
      <c r="N1615" s="14">
        <v>28801.599999999999</v>
      </c>
      <c r="O1615" s="14">
        <v>28434</v>
      </c>
      <c r="P1615" s="14">
        <v>29507.4</v>
      </c>
      <c r="Q1615" s="14">
        <v>29482.799999999999</v>
      </c>
      <c r="R1615" s="14">
        <v>32988.1</v>
      </c>
      <c r="S1615" s="14">
        <v>31442.9</v>
      </c>
      <c r="T1615" s="14">
        <v>30931.3</v>
      </c>
      <c r="U1615" s="14">
        <v>30781</v>
      </c>
      <c r="V1615" s="14">
        <v>32283</v>
      </c>
      <c r="W1615" s="14">
        <v>28804.1</v>
      </c>
      <c r="X1615" s="14">
        <v>31039.9</v>
      </c>
      <c r="Y1615" s="14">
        <v>31720.3</v>
      </c>
      <c r="Z1615" s="14">
        <v>29194.1</v>
      </c>
      <c r="AA1615" s="14"/>
      <c r="AB1615" s="14"/>
      <c r="AC1615" s="15">
        <f>IFERROR(Z1615/G1615-1,"")</f>
        <v>0.20082017785602058</v>
      </c>
      <c r="AD1615" s="15">
        <f>IFERROR((Z1615/G1615)^(1/19)-1,"")</f>
        <v>9.6783672146840694E-3</v>
      </c>
    </row>
    <row r="1616" spans="1:30">
      <c r="A1616" s="45" t="s">
        <v>225</v>
      </c>
      <c r="B1616" s="45" t="s">
        <v>226</v>
      </c>
      <c r="C1616" s="45" t="s">
        <v>498</v>
      </c>
      <c r="D1616" s="45" t="s">
        <v>501</v>
      </c>
      <c r="E1616" s="45" t="s">
        <v>499</v>
      </c>
      <c r="F1616" s="45" t="s">
        <v>500</v>
      </c>
      <c r="G1616" s="14">
        <v>2194.9</v>
      </c>
      <c r="H1616" s="14">
        <v>2330.8000000000002</v>
      </c>
      <c r="I1616" s="14">
        <v>1974.8</v>
      </c>
      <c r="J1616" s="14">
        <v>2014.2</v>
      </c>
      <c r="K1616" s="14">
        <v>2797.8</v>
      </c>
      <c r="L1616" s="14">
        <v>1801.4</v>
      </c>
      <c r="M1616" s="14">
        <v>1525.5</v>
      </c>
      <c r="N1616" s="14">
        <v>1728.3</v>
      </c>
      <c r="O1616" s="14">
        <v>1191</v>
      </c>
      <c r="P1616" s="14">
        <v>1747.6</v>
      </c>
      <c r="Q1616" s="14">
        <v>1095.5999999999999</v>
      </c>
      <c r="R1616" s="14">
        <v>1739.1</v>
      </c>
      <c r="S1616" s="14">
        <v>2200.5</v>
      </c>
      <c r="T1616" s="14">
        <v>2247.3000000000002</v>
      </c>
      <c r="U1616" s="14">
        <v>2134.6999999999998</v>
      </c>
      <c r="V1616" s="14">
        <v>2422</v>
      </c>
      <c r="W1616" s="14">
        <v>2750</v>
      </c>
      <c r="X1616" s="14">
        <v>2742.5</v>
      </c>
      <c r="Y1616" s="14">
        <v>3117.7</v>
      </c>
      <c r="Z1616" s="14">
        <v>4025.7</v>
      </c>
      <c r="AA1616" s="14"/>
      <c r="AB1616" s="14"/>
      <c r="AC1616" s="15">
        <f>IFERROR(Z1616/G1616-1,"")</f>
        <v>0.83411544945099991</v>
      </c>
      <c r="AD1616" s="15">
        <f>IFERROR((Z1616/G1616)^(1/19)-1,"")</f>
        <v>3.2439380453971545E-2</v>
      </c>
    </row>
    <row r="1617" spans="1:30">
      <c r="A1617" s="45" t="s">
        <v>189</v>
      </c>
      <c r="B1617" s="45" t="s">
        <v>190</v>
      </c>
      <c r="C1617" s="45" t="s">
        <v>490</v>
      </c>
      <c r="D1617" s="45" t="s">
        <v>491</v>
      </c>
      <c r="E1617" s="45" t="s">
        <v>492</v>
      </c>
      <c r="F1617" s="45" t="s">
        <v>493</v>
      </c>
      <c r="G1617" s="14">
        <v>59759</v>
      </c>
      <c r="H1617" s="14">
        <v>59436</v>
      </c>
      <c r="I1617" s="14">
        <v>60276</v>
      </c>
      <c r="J1617" s="14">
        <v>68170</v>
      </c>
      <c r="K1617" s="14">
        <v>75776</v>
      </c>
      <c r="L1617" s="14">
        <v>90369</v>
      </c>
      <c r="M1617" s="14">
        <v>95150</v>
      </c>
      <c r="N1617" s="14">
        <v>79874</v>
      </c>
      <c r="O1617" s="14">
        <v>87544</v>
      </c>
      <c r="P1617" s="14">
        <v>116076</v>
      </c>
      <c r="Q1617" s="14">
        <v>137145</v>
      </c>
      <c r="R1617" s="14">
        <v>158405</v>
      </c>
      <c r="S1617" s="14">
        <v>163066</v>
      </c>
      <c r="T1617" s="14">
        <v>139912</v>
      </c>
      <c r="U1617" s="14">
        <v>119520</v>
      </c>
      <c r="V1617" s="14">
        <v>142009</v>
      </c>
      <c r="W1617" s="14">
        <v>186310</v>
      </c>
      <c r="X1617" s="14">
        <v>175253</v>
      </c>
      <c r="Y1617" s="14">
        <v>179061</v>
      </c>
      <c r="Z1617" s="14">
        <v>214152</v>
      </c>
      <c r="AA1617" s="14">
        <v>330523</v>
      </c>
      <c r="AB1617" s="14">
        <v>370220</v>
      </c>
    </row>
    <row r="1618" spans="1:30">
      <c r="A1618" s="45" t="s">
        <v>189</v>
      </c>
      <c r="B1618" s="45" t="s">
        <v>190</v>
      </c>
      <c r="C1618" s="45" t="s">
        <v>490</v>
      </c>
      <c r="D1618" s="45" t="s">
        <v>494</v>
      </c>
      <c r="E1618" s="45" t="s">
        <v>492</v>
      </c>
      <c r="F1618" s="45" t="s">
        <v>493</v>
      </c>
      <c r="G1618" s="14">
        <v>58276</v>
      </c>
      <c r="H1618" s="14">
        <v>57912</v>
      </c>
      <c r="I1618" s="14">
        <v>58289</v>
      </c>
      <c r="J1618" s="14">
        <v>66010</v>
      </c>
      <c r="K1618" s="14">
        <v>72572</v>
      </c>
      <c r="L1618" s="14">
        <v>86340</v>
      </c>
      <c r="M1618" s="14">
        <v>90490</v>
      </c>
      <c r="N1618" s="14">
        <v>75911</v>
      </c>
      <c r="O1618" s="14">
        <v>82545</v>
      </c>
      <c r="P1618" s="14">
        <v>110909</v>
      </c>
      <c r="Q1618" s="14">
        <v>129841</v>
      </c>
      <c r="R1618" s="14">
        <v>149876</v>
      </c>
      <c r="S1618" s="14">
        <v>155855</v>
      </c>
      <c r="T1618" s="14">
        <v>131537</v>
      </c>
      <c r="U1618" s="14">
        <v>113606</v>
      </c>
      <c r="V1618" s="14">
        <v>134474</v>
      </c>
      <c r="W1618" s="14">
        <v>176783</v>
      </c>
      <c r="X1618" s="14">
        <v>166728</v>
      </c>
      <c r="Y1618" s="14">
        <v>169525</v>
      </c>
      <c r="Z1618" s="14">
        <v>201496</v>
      </c>
      <c r="AA1618" s="14"/>
      <c r="AB1618" s="14"/>
    </row>
    <row r="1619" spans="1:30">
      <c r="A1619" s="45" t="s">
        <v>189</v>
      </c>
      <c r="B1619" s="45" t="s">
        <v>190</v>
      </c>
      <c r="C1619" s="45" t="s">
        <v>490</v>
      </c>
      <c r="D1619" s="45" t="s">
        <v>495</v>
      </c>
      <c r="E1619" s="45" t="s">
        <v>492</v>
      </c>
      <c r="F1619" s="45" t="s">
        <v>493</v>
      </c>
      <c r="G1619" s="14">
        <v>32388</v>
      </c>
      <c r="H1619" s="14">
        <v>28397</v>
      </c>
      <c r="I1619" s="14">
        <v>23611</v>
      </c>
      <c r="J1619" s="14">
        <v>28655</v>
      </c>
      <c r="K1619" s="14">
        <v>31944</v>
      </c>
      <c r="L1619" s="14">
        <v>38867</v>
      </c>
      <c r="M1619" s="14">
        <v>39321</v>
      </c>
      <c r="N1619" s="14">
        <v>22275</v>
      </c>
      <c r="O1619" s="14">
        <v>26347</v>
      </c>
      <c r="P1619" s="14">
        <v>42911</v>
      </c>
      <c r="Q1619" s="14">
        <v>51792</v>
      </c>
      <c r="R1619" s="14">
        <v>55288</v>
      </c>
      <c r="S1619" s="14">
        <v>57855</v>
      </c>
      <c r="T1619" s="14">
        <v>32801</v>
      </c>
      <c r="U1619" s="14">
        <v>14407</v>
      </c>
      <c r="V1619" s="14">
        <v>17871</v>
      </c>
      <c r="W1619" s="14">
        <v>44766</v>
      </c>
      <c r="X1619" s="14">
        <v>29906</v>
      </c>
      <c r="Y1619" s="14">
        <v>24204</v>
      </c>
      <c r="Z1619" s="14">
        <v>40968</v>
      </c>
      <c r="AA1619" s="14"/>
      <c r="AB1619" s="14"/>
    </row>
    <row r="1620" spans="1:30">
      <c r="A1620" s="45" t="s">
        <v>189</v>
      </c>
      <c r="B1620" s="45" t="s">
        <v>190</v>
      </c>
      <c r="C1620" s="45" t="s">
        <v>490</v>
      </c>
      <c r="D1620" s="45" t="s">
        <v>496</v>
      </c>
      <c r="E1620" s="45" t="s">
        <v>492</v>
      </c>
      <c r="F1620" s="45" t="s">
        <v>493</v>
      </c>
      <c r="G1620" s="14">
        <v>9200</v>
      </c>
      <c r="H1620" s="14">
        <v>9351</v>
      </c>
      <c r="I1620" s="14">
        <v>11131</v>
      </c>
      <c r="J1620" s="14">
        <v>10964</v>
      </c>
      <c r="K1620" s="14">
        <v>12543</v>
      </c>
      <c r="L1620" s="14">
        <v>14773</v>
      </c>
      <c r="M1620" s="14">
        <v>13585</v>
      </c>
      <c r="N1620" s="14">
        <v>13309</v>
      </c>
      <c r="O1620" s="14">
        <v>14825</v>
      </c>
      <c r="P1620" s="14">
        <v>21348</v>
      </c>
      <c r="Q1620" s="14">
        <v>27999</v>
      </c>
      <c r="R1620" s="14">
        <v>36443</v>
      </c>
      <c r="S1620" s="14">
        <v>34178</v>
      </c>
      <c r="T1620" s="14">
        <v>32308</v>
      </c>
      <c r="U1620" s="14">
        <v>26435</v>
      </c>
      <c r="V1620" s="14">
        <v>33637</v>
      </c>
      <c r="W1620" s="14">
        <v>45819</v>
      </c>
      <c r="X1620" s="14">
        <v>44512</v>
      </c>
      <c r="Y1620" s="14">
        <v>47408</v>
      </c>
      <c r="Z1620" s="14">
        <v>55723</v>
      </c>
      <c r="AA1620" s="14"/>
      <c r="AB1620" s="14"/>
    </row>
    <row r="1621" spans="1:30">
      <c r="A1621" s="45" t="s">
        <v>189</v>
      </c>
      <c r="B1621" s="45" t="s">
        <v>190</v>
      </c>
      <c r="C1621" s="45" t="s">
        <v>490</v>
      </c>
      <c r="D1621" s="45" t="s">
        <v>497</v>
      </c>
      <c r="E1621" s="45" t="s">
        <v>492</v>
      </c>
      <c r="F1621" s="45" t="s">
        <v>493</v>
      </c>
      <c r="G1621" s="14">
        <v>13386</v>
      </c>
      <c r="H1621" s="14">
        <v>15313</v>
      </c>
      <c r="I1621" s="14">
        <v>17303</v>
      </c>
      <c r="J1621" s="14">
        <v>19853</v>
      </c>
      <c r="K1621" s="14">
        <v>23182</v>
      </c>
      <c r="L1621" s="14">
        <v>27892</v>
      </c>
      <c r="M1621" s="14">
        <v>30968</v>
      </c>
      <c r="N1621" s="14">
        <v>34741</v>
      </c>
      <c r="O1621" s="14">
        <v>37057</v>
      </c>
      <c r="P1621" s="14">
        <v>41044</v>
      </c>
      <c r="Q1621" s="14">
        <v>43891</v>
      </c>
      <c r="R1621" s="14">
        <v>51766</v>
      </c>
      <c r="S1621" s="14">
        <v>57291</v>
      </c>
      <c r="T1621" s="14">
        <v>59828</v>
      </c>
      <c r="U1621" s="14">
        <v>63945</v>
      </c>
      <c r="V1621" s="14">
        <v>72473</v>
      </c>
      <c r="W1621" s="14">
        <v>75560</v>
      </c>
      <c r="X1621" s="14">
        <v>81298</v>
      </c>
      <c r="Y1621" s="14">
        <v>85374</v>
      </c>
      <c r="Z1621" s="14">
        <v>91275</v>
      </c>
      <c r="AA1621" s="14"/>
      <c r="AB1621" s="14"/>
    </row>
    <row r="1622" spans="1:30">
      <c r="A1622" s="45" t="s">
        <v>189</v>
      </c>
      <c r="B1622" s="45" t="s">
        <v>190</v>
      </c>
      <c r="C1622" s="45" t="s">
        <v>498</v>
      </c>
      <c r="D1622" s="45" t="s">
        <v>491</v>
      </c>
      <c r="E1622" s="45" t="s">
        <v>499</v>
      </c>
      <c r="F1622" s="45" t="s">
        <v>500</v>
      </c>
      <c r="G1622" s="14">
        <v>113527.1</v>
      </c>
      <c r="H1622" s="14">
        <v>98967.4</v>
      </c>
      <c r="I1622" s="14">
        <v>93145.4</v>
      </c>
      <c r="J1622" s="14">
        <v>98058.1</v>
      </c>
      <c r="K1622" s="14">
        <v>102082.8</v>
      </c>
      <c r="L1622" s="14">
        <v>114376.9</v>
      </c>
      <c r="M1622" s="14">
        <v>110709.4</v>
      </c>
      <c r="N1622" s="14">
        <v>86602.1</v>
      </c>
      <c r="O1622" s="14">
        <v>87544</v>
      </c>
      <c r="P1622" s="14">
        <v>107161.7</v>
      </c>
      <c r="Q1622" s="14">
        <v>117295.7</v>
      </c>
      <c r="R1622" s="14">
        <v>126021.3</v>
      </c>
      <c r="S1622" s="14">
        <v>120290.6</v>
      </c>
      <c r="T1622" s="14">
        <v>95950.5</v>
      </c>
      <c r="U1622" s="14">
        <v>75821.600000000006</v>
      </c>
      <c r="V1622" s="14">
        <v>86897.9</v>
      </c>
      <c r="W1622" s="14">
        <v>109103.9</v>
      </c>
      <c r="X1622" s="14">
        <v>98469.2</v>
      </c>
      <c r="Y1622" s="14">
        <v>94492.800000000003</v>
      </c>
      <c r="Z1622" s="14">
        <v>99967.7</v>
      </c>
      <c r="AA1622" s="14"/>
      <c r="AB1622" s="14"/>
      <c r="AC1622" s="15">
        <f>IFERROR(Z1622/G1622-1,"")</f>
        <v>-0.1194375616042338</v>
      </c>
      <c r="AD1622" s="15">
        <f>IFERROR((Z1622/G1622)^(1/19)-1,"")</f>
        <v>-6.672086396890653E-3</v>
      </c>
    </row>
    <row r="1623" spans="1:30">
      <c r="A1623" s="45" t="s">
        <v>189</v>
      </c>
      <c r="B1623" s="45" t="s">
        <v>190</v>
      </c>
      <c r="C1623" s="45" t="s">
        <v>498</v>
      </c>
      <c r="D1623" s="45" t="s">
        <v>495</v>
      </c>
      <c r="E1623" s="45" t="s">
        <v>499</v>
      </c>
      <c r="F1623" s="45" t="s">
        <v>500</v>
      </c>
      <c r="G1623" s="14">
        <v>61529.4</v>
      </c>
      <c r="H1623" s="14">
        <v>47284.4</v>
      </c>
      <c r="I1623" s="14">
        <v>36487</v>
      </c>
      <c r="J1623" s="14">
        <v>41218.199999999997</v>
      </c>
      <c r="K1623" s="14">
        <v>43033.599999999999</v>
      </c>
      <c r="L1623" s="14">
        <v>49192.7</v>
      </c>
      <c r="M1623" s="14">
        <v>45751.5</v>
      </c>
      <c r="N1623" s="14">
        <v>24151.3</v>
      </c>
      <c r="O1623" s="14">
        <v>26347</v>
      </c>
      <c r="P1623" s="14">
        <v>39615.5</v>
      </c>
      <c r="Q1623" s="14">
        <v>44296</v>
      </c>
      <c r="R1623" s="14">
        <v>43985.1</v>
      </c>
      <c r="S1623" s="14">
        <v>42678.5</v>
      </c>
      <c r="T1623" s="14">
        <v>22494.7</v>
      </c>
      <c r="U1623" s="14">
        <v>9139.6</v>
      </c>
      <c r="V1623" s="14">
        <v>10935.6</v>
      </c>
      <c r="W1623" s="14">
        <v>26215.1</v>
      </c>
      <c r="X1623" s="14">
        <v>16803.3</v>
      </c>
      <c r="Y1623" s="14">
        <v>12772.8</v>
      </c>
      <c r="Z1623" s="14">
        <v>19124.2</v>
      </c>
      <c r="AA1623" s="14"/>
      <c r="AB1623" s="14"/>
      <c r="AC1623" s="15">
        <f>IFERROR(Z1623/G1623-1,"")</f>
        <v>-0.68918598263594322</v>
      </c>
      <c r="AD1623" s="15">
        <f>IFERROR((Z1623/G1623)^(1/19)-1,"")</f>
        <v>-5.965005153636338E-2</v>
      </c>
    </row>
    <row r="1624" spans="1:30">
      <c r="A1624" s="45" t="s">
        <v>189</v>
      </c>
      <c r="B1624" s="45" t="s">
        <v>190</v>
      </c>
      <c r="C1624" s="45" t="s">
        <v>498</v>
      </c>
      <c r="D1624" s="45" t="s">
        <v>496</v>
      </c>
      <c r="E1624" s="45" t="s">
        <v>499</v>
      </c>
      <c r="F1624" s="45" t="s">
        <v>500</v>
      </c>
      <c r="G1624" s="14">
        <v>17478</v>
      </c>
      <c r="H1624" s="14">
        <v>15569.9</v>
      </c>
      <c r="I1624" s="14">
        <v>17200.5</v>
      </c>
      <c r="J1624" s="14">
        <v>15770.4</v>
      </c>
      <c r="K1624" s="14">
        <v>16898</v>
      </c>
      <c r="L1624" s="14">
        <v>18698.3</v>
      </c>
      <c r="M1624" s="14">
        <v>15806.4</v>
      </c>
      <c r="N1624" s="14">
        <v>14430.1</v>
      </c>
      <c r="O1624" s="14">
        <v>14825</v>
      </c>
      <c r="P1624" s="14">
        <v>19708.5</v>
      </c>
      <c r="Q1624" s="14">
        <v>23946.6</v>
      </c>
      <c r="R1624" s="14">
        <v>28992.7</v>
      </c>
      <c r="S1624" s="14">
        <v>25212.400000000001</v>
      </c>
      <c r="T1624" s="14">
        <v>22156.6</v>
      </c>
      <c r="U1624" s="14">
        <v>16769.900000000001</v>
      </c>
      <c r="V1624" s="14">
        <v>20583.099999999999</v>
      </c>
      <c r="W1624" s="14">
        <v>26831.8</v>
      </c>
      <c r="X1624" s="14">
        <v>25009.9</v>
      </c>
      <c r="Y1624" s="14">
        <v>25017.8</v>
      </c>
      <c r="Z1624" s="14">
        <v>26012.400000000001</v>
      </c>
      <c r="AA1624" s="14"/>
      <c r="AB1624" s="14"/>
      <c r="AC1624" s="15">
        <f>IFERROR(Z1624/G1624-1,"")</f>
        <v>0.48829385513216628</v>
      </c>
      <c r="AD1624" s="15">
        <f>IFERROR((Z1624/G1624)^(1/19)-1,"")</f>
        <v>2.114844031612706E-2</v>
      </c>
    </row>
    <row r="1625" spans="1:30">
      <c r="A1625" s="45" t="s">
        <v>189</v>
      </c>
      <c r="B1625" s="45" t="s">
        <v>190</v>
      </c>
      <c r="C1625" s="45" t="s">
        <v>498</v>
      </c>
      <c r="D1625" s="45" t="s">
        <v>497</v>
      </c>
      <c r="E1625" s="45" t="s">
        <v>499</v>
      </c>
      <c r="F1625" s="45" t="s">
        <v>500</v>
      </c>
      <c r="G1625" s="14">
        <v>25429.200000000001</v>
      </c>
      <c r="H1625" s="14">
        <v>25498.5</v>
      </c>
      <c r="I1625" s="14">
        <v>26738.9</v>
      </c>
      <c r="J1625" s="14">
        <v>28556.400000000001</v>
      </c>
      <c r="K1625" s="14">
        <v>31230.5</v>
      </c>
      <c r="L1625" s="14">
        <v>35301.800000000003</v>
      </c>
      <c r="M1625" s="14">
        <v>36032.5</v>
      </c>
      <c r="N1625" s="14">
        <v>37667.4</v>
      </c>
      <c r="O1625" s="14">
        <v>37057</v>
      </c>
      <c r="P1625" s="14">
        <v>37891.9</v>
      </c>
      <c r="Q1625" s="14">
        <v>37538.5</v>
      </c>
      <c r="R1625" s="14">
        <v>41183.199999999997</v>
      </c>
      <c r="S1625" s="14">
        <v>42262.400000000001</v>
      </c>
      <c r="T1625" s="14">
        <v>41029.599999999999</v>
      </c>
      <c r="U1625" s="14">
        <v>40565.699999999997</v>
      </c>
      <c r="V1625" s="14">
        <v>44347.6</v>
      </c>
      <c r="W1625" s="14">
        <v>44248.2</v>
      </c>
      <c r="X1625" s="14">
        <v>45678.8</v>
      </c>
      <c r="Y1625" s="14">
        <v>45053</v>
      </c>
      <c r="Z1625" s="14">
        <v>42609.2</v>
      </c>
      <c r="AA1625" s="14"/>
      <c r="AB1625" s="14"/>
      <c r="AC1625" s="15">
        <f>IFERROR(Z1625/G1625-1,"")</f>
        <v>0.67560127727179764</v>
      </c>
      <c r="AD1625" s="15">
        <f>IFERROR((Z1625/G1625)^(1/19)-1,"")</f>
        <v>2.753933734617986E-2</v>
      </c>
    </row>
    <row r="1626" spans="1:30">
      <c r="A1626" s="45" t="s">
        <v>189</v>
      </c>
      <c r="B1626" s="45" t="s">
        <v>190</v>
      </c>
      <c r="C1626" s="45" t="s">
        <v>498</v>
      </c>
      <c r="D1626" s="45" t="s">
        <v>501</v>
      </c>
      <c r="E1626" s="45" t="s">
        <v>499</v>
      </c>
      <c r="F1626" s="45" t="s">
        <v>500</v>
      </c>
      <c r="G1626" s="14">
        <v>6273.5</v>
      </c>
      <c r="H1626" s="14">
        <v>8076.9</v>
      </c>
      <c r="I1626" s="14">
        <v>9648.9</v>
      </c>
      <c r="J1626" s="14">
        <v>9405.2000000000007</v>
      </c>
      <c r="K1626" s="14">
        <v>6604.7</v>
      </c>
      <c r="L1626" s="14">
        <v>6084.8</v>
      </c>
      <c r="M1626" s="14">
        <v>7697.9</v>
      </c>
      <c r="N1626" s="14">
        <v>6056.5</v>
      </c>
      <c r="O1626" s="14">
        <v>4316</v>
      </c>
      <c r="P1626" s="14">
        <v>5175.5</v>
      </c>
      <c r="Q1626" s="14">
        <v>5266.7</v>
      </c>
      <c r="R1626" s="14">
        <v>5074.8999999999996</v>
      </c>
      <c r="S1626" s="14">
        <v>4817.8</v>
      </c>
      <c r="T1626" s="14">
        <v>4526.2</v>
      </c>
      <c r="U1626" s="14">
        <v>5594.6</v>
      </c>
      <c r="V1626" s="14">
        <v>6420.9</v>
      </c>
      <c r="W1626" s="14">
        <v>6229.7</v>
      </c>
      <c r="X1626" s="14">
        <v>6187.3</v>
      </c>
      <c r="Y1626" s="14">
        <v>6616.5</v>
      </c>
      <c r="Z1626" s="14">
        <v>6315.9</v>
      </c>
      <c r="AA1626" s="14"/>
      <c r="AB1626" s="14"/>
      <c r="AC1626" s="15">
        <f>IFERROR(Z1626/G1626-1,"")</f>
        <v>6.7585877102096514E-3</v>
      </c>
      <c r="AD1626" s="15">
        <f>IFERROR((Z1626/G1626)^(1/19)-1,"")</f>
        <v>3.5458131461729714E-4</v>
      </c>
    </row>
    <row r="1627" spans="1:30">
      <c r="A1627" s="45" t="s">
        <v>353</v>
      </c>
      <c r="B1627" s="45" t="s">
        <v>354</v>
      </c>
      <c r="C1627" s="45" t="s">
        <v>490</v>
      </c>
      <c r="D1627" s="45" t="s">
        <v>491</v>
      </c>
      <c r="E1627" s="45" t="s">
        <v>492</v>
      </c>
      <c r="F1627" s="45" t="s">
        <v>493</v>
      </c>
      <c r="G1627" s="14">
        <v>9031</v>
      </c>
      <c r="H1627" s="14">
        <v>9693</v>
      </c>
      <c r="I1627" s="14">
        <v>10673</v>
      </c>
      <c r="J1627" s="14">
        <v>12591</v>
      </c>
      <c r="K1627" s="14">
        <v>14280</v>
      </c>
      <c r="L1627" s="14">
        <v>16903</v>
      </c>
      <c r="M1627" s="14">
        <v>18340</v>
      </c>
      <c r="N1627" s="14">
        <v>22061</v>
      </c>
      <c r="O1627" s="14">
        <v>25568</v>
      </c>
      <c r="P1627" s="14">
        <v>27130</v>
      </c>
      <c r="Q1627" s="14">
        <v>28943</v>
      </c>
      <c r="R1627" s="14">
        <v>34167</v>
      </c>
      <c r="S1627" s="14">
        <v>34837</v>
      </c>
      <c r="T1627" s="14">
        <v>36901</v>
      </c>
      <c r="U1627" s="14">
        <v>38713</v>
      </c>
      <c r="V1627" s="14">
        <v>41813</v>
      </c>
      <c r="W1627" s="14">
        <v>48135</v>
      </c>
      <c r="X1627" s="14">
        <v>52049</v>
      </c>
      <c r="Y1627" s="14">
        <v>55578</v>
      </c>
      <c r="Z1627" s="14">
        <v>56555</v>
      </c>
      <c r="AA1627" s="14">
        <v>65328</v>
      </c>
      <c r="AB1627" s="14">
        <v>72803</v>
      </c>
    </row>
    <row r="1628" spans="1:30">
      <c r="A1628" s="45" t="s">
        <v>353</v>
      </c>
      <c r="B1628" s="45" t="s">
        <v>354</v>
      </c>
      <c r="C1628" s="45" t="s">
        <v>490</v>
      </c>
      <c r="D1628" s="45" t="s">
        <v>494</v>
      </c>
      <c r="E1628" s="45" t="s">
        <v>492</v>
      </c>
      <c r="F1628" s="45" t="s">
        <v>493</v>
      </c>
      <c r="G1628" s="14">
        <v>8764</v>
      </c>
      <c r="H1628" s="14">
        <v>9432</v>
      </c>
      <c r="I1628" s="14">
        <v>10346</v>
      </c>
      <c r="J1628" s="14">
        <v>12169</v>
      </c>
      <c r="K1628" s="14">
        <v>13637</v>
      </c>
      <c r="L1628" s="14">
        <v>16163</v>
      </c>
      <c r="M1628" s="14">
        <v>17568</v>
      </c>
      <c r="N1628" s="14">
        <v>21242</v>
      </c>
      <c r="O1628" s="14">
        <v>24345</v>
      </c>
      <c r="P1628" s="14">
        <v>25850</v>
      </c>
      <c r="Q1628" s="14">
        <v>27498</v>
      </c>
      <c r="R1628" s="14">
        <v>32301</v>
      </c>
      <c r="S1628" s="14">
        <v>32828</v>
      </c>
      <c r="T1628" s="14">
        <v>34999</v>
      </c>
      <c r="U1628" s="14">
        <v>37851</v>
      </c>
      <c r="V1628" s="14">
        <v>41003</v>
      </c>
      <c r="W1628" s="14">
        <v>46504</v>
      </c>
      <c r="X1628" s="14">
        <v>50372</v>
      </c>
      <c r="Y1628" s="14">
        <v>53736</v>
      </c>
      <c r="Z1628" s="14">
        <v>54491</v>
      </c>
      <c r="AA1628" s="14"/>
      <c r="AB1628" s="14"/>
    </row>
    <row r="1629" spans="1:30">
      <c r="A1629" s="45" t="s">
        <v>353</v>
      </c>
      <c r="B1629" s="45" t="s">
        <v>354</v>
      </c>
      <c r="C1629" s="45" t="s">
        <v>490</v>
      </c>
      <c r="D1629" s="45" t="s">
        <v>495</v>
      </c>
      <c r="E1629" s="45" t="s">
        <v>492</v>
      </c>
      <c r="F1629" s="45" t="s">
        <v>493</v>
      </c>
      <c r="G1629" s="14">
        <v>650</v>
      </c>
      <c r="H1629" s="14">
        <v>562</v>
      </c>
      <c r="I1629" s="14">
        <v>598</v>
      </c>
      <c r="J1629" s="14">
        <v>659</v>
      </c>
      <c r="K1629" s="14">
        <v>710</v>
      </c>
      <c r="L1629" s="14">
        <v>686</v>
      </c>
      <c r="M1629" s="14">
        <v>715</v>
      </c>
      <c r="N1629" s="14">
        <v>866</v>
      </c>
      <c r="O1629" s="14">
        <v>865</v>
      </c>
      <c r="P1629" s="14">
        <v>981</v>
      </c>
      <c r="Q1629" s="14">
        <v>983</v>
      </c>
      <c r="R1629" s="14">
        <v>1035</v>
      </c>
      <c r="S1629" s="14">
        <v>970</v>
      </c>
      <c r="T1629" s="14">
        <v>1162</v>
      </c>
      <c r="U1629" s="14">
        <v>1441</v>
      </c>
      <c r="V1629" s="14">
        <v>1447</v>
      </c>
      <c r="W1629" s="14">
        <v>1590</v>
      </c>
      <c r="X1629" s="14">
        <v>1721</v>
      </c>
      <c r="Y1629" s="14">
        <v>1851</v>
      </c>
      <c r="Z1629" s="14">
        <v>2190</v>
      </c>
      <c r="AA1629" s="14"/>
      <c r="AB1629" s="14"/>
    </row>
    <row r="1630" spans="1:30">
      <c r="A1630" s="45" t="s">
        <v>353</v>
      </c>
      <c r="B1630" s="45" t="s">
        <v>354</v>
      </c>
      <c r="C1630" s="45" t="s">
        <v>490</v>
      </c>
      <c r="D1630" s="45" t="s">
        <v>496</v>
      </c>
      <c r="E1630" s="45" t="s">
        <v>492</v>
      </c>
      <c r="F1630" s="45" t="s">
        <v>493</v>
      </c>
      <c r="G1630" s="14">
        <v>1804</v>
      </c>
      <c r="H1630" s="14">
        <v>2028</v>
      </c>
      <c r="I1630" s="14">
        <v>2288</v>
      </c>
      <c r="J1630" s="14">
        <v>2596</v>
      </c>
      <c r="K1630" s="14">
        <v>2919</v>
      </c>
      <c r="L1630" s="14">
        <v>3263</v>
      </c>
      <c r="M1630" s="14">
        <v>3245</v>
      </c>
      <c r="N1630" s="14">
        <v>4094</v>
      </c>
      <c r="O1630" s="14">
        <v>5046</v>
      </c>
      <c r="P1630" s="14">
        <v>5204</v>
      </c>
      <c r="Q1630" s="14">
        <v>5949</v>
      </c>
      <c r="R1630" s="14">
        <v>6943</v>
      </c>
      <c r="S1630" s="14">
        <v>6381</v>
      </c>
      <c r="T1630" s="14">
        <v>7459</v>
      </c>
      <c r="U1630" s="14">
        <v>8599</v>
      </c>
      <c r="V1630" s="14">
        <v>9232</v>
      </c>
      <c r="W1630" s="14">
        <v>12559</v>
      </c>
      <c r="X1630" s="14">
        <v>13920</v>
      </c>
      <c r="Y1630" s="14">
        <v>14739</v>
      </c>
      <c r="Z1630" s="14">
        <v>14542</v>
      </c>
      <c r="AA1630" s="14"/>
      <c r="AB1630" s="14"/>
    </row>
    <row r="1631" spans="1:30">
      <c r="A1631" s="45" t="s">
        <v>353</v>
      </c>
      <c r="B1631" s="45" t="s">
        <v>354</v>
      </c>
      <c r="C1631" s="45" t="s">
        <v>490</v>
      </c>
      <c r="D1631" s="45" t="s">
        <v>497</v>
      </c>
      <c r="E1631" s="45" t="s">
        <v>492</v>
      </c>
      <c r="F1631" s="45" t="s">
        <v>493</v>
      </c>
      <c r="G1631" s="14">
        <v>5698</v>
      </c>
      <c r="H1631" s="14">
        <v>5969</v>
      </c>
      <c r="I1631" s="14">
        <v>6478</v>
      </c>
      <c r="J1631" s="14">
        <v>7783</v>
      </c>
      <c r="K1631" s="14">
        <v>8553</v>
      </c>
      <c r="L1631" s="14">
        <v>11154</v>
      </c>
      <c r="M1631" s="14">
        <v>12203</v>
      </c>
      <c r="N1631" s="14">
        <v>14690</v>
      </c>
      <c r="O1631" s="14">
        <v>16544</v>
      </c>
      <c r="P1631" s="14">
        <v>17642</v>
      </c>
      <c r="Q1631" s="14">
        <v>18990</v>
      </c>
      <c r="R1631" s="14">
        <v>21643</v>
      </c>
      <c r="S1631" s="14">
        <v>22640</v>
      </c>
      <c r="T1631" s="14">
        <v>23863</v>
      </c>
      <c r="U1631" s="14">
        <v>25701</v>
      </c>
      <c r="V1631" s="14">
        <v>28159</v>
      </c>
      <c r="W1631" s="14">
        <v>29647</v>
      </c>
      <c r="X1631" s="14">
        <v>32314</v>
      </c>
      <c r="Y1631" s="14">
        <v>33888</v>
      </c>
      <c r="Z1631" s="14">
        <v>35561</v>
      </c>
      <c r="AA1631" s="14"/>
      <c r="AB1631" s="14"/>
    </row>
    <row r="1632" spans="1:30">
      <c r="A1632" s="45" t="s">
        <v>353</v>
      </c>
      <c r="B1632" s="45" t="s">
        <v>354</v>
      </c>
      <c r="C1632" s="45" t="s">
        <v>498</v>
      </c>
      <c r="D1632" s="45" t="s">
        <v>491</v>
      </c>
      <c r="E1632" s="45" t="s">
        <v>499</v>
      </c>
      <c r="F1632" s="45" t="s">
        <v>500</v>
      </c>
      <c r="G1632" s="14">
        <v>17156.099999999999</v>
      </c>
      <c r="H1632" s="14">
        <v>16140.4</v>
      </c>
      <c r="I1632" s="14">
        <v>16492.7</v>
      </c>
      <c r="J1632" s="14">
        <v>18111.7</v>
      </c>
      <c r="K1632" s="14">
        <v>19237.7</v>
      </c>
      <c r="L1632" s="14">
        <v>21393</v>
      </c>
      <c r="M1632" s="14">
        <v>21339.7</v>
      </c>
      <c r="N1632" s="14">
        <v>23919.3</v>
      </c>
      <c r="O1632" s="14">
        <v>25568</v>
      </c>
      <c r="P1632" s="14">
        <v>25046.5</v>
      </c>
      <c r="Q1632" s="14">
        <v>24754</v>
      </c>
      <c r="R1632" s="14">
        <v>27182</v>
      </c>
      <c r="S1632" s="14">
        <v>25698.6</v>
      </c>
      <c r="T1632" s="14">
        <v>25306.400000000001</v>
      </c>
      <c r="U1632" s="14">
        <v>24558.9</v>
      </c>
      <c r="V1632" s="14">
        <v>25586.1</v>
      </c>
      <c r="W1632" s="14">
        <v>28188</v>
      </c>
      <c r="X1632" s="14">
        <v>29244.7</v>
      </c>
      <c r="Y1632" s="14">
        <v>29329.200000000001</v>
      </c>
      <c r="Z1632" s="14">
        <v>26400.3</v>
      </c>
      <c r="AA1632" s="14"/>
      <c r="AB1632" s="14"/>
      <c r="AC1632" s="15">
        <f>IFERROR(Z1632/G1632-1,"")</f>
        <v>0.53882875478692727</v>
      </c>
      <c r="AD1632" s="15">
        <f>IFERROR((Z1632/G1632)^(1/19)-1,"")</f>
        <v>2.2944615514819633E-2</v>
      </c>
    </row>
    <row r="1633" spans="1:30">
      <c r="A1633" s="45" t="s">
        <v>353</v>
      </c>
      <c r="B1633" s="45" t="s">
        <v>354</v>
      </c>
      <c r="C1633" s="45" t="s">
        <v>498</v>
      </c>
      <c r="D1633" s="45" t="s">
        <v>495</v>
      </c>
      <c r="E1633" s="45" t="s">
        <v>499</v>
      </c>
      <c r="F1633" s="45" t="s">
        <v>500</v>
      </c>
      <c r="G1633" s="14">
        <v>1234</v>
      </c>
      <c r="H1633" s="14">
        <v>936</v>
      </c>
      <c r="I1633" s="14">
        <v>924.4</v>
      </c>
      <c r="J1633" s="14">
        <v>947.7</v>
      </c>
      <c r="K1633" s="14">
        <v>956.5</v>
      </c>
      <c r="L1633" s="14">
        <v>868.6</v>
      </c>
      <c r="M1633" s="14">
        <v>831.7</v>
      </c>
      <c r="N1633" s="14">
        <v>938.9</v>
      </c>
      <c r="O1633" s="14">
        <v>865</v>
      </c>
      <c r="P1633" s="14">
        <v>905.7</v>
      </c>
      <c r="Q1633" s="14">
        <v>840.7</v>
      </c>
      <c r="R1633" s="14">
        <v>823.4</v>
      </c>
      <c r="S1633" s="14">
        <v>715.5</v>
      </c>
      <c r="T1633" s="14">
        <v>796.9</v>
      </c>
      <c r="U1633" s="14">
        <v>914.1</v>
      </c>
      <c r="V1633" s="14">
        <v>885.4</v>
      </c>
      <c r="W1633" s="14">
        <v>931.1</v>
      </c>
      <c r="X1633" s="14">
        <v>967</v>
      </c>
      <c r="Y1633" s="14">
        <v>976.8</v>
      </c>
      <c r="Z1633" s="14">
        <v>1022.3</v>
      </c>
      <c r="AA1633" s="14"/>
      <c r="AB1633" s="14"/>
      <c r="AC1633" s="15">
        <f>IFERROR(Z1633/G1633-1,"")</f>
        <v>-0.17155591572123186</v>
      </c>
      <c r="AD1633" s="15">
        <f>IFERROR((Z1633/G1633)^(1/19)-1,"")</f>
        <v>-9.8566768870766985E-3</v>
      </c>
    </row>
    <row r="1634" spans="1:30">
      <c r="A1634" s="45" t="s">
        <v>353</v>
      </c>
      <c r="B1634" s="45" t="s">
        <v>354</v>
      </c>
      <c r="C1634" s="45" t="s">
        <v>498</v>
      </c>
      <c r="D1634" s="45" t="s">
        <v>496</v>
      </c>
      <c r="E1634" s="45" t="s">
        <v>499</v>
      </c>
      <c r="F1634" s="45" t="s">
        <v>500</v>
      </c>
      <c r="G1634" s="14">
        <v>3427</v>
      </c>
      <c r="H1634" s="14">
        <v>3376.7</v>
      </c>
      <c r="I1634" s="14">
        <v>3535.1</v>
      </c>
      <c r="J1634" s="14">
        <v>3734.4</v>
      </c>
      <c r="K1634" s="14">
        <v>3932.2</v>
      </c>
      <c r="L1634" s="14">
        <v>4129.5</v>
      </c>
      <c r="M1634" s="14">
        <v>3775.5</v>
      </c>
      <c r="N1634" s="14">
        <v>4438.8999999999996</v>
      </c>
      <c r="O1634" s="14">
        <v>5046</v>
      </c>
      <c r="P1634" s="14">
        <v>4804.3</v>
      </c>
      <c r="Q1634" s="14">
        <v>5088</v>
      </c>
      <c r="R1634" s="14">
        <v>5523.6</v>
      </c>
      <c r="S1634" s="14">
        <v>4707.1000000000004</v>
      </c>
      <c r="T1634" s="14">
        <v>5115.3</v>
      </c>
      <c r="U1634" s="14">
        <v>5455.1</v>
      </c>
      <c r="V1634" s="14">
        <v>5649.2</v>
      </c>
      <c r="W1634" s="14">
        <v>7354.6</v>
      </c>
      <c r="X1634" s="14">
        <v>7821.2</v>
      </c>
      <c r="Y1634" s="14">
        <v>7778</v>
      </c>
      <c r="Z1634" s="14">
        <v>6788.3</v>
      </c>
      <c r="AA1634" s="14"/>
      <c r="AB1634" s="14"/>
      <c r="AC1634" s="15">
        <f>IFERROR(Z1634/G1634-1,"")</f>
        <v>0.98082871316019848</v>
      </c>
      <c r="AD1634" s="15">
        <f>IFERROR((Z1634/G1634)^(1/19)-1,"")</f>
        <v>3.662940114519242E-2</v>
      </c>
    </row>
    <row r="1635" spans="1:30">
      <c r="A1635" s="45" t="s">
        <v>353</v>
      </c>
      <c r="B1635" s="45" t="s">
        <v>354</v>
      </c>
      <c r="C1635" s="45" t="s">
        <v>498</v>
      </c>
      <c r="D1635" s="45" t="s">
        <v>497</v>
      </c>
      <c r="E1635" s="45" t="s">
        <v>499</v>
      </c>
      <c r="F1635" s="45" t="s">
        <v>500</v>
      </c>
      <c r="G1635" s="14">
        <v>10825.3</v>
      </c>
      <c r="H1635" s="14">
        <v>9938.7999999999993</v>
      </c>
      <c r="I1635" s="14">
        <v>10011.200000000001</v>
      </c>
      <c r="J1635" s="14">
        <v>11194.9</v>
      </c>
      <c r="K1635" s="14">
        <v>11522.7</v>
      </c>
      <c r="L1635" s="14">
        <v>14117</v>
      </c>
      <c r="M1635" s="14">
        <v>14198.9</v>
      </c>
      <c r="N1635" s="14">
        <v>15927.4</v>
      </c>
      <c r="O1635" s="14">
        <v>16544</v>
      </c>
      <c r="P1635" s="14">
        <v>16287.1</v>
      </c>
      <c r="Q1635" s="14">
        <v>16241.5</v>
      </c>
      <c r="R1635" s="14">
        <v>17218.400000000001</v>
      </c>
      <c r="S1635" s="14">
        <v>16701.099999999999</v>
      </c>
      <c r="T1635" s="14">
        <v>16365.1</v>
      </c>
      <c r="U1635" s="14">
        <v>16304.3</v>
      </c>
      <c r="V1635" s="14">
        <v>17231</v>
      </c>
      <c r="W1635" s="14">
        <v>17361.400000000001</v>
      </c>
      <c r="X1635" s="14">
        <v>18156.2</v>
      </c>
      <c r="Y1635" s="14">
        <v>17883.099999999999</v>
      </c>
      <c r="Z1635" s="14">
        <v>16600.599999999999</v>
      </c>
      <c r="AA1635" s="14"/>
      <c r="AB1635" s="14"/>
      <c r="AC1635" s="15">
        <f>IFERROR(Z1635/G1635-1,"")</f>
        <v>0.53350022632167238</v>
      </c>
      <c r="AD1635" s="15">
        <f>IFERROR((Z1635/G1635)^(1/19)-1,"")</f>
        <v>2.2757879158394889E-2</v>
      </c>
    </row>
    <row r="1636" spans="1:30">
      <c r="A1636" s="45" t="s">
        <v>353</v>
      </c>
      <c r="B1636" s="45" t="s">
        <v>354</v>
      </c>
      <c r="C1636" s="45" t="s">
        <v>498</v>
      </c>
      <c r="D1636" s="45" t="s">
        <v>501</v>
      </c>
      <c r="E1636" s="45" t="s">
        <v>499</v>
      </c>
      <c r="F1636" s="45" t="s">
        <v>500</v>
      </c>
      <c r="G1636" s="14">
        <v>1163.3</v>
      </c>
      <c r="H1636" s="14">
        <v>1453.3</v>
      </c>
      <c r="I1636" s="14">
        <v>1517</v>
      </c>
      <c r="J1636" s="14">
        <v>1627.7</v>
      </c>
      <c r="K1636" s="14">
        <v>1959.4</v>
      </c>
      <c r="L1636" s="14">
        <v>1341.6</v>
      </c>
      <c r="M1636" s="14">
        <v>1635</v>
      </c>
      <c r="N1636" s="14">
        <v>1726.1</v>
      </c>
      <c r="O1636" s="14">
        <v>1890</v>
      </c>
      <c r="P1636" s="14">
        <v>1867.6</v>
      </c>
      <c r="Q1636" s="14">
        <v>1347.9</v>
      </c>
      <c r="R1636" s="14">
        <v>2131.3000000000002</v>
      </c>
      <c r="S1636" s="14">
        <v>2093.5</v>
      </c>
      <c r="T1636" s="14">
        <v>1724.1</v>
      </c>
      <c r="U1636" s="14">
        <v>1338.6</v>
      </c>
      <c r="V1636" s="14">
        <v>1324.8</v>
      </c>
      <c r="W1636" s="14">
        <v>1585.8</v>
      </c>
      <c r="X1636" s="14">
        <v>1358</v>
      </c>
      <c r="Y1636" s="14">
        <v>1719.8</v>
      </c>
      <c r="Z1636" s="14">
        <v>1026.5</v>
      </c>
      <c r="AA1636" s="14"/>
      <c r="AB1636" s="14"/>
      <c r="AC1636" s="15">
        <f>IFERROR(Z1636/G1636-1,"")</f>
        <v>-0.11759649273618156</v>
      </c>
      <c r="AD1636" s="15">
        <f>IFERROR((Z1636/G1636)^(1/19)-1,"")</f>
        <v>-6.562887268028339E-3</v>
      </c>
    </row>
    <row r="1637" spans="1:30">
      <c r="A1637" s="45" t="s">
        <v>405</v>
      </c>
      <c r="B1637" s="45" t="s">
        <v>406</v>
      </c>
      <c r="C1637" s="45" t="s">
        <v>490</v>
      </c>
      <c r="D1637" s="45" t="s">
        <v>491</v>
      </c>
      <c r="E1637" s="45" t="s">
        <v>492</v>
      </c>
      <c r="F1637" s="45" t="s">
        <v>493</v>
      </c>
      <c r="G1637" s="14">
        <v>8059</v>
      </c>
      <c r="H1637" s="14">
        <v>9216</v>
      </c>
      <c r="I1637" s="14">
        <v>11500</v>
      </c>
      <c r="J1637" s="14">
        <v>12664</v>
      </c>
      <c r="K1637" s="14">
        <v>13004</v>
      </c>
      <c r="L1637" s="14">
        <v>15795</v>
      </c>
      <c r="M1637" s="14">
        <v>17434</v>
      </c>
      <c r="N1637" s="14">
        <v>17552</v>
      </c>
      <c r="O1637" s="14">
        <v>16470</v>
      </c>
      <c r="P1637" s="14">
        <v>19794</v>
      </c>
      <c r="Q1637" s="14">
        <v>21862</v>
      </c>
      <c r="R1637" s="14">
        <v>24455</v>
      </c>
      <c r="S1637" s="14">
        <v>27826</v>
      </c>
      <c r="T1637" s="14">
        <v>30398</v>
      </c>
      <c r="U1637" s="14">
        <v>31180</v>
      </c>
      <c r="V1637" s="14">
        <v>35657</v>
      </c>
      <c r="W1637" s="14">
        <v>34629</v>
      </c>
      <c r="X1637" s="14">
        <v>38133</v>
      </c>
      <c r="Y1637" s="14">
        <v>40803</v>
      </c>
      <c r="Z1637" s="14">
        <v>43202</v>
      </c>
      <c r="AA1637" s="14">
        <v>42294</v>
      </c>
      <c r="AB1637" s="14">
        <v>47870</v>
      </c>
    </row>
    <row r="1638" spans="1:30">
      <c r="A1638" s="45" t="s">
        <v>405</v>
      </c>
      <c r="B1638" s="45" t="s">
        <v>406</v>
      </c>
      <c r="C1638" s="45" t="s">
        <v>490</v>
      </c>
      <c r="D1638" s="45" t="s">
        <v>494</v>
      </c>
      <c r="E1638" s="45" t="s">
        <v>492</v>
      </c>
      <c r="F1638" s="45" t="s">
        <v>493</v>
      </c>
      <c r="G1638" s="14">
        <v>7680</v>
      </c>
      <c r="H1638" s="14">
        <v>8703</v>
      </c>
      <c r="I1638" s="14">
        <v>10905</v>
      </c>
      <c r="J1638" s="14">
        <v>11988</v>
      </c>
      <c r="K1638" s="14">
        <v>12442</v>
      </c>
      <c r="L1638" s="14">
        <v>14787</v>
      </c>
      <c r="M1638" s="14">
        <v>16239</v>
      </c>
      <c r="N1638" s="14">
        <v>16565</v>
      </c>
      <c r="O1638" s="14">
        <v>15619</v>
      </c>
      <c r="P1638" s="14">
        <v>18717</v>
      </c>
      <c r="Q1638" s="14">
        <v>20608</v>
      </c>
      <c r="R1638" s="14">
        <v>23127</v>
      </c>
      <c r="S1638" s="14">
        <v>25866</v>
      </c>
      <c r="T1638" s="14">
        <v>28999</v>
      </c>
      <c r="U1638" s="14">
        <v>30311</v>
      </c>
      <c r="V1638" s="14">
        <v>34777</v>
      </c>
      <c r="W1638" s="14">
        <v>33857</v>
      </c>
      <c r="X1638" s="14">
        <v>37218</v>
      </c>
      <c r="Y1638" s="14">
        <v>39763</v>
      </c>
      <c r="Z1638" s="14">
        <v>41871</v>
      </c>
      <c r="AA1638" s="14"/>
      <c r="AB1638" s="14"/>
    </row>
    <row r="1639" spans="1:30">
      <c r="A1639" s="45" t="s">
        <v>405</v>
      </c>
      <c r="B1639" s="45" t="s">
        <v>406</v>
      </c>
      <c r="C1639" s="45" t="s">
        <v>490</v>
      </c>
      <c r="D1639" s="45" t="s">
        <v>495</v>
      </c>
      <c r="E1639" s="45" t="s">
        <v>492</v>
      </c>
      <c r="F1639" s="45" t="s">
        <v>493</v>
      </c>
      <c r="G1639" s="14">
        <v>377</v>
      </c>
      <c r="H1639" s="14">
        <v>239</v>
      </c>
      <c r="I1639" s="14">
        <v>359</v>
      </c>
      <c r="J1639" s="14">
        <v>389</v>
      </c>
      <c r="K1639" s="14">
        <v>374</v>
      </c>
      <c r="L1639" s="14">
        <v>496</v>
      </c>
      <c r="M1639" s="14">
        <v>471</v>
      </c>
      <c r="N1639" s="14">
        <v>555</v>
      </c>
      <c r="O1639" s="14">
        <v>351</v>
      </c>
      <c r="P1639" s="14">
        <v>456</v>
      </c>
      <c r="Q1639" s="14">
        <v>583</v>
      </c>
      <c r="R1639" s="14">
        <v>556</v>
      </c>
      <c r="S1639" s="14">
        <v>519</v>
      </c>
      <c r="T1639" s="14">
        <v>664</v>
      </c>
      <c r="U1639" s="14">
        <v>751</v>
      </c>
      <c r="V1639" s="14">
        <v>685</v>
      </c>
      <c r="W1639" s="14">
        <v>959</v>
      </c>
      <c r="X1639" s="14">
        <v>761</v>
      </c>
      <c r="Y1639" s="14">
        <v>897</v>
      </c>
      <c r="Z1639" s="14">
        <v>1032</v>
      </c>
      <c r="AA1639" s="14"/>
      <c r="AB1639" s="14"/>
    </row>
    <row r="1640" spans="1:30">
      <c r="A1640" s="45" t="s">
        <v>405</v>
      </c>
      <c r="B1640" s="45" t="s">
        <v>406</v>
      </c>
      <c r="C1640" s="45" t="s">
        <v>490</v>
      </c>
      <c r="D1640" s="45" t="s">
        <v>496</v>
      </c>
      <c r="E1640" s="45" t="s">
        <v>492</v>
      </c>
      <c r="F1640" s="45" t="s">
        <v>493</v>
      </c>
      <c r="G1640" s="14">
        <v>1549</v>
      </c>
      <c r="H1640" s="14">
        <v>2213</v>
      </c>
      <c r="I1640" s="14">
        <v>2695</v>
      </c>
      <c r="J1640" s="14">
        <v>3258</v>
      </c>
      <c r="K1640" s="14">
        <v>2348</v>
      </c>
      <c r="L1640" s="14">
        <v>3892</v>
      </c>
      <c r="M1640" s="14">
        <v>3368</v>
      </c>
      <c r="N1640" s="14">
        <v>3552</v>
      </c>
      <c r="O1640" s="14">
        <v>2506</v>
      </c>
      <c r="P1640" s="14">
        <v>3308</v>
      </c>
      <c r="Q1640" s="14">
        <v>4102</v>
      </c>
      <c r="R1640" s="14">
        <v>4438</v>
      </c>
      <c r="S1640" s="14">
        <v>5305</v>
      </c>
      <c r="T1640" s="14">
        <v>5894</v>
      </c>
      <c r="U1640" s="14">
        <v>5840</v>
      </c>
      <c r="V1640" s="14">
        <v>6864</v>
      </c>
      <c r="W1640" s="14">
        <v>6404</v>
      </c>
      <c r="X1640" s="14">
        <v>7571</v>
      </c>
      <c r="Y1640" s="14">
        <v>8055</v>
      </c>
      <c r="Z1640" s="14">
        <v>8432</v>
      </c>
      <c r="AA1640" s="14"/>
      <c r="AB1640" s="14"/>
    </row>
    <row r="1641" spans="1:30">
      <c r="A1641" s="45" t="s">
        <v>405</v>
      </c>
      <c r="B1641" s="45" t="s">
        <v>406</v>
      </c>
      <c r="C1641" s="45" t="s">
        <v>490</v>
      </c>
      <c r="D1641" s="45" t="s">
        <v>497</v>
      </c>
      <c r="E1641" s="45" t="s">
        <v>492</v>
      </c>
      <c r="F1641" s="45" t="s">
        <v>493</v>
      </c>
      <c r="G1641" s="14">
        <v>4982</v>
      </c>
      <c r="H1641" s="14">
        <v>5197</v>
      </c>
      <c r="I1641" s="14">
        <v>5954</v>
      </c>
      <c r="J1641" s="14">
        <v>7380</v>
      </c>
      <c r="K1641" s="14">
        <v>8597</v>
      </c>
      <c r="L1641" s="14">
        <v>9364</v>
      </c>
      <c r="M1641" s="14">
        <v>10242</v>
      </c>
      <c r="N1641" s="14">
        <v>10608</v>
      </c>
      <c r="O1641" s="14">
        <v>11622</v>
      </c>
      <c r="P1641" s="14">
        <v>13352</v>
      </c>
      <c r="Q1641" s="14">
        <v>14710</v>
      </c>
      <c r="R1641" s="14">
        <v>16829</v>
      </c>
      <c r="S1641" s="14">
        <v>17914</v>
      </c>
      <c r="T1641" s="14">
        <v>21137</v>
      </c>
      <c r="U1641" s="14">
        <v>22369</v>
      </c>
      <c r="V1641" s="14">
        <v>25551</v>
      </c>
      <c r="W1641" s="14">
        <v>24698</v>
      </c>
      <c r="X1641" s="14">
        <v>27767</v>
      </c>
      <c r="Y1641" s="14">
        <v>28741</v>
      </c>
      <c r="Z1641" s="14">
        <v>30311</v>
      </c>
      <c r="AA1641" s="14"/>
      <c r="AB1641" s="14"/>
    </row>
    <row r="1642" spans="1:30">
      <c r="A1642" s="45" t="s">
        <v>405</v>
      </c>
      <c r="B1642" s="45" t="s">
        <v>406</v>
      </c>
      <c r="C1642" s="45" t="s">
        <v>498</v>
      </c>
      <c r="D1642" s="45" t="s">
        <v>491</v>
      </c>
      <c r="E1642" s="45" t="s">
        <v>499</v>
      </c>
      <c r="F1642" s="45" t="s">
        <v>500</v>
      </c>
      <c r="G1642" s="14">
        <v>15309.3</v>
      </c>
      <c r="H1642" s="14">
        <v>15346.5</v>
      </c>
      <c r="I1642" s="14">
        <v>17770.900000000001</v>
      </c>
      <c r="J1642" s="14">
        <v>18216.5</v>
      </c>
      <c r="K1642" s="14">
        <v>17518.3</v>
      </c>
      <c r="L1642" s="14">
        <v>19990.8</v>
      </c>
      <c r="M1642" s="14">
        <v>20284.8</v>
      </c>
      <c r="N1642" s="14">
        <v>19030.5</v>
      </c>
      <c r="O1642" s="14">
        <v>16470</v>
      </c>
      <c r="P1642" s="14">
        <v>18273.900000000001</v>
      </c>
      <c r="Q1642" s="14">
        <v>18697.900000000001</v>
      </c>
      <c r="R1642" s="14">
        <v>19455.5</v>
      </c>
      <c r="S1642" s="14">
        <v>20526.7</v>
      </c>
      <c r="T1642" s="14">
        <v>20846.7</v>
      </c>
      <c r="U1642" s="14">
        <v>19780.099999999999</v>
      </c>
      <c r="V1642" s="14">
        <v>21819.200000000001</v>
      </c>
      <c r="W1642" s="14">
        <v>20278.900000000001</v>
      </c>
      <c r="X1642" s="14">
        <v>21425.8</v>
      </c>
      <c r="Y1642" s="14">
        <v>21532.3</v>
      </c>
      <c r="Z1642" s="14">
        <v>20167</v>
      </c>
      <c r="AA1642" s="14"/>
      <c r="AB1642" s="14"/>
      <c r="AC1642" s="15">
        <f>IFERROR(Z1642/G1642-1,"")</f>
        <v>0.3173038610517791</v>
      </c>
      <c r="AD1642" s="15">
        <f>IFERROR((Z1642/G1642)^(1/19)-1,"")</f>
        <v>1.4610287104260156E-2</v>
      </c>
    </row>
    <row r="1643" spans="1:30">
      <c r="A1643" s="45" t="s">
        <v>405</v>
      </c>
      <c r="B1643" s="45" t="s">
        <v>406</v>
      </c>
      <c r="C1643" s="45" t="s">
        <v>498</v>
      </c>
      <c r="D1643" s="45" t="s">
        <v>495</v>
      </c>
      <c r="E1643" s="45" t="s">
        <v>499</v>
      </c>
      <c r="F1643" s="45" t="s">
        <v>500</v>
      </c>
      <c r="G1643" s="14">
        <v>716.8</v>
      </c>
      <c r="H1643" s="14">
        <v>398.3</v>
      </c>
      <c r="I1643" s="14">
        <v>555</v>
      </c>
      <c r="J1643" s="14">
        <v>559.79999999999995</v>
      </c>
      <c r="K1643" s="14">
        <v>504</v>
      </c>
      <c r="L1643" s="14">
        <v>628.20000000000005</v>
      </c>
      <c r="M1643" s="14">
        <v>548.1</v>
      </c>
      <c r="N1643" s="14">
        <v>601.70000000000005</v>
      </c>
      <c r="O1643" s="14">
        <v>351</v>
      </c>
      <c r="P1643" s="14">
        <v>421</v>
      </c>
      <c r="Q1643" s="14">
        <v>498.6</v>
      </c>
      <c r="R1643" s="14">
        <v>442.3</v>
      </c>
      <c r="S1643" s="14">
        <v>382.9</v>
      </c>
      <c r="T1643" s="14">
        <v>455.4</v>
      </c>
      <c r="U1643" s="14">
        <v>476.4</v>
      </c>
      <c r="V1643" s="14">
        <v>419.2</v>
      </c>
      <c r="W1643" s="14">
        <v>561.6</v>
      </c>
      <c r="X1643" s="14">
        <v>427.6</v>
      </c>
      <c r="Y1643" s="14">
        <v>473.4</v>
      </c>
      <c r="Z1643" s="14">
        <v>481.7</v>
      </c>
      <c r="AA1643" s="14"/>
      <c r="AB1643" s="14"/>
      <c r="AC1643" s="15">
        <f>IFERROR(Z1643/G1643-1,"")</f>
        <v>-0.32798549107142849</v>
      </c>
      <c r="AD1643" s="15">
        <f>IFERROR((Z1643/G1643)^(1/19)-1,"")</f>
        <v>-2.0702455007812537E-2</v>
      </c>
    </row>
    <row r="1644" spans="1:30">
      <c r="A1644" s="45" t="s">
        <v>405</v>
      </c>
      <c r="B1644" s="45" t="s">
        <v>406</v>
      </c>
      <c r="C1644" s="45" t="s">
        <v>498</v>
      </c>
      <c r="D1644" s="45" t="s">
        <v>496</v>
      </c>
      <c r="E1644" s="45" t="s">
        <v>499</v>
      </c>
      <c r="F1644" s="45" t="s">
        <v>500</v>
      </c>
      <c r="G1644" s="14">
        <v>2943.5</v>
      </c>
      <c r="H1644" s="14">
        <v>3685.4</v>
      </c>
      <c r="I1644" s="14">
        <v>4164.2</v>
      </c>
      <c r="J1644" s="14">
        <v>4686.7</v>
      </c>
      <c r="K1644" s="14">
        <v>3162.9</v>
      </c>
      <c r="L1644" s="14">
        <v>4925.5</v>
      </c>
      <c r="M1644" s="14">
        <v>3918.4</v>
      </c>
      <c r="N1644" s="14">
        <v>3851.2</v>
      </c>
      <c r="O1644" s="14">
        <v>2506</v>
      </c>
      <c r="P1644" s="14">
        <v>3054</v>
      </c>
      <c r="Q1644" s="14">
        <v>3508.3</v>
      </c>
      <c r="R1644" s="14">
        <v>3530.7</v>
      </c>
      <c r="S1644" s="14">
        <v>3913.4</v>
      </c>
      <c r="T1644" s="14">
        <v>4042.1</v>
      </c>
      <c r="U1644" s="14">
        <v>3704.8</v>
      </c>
      <c r="V1644" s="14">
        <v>4200.2</v>
      </c>
      <c r="W1644" s="14">
        <v>3750.2</v>
      </c>
      <c r="X1644" s="14">
        <v>4253.8999999999996</v>
      </c>
      <c r="Y1644" s="14">
        <v>4250.7</v>
      </c>
      <c r="Z1644" s="14">
        <v>3936.1</v>
      </c>
      <c r="AA1644" s="14"/>
      <c r="AB1644" s="14"/>
      <c r="AC1644" s="15">
        <f>IFERROR(Z1644/G1644-1,"")</f>
        <v>0.33721759809750296</v>
      </c>
      <c r="AD1644" s="15">
        <f>IFERROR((Z1644/G1644)^(1/19)-1,"")</f>
        <v>1.5411820863574066E-2</v>
      </c>
    </row>
    <row r="1645" spans="1:30">
      <c r="A1645" s="45" t="s">
        <v>405</v>
      </c>
      <c r="B1645" s="45" t="s">
        <v>406</v>
      </c>
      <c r="C1645" s="45" t="s">
        <v>498</v>
      </c>
      <c r="D1645" s="45" t="s">
        <v>497</v>
      </c>
      <c r="E1645" s="45" t="s">
        <v>499</v>
      </c>
      <c r="F1645" s="45" t="s">
        <v>500</v>
      </c>
      <c r="G1645" s="14">
        <v>9463.7000000000007</v>
      </c>
      <c r="H1645" s="14">
        <v>8654.1</v>
      </c>
      <c r="I1645" s="14">
        <v>9201.5</v>
      </c>
      <c r="J1645" s="14">
        <v>10614.9</v>
      </c>
      <c r="K1645" s="14">
        <v>11582.1</v>
      </c>
      <c r="L1645" s="14">
        <v>11851.5</v>
      </c>
      <c r="M1645" s="14">
        <v>11916.6</v>
      </c>
      <c r="N1645" s="14">
        <v>11501.5</v>
      </c>
      <c r="O1645" s="14">
        <v>11622</v>
      </c>
      <c r="P1645" s="14">
        <v>12326.6</v>
      </c>
      <c r="Q1645" s="14">
        <v>12581</v>
      </c>
      <c r="R1645" s="14">
        <v>13388.5</v>
      </c>
      <c r="S1645" s="14">
        <v>13214.8</v>
      </c>
      <c r="T1645" s="14">
        <v>14495.6</v>
      </c>
      <c r="U1645" s="14">
        <v>14190.5</v>
      </c>
      <c r="V1645" s="14">
        <v>15635.1</v>
      </c>
      <c r="W1645" s="14">
        <v>14463.2</v>
      </c>
      <c r="X1645" s="14">
        <v>15601.4</v>
      </c>
      <c r="Y1645" s="14">
        <v>15167</v>
      </c>
      <c r="Z1645" s="14">
        <v>14149.9</v>
      </c>
      <c r="AA1645" s="14"/>
      <c r="AB1645" s="14"/>
      <c r="AC1645" s="15">
        <f>IFERROR(Z1645/G1645-1,"")</f>
        <v>0.49517630525058887</v>
      </c>
      <c r="AD1645" s="15">
        <f>IFERROR((Z1645/G1645)^(1/19)-1,"")</f>
        <v>2.1396433730402897E-2</v>
      </c>
    </row>
    <row r="1646" spans="1:30">
      <c r="A1646" s="45" t="s">
        <v>405</v>
      </c>
      <c r="B1646" s="45" t="s">
        <v>406</v>
      </c>
      <c r="C1646" s="45" t="s">
        <v>498</v>
      </c>
      <c r="D1646" s="45" t="s">
        <v>501</v>
      </c>
      <c r="E1646" s="45" t="s">
        <v>499</v>
      </c>
      <c r="F1646" s="45" t="s">
        <v>500</v>
      </c>
      <c r="G1646" s="14">
        <v>1465.3</v>
      </c>
      <c r="H1646" s="14">
        <v>1753.4</v>
      </c>
      <c r="I1646" s="14">
        <v>2931.4</v>
      </c>
      <c r="J1646" s="14">
        <v>1381.7</v>
      </c>
      <c r="K1646" s="14">
        <v>1512.5</v>
      </c>
      <c r="L1646" s="14">
        <v>1310.7</v>
      </c>
      <c r="M1646" s="14">
        <v>2511.3000000000002</v>
      </c>
      <c r="N1646" s="14">
        <v>2005.8</v>
      </c>
      <c r="O1646" s="14">
        <v>1140</v>
      </c>
      <c r="P1646" s="14">
        <v>1478</v>
      </c>
      <c r="Q1646" s="14">
        <v>1037.4000000000001</v>
      </c>
      <c r="R1646" s="14">
        <v>1038.2</v>
      </c>
      <c r="S1646" s="14">
        <v>1570.5</v>
      </c>
      <c r="T1646" s="14">
        <v>895</v>
      </c>
      <c r="U1646" s="14">
        <v>856.4</v>
      </c>
      <c r="V1646" s="14">
        <v>1026.2</v>
      </c>
      <c r="W1646" s="14">
        <v>1051.7</v>
      </c>
      <c r="X1646" s="14">
        <v>628.70000000000005</v>
      </c>
      <c r="Y1646" s="14">
        <v>1092.4000000000001</v>
      </c>
      <c r="Z1646" s="14">
        <v>978.4</v>
      </c>
      <c r="AA1646" s="14"/>
      <c r="AB1646" s="14"/>
      <c r="AC1646" s="15">
        <f>IFERROR(Z1646/G1646-1,"")</f>
        <v>-0.33228690370572578</v>
      </c>
      <c r="AD1646" s="15">
        <f>IFERROR((Z1646/G1646)^(1/19)-1,"")</f>
        <v>-2.1033367960525351E-2</v>
      </c>
    </row>
    <row r="1647" spans="1:30">
      <c r="A1647" s="45" t="s">
        <v>245</v>
      </c>
      <c r="B1647" s="45" t="s">
        <v>246</v>
      </c>
      <c r="C1647" s="45" t="s">
        <v>490</v>
      </c>
      <c r="D1647" s="45" t="s">
        <v>491</v>
      </c>
      <c r="E1647" s="45" t="s">
        <v>492</v>
      </c>
      <c r="F1647" s="45" t="s">
        <v>493</v>
      </c>
      <c r="G1647" s="14">
        <v>22209</v>
      </c>
      <c r="H1647" s="14">
        <v>24325</v>
      </c>
      <c r="I1647" s="14">
        <v>25463</v>
      </c>
      <c r="J1647" s="14">
        <v>28364</v>
      </c>
      <c r="K1647" s="14">
        <v>32157</v>
      </c>
      <c r="L1647" s="14">
        <v>40274</v>
      </c>
      <c r="M1647" s="14">
        <v>42362</v>
      </c>
      <c r="N1647" s="14">
        <v>46509</v>
      </c>
      <c r="O1647" s="14">
        <v>49826</v>
      </c>
      <c r="P1647" s="14">
        <v>57844</v>
      </c>
      <c r="Q1647" s="14">
        <v>66390</v>
      </c>
      <c r="R1647" s="14">
        <v>76841</v>
      </c>
      <c r="S1647" s="14">
        <v>83597</v>
      </c>
      <c r="T1647" s="14">
        <v>94176</v>
      </c>
      <c r="U1647" s="14">
        <v>97299</v>
      </c>
      <c r="V1647" s="14">
        <v>106737</v>
      </c>
      <c r="W1647" s="14">
        <v>108847</v>
      </c>
      <c r="X1647" s="14">
        <v>117249</v>
      </c>
      <c r="Y1647" s="14">
        <v>122385</v>
      </c>
      <c r="Z1647" s="14">
        <v>133469</v>
      </c>
      <c r="AA1647" s="14">
        <v>149591</v>
      </c>
      <c r="AB1647" s="14">
        <v>167326</v>
      </c>
    </row>
    <row r="1648" spans="1:30">
      <c r="A1648" s="45" t="s">
        <v>245</v>
      </c>
      <c r="B1648" s="45" t="s">
        <v>246</v>
      </c>
      <c r="C1648" s="45" t="s">
        <v>490</v>
      </c>
      <c r="D1648" s="45" t="s">
        <v>494</v>
      </c>
      <c r="E1648" s="45" t="s">
        <v>492</v>
      </c>
      <c r="F1648" s="45" t="s">
        <v>493</v>
      </c>
      <c r="G1648" s="14">
        <v>21330</v>
      </c>
      <c r="H1648" s="14">
        <v>23568</v>
      </c>
      <c r="I1648" s="14">
        <v>24591</v>
      </c>
      <c r="J1648" s="14">
        <v>27215</v>
      </c>
      <c r="K1648" s="14">
        <v>30412</v>
      </c>
      <c r="L1648" s="14">
        <v>37839</v>
      </c>
      <c r="M1648" s="14">
        <v>39950</v>
      </c>
      <c r="N1648" s="14">
        <v>44125</v>
      </c>
      <c r="O1648" s="14">
        <v>46964</v>
      </c>
      <c r="P1648" s="14">
        <v>53894</v>
      </c>
      <c r="Q1648" s="14">
        <v>61312</v>
      </c>
      <c r="R1648" s="14">
        <v>72133</v>
      </c>
      <c r="S1648" s="14">
        <v>78444</v>
      </c>
      <c r="T1648" s="14">
        <v>87587</v>
      </c>
      <c r="U1648" s="14">
        <v>92448</v>
      </c>
      <c r="V1648" s="14">
        <v>101847</v>
      </c>
      <c r="W1648" s="14">
        <v>103086</v>
      </c>
      <c r="X1648" s="14">
        <v>111587</v>
      </c>
      <c r="Y1648" s="14">
        <v>116133</v>
      </c>
      <c r="Z1648" s="14">
        <v>124849</v>
      </c>
      <c r="AA1648" s="14"/>
      <c r="AB1648" s="14"/>
    </row>
    <row r="1649" spans="1:30">
      <c r="A1649" s="45" t="s">
        <v>245</v>
      </c>
      <c r="B1649" s="45" t="s">
        <v>246</v>
      </c>
      <c r="C1649" s="45" t="s">
        <v>490</v>
      </c>
      <c r="D1649" s="45" t="s">
        <v>495</v>
      </c>
      <c r="E1649" s="45" t="s">
        <v>492</v>
      </c>
      <c r="F1649" s="45" t="s">
        <v>493</v>
      </c>
      <c r="G1649" s="14">
        <v>1690</v>
      </c>
      <c r="H1649" s="14">
        <v>1437</v>
      </c>
      <c r="I1649" s="14">
        <v>1570</v>
      </c>
      <c r="J1649" s="14">
        <v>2149</v>
      </c>
      <c r="K1649" s="14">
        <v>2524</v>
      </c>
      <c r="L1649" s="14">
        <v>3723</v>
      </c>
      <c r="M1649" s="14">
        <v>3119</v>
      </c>
      <c r="N1649" s="14">
        <v>2530</v>
      </c>
      <c r="O1649" s="14">
        <v>2624</v>
      </c>
      <c r="P1649" s="14">
        <v>3835</v>
      </c>
      <c r="Q1649" s="14">
        <v>4693</v>
      </c>
      <c r="R1649" s="14">
        <v>5473</v>
      </c>
      <c r="S1649" s="14">
        <v>6218</v>
      </c>
      <c r="T1649" s="14">
        <v>6662</v>
      </c>
      <c r="U1649" s="14">
        <v>9077</v>
      </c>
      <c r="V1649" s="14">
        <v>7371</v>
      </c>
      <c r="W1649" s="14">
        <v>7238</v>
      </c>
      <c r="X1649" s="14">
        <v>6700</v>
      </c>
      <c r="Y1649" s="14">
        <v>6298</v>
      </c>
      <c r="Z1649" s="14">
        <v>6328</v>
      </c>
      <c r="AA1649" s="14"/>
      <c r="AB1649" s="14"/>
    </row>
    <row r="1650" spans="1:30">
      <c r="A1650" s="45" t="s">
        <v>245</v>
      </c>
      <c r="B1650" s="45" t="s">
        <v>246</v>
      </c>
      <c r="C1650" s="45" t="s">
        <v>490</v>
      </c>
      <c r="D1650" s="45" t="s">
        <v>496</v>
      </c>
      <c r="E1650" s="45" t="s">
        <v>492</v>
      </c>
      <c r="F1650" s="45" t="s">
        <v>493</v>
      </c>
      <c r="G1650" s="14">
        <v>4259</v>
      </c>
      <c r="H1650" s="14">
        <v>4957</v>
      </c>
      <c r="I1650" s="14">
        <v>5087</v>
      </c>
      <c r="J1650" s="14">
        <v>5685</v>
      </c>
      <c r="K1650" s="14">
        <v>6446</v>
      </c>
      <c r="L1650" s="14">
        <v>7253</v>
      </c>
      <c r="M1650" s="14">
        <v>7025</v>
      </c>
      <c r="N1650" s="14">
        <v>8104</v>
      </c>
      <c r="O1650" s="14">
        <v>9397</v>
      </c>
      <c r="P1650" s="14">
        <v>10597</v>
      </c>
      <c r="Q1650" s="14">
        <v>13764</v>
      </c>
      <c r="R1650" s="14">
        <v>17675</v>
      </c>
      <c r="S1650" s="14">
        <v>18219</v>
      </c>
      <c r="T1650" s="14">
        <v>22874</v>
      </c>
      <c r="U1650" s="14">
        <v>23823</v>
      </c>
      <c r="V1650" s="14">
        <v>26598</v>
      </c>
      <c r="W1650" s="14">
        <v>28606</v>
      </c>
      <c r="X1650" s="14">
        <v>31471</v>
      </c>
      <c r="Y1650" s="14">
        <v>32536</v>
      </c>
      <c r="Z1650" s="14">
        <v>34880</v>
      </c>
      <c r="AA1650" s="14"/>
      <c r="AB1650" s="14"/>
    </row>
    <row r="1651" spans="1:30">
      <c r="A1651" s="45" t="s">
        <v>245</v>
      </c>
      <c r="B1651" s="45" t="s">
        <v>246</v>
      </c>
      <c r="C1651" s="45" t="s">
        <v>490</v>
      </c>
      <c r="D1651" s="45" t="s">
        <v>497</v>
      </c>
      <c r="E1651" s="45" t="s">
        <v>492</v>
      </c>
      <c r="F1651" s="45" t="s">
        <v>493</v>
      </c>
      <c r="G1651" s="14">
        <v>10242</v>
      </c>
      <c r="H1651" s="14">
        <v>11393</v>
      </c>
      <c r="I1651" s="14">
        <v>11156</v>
      </c>
      <c r="J1651" s="14">
        <v>14512</v>
      </c>
      <c r="K1651" s="14">
        <v>17369</v>
      </c>
      <c r="L1651" s="14">
        <v>23039</v>
      </c>
      <c r="M1651" s="14">
        <v>25235</v>
      </c>
      <c r="N1651" s="14">
        <v>28754</v>
      </c>
      <c r="O1651" s="14">
        <v>30912</v>
      </c>
      <c r="P1651" s="14">
        <v>33900</v>
      </c>
      <c r="Q1651" s="14">
        <v>37887</v>
      </c>
      <c r="R1651" s="14">
        <v>44879</v>
      </c>
      <c r="S1651" s="14">
        <v>49643</v>
      </c>
      <c r="T1651" s="14">
        <v>52734</v>
      </c>
      <c r="U1651" s="14">
        <v>55448</v>
      </c>
      <c r="V1651" s="14">
        <v>60242</v>
      </c>
      <c r="W1651" s="14">
        <v>60993</v>
      </c>
      <c r="X1651" s="14">
        <v>67534</v>
      </c>
      <c r="Y1651" s="14">
        <v>69062</v>
      </c>
      <c r="Z1651" s="14">
        <v>75508</v>
      </c>
      <c r="AA1651" s="14"/>
      <c r="AB1651" s="14"/>
    </row>
    <row r="1652" spans="1:30">
      <c r="A1652" s="45" t="s">
        <v>245</v>
      </c>
      <c r="B1652" s="45" t="s">
        <v>246</v>
      </c>
      <c r="C1652" s="45" t="s">
        <v>498</v>
      </c>
      <c r="D1652" s="45" t="s">
        <v>491</v>
      </c>
      <c r="E1652" s="45" t="s">
        <v>499</v>
      </c>
      <c r="F1652" s="45" t="s">
        <v>500</v>
      </c>
      <c r="G1652" s="14">
        <v>42192.3</v>
      </c>
      <c r="H1652" s="14">
        <v>40504.699999999997</v>
      </c>
      <c r="I1652" s="14">
        <v>39349</v>
      </c>
      <c r="J1652" s="14">
        <v>40799.5</v>
      </c>
      <c r="K1652" s="14">
        <v>43321.4</v>
      </c>
      <c r="L1652" s="14">
        <v>50973.1</v>
      </c>
      <c r="M1652" s="14">
        <v>49289.1</v>
      </c>
      <c r="N1652" s="14">
        <v>50426.6</v>
      </c>
      <c r="O1652" s="14">
        <v>49826</v>
      </c>
      <c r="P1652" s="14">
        <v>53401.7</v>
      </c>
      <c r="Q1652" s="14">
        <v>56781.2</v>
      </c>
      <c r="R1652" s="14">
        <v>61131.9</v>
      </c>
      <c r="S1652" s="14">
        <v>61667.9</v>
      </c>
      <c r="T1652" s="14">
        <v>64585.2</v>
      </c>
      <c r="U1652" s="14">
        <v>61724.9</v>
      </c>
      <c r="V1652" s="14">
        <v>65314.3</v>
      </c>
      <c r="W1652" s="14">
        <v>63741.2</v>
      </c>
      <c r="X1652" s="14">
        <v>65878.600000000006</v>
      </c>
      <c r="Y1652" s="14">
        <v>64584.1</v>
      </c>
      <c r="Z1652" s="14">
        <v>62304.3</v>
      </c>
      <c r="AA1652" s="14"/>
      <c r="AB1652" s="14"/>
      <c r="AC1652" s="15">
        <f>IFERROR(Z1652/G1652-1,"")</f>
        <v>0.47667465390604447</v>
      </c>
      <c r="AD1652" s="15">
        <f>IFERROR((Z1652/G1652)^(1/19)-1,"")</f>
        <v>2.0727292927786856E-2</v>
      </c>
    </row>
    <row r="1653" spans="1:30">
      <c r="A1653" s="45" t="s">
        <v>245</v>
      </c>
      <c r="B1653" s="45" t="s">
        <v>246</v>
      </c>
      <c r="C1653" s="45" t="s">
        <v>498</v>
      </c>
      <c r="D1653" s="45" t="s">
        <v>495</v>
      </c>
      <c r="E1653" s="45" t="s">
        <v>499</v>
      </c>
      <c r="F1653" s="45" t="s">
        <v>500</v>
      </c>
      <c r="G1653" s="14">
        <v>3210.3</v>
      </c>
      <c r="H1653" s="14">
        <v>2392.5</v>
      </c>
      <c r="I1653" s="14">
        <v>2426.6</v>
      </c>
      <c r="J1653" s="14">
        <v>3091.2</v>
      </c>
      <c r="K1653" s="14">
        <v>3399.8</v>
      </c>
      <c r="L1653" s="14">
        <v>4712.1000000000004</v>
      </c>
      <c r="M1653" s="14">
        <v>3629</v>
      </c>
      <c r="N1653" s="14">
        <v>2743.1</v>
      </c>
      <c r="O1653" s="14">
        <v>2624</v>
      </c>
      <c r="P1653" s="14">
        <v>3540.5</v>
      </c>
      <c r="Q1653" s="14">
        <v>4013.8</v>
      </c>
      <c r="R1653" s="14">
        <v>4354.1000000000004</v>
      </c>
      <c r="S1653" s="14">
        <v>4586.8999999999996</v>
      </c>
      <c r="T1653" s="14">
        <v>4568.7</v>
      </c>
      <c r="U1653" s="14">
        <v>5758.3</v>
      </c>
      <c r="V1653" s="14">
        <v>4510.3999999999996</v>
      </c>
      <c r="W1653" s="14">
        <v>4238.6000000000004</v>
      </c>
      <c r="X1653" s="14">
        <v>3764.5</v>
      </c>
      <c r="Y1653" s="14">
        <v>3323.5</v>
      </c>
      <c r="Z1653" s="14">
        <v>2954</v>
      </c>
      <c r="AA1653" s="14"/>
      <c r="AB1653" s="14"/>
      <c r="AC1653" s="15">
        <f>IFERROR(Z1653/G1653-1,"")</f>
        <v>-7.9836775379248048E-2</v>
      </c>
      <c r="AD1653" s="15">
        <f>IFERROR((Z1653/G1653)^(1/19)-1,"")</f>
        <v>-4.3695941907104796E-3</v>
      </c>
    </row>
    <row r="1654" spans="1:30">
      <c r="A1654" s="45" t="s">
        <v>245</v>
      </c>
      <c r="B1654" s="45" t="s">
        <v>246</v>
      </c>
      <c r="C1654" s="45" t="s">
        <v>498</v>
      </c>
      <c r="D1654" s="45" t="s">
        <v>496</v>
      </c>
      <c r="E1654" s="45" t="s">
        <v>499</v>
      </c>
      <c r="F1654" s="45" t="s">
        <v>500</v>
      </c>
      <c r="G1654" s="14">
        <v>8090.8</v>
      </c>
      <c r="H1654" s="14">
        <v>8254.5</v>
      </c>
      <c r="I1654" s="14">
        <v>7861.2</v>
      </c>
      <c r="J1654" s="14">
        <v>8177.1</v>
      </c>
      <c r="K1654" s="14">
        <v>8683.9</v>
      </c>
      <c r="L1654" s="14">
        <v>9180.2000000000007</v>
      </c>
      <c r="M1654" s="14">
        <v>8173.6</v>
      </c>
      <c r="N1654" s="14">
        <v>8786.6</v>
      </c>
      <c r="O1654" s="14">
        <v>9397</v>
      </c>
      <c r="P1654" s="14">
        <v>9783.2000000000007</v>
      </c>
      <c r="Q1654" s="14">
        <v>11771.9</v>
      </c>
      <c r="R1654" s="14">
        <v>14061.6</v>
      </c>
      <c r="S1654" s="14">
        <v>13439.8</v>
      </c>
      <c r="T1654" s="14">
        <v>15686.8</v>
      </c>
      <c r="U1654" s="14">
        <v>15112.9</v>
      </c>
      <c r="V1654" s="14">
        <v>16275.8</v>
      </c>
      <c r="W1654" s="14">
        <v>16751.8</v>
      </c>
      <c r="X1654" s="14">
        <v>17682.599999999999</v>
      </c>
      <c r="Y1654" s="14">
        <v>17169.7</v>
      </c>
      <c r="Z1654" s="14">
        <v>16282.7</v>
      </c>
      <c r="AA1654" s="14"/>
      <c r="AB1654" s="14"/>
      <c r="AC1654" s="15">
        <f>IFERROR(Z1654/G1654-1,"")</f>
        <v>1.0124956740989766</v>
      </c>
      <c r="AD1654" s="15">
        <f>IFERROR((Z1654/G1654)^(1/19)-1,"")</f>
        <v>3.7495090532163156E-2</v>
      </c>
    </row>
    <row r="1655" spans="1:30">
      <c r="A1655" s="45" t="s">
        <v>245</v>
      </c>
      <c r="B1655" s="45" t="s">
        <v>246</v>
      </c>
      <c r="C1655" s="45" t="s">
        <v>498</v>
      </c>
      <c r="D1655" s="45" t="s">
        <v>497</v>
      </c>
      <c r="E1655" s="45" t="s">
        <v>499</v>
      </c>
      <c r="F1655" s="45" t="s">
        <v>500</v>
      </c>
      <c r="G1655" s="14">
        <v>19456.400000000001</v>
      </c>
      <c r="H1655" s="14">
        <v>18970.3</v>
      </c>
      <c r="I1655" s="14">
        <v>17240.099999999999</v>
      </c>
      <c r="J1655" s="14">
        <v>20874.900000000001</v>
      </c>
      <c r="K1655" s="14">
        <v>23398.5</v>
      </c>
      <c r="L1655" s="14">
        <v>29160</v>
      </c>
      <c r="M1655" s="14">
        <v>29361.5</v>
      </c>
      <c r="N1655" s="14">
        <v>31176</v>
      </c>
      <c r="O1655" s="14">
        <v>30912</v>
      </c>
      <c r="P1655" s="14">
        <v>31296.6</v>
      </c>
      <c r="Q1655" s="14">
        <v>32403.5</v>
      </c>
      <c r="R1655" s="14">
        <v>35704.1</v>
      </c>
      <c r="S1655" s="14">
        <v>36620.699999999997</v>
      </c>
      <c r="T1655" s="14">
        <v>36164.6</v>
      </c>
      <c r="U1655" s="14">
        <v>35175.300000000003</v>
      </c>
      <c r="V1655" s="14">
        <v>36863.199999999997</v>
      </c>
      <c r="W1655" s="14">
        <v>35717.699999999997</v>
      </c>
      <c r="X1655" s="14">
        <v>37945.300000000003</v>
      </c>
      <c r="Y1655" s="14">
        <v>36444.9</v>
      </c>
      <c r="Z1655" s="14">
        <v>35248.6</v>
      </c>
      <c r="AA1655" s="14"/>
      <c r="AB1655" s="14"/>
      <c r="AC1655" s="15">
        <f>IFERROR(Z1655/G1655-1,"")</f>
        <v>0.81167122386464063</v>
      </c>
      <c r="AD1655" s="15">
        <f>IFERROR((Z1655/G1655)^(1/19)-1,"")</f>
        <v>3.1770545280160878E-2</v>
      </c>
    </row>
    <row r="1656" spans="1:30">
      <c r="A1656" s="45" t="s">
        <v>245</v>
      </c>
      <c r="B1656" s="45" t="s">
        <v>246</v>
      </c>
      <c r="C1656" s="45" t="s">
        <v>498</v>
      </c>
      <c r="D1656" s="45" t="s">
        <v>501</v>
      </c>
      <c r="E1656" s="45" t="s">
        <v>499</v>
      </c>
      <c r="F1656" s="45" t="s">
        <v>500</v>
      </c>
      <c r="G1656" s="14">
        <v>9764.2999999999993</v>
      </c>
      <c r="H1656" s="14">
        <v>9626.2999999999993</v>
      </c>
      <c r="I1656" s="14">
        <v>10473.299999999999</v>
      </c>
      <c r="J1656" s="14">
        <v>7004.1</v>
      </c>
      <c r="K1656" s="14">
        <v>5487.4</v>
      </c>
      <c r="L1656" s="14">
        <v>4839.8999999999996</v>
      </c>
      <c r="M1656" s="14">
        <v>5318.7</v>
      </c>
      <c r="N1656" s="14">
        <v>5137.1000000000004</v>
      </c>
      <c r="O1656" s="14">
        <v>4030</v>
      </c>
      <c r="P1656" s="14">
        <v>5134.8999999999996</v>
      </c>
      <c r="Q1656" s="14">
        <v>4249</v>
      </c>
      <c r="R1656" s="14">
        <v>3265.8</v>
      </c>
      <c r="S1656" s="14">
        <v>3218.5</v>
      </c>
      <c r="T1656" s="14">
        <v>3646.4</v>
      </c>
      <c r="U1656" s="14">
        <v>2601</v>
      </c>
      <c r="V1656" s="14">
        <v>4673.2</v>
      </c>
      <c r="W1656" s="14">
        <v>3658.9</v>
      </c>
      <c r="X1656" s="14">
        <v>3304.4</v>
      </c>
      <c r="Y1656" s="14">
        <v>4346.8</v>
      </c>
      <c r="Z1656" s="14">
        <v>3796.5</v>
      </c>
      <c r="AA1656" s="14"/>
      <c r="AB1656" s="14"/>
      <c r="AC1656" s="15">
        <f>IFERROR(Z1656/G1656-1,"")</f>
        <v>-0.61118564566840428</v>
      </c>
      <c r="AD1656" s="15">
        <f>IFERROR((Z1656/G1656)^(1/19)-1,"")</f>
        <v>-4.8502856239837078E-2</v>
      </c>
    </row>
    <row r="1657" spans="1:30">
      <c r="A1657" s="45" t="s">
        <v>433</v>
      </c>
      <c r="B1657" s="45" t="s">
        <v>434</v>
      </c>
      <c r="C1657" s="45" t="s">
        <v>490</v>
      </c>
      <c r="D1657" s="45" t="s">
        <v>491</v>
      </c>
      <c r="E1657" s="45" t="s">
        <v>492</v>
      </c>
      <c r="F1657" s="45" t="s">
        <v>493</v>
      </c>
      <c r="G1657" s="14">
        <v>4240</v>
      </c>
      <c r="H1657" s="14">
        <v>4720</v>
      </c>
      <c r="I1657" s="14">
        <v>5280</v>
      </c>
      <c r="J1657" s="14">
        <v>5781</v>
      </c>
      <c r="K1657" s="14">
        <v>6758</v>
      </c>
      <c r="L1657" s="14">
        <v>8011</v>
      </c>
      <c r="M1657" s="14">
        <v>8444</v>
      </c>
      <c r="N1657" s="14">
        <v>9353</v>
      </c>
      <c r="O1657" s="14">
        <v>9051</v>
      </c>
      <c r="P1657" s="14">
        <v>10695</v>
      </c>
      <c r="Q1657" s="14">
        <v>11566</v>
      </c>
      <c r="R1657" s="14">
        <v>12021</v>
      </c>
      <c r="S1657" s="14">
        <v>13484</v>
      </c>
      <c r="T1657" s="14">
        <v>14761</v>
      </c>
      <c r="U1657" s="14">
        <v>14978</v>
      </c>
      <c r="V1657" s="14">
        <v>15769</v>
      </c>
      <c r="W1657" s="14">
        <v>17668</v>
      </c>
      <c r="X1657" s="14">
        <v>20700</v>
      </c>
      <c r="Y1657" s="14">
        <v>21256</v>
      </c>
      <c r="Z1657" s="14">
        <v>23238</v>
      </c>
      <c r="AA1657" s="14">
        <v>25575</v>
      </c>
      <c r="AB1657" s="14">
        <v>29717</v>
      </c>
    </row>
    <row r="1658" spans="1:30">
      <c r="A1658" s="45" t="s">
        <v>433</v>
      </c>
      <c r="B1658" s="45" t="s">
        <v>434</v>
      </c>
      <c r="C1658" s="45" t="s">
        <v>490</v>
      </c>
      <c r="D1658" s="45" t="s">
        <v>494</v>
      </c>
      <c r="E1658" s="45" t="s">
        <v>492</v>
      </c>
      <c r="F1658" s="45" t="s">
        <v>493</v>
      </c>
      <c r="G1658" s="14">
        <v>4096</v>
      </c>
      <c r="H1658" s="14">
        <v>4560</v>
      </c>
      <c r="I1658" s="14">
        <v>5083</v>
      </c>
      <c r="J1658" s="14">
        <v>5526</v>
      </c>
      <c r="K1658" s="14">
        <v>6469</v>
      </c>
      <c r="L1658" s="14">
        <v>7627</v>
      </c>
      <c r="M1658" s="14">
        <v>8025</v>
      </c>
      <c r="N1658" s="14">
        <v>8963</v>
      </c>
      <c r="O1658" s="14">
        <v>8615</v>
      </c>
      <c r="P1658" s="14">
        <v>10189</v>
      </c>
      <c r="Q1658" s="14">
        <v>11082</v>
      </c>
      <c r="R1658" s="14">
        <v>11660</v>
      </c>
      <c r="S1658" s="14">
        <v>12981</v>
      </c>
      <c r="T1658" s="14">
        <v>14251</v>
      </c>
      <c r="U1658" s="14">
        <v>14638</v>
      </c>
      <c r="V1658" s="14">
        <v>15452</v>
      </c>
      <c r="W1658" s="14">
        <v>17287</v>
      </c>
      <c r="X1658" s="14">
        <v>19958</v>
      </c>
      <c r="Y1658" s="14">
        <v>20511</v>
      </c>
      <c r="Z1658" s="14">
        <v>22324</v>
      </c>
      <c r="AA1658" s="14"/>
      <c r="AB1658" s="14"/>
    </row>
    <row r="1659" spans="1:30">
      <c r="A1659" s="45" t="s">
        <v>433</v>
      </c>
      <c r="B1659" s="45" t="s">
        <v>434</v>
      </c>
      <c r="C1659" s="45" t="s">
        <v>490</v>
      </c>
      <c r="D1659" s="45" t="s">
        <v>495</v>
      </c>
      <c r="E1659" s="45" t="s">
        <v>492</v>
      </c>
      <c r="F1659" s="45" t="s">
        <v>493</v>
      </c>
      <c r="G1659" s="14">
        <v>279</v>
      </c>
      <c r="H1659" s="14">
        <v>228</v>
      </c>
      <c r="I1659" s="14">
        <v>267</v>
      </c>
      <c r="J1659" s="14">
        <v>286</v>
      </c>
      <c r="K1659" s="14">
        <v>303</v>
      </c>
      <c r="L1659" s="14">
        <v>350</v>
      </c>
      <c r="M1659" s="14">
        <v>330</v>
      </c>
      <c r="N1659" s="14">
        <v>375</v>
      </c>
      <c r="O1659" s="14">
        <v>330</v>
      </c>
      <c r="P1659" s="14">
        <v>383</v>
      </c>
      <c r="Q1659" s="14">
        <v>458</v>
      </c>
      <c r="R1659" s="14">
        <v>424</v>
      </c>
      <c r="S1659" s="14">
        <v>464</v>
      </c>
      <c r="T1659" s="14">
        <v>534</v>
      </c>
      <c r="U1659" s="14">
        <v>607</v>
      </c>
      <c r="V1659" s="14">
        <v>605</v>
      </c>
      <c r="W1659" s="14">
        <v>639</v>
      </c>
      <c r="X1659" s="14">
        <v>896</v>
      </c>
      <c r="Y1659" s="14">
        <v>738</v>
      </c>
      <c r="Z1659" s="14">
        <v>879</v>
      </c>
      <c r="AA1659" s="14"/>
      <c r="AB1659" s="14"/>
    </row>
    <row r="1660" spans="1:30">
      <c r="A1660" s="45" t="s">
        <v>433</v>
      </c>
      <c r="B1660" s="45" t="s">
        <v>434</v>
      </c>
      <c r="C1660" s="45" t="s">
        <v>490</v>
      </c>
      <c r="D1660" s="45" t="s">
        <v>496</v>
      </c>
      <c r="E1660" s="45" t="s">
        <v>492</v>
      </c>
      <c r="F1660" s="45" t="s">
        <v>493</v>
      </c>
      <c r="G1660" s="14">
        <v>873</v>
      </c>
      <c r="H1660" s="14">
        <v>1018</v>
      </c>
      <c r="I1660" s="14">
        <v>1221</v>
      </c>
      <c r="J1660" s="14">
        <v>1321</v>
      </c>
      <c r="K1660" s="14">
        <v>1395</v>
      </c>
      <c r="L1660" s="14">
        <v>1562</v>
      </c>
      <c r="M1660" s="14">
        <v>1443</v>
      </c>
      <c r="N1660" s="14">
        <v>1656</v>
      </c>
      <c r="O1660" s="14">
        <v>1721</v>
      </c>
      <c r="P1660" s="14">
        <v>2011</v>
      </c>
      <c r="Q1660" s="14">
        <v>2289</v>
      </c>
      <c r="R1660" s="14">
        <v>2504</v>
      </c>
      <c r="S1660" s="14">
        <v>2556</v>
      </c>
      <c r="T1660" s="14">
        <v>3040</v>
      </c>
      <c r="U1660" s="14">
        <v>3223</v>
      </c>
      <c r="V1660" s="14">
        <v>3183</v>
      </c>
      <c r="W1660" s="14">
        <v>3858</v>
      </c>
      <c r="X1660" s="14">
        <v>5262</v>
      </c>
      <c r="Y1660" s="14">
        <v>5349</v>
      </c>
      <c r="Z1660" s="14">
        <v>5477</v>
      </c>
      <c r="AA1660" s="14"/>
      <c r="AB1660" s="14"/>
    </row>
    <row r="1661" spans="1:30">
      <c r="A1661" s="45" t="s">
        <v>433</v>
      </c>
      <c r="B1661" s="45" t="s">
        <v>434</v>
      </c>
      <c r="C1661" s="45" t="s">
        <v>490</v>
      </c>
      <c r="D1661" s="45" t="s">
        <v>497</v>
      </c>
      <c r="E1661" s="45" t="s">
        <v>492</v>
      </c>
      <c r="F1661" s="45" t="s">
        <v>493</v>
      </c>
      <c r="G1661" s="14">
        <v>2634</v>
      </c>
      <c r="H1661" s="14">
        <v>2928</v>
      </c>
      <c r="I1661" s="14">
        <v>3222</v>
      </c>
      <c r="J1661" s="14">
        <v>3577</v>
      </c>
      <c r="K1661" s="14">
        <v>4369</v>
      </c>
      <c r="L1661" s="14">
        <v>5351</v>
      </c>
      <c r="M1661" s="14">
        <v>5720</v>
      </c>
      <c r="N1661" s="14">
        <v>6367</v>
      </c>
      <c r="O1661" s="14">
        <v>6169</v>
      </c>
      <c r="P1661" s="14">
        <v>7262</v>
      </c>
      <c r="Q1661" s="14">
        <v>8038</v>
      </c>
      <c r="R1661" s="14">
        <v>8430</v>
      </c>
      <c r="S1661" s="14">
        <v>9406</v>
      </c>
      <c r="T1661" s="14">
        <v>10259</v>
      </c>
      <c r="U1661" s="14">
        <v>10365</v>
      </c>
      <c r="V1661" s="14">
        <v>11019</v>
      </c>
      <c r="W1661" s="14">
        <v>11867</v>
      </c>
      <c r="X1661" s="14">
        <v>13165</v>
      </c>
      <c r="Y1661" s="14">
        <v>13656</v>
      </c>
      <c r="Z1661" s="14">
        <v>14892</v>
      </c>
      <c r="AA1661" s="14"/>
      <c r="AB1661" s="14"/>
    </row>
    <row r="1662" spans="1:30">
      <c r="A1662" s="45" t="s">
        <v>433</v>
      </c>
      <c r="B1662" s="45" t="s">
        <v>434</v>
      </c>
      <c r="C1662" s="45" t="s">
        <v>498</v>
      </c>
      <c r="D1662" s="45" t="s">
        <v>491</v>
      </c>
      <c r="E1662" s="45" t="s">
        <v>499</v>
      </c>
      <c r="F1662" s="45" t="s">
        <v>500</v>
      </c>
      <c r="G1662" s="14">
        <v>8054.4</v>
      </c>
      <c r="H1662" s="14">
        <v>7859.3</v>
      </c>
      <c r="I1662" s="14">
        <v>8159.7</v>
      </c>
      <c r="J1662" s="14">
        <v>8316.2000000000007</v>
      </c>
      <c r="K1662" s="14">
        <v>9104.4</v>
      </c>
      <c r="L1662" s="14">
        <v>10139.9</v>
      </c>
      <c r="M1662" s="14">
        <v>9825.2000000000007</v>
      </c>
      <c r="N1662" s="14">
        <v>10140.799999999999</v>
      </c>
      <c r="O1662" s="14">
        <v>9051</v>
      </c>
      <c r="P1662" s="14">
        <v>9873.7000000000007</v>
      </c>
      <c r="Q1662" s="14">
        <v>9892</v>
      </c>
      <c r="R1662" s="14">
        <v>9563.5</v>
      </c>
      <c r="S1662" s="14">
        <v>9946.9</v>
      </c>
      <c r="T1662" s="14">
        <v>10123</v>
      </c>
      <c r="U1662" s="14">
        <v>9501.7999999999993</v>
      </c>
      <c r="V1662" s="14">
        <v>9649.2999999999993</v>
      </c>
      <c r="W1662" s="14">
        <v>10346.5</v>
      </c>
      <c r="X1662" s="14">
        <v>11630.7</v>
      </c>
      <c r="Y1662" s="14">
        <v>11217.1</v>
      </c>
      <c r="Z1662" s="14">
        <v>10847.7</v>
      </c>
      <c r="AA1662" s="14"/>
      <c r="AB1662" s="14"/>
      <c r="AC1662" s="15">
        <f>IFERROR(Z1662/G1662-1,"")</f>
        <v>0.34680423122765203</v>
      </c>
      <c r="AD1662" s="15">
        <f>IFERROR((Z1662/G1662)^(1/19)-1,"")</f>
        <v>1.5793661517293334E-2</v>
      </c>
    </row>
    <row r="1663" spans="1:30">
      <c r="A1663" s="45" t="s">
        <v>433</v>
      </c>
      <c r="B1663" s="45" t="s">
        <v>434</v>
      </c>
      <c r="C1663" s="45" t="s">
        <v>498</v>
      </c>
      <c r="D1663" s="45" t="s">
        <v>495</v>
      </c>
      <c r="E1663" s="45" t="s">
        <v>499</v>
      </c>
      <c r="F1663" s="45" t="s">
        <v>500</v>
      </c>
      <c r="G1663" s="14">
        <v>529.79999999999995</v>
      </c>
      <c r="H1663" s="14">
        <v>380.1</v>
      </c>
      <c r="I1663" s="14">
        <v>413.2</v>
      </c>
      <c r="J1663" s="14">
        <v>411.4</v>
      </c>
      <c r="K1663" s="14">
        <v>408.3</v>
      </c>
      <c r="L1663" s="14">
        <v>442.5</v>
      </c>
      <c r="M1663" s="14">
        <v>383.7</v>
      </c>
      <c r="N1663" s="14">
        <v>406.6</v>
      </c>
      <c r="O1663" s="14">
        <v>330</v>
      </c>
      <c r="P1663" s="14">
        <v>353.6</v>
      </c>
      <c r="Q1663" s="14">
        <v>391.7</v>
      </c>
      <c r="R1663" s="14">
        <v>337.3</v>
      </c>
      <c r="S1663" s="14">
        <v>342.3</v>
      </c>
      <c r="T1663" s="14">
        <v>366.2</v>
      </c>
      <c r="U1663" s="14">
        <v>385.1</v>
      </c>
      <c r="V1663" s="14">
        <v>370.2</v>
      </c>
      <c r="W1663" s="14">
        <v>374.2</v>
      </c>
      <c r="X1663" s="14">
        <v>503.4</v>
      </c>
      <c r="Y1663" s="14">
        <v>389.5</v>
      </c>
      <c r="Z1663" s="14">
        <v>410.3</v>
      </c>
      <c r="AA1663" s="14"/>
      <c r="AB1663" s="14"/>
      <c r="AC1663" s="15">
        <f>IFERROR(Z1663/G1663-1,"")</f>
        <v>-0.22555681389203464</v>
      </c>
      <c r="AD1663" s="15">
        <f>IFERROR((Z1663/G1663)^(1/19)-1,"")</f>
        <v>-1.3363119367836296E-2</v>
      </c>
    </row>
    <row r="1664" spans="1:30">
      <c r="A1664" s="45" t="s">
        <v>433</v>
      </c>
      <c r="B1664" s="45" t="s">
        <v>434</v>
      </c>
      <c r="C1664" s="45" t="s">
        <v>498</v>
      </c>
      <c r="D1664" s="45" t="s">
        <v>496</v>
      </c>
      <c r="E1664" s="45" t="s">
        <v>499</v>
      </c>
      <c r="F1664" s="45" t="s">
        <v>500</v>
      </c>
      <c r="G1664" s="14">
        <v>1657.6</v>
      </c>
      <c r="H1664" s="14">
        <v>1695</v>
      </c>
      <c r="I1664" s="14">
        <v>1886.1</v>
      </c>
      <c r="J1664" s="14">
        <v>1900.7</v>
      </c>
      <c r="K1664" s="14">
        <v>1879.9</v>
      </c>
      <c r="L1664" s="14">
        <v>1977.2</v>
      </c>
      <c r="M1664" s="14">
        <v>1678.7</v>
      </c>
      <c r="N1664" s="14">
        <v>1795.5</v>
      </c>
      <c r="O1664" s="14">
        <v>1721</v>
      </c>
      <c r="P1664" s="14">
        <v>1856.6</v>
      </c>
      <c r="Q1664" s="14">
        <v>1957.7</v>
      </c>
      <c r="R1664" s="14">
        <v>1992.1</v>
      </c>
      <c r="S1664" s="14">
        <v>1885.5</v>
      </c>
      <c r="T1664" s="14">
        <v>2084.8000000000002</v>
      </c>
      <c r="U1664" s="14">
        <v>2044.6</v>
      </c>
      <c r="V1664" s="14">
        <v>1947.7</v>
      </c>
      <c r="W1664" s="14">
        <v>2259.3000000000002</v>
      </c>
      <c r="X1664" s="14">
        <v>2956.6</v>
      </c>
      <c r="Y1664" s="14">
        <v>2822.7</v>
      </c>
      <c r="Z1664" s="14">
        <v>2556.6999999999998</v>
      </c>
      <c r="AA1664" s="14"/>
      <c r="AB1664" s="14"/>
      <c r="AC1664" s="15">
        <f>IFERROR(Z1664/G1664-1,"")</f>
        <v>0.54241071428571419</v>
      </c>
      <c r="AD1664" s="15">
        <f>IFERROR((Z1664/G1664)^(1/19)-1,"")</f>
        <v>2.3069799998397089E-2</v>
      </c>
    </row>
    <row r="1665" spans="1:30">
      <c r="A1665" s="45" t="s">
        <v>433</v>
      </c>
      <c r="B1665" s="45" t="s">
        <v>434</v>
      </c>
      <c r="C1665" s="45" t="s">
        <v>498</v>
      </c>
      <c r="D1665" s="45" t="s">
        <v>497</v>
      </c>
      <c r="E1665" s="45" t="s">
        <v>499</v>
      </c>
      <c r="F1665" s="45" t="s">
        <v>500</v>
      </c>
      <c r="G1665" s="14">
        <v>5003.6000000000004</v>
      </c>
      <c r="H1665" s="14">
        <v>4874.7</v>
      </c>
      <c r="I1665" s="14">
        <v>4979.2</v>
      </c>
      <c r="J1665" s="14">
        <v>5145.1000000000004</v>
      </c>
      <c r="K1665" s="14">
        <v>5886.4</v>
      </c>
      <c r="L1665" s="14">
        <v>6772.2</v>
      </c>
      <c r="M1665" s="14">
        <v>6655.6</v>
      </c>
      <c r="N1665" s="14">
        <v>6903.3</v>
      </c>
      <c r="O1665" s="14">
        <v>6169</v>
      </c>
      <c r="P1665" s="14">
        <v>6704.3</v>
      </c>
      <c r="Q1665" s="14">
        <v>6874.6</v>
      </c>
      <c r="R1665" s="14">
        <v>6706.6</v>
      </c>
      <c r="S1665" s="14">
        <v>6938.6</v>
      </c>
      <c r="T1665" s="14">
        <v>7035.5</v>
      </c>
      <c r="U1665" s="14">
        <v>6575.4</v>
      </c>
      <c r="V1665" s="14">
        <v>6742.7</v>
      </c>
      <c r="W1665" s="14">
        <v>6949.4</v>
      </c>
      <c r="X1665" s="14">
        <v>7397</v>
      </c>
      <c r="Y1665" s="14">
        <v>7206.4</v>
      </c>
      <c r="Z1665" s="14">
        <v>6952.2</v>
      </c>
      <c r="AA1665" s="14"/>
      <c r="AB1665" s="14"/>
      <c r="AC1665" s="15">
        <f>IFERROR(Z1665/G1665-1,"")</f>
        <v>0.38943960348549034</v>
      </c>
      <c r="AD1665" s="15">
        <f>IFERROR((Z1665/G1665)^(1/19)-1,"")</f>
        <v>1.7461248689893072E-2</v>
      </c>
    </row>
    <row r="1666" spans="1:30">
      <c r="A1666" s="45" t="s">
        <v>433</v>
      </c>
      <c r="B1666" s="45" t="s">
        <v>434</v>
      </c>
      <c r="C1666" s="45" t="s">
        <v>498</v>
      </c>
      <c r="D1666" s="45" t="s">
        <v>501</v>
      </c>
      <c r="E1666" s="45" t="s">
        <v>499</v>
      </c>
      <c r="F1666" s="45" t="s">
        <v>500</v>
      </c>
      <c r="G1666" s="14">
        <v>590.9</v>
      </c>
      <c r="H1666" s="14">
        <v>643</v>
      </c>
      <c r="I1666" s="14">
        <v>576.79999999999995</v>
      </c>
      <c r="J1666" s="14">
        <v>491.9</v>
      </c>
      <c r="K1666" s="14">
        <v>539.79999999999995</v>
      </c>
      <c r="L1666" s="14">
        <v>461.1</v>
      </c>
      <c r="M1666" s="14">
        <v>619.29999999999995</v>
      </c>
      <c r="N1666" s="14">
        <v>611.5</v>
      </c>
      <c r="O1666" s="14">
        <v>395</v>
      </c>
      <c r="P1666" s="14">
        <v>491.1</v>
      </c>
      <c r="Q1666" s="14">
        <v>253.2</v>
      </c>
      <c r="R1666" s="14">
        <v>241.1</v>
      </c>
      <c r="S1666" s="14">
        <v>409.4</v>
      </c>
      <c r="T1666" s="14">
        <v>286.7</v>
      </c>
      <c r="U1666" s="14">
        <v>280.39999999999998</v>
      </c>
      <c r="V1666" s="14">
        <v>394.7</v>
      </c>
      <c r="W1666" s="14">
        <v>541.1</v>
      </c>
      <c r="X1666" s="14">
        <v>356.8</v>
      </c>
      <c r="Y1666" s="14">
        <v>405.3</v>
      </c>
      <c r="Z1666" s="14">
        <v>501.8</v>
      </c>
      <c r="AA1666" s="14"/>
      <c r="AB1666" s="14"/>
      <c r="AC1666" s="15">
        <f>IFERROR(Z1666/G1666-1,"")</f>
        <v>-0.15078693518361819</v>
      </c>
      <c r="AD1666" s="15">
        <f>IFERROR((Z1666/G1666)^(1/19)-1,"")</f>
        <v>-8.5654824985144096E-3</v>
      </c>
    </row>
    <row r="1667" spans="1:30">
      <c r="A1667" s="45" t="s">
        <v>395</v>
      </c>
      <c r="B1667" s="45" t="s">
        <v>396</v>
      </c>
      <c r="C1667" s="45" t="s">
        <v>490</v>
      </c>
      <c r="D1667" s="45" t="s">
        <v>491</v>
      </c>
      <c r="E1667" s="45" t="s">
        <v>492</v>
      </c>
      <c r="F1667" s="45" t="s">
        <v>493</v>
      </c>
      <c r="G1667" s="14">
        <v>6854</v>
      </c>
      <c r="H1667" s="14">
        <v>8318</v>
      </c>
      <c r="I1667" s="14">
        <v>9051</v>
      </c>
      <c r="J1667" s="14">
        <v>11495</v>
      </c>
      <c r="K1667" s="14">
        <v>13283</v>
      </c>
      <c r="L1667" s="14">
        <v>14498</v>
      </c>
      <c r="M1667" s="14">
        <v>15260</v>
      </c>
      <c r="N1667" s="14">
        <v>17737</v>
      </c>
      <c r="O1667" s="14">
        <v>18599</v>
      </c>
      <c r="P1667" s="14">
        <v>20263</v>
      </c>
      <c r="Q1667" s="14">
        <v>22603</v>
      </c>
      <c r="R1667" s="14">
        <v>26248</v>
      </c>
      <c r="S1667" s="14">
        <v>27385</v>
      </c>
      <c r="T1667" s="14">
        <v>31124</v>
      </c>
      <c r="U1667" s="14">
        <v>30460</v>
      </c>
      <c r="V1667" s="14">
        <v>36889</v>
      </c>
      <c r="W1667" s="14">
        <v>39799</v>
      </c>
      <c r="X1667" s="14">
        <v>43059</v>
      </c>
      <c r="Y1667" s="14">
        <v>44401</v>
      </c>
      <c r="Z1667" s="14">
        <v>44403</v>
      </c>
      <c r="AA1667" s="14">
        <v>47194</v>
      </c>
      <c r="AB1667" s="14">
        <v>49863</v>
      </c>
    </row>
    <row r="1668" spans="1:30">
      <c r="A1668" s="45" t="s">
        <v>395</v>
      </c>
      <c r="B1668" s="45" t="s">
        <v>396</v>
      </c>
      <c r="C1668" s="45" t="s">
        <v>490</v>
      </c>
      <c r="D1668" s="45" t="s">
        <v>494</v>
      </c>
      <c r="E1668" s="45" t="s">
        <v>492</v>
      </c>
      <c r="F1668" s="45" t="s">
        <v>493</v>
      </c>
      <c r="G1668" s="14">
        <v>6523</v>
      </c>
      <c r="H1668" s="14">
        <v>7942</v>
      </c>
      <c r="I1668" s="14">
        <v>8632</v>
      </c>
      <c r="J1668" s="14">
        <v>10857</v>
      </c>
      <c r="K1668" s="14">
        <v>12242</v>
      </c>
      <c r="L1668" s="14">
        <v>13136</v>
      </c>
      <c r="M1668" s="14">
        <v>13999</v>
      </c>
      <c r="N1668" s="14">
        <v>16532</v>
      </c>
      <c r="O1668" s="14">
        <v>17231</v>
      </c>
      <c r="P1668" s="14">
        <v>18853</v>
      </c>
      <c r="Q1668" s="14">
        <v>20436</v>
      </c>
      <c r="R1668" s="14">
        <v>23816</v>
      </c>
      <c r="S1668" s="14">
        <v>24825</v>
      </c>
      <c r="T1668" s="14">
        <v>28019</v>
      </c>
      <c r="U1668" s="14">
        <v>29226</v>
      </c>
      <c r="V1668" s="14">
        <v>35807</v>
      </c>
      <c r="W1668" s="14">
        <v>38514</v>
      </c>
      <c r="X1668" s="14">
        <v>41540</v>
      </c>
      <c r="Y1668" s="14">
        <v>42907</v>
      </c>
      <c r="Z1668" s="14">
        <v>42348</v>
      </c>
      <c r="AA1668" s="14"/>
      <c r="AB1668" s="14"/>
    </row>
    <row r="1669" spans="1:30">
      <c r="A1669" s="45" t="s">
        <v>395</v>
      </c>
      <c r="B1669" s="45" t="s">
        <v>396</v>
      </c>
      <c r="C1669" s="45" t="s">
        <v>490</v>
      </c>
      <c r="D1669" s="45" t="s">
        <v>495</v>
      </c>
      <c r="E1669" s="45" t="s">
        <v>492</v>
      </c>
      <c r="F1669" s="45" t="s">
        <v>493</v>
      </c>
      <c r="G1669" s="14">
        <v>662</v>
      </c>
      <c r="H1669" s="14">
        <v>865</v>
      </c>
      <c r="I1669" s="14">
        <v>732</v>
      </c>
      <c r="J1669" s="14">
        <v>1040</v>
      </c>
      <c r="K1669" s="14">
        <v>893</v>
      </c>
      <c r="L1669" s="14">
        <v>1078</v>
      </c>
      <c r="M1669" s="14">
        <v>750</v>
      </c>
      <c r="N1669" s="14">
        <v>786</v>
      </c>
      <c r="O1669" s="14">
        <v>960</v>
      </c>
      <c r="P1669" s="14">
        <v>698</v>
      </c>
      <c r="Q1669" s="14">
        <v>1035</v>
      </c>
      <c r="R1669" s="14">
        <v>884</v>
      </c>
      <c r="S1669" s="14">
        <v>1298</v>
      </c>
      <c r="T1669" s="14">
        <v>1428</v>
      </c>
      <c r="U1669" s="14">
        <v>1171</v>
      </c>
      <c r="V1669" s="14">
        <v>2362</v>
      </c>
      <c r="W1669" s="14">
        <v>1958</v>
      </c>
      <c r="X1669" s="14">
        <v>1630</v>
      </c>
      <c r="Y1669" s="14">
        <v>1703</v>
      </c>
      <c r="Z1669" s="14">
        <v>1976</v>
      </c>
      <c r="AA1669" s="14"/>
      <c r="AB1669" s="14"/>
    </row>
    <row r="1670" spans="1:30">
      <c r="A1670" s="45" t="s">
        <v>395</v>
      </c>
      <c r="B1670" s="45" t="s">
        <v>396</v>
      </c>
      <c r="C1670" s="45" t="s">
        <v>490</v>
      </c>
      <c r="D1670" s="45" t="s">
        <v>496</v>
      </c>
      <c r="E1670" s="45" t="s">
        <v>492</v>
      </c>
      <c r="F1670" s="45" t="s">
        <v>493</v>
      </c>
      <c r="G1670" s="14">
        <v>1205</v>
      </c>
      <c r="H1670" s="14">
        <v>1395</v>
      </c>
      <c r="I1670" s="14">
        <v>1579</v>
      </c>
      <c r="J1670" s="14">
        <v>1839</v>
      </c>
      <c r="K1670" s="14">
        <v>2133</v>
      </c>
      <c r="L1670" s="14">
        <v>2336</v>
      </c>
      <c r="M1670" s="14">
        <v>2405</v>
      </c>
      <c r="N1670" s="14">
        <v>2915</v>
      </c>
      <c r="O1670" s="14">
        <v>3233</v>
      </c>
      <c r="P1670" s="14">
        <v>3491</v>
      </c>
      <c r="Q1670" s="14">
        <v>3648</v>
      </c>
      <c r="R1670" s="14">
        <v>4380</v>
      </c>
      <c r="S1670" s="14">
        <v>4200</v>
      </c>
      <c r="T1670" s="14">
        <v>5091</v>
      </c>
      <c r="U1670" s="14">
        <v>5242</v>
      </c>
      <c r="V1670" s="14">
        <v>6290</v>
      </c>
      <c r="W1670" s="14">
        <v>7867</v>
      </c>
      <c r="X1670" s="14">
        <v>9024</v>
      </c>
      <c r="Y1670" s="14">
        <v>9187</v>
      </c>
      <c r="Z1670" s="14">
        <v>9616</v>
      </c>
      <c r="AA1670" s="14"/>
      <c r="AB1670" s="14"/>
    </row>
    <row r="1671" spans="1:30">
      <c r="A1671" s="45" t="s">
        <v>395</v>
      </c>
      <c r="B1671" s="45" t="s">
        <v>396</v>
      </c>
      <c r="C1671" s="45" t="s">
        <v>490</v>
      </c>
      <c r="D1671" s="45" t="s">
        <v>497</v>
      </c>
      <c r="E1671" s="45" t="s">
        <v>492</v>
      </c>
      <c r="F1671" s="45" t="s">
        <v>493</v>
      </c>
      <c r="G1671" s="14">
        <v>3218</v>
      </c>
      <c r="H1671" s="14">
        <v>3547</v>
      </c>
      <c r="I1671" s="14">
        <v>4123</v>
      </c>
      <c r="J1671" s="14">
        <v>5156</v>
      </c>
      <c r="K1671" s="14">
        <v>5853</v>
      </c>
      <c r="L1671" s="14">
        <v>7254</v>
      </c>
      <c r="M1671" s="14">
        <v>8094</v>
      </c>
      <c r="N1671" s="14">
        <v>9355</v>
      </c>
      <c r="O1671" s="14">
        <v>10518</v>
      </c>
      <c r="P1671" s="14">
        <v>11832</v>
      </c>
      <c r="Q1671" s="14">
        <v>12708</v>
      </c>
      <c r="R1671" s="14">
        <v>14683</v>
      </c>
      <c r="S1671" s="14">
        <v>14816</v>
      </c>
      <c r="T1671" s="14">
        <v>16425</v>
      </c>
      <c r="U1671" s="14">
        <v>16387</v>
      </c>
      <c r="V1671" s="14">
        <v>19984</v>
      </c>
      <c r="W1671" s="14">
        <v>20139</v>
      </c>
      <c r="X1671" s="14">
        <v>21995</v>
      </c>
      <c r="Y1671" s="14">
        <v>23491</v>
      </c>
      <c r="Z1671" s="14">
        <v>24950</v>
      </c>
      <c r="AA1671" s="14"/>
      <c r="AB1671" s="14"/>
    </row>
    <row r="1672" spans="1:30">
      <c r="A1672" s="45" t="s">
        <v>395</v>
      </c>
      <c r="B1672" s="45" t="s">
        <v>396</v>
      </c>
      <c r="C1672" s="45" t="s">
        <v>498</v>
      </c>
      <c r="D1672" s="45" t="s">
        <v>491</v>
      </c>
      <c r="E1672" s="45" t="s">
        <v>499</v>
      </c>
      <c r="F1672" s="45" t="s">
        <v>500</v>
      </c>
      <c r="G1672" s="14">
        <v>13020.6</v>
      </c>
      <c r="H1672" s="14">
        <v>13851</v>
      </c>
      <c r="I1672" s="14">
        <v>13986.6</v>
      </c>
      <c r="J1672" s="14">
        <v>16534.2</v>
      </c>
      <c r="K1672" s="14">
        <v>17894.599999999999</v>
      </c>
      <c r="L1672" s="14">
        <v>18349.2</v>
      </c>
      <c r="M1672" s="14">
        <v>17755.2</v>
      </c>
      <c r="N1672" s="14">
        <v>19231</v>
      </c>
      <c r="O1672" s="14">
        <v>18599</v>
      </c>
      <c r="P1672" s="14">
        <v>18706.900000000001</v>
      </c>
      <c r="Q1672" s="14">
        <v>19331.599999999999</v>
      </c>
      <c r="R1672" s="14">
        <v>20882</v>
      </c>
      <c r="S1672" s="14">
        <v>20201.400000000001</v>
      </c>
      <c r="T1672" s="14">
        <v>21344.6</v>
      </c>
      <c r="U1672" s="14">
        <v>19323.3</v>
      </c>
      <c r="V1672" s="14">
        <v>22573.1</v>
      </c>
      <c r="W1672" s="14">
        <v>23306.5</v>
      </c>
      <c r="X1672" s="14">
        <v>24193.5</v>
      </c>
      <c r="Y1672" s="14">
        <v>23431</v>
      </c>
      <c r="Z1672" s="14">
        <v>20727.599999999999</v>
      </c>
      <c r="AA1672" s="14"/>
      <c r="AB1672" s="14"/>
      <c r="AC1672" s="15">
        <f>IFERROR(Z1672/G1672-1,"")</f>
        <v>0.59190820699506919</v>
      </c>
      <c r="AD1672" s="15">
        <f>IFERROR((Z1672/G1672)^(1/19)-1,"")</f>
        <v>2.477203231833558E-2</v>
      </c>
    </row>
    <row r="1673" spans="1:30">
      <c r="A1673" s="45" t="s">
        <v>395</v>
      </c>
      <c r="B1673" s="45" t="s">
        <v>396</v>
      </c>
      <c r="C1673" s="45" t="s">
        <v>498</v>
      </c>
      <c r="D1673" s="45" t="s">
        <v>495</v>
      </c>
      <c r="E1673" s="45" t="s">
        <v>499</v>
      </c>
      <c r="F1673" s="45" t="s">
        <v>500</v>
      </c>
      <c r="G1673" s="14">
        <v>1258.0999999999999</v>
      </c>
      <c r="H1673" s="14">
        <v>1439.9</v>
      </c>
      <c r="I1673" s="14">
        <v>1131.2</v>
      </c>
      <c r="J1673" s="14">
        <v>1495.6</v>
      </c>
      <c r="K1673" s="14">
        <v>1202.4000000000001</v>
      </c>
      <c r="L1673" s="14">
        <v>1364.5</v>
      </c>
      <c r="M1673" s="14">
        <v>872.6</v>
      </c>
      <c r="N1673" s="14">
        <v>852.2</v>
      </c>
      <c r="O1673" s="14">
        <v>960</v>
      </c>
      <c r="P1673" s="14">
        <v>644.4</v>
      </c>
      <c r="Q1673" s="14">
        <v>885.2</v>
      </c>
      <c r="R1673" s="14">
        <v>703.3</v>
      </c>
      <c r="S1673" s="14">
        <v>957.5</v>
      </c>
      <c r="T1673" s="14">
        <v>979.3</v>
      </c>
      <c r="U1673" s="14">
        <v>742.9</v>
      </c>
      <c r="V1673" s="14">
        <v>1445.4</v>
      </c>
      <c r="W1673" s="14">
        <v>1146.5999999999999</v>
      </c>
      <c r="X1673" s="14">
        <v>915.8</v>
      </c>
      <c r="Y1673" s="14">
        <v>898.7</v>
      </c>
      <c r="Z1673" s="14">
        <v>922.4</v>
      </c>
      <c r="AA1673" s="14"/>
      <c r="AB1673" s="14"/>
      <c r="AC1673" s="15">
        <f>IFERROR(Z1673/G1673-1,"")</f>
        <v>-0.26683093553771553</v>
      </c>
      <c r="AD1673" s="15">
        <f>IFERROR((Z1673/G1673)^(1/19)-1,"")</f>
        <v>-1.6203030027111653E-2</v>
      </c>
    </row>
    <row r="1674" spans="1:30">
      <c r="A1674" s="45" t="s">
        <v>395</v>
      </c>
      <c r="B1674" s="45" t="s">
        <v>396</v>
      </c>
      <c r="C1674" s="45" t="s">
        <v>498</v>
      </c>
      <c r="D1674" s="45" t="s">
        <v>496</v>
      </c>
      <c r="E1674" s="45" t="s">
        <v>499</v>
      </c>
      <c r="F1674" s="45" t="s">
        <v>500</v>
      </c>
      <c r="G1674" s="14">
        <v>2289.1999999999998</v>
      </c>
      <c r="H1674" s="14">
        <v>2322.1</v>
      </c>
      <c r="I1674" s="14">
        <v>2440.6999999999998</v>
      </c>
      <c r="J1674" s="14">
        <v>2645.6</v>
      </c>
      <c r="K1674" s="14">
        <v>2873.9</v>
      </c>
      <c r="L1674" s="14">
        <v>2956.4</v>
      </c>
      <c r="M1674" s="14">
        <v>2798.4</v>
      </c>
      <c r="N1674" s="14">
        <v>3160.5</v>
      </c>
      <c r="O1674" s="14">
        <v>3233</v>
      </c>
      <c r="P1674" s="14">
        <v>3222.9</v>
      </c>
      <c r="Q1674" s="14">
        <v>3120</v>
      </c>
      <c r="R1674" s="14">
        <v>3484.6</v>
      </c>
      <c r="S1674" s="14">
        <v>3098.3</v>
      </c>
      <c r="T1674" s="14">
        <v>3491.4</v>
      </c>
      <c r="U1674" s="14">
        <v>3325.4</v>
      </c>
      <c r="V1674" s="14">
        <v>3849</v>
      </c>
      <c r="W1674" s="14">
        <v>4606.8999999999996</v>
      </c>
      <c r="X1674" s="14">
        <v>5070.3</v>
      </c>
      <c r="Y1674" s="14">
        <v>4848.1000000000004</v>
      </c>
      <c r="Z1674" s="14">
        <v>4488.8</v>
      </c>
      <c r="AA1674" s="14"/>
      <c r="AB1674" s="14"/>
      <c r="AC1674" s="15">
        <f>IFERROR(Z1674/G1674-1,"")</f>
        <v>0.9608596889743144</v>
      </c>
      <c r="AD1674" s="15">
        <f>IFERROR((Z1674/G1674)^(1/19)-1,"")</f>
        <v>3.6076735599046339E-2</v>
      </c>
    </row>
    <row r="1675" spans="1:30">
      <c r="A1675" s="45" t="s">
        <v>395</v>
      </c>
      <c r="B1675" s="45" t="s">
        <v>396</v>
      </c>
      <c r="C1675" s="45" t="s">
        <v>498</v>
      </c>
      <c r="D1675" s="45" t="s">
        <v>497</v>
      </c>
      <c r="E1675" s="45" t="s">
        <v>499</v>
      </c>
      <c r="F1675" s="45" t="s">
        <v>500</v>
      </c>
      <c r="G1675" s="14">
        <v>6112.5</v>
      </c>
      <c r="H1675" s="14">
        <v>5905.9</v>
      </c>
      <c r="I1675" s="14">
        <v>6371.9</v>
      </c>
      <c r="J1675" s="14">
        <v>7417.2</v>
      </c>
      <c r="K1675" s="14">
        <v>7885.3</v>
      </c>
      <c r="L1675" s="14">
        <v>9180.6</v>
      </c>
      <c r="M1675" s="14">
        <v>9417.4</v>
      </c>
      <c r="N1675" s="14">
        <v>10143</v>
      </c>
      <c r="O1675" s="14">
        <v>10518</v>
      </c>
      <c r="P1675" s="14">
        <v>10923.3</v>
      </c>
      <c r="Q1675" s="14">
        <v>10868.7</v>
      </c>
      <c r="R1675" s="14">
        <v>11681.3</v>
      </c>
      <c r="S1675" s="14">
        <v>10929.5</v>
      </c>
      <c r="T1675" s="14">
        <v>11264.1</v>
      </c>
      <c r="U1675" s="14">
        <v>10395.700000000001</v>
      </c>
      <c r="V1675" s="14">
        <v>12228.6</v>
      </c>
      <c r="W1675" s="14">
        <v>11793.5</v>
      </c>
      <c r="X1675" s="14">
        <v>12358.3</v>
      </c>
      <c r="Y1675" s="14">
        <v>12396.5</v>
      </c>
      <c r="Z1675" s="14">
        <v>11646.8</v>
      </c>
      <c r="AA1675" s="14"/>
      <c r="AB1675" s="14"/>
      <c r="AC1675" s="15">
        <f>IFERROR(Z1675/G1675-1,"")</f>
        <v>0.9054069529652351</v>
      </c>
      <c r="AD1675" s="15">
        <f>IFERROR((Z1675/G1675)^(1/19)-1,"")</f>
        <v>3.4513582720392844E-2</v>
      </c>
    </row>
    <row r="1676" spans="1:30">
      <c r="A1676" s="45" t="s">
        <v>395</v>
      </c>
      <c r="B1676" s="45" t="s">
        <v>396</v>
      </c>
      <c r="C1676" s="45" t="s">
        <v>498</v>
      </c>
      <c r="D1676" s="45" t="s">
        <v>501</v>
      </c>
      <c r="E1676" s="45" t="s">
        <v>499</v>
      </c>
      <c r="F1676" s="45" t="s">
        <v>500</v>
      </c>
      <c r="G1676" s="14">
        <v>2732</v>
      </c>
      <c r="H1676" s="14">
        <v>3556.6</v>
      </c>
      <c r="I1676" s="14">
        <v>3396.1</v>
      </c>
      <c r="J1676" s="14">
        <v>4058.5</v>
      </c>
      <c r="K1676" s="14">
        <v>4530.8999999999996</v>
      </c>
      <c r="L1676" s="14">
        <v>3124.7</v>
      </c>
      <c r="M1676" s="14">
        <v>3199.4</v>
      </c>
      <c r="N1676" s="14">
        <v>3769.9</v>
      </c>
      <c r="O1676" s="14">
        <v>2521</v>
      </c>
      <c r="P1676" s="14">
        <v>2614.5</v>
      </c>
      <c r="Q1676" s="14">
        <v>2605.1</v>
      </c>
      <c r="R1676" s="14">
        <v>3078</v>
      </c>
      <c r="S1676" s="14">
        <v>3327.7</v>
      </c>
      <c r="T1676" s="14">
        <v>3480.4</v>
      </c>
      <c r="U1676" s="14">
        <v>4075.9</v>
      </c>
      <c r="V1676" s="14">
        <v>4388.1000000000004</v>
      </c>
      <c r="W1676" s="14">
        <v>5006.8999999999996</v>
      </c>
      <c r="X1676" s="14">
        <v>4996.1000000000004</v>
      </c>
      <c r="Y1676" s="14">
        <v>4499.3</v>
      </c>
      <c r="Z1676" s="14">
        <v>2710.7</v>
      </c>
      <c r="AA1676" s="14"/>
      <c r="AB1676" s="14"/>
      <c r="AC1676" s="15">
        <f>IFERROR(Z1676/G1676-1,"")</f>
        <v>-7.7964860907761002E-3</v>
      </c>
      <c r="AD1676" s="15">
        <f>IFERROR((Z1676/G1676)^(1/19)-1,"")</f>
        <v>-4.118645072694882E-4</v>
      </c>
    </row>
  </sheetData>
  <autoFilter ref="A1:AD167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05"/>
  <sheetViews>
    <sheetView zoomScaleNormal="100" workbookViewId="0">
      <pane xSplit="3" ySplit="1" topLeftCell="D2" activePane="bottomRight" state="frozen"/>
      <selection pane="bottomRight"/>
      <selection pane="bottomLeft" activeCell="A2" sqref="A2"/>
      <selection pane="topRight" activeCell="D1" sqref="D1"/>
    </sheetView>
  </sheetViews>
  <sheetFormatPr defaultColWidth="8.7109375" defaultRowHeight="15"/>
  <cols>
    <col min="1" max="1" width="10" customWidth="1"/>
    <col min="2" max="3" width="24" customWidth="1"/>
    <col min="4" max="24" width="8" customWidth="1"/>
  </cols>
  <sheetData>
    <row r="1" spans="1:24" ht="30" customHeight="1">
      <c r="A1" s="46" t="s">
        <v>39</v>
      </c>
      <c r="B1" s="46" t="s">
        <v>40</v>
      </c>
      <c r="C1" s="46" t="s">
        <v>502</v>
      </c>
      <c r="D1" s="46" t="s">
        <v>464</v>
      </c>
      <c r="E1" s="46" t="s">
        <v>465</v>
      </c>
      <c r="F1" s="46" t="s">
        <v>466</v>
      </c>
      <c r="G1" s="46" t="s">
        <v>467</v>
      </c>
      <c r="H1" s="46" t="s">
        <v>468</v>
      </c>
      <c r="I1" s="46" t="s">
        <v>469</v>
      </c>
      <c r="J1" s="46" t="s">
        <v>470</v>
      </c>
      <c r="K1" s="46" t="s">
        <v>471</v>
      </c>
      <c r="L1" s="46" t="s">
        <v>472</v>
      </c>
      <c r="M1" s="46" t="s">
        <v>473</v>
      </c>
      <c r="N1" s="46" t="s">
        <v>474</v>
      </c>
      <c r="O1" s="46" t="s">
        <v>475</v>
      </c>
      <c r="P1" s="46" t="s">
        <v>476</v>
      </c>
      <c r="Q1" s="46" t="s">
        <v>477</v>
      </c>
      <c r="R1" s="46" t="s">
        <v>478</v>
      </c>
      <c r="S1" s="46" t="s">
        <v>479</v>
      </c>
      <c r="T1" s="46" t="s">
        <v>480</v>
      </c>
      <c r="U1" s="46" t="s">
        <v>481</v>
      </c>
      <c r="V1" s="46" t="s">
        <v>482</v>
      </c>
      <c r="W1" s="46" t="s">
        <v>483</v>
      </c>
      <c r="X1" s="46" t="s">
        <v>503</v>
      </c>
    </row>
    <row r="2" spans="1:24">
      <c r="A2" s="38" t="s">
        <v>488</v>
      </c>
      <c r="B2" s="38" t="s">
        <v>489</v>
      </c>
      <c r="C2" s="28" t="s">
        <v>504</v>
      </c>
      <c r="D2" s="31">
        <f>IFERROR(Serie_Historica!G4/Serie_Historica!G3,"")</f>
        <v>0.29656409173280507</v>
      </c>
      <c r="E2" s="31">
        <f>IFERROR(Serie_Historica!H4/Serie_Historica!H3,"")</f>
        <v>0.252603210840391</v>
      </c>
      <c r="F2" s="31">
        <f>IFERROR(Serie_Historica!I4/Serie_Historica!I3,"")</f>
        <v>0.26976704838829252</v>
      </c>
      <c r="G2" s="31">
        <f>IFERROR(Serie_Historica!J4/Serie_Historica!J3,"")</f>
        <v>0.2870148272729357</v>
      </c>
      <c r="H2" s="31">
        <f>IFERROR(Serie_Historica!K4/Serie_Historica!K3,"")</f>
        <v>0.27617876903531052</v>
      </c>
      <c r="I2" s="31">
        <f>IFERROR(Serie_Historica!L4/Serie_Historica!L3,"")</f>
        <v>0.28428288094206888</v>
      </c>
      <c r="J2" s="31">
        <f>IFERROR(Serie_Historica!M4/Serie_Historica!M3,"")</f>
        <v>0.28379767725099697</v>
      </c>
      <c r="K2" s="31">
        <f>IFERROR(Serie_Historica!N4/Serie_Historica!N3,"")</f>
        <v>0.2117274895276324</v>
      </c>
      <c r="L2" s="31">
        <f>IFERROR(Serie_Historica!O4/Serie_Historica!O3,"")</f>
        <v>0.23898194635696887</v>
      </c>
      <c r="M2" s="31">
        <f>IFERROR(Serie_Historica!P4/Serie_Historica!P3,"")</f>
        <v>0.24602214365487879</v>
      </c>
      <c r="N2" s="31">
        <f>IFERROR(Serie_Historica!Q4/Serie_Historica!Q3,"")</f>
        <v>0.24872485371038938</v>
      </c>
      <c r="O2" s="31">
        <f>IFERROR(Serie_Historica!R4/Serie_Historica!R3,"")</f>
        <v>0.23389335959114496</v>
      </c>
      <c r="P2" s="31">
        <f>IFERROR(Serie_Historica!S4/Serie_Historica!S3,"")</f>
        <v>0.21892003793344372</v>
      </c>
      <c r="Q2" s="31">
        <f>IFERROR(Serie_Historica!T4/Serie_Historica!T3,"")</f>
        <v>0.20986836717054397</v>
      </c>
      <c r="R2" s="31">
        <f>IFERROR(Serie_Historica!U4/Serie_Historica!U3,"")</f>
        <v>0.19001811829734228</v>
      </c>
      <c r="S2" s="31">
        <f>IFERROR(Serie_Historica!V4/Serie_Historica!V3,"")</f>
        <v>0.18635366990641922</v>
      </c>
      <c r="T2" s="31">
        <f>IFERROR(Serie_Historica!W4/Serie_Historica!W3,"")</f>
        <v>0.19089185523946159</v>
      </c>
      <c r="U2" s="31">
        <f>IFERROR(Serie_Historica!X4/Serie_Historica!X3,"")</f>
        <v>0.18399935791528646</v>
      </c>
      <c r="V2" s="31">
        <f>IFERROR(Serie_Historica!Y4/Serie_Historica!Y3,"")</f>
        <v>0.18508253398891136</v>
      </c>
      <c r="W2" s="31">
        <f>IFERROR(Serie_Historica!Z4/Serie_Historica!Z3,"")</f>
        <v>0.207250185648688</v>
      </c>
      <c r="X2" s="19">
        <f>IFERROR((W2-D2)*100,"")</f>
        <v>-8.9313906084117072</v>
      </c>
    </row>
    <row r="3" spans="1:24">
      <c r="A3" s="38" t="s">
        <v>488</v>
      </c>
      <c r="B3" s="38" t="s">
        <v>489</v>
      </c>
      <c r="C3" s="28" t="s">
        <v>505</v>
      </c>
      <c r="D3" s="31">
        <f>IFERROR(Serie_Historica!G5/Serie_Historica!G3,"")</f>
        <v>0.38442914953755536</v>
      </c>
      <c r="E3" s="31">
        <f>IFERROR(Serie_Historica!H5/Serie_Historica!H3,"")</f>
        <v>0.40679126715262059</v>
      </c>
      <c r="F3" s="31">
        <f>IFERROR(Serie_Historica!I5/Serie_Historica!I3,"")</f>
        <v>0.40748154861050545</v>
      </c>
      <c r="G3" s="31">
        <f>IFERROR(Serie_Historica!J5/Serie_Historica!J3,"")</f>
        <v>0.39692170134872706</v>
      </c>
      <c r="H3" s="31">
        <f>IFERROR(Serie_Historica!K5/Serie_Historica!K3,"")</f>
        <v>0.40572338809208791</v>
      </c>
      <c r="I3" s="31">
        <f>IFERROR(Serie_Historica!L5/Serie_Historica!L3,"")</f>
        <v>0.40349854877105695</v>
      </c>
      <c r="J3" s="31">
        <f>IFERROR(Serie_Historica!M5/Serie_Historica!M3,"")</f>
        <v>0.39606286652453215</v>
      </c>
      <c r="K3" s="31">
        <f>IFERROR(Serie_Historica!N5/Serie_Historica!N3,"")</f>
        <v>0.44670372050561202</v>
      </c>
      <c r="L3" s="31">
        <f>IFERROR(Serie_Historica!O5/Serie_Historica!O3,"")</f>
        <v>0.44334641090490928</v>
      </c>
      <c r="M3" s="31">
        <f>IFERROR(Serie_Historica!P5/Serie_Historica!P3,"")</f>
        <v>0.43580607479202826</v>
      </c>
      <c r="N3" s="31">
        <f>IFERROR(Serie_Historica!Q5/Serie_Historica!Q3,"")</f>
        <v>0.45144528213869778</v>
      </c>
      <c r="O3" s="31">
        <f>IFERROR(Serie_Historica!R5/Serie_Historica!R3,"")</f>
        <v>0.45607612005977721</v>
      </c>
      <c r="P3" s="31">
        <f>IFERROR(Serie_Historica!S5/Serie_Historica!S3,"")</f>
        <v>0.46291327529346993</v>
      </c>
      <c r="Q3" s="31">
        <f>IFERROR(Serie_Historica!T5/Serie_Historica!T3,"")</f>
        <v>0.46755973285968427</v>
      </c>
      <c r="R3" s="31">
        <f>IFERROR(Serie_Historica!U5/Serie_Historica!U3,"")</f>
        <v>0.47745897335269505</v>
      </c>
      <c r="S3" s="31">
        <f>IFERROR(Serie_Historica!V5/Serie_Historica!V3,"")</f>
        <v>0.47960256822060321</v>
      </c>
      <c r="T3" s="31">
        <f>IFERROR(Serie_Historica!W5/Serie_Historica!W3,"")</f>
        <v>0.47213185588334816</v>
      </c>
      <c r="U3" s="31">
        <f>IFERROR(Serie_Historica!X5/Serie_Historica!X3,"")</f>
        <v>0.47706776783902766</v>
      </c>
      <c r="V3" s="31">
        <f>IFERROR(Serie_Historica!Y5/Serie_Historica!Y3,"")</f>
        <v>0.45768813067592468</v>
      </c>
      <c r="W3" s="31">
        <f>IFERROR(Serie_Historica!Z5/Serie_Historica!Z3,"")</f>
        <v>0.4548155747105313</v>
      </c>
      <c r="X3" s="19">
        <f>IFERROR((W3-D3)*100,"")</f>
        <v>7.0386425172975944</v>
      </c>
    </row>
    <row r="4" spans="1:24">
      <c r="A4" s="38" t="s">
        <v>488</v>
      </c>
      <c r="B4" s="38" t="s">
        <v>489</v>
      </c>
      <c r="C4" s="28" t="s">
        <v>506</v>
      </c>
      <c r="D4" s="31">
        <f>IFERROR(Serie_Historica!G6/Serie_Historica!G3,"")</f>
        <v>0.27324215426562048</v>
      </c>
      <c r="E4" s="31">
        <f>IFERROR(Serie_Historica!H6/Serie_Historica!H3,"")</f>
        <v>0.2757808798000671</v>
      </c>
      <c r="F4" s="31">
        <f>IFERROR(Serie_Historica!I6/Serie_Historica!I3,"")</f>
        <v>0.26396251132148518</v>
      </c>
      <c r="G4" s="31">
        <f>IFERROR(Serie_Historica!J6/Serie_Historica!J3,"")</f>
        <v>0.26704682397807378</v>
      </c>
      <c r="H4" s="31">
        <f>IFERROR(Serie_Historica!K6/Serie_Historica!K3,"")</f>
        <v>0.26867339862182638</v>
      </c>
      <c r="I4" s="31">
        <f>IFERROR(Serie_Historica!L6/Serie_Historica!L3,"")</f>
        <v>0.2743960329106267</v>
      </c>
      <c r="J4" s="31">
        <f>IFERROR(Serie_Historica!M6/Serie_Historica!M3,"")</f>
        <v>0.28056837867028855</v>
      </c>
      <c r="K4" s="31">
        <f>IFERROR(Serie_Historica!N6/Serie_Historica!N3,"")</f>
        <v>0.29612839831294091</v>
      </c>
      <c r="L4" s="31">
        <f>IFERROR(Serie_Historica!O6/Serie_Historica!O3,"")</f>
        <v>0.2819437752553019</v>
      </c>
      <c r="M4" s="31">
        <f>IFERROR(Serie_Historica!P6/Serie_Historica!P3,"")</f>
        <v>0.28157122331375545</v>
      </c>
      <c r="N4" s="31">
        <f>IFERROR(Serie_Historica!Q6/Serie_Historica!Q3,"")</f>
        <v>0.2682739337205336</v>
      </c>
      <c r="O4" s="31">
        <f>IFERROR(Serie_Historica!R6/Serie_Historica!R3,"")</f>
        <v>0.27768258836959031</v>
      </c>
      <c r="P4" s="31">
        <f>IFERROR(Serie_Historica!S6/Serie_Historica!S3,"")</f>
        <v>0.28622401625342292</v>
      </c>
      <c r="Q4" s="31">
        <f>IFERROR(Serie_Historica!T6/Serie_Historica!T3,"")</f>
        <v>0.29055723551129997</v>
      </c>
      <c r="R4" s="31">
        <f>IFERROR(Serie_Historica!U6/Serie_Historica!U3,"")</f>
        <v>0.29740147691187485</v>
      </c>
      <c r="S4" s="31">
        <f>IFERROR(Serie_Historica!V6/Serie_Historica!V3,"")</f>
        <v>0.2963964973969056</v>
      </c>
      <c r="T4" s="31">
        <f>IFERROR(Serie_Historica!W6/Serie_Historica!W3,"")</f>
        <v>0.29338854218626109</v>
      </c>
      <c r="U4" s="31">
        <f>IFERROR(Serie_Historica!X6/Serie_Historica!X3,"")</f>
        <v>0.29675064237437815</v>
      </c>
      <c r="V4" s="31">
        <f>IFERROR(Serie_Historica!Y6/Serie_Historica!Y3,"")</f>
        <v>0.31005345440677229</v>
      </c>
      <c r="W4" s="31">
        <f>IFERROR(Serie_Historica!Z6/Serie_Historica!Z3,"")</f>
        <v>0.29372422722555108</v>
      </c>
      <c r="X4" s="19">
        <f>IFERROR((W4-D4)*100,"")</f>
        <v>2.04820729599306</v>
      </c>
    </row>
    <row r="5" spans="1:24">
      <c r="A5" s="28" t="s">
        <v>233</v>
      </c>
      <c r="B5" s="28" t="s">
        <v>234</v>
      </c>
      <c r="C5" s="28" t="s">
        <v>504</v>
      </c>
      <c r="D5" s="31">
        <f>IFERROR(Serie_Historica!G9/Serie_Historica!G8,"")</f>
        <v>8.6812512778572895E-2</v>
      </c>
      <c r="E5" s="31">
        <f>IFERROR(Serie_Historica!H9/Serie_Historica!H8,"")</f>
        <v>7.0673076923076922E-2</v>
      </c>
      <c r="F5" s="31">
        <f>IFERROR(Serie_Historica!I9/Serie_Historica!I8,"")</f>
        <v>6.8644325199959499E-2</v>
      </c>
      <c r="G5" s="31">
        <f>IFERROR(Serie_Historica!J9/Serie_Historica!J8,"")</f>
        <v>7.0337944841186842E-2</v>
      </c>
      <c r="H5" s="31">
        <f>IFERROR(Serie_Historica!K9/Serie_Historica!K8,"")</f>
        <v>7.5301689460981494E-2</v>
      </c>
      <c r="I5" s="31">
        <f>IFERROR(Serie_Historica!L9/Serie_Historica!L8,"")</f>
        <v>7.8767291882045981E-2</v>
      </c>
      <c r="J5" s="31">
        <f>IFERROR(Serie_Historica!M9/Serie_Historica!M8,"")</f>
        <v>7.6141345259708629E-2</v>
      </c>
      <c r="K5" s="31">
        <f>IFERROR(Serie_Historica!N9/Serie_Historica!N8,"")</f>
        <v>6.5350686340440681E-2</v>
      </c>
      <c r="L5" s="31">
        <f>IFERROR(Serie_Historica!O9/Serie_Historica!O8,"")</f>
        <v>6.841829071892587E-2</v>
      </c>
      <c r="M5" s="31">
        <f>IFERROR(Serie_Historica!P9/Serie_Historica!P8,"")</f>
        <v>6.4928193499622075E-2</v>
      </c>
      <c r="N5" s="31">
        <f>IFERROR(Serie_Historica!Q9/Serie_Historica!Q8,"")</f>
        <v>8.2004035481783227E-2</v>
      </c>
      <c r="O5" s="31">
        <f>IFERROR(Serie_Historica!R9/Serie_Historica!R8,"")</f>
        <v>8.1131840655299992E-2</v>
      </c>
      <c r="P5" s="31">
        <f>IFERROR(Serie_Historica!S9/Serie_Historica!S8,"")</f>
        <v>9.0234313571316241E-2</v>
      </c>
      <c r="Q5" s="31">
        <f>IFERROR(Serie_Historica!T9/Serie_Historica!T8,"")</f>
        <v>7.4050009844457573E-2</v>
      </c>
      <c r="R5" s="31">
        <f>IFERROR(Serie_Historica!U9/Serie_Historica!U8,"")</f>
        <v>9.2051620613548962E-2</v>
      </c>
      <c r="S5" s="31">
        <f>IFERROR(Serie_Historica!V9/Serie_Historica!V8,"")</f>
        <v>8.8209352784490824E-2</v>
      </c>
      <c r="T5" s="31">
        <f>IFERROR(Serie_Historica!W9/Serie_Historica!W8,"")</f>
        <v>8.2587287376902421E-2</v>
      </c>
      <c r="U5" s="31">
        <f>IFERROR(Serie_Historica!X9/Serie_Historica!X8,"")</f>
        <v>7.30356981026372E-2</v>
      </c>
      <c r="V5" s="31">
        <f>IFERROR(Serie_Historica!Y9/Serie_Historica!Y8,"")</f>
        <v>6.7501677838781929E-2</v>
      </c>
      <c r="W5" s="31">
        <f>IFERROR(Serie_Historica!Z9/Serie_Historica!Z8,"")</f>
        <v>6.7000573504110109E-2</v>
      </c>
      <c r="X5" s="19">
        <f>IFERROR((W5-D5)*100,"")</f>
        <v>-1.9811939274462786</v>
      </c>
    </row>
    <row r="6" spans="1:24">
      <c r="A6" s="28" t="s">
        <v>233</v>
      </c>
      <c r="B6" s="28" t="s">
        <v>234</v>
      </c>
      <c r="C6" s="28" t="s">
        <v>505</v>
      </c>
      <c r="D6" s="31">
        <f>IFERROR(Serie_Historica!G10/Serie_Historica!G8,"")</f>
        <v>0.2626865671641791</v>
      </c>
      <c r="E6" s="31">
        <f>IFERROR(Serie_Historica!H10/Serie_Historica!H8,"")</f>
        <v>0.25813609467455623</v>
      </c>
      <c r="F6" s="31">
        <f>IFERROR(Serie_Historica!I10/Serie_Historica!I8,"")</f>
        <v>0.26070669231548038</v>
      </c>
      <c r="G6" s="31">
        <f>IFERROR(Serie_Historica!J10/Serie_Historica!J8,"")</f>
        <v>0.24788597723130248</v>
      </c>
      <c r="H6" s="31">
        <f>IFERROR(Serie_Historica!K10/Serie_Historica!K8,"")</f>
        <v>0.24161973719495844</v>
      </c>
      <c r="I6" s="31">
        <f>IFERROR(Serie_Historica!L10/Serie_Historica!L8,"")</f>
        <v>0.24772313296903462</v>
      </c>
      <c r="J6" s="31">
        <f>IFERROR(Serie_Historica!M10/Serie_Historica!M8,"")</f>
        <v>0.21795155648053846</v>
      </c>
      <c r="K6" s="31">
        <f>IFERROR(Serie_Historica!N10/Serie_Historica!N8,"")</f>
        <v>0.22405949602436806</v>
      </c>
      <c r="L6" s="31">
        <f>IFERROR(Serie_Historica!O10/Serie_Historica!O8,"")</f>
        <v>0.23914734994480938</v>
      </c>
      <c r="M6" s="31">
        <f>IFERROR(Serie_Historica!P10/Serie_Historica!P8,"")</f>
        <v>0.24104308390022675</v>
      </c>
      <c r="N6" s="31">
        <f>IFERROR(Serie_Historica!Q10/Serie_Historica!Q8,"")</f>
        <v>0.31368891257725157</v>
      </c>
      <c r="O6" s="31">
        <f>IFERROR(Serie_Historica!R10/Serie_Historica!R8,"")</f>
        <v>0.30160543971398507</v>
      </c>
      <c r="P6" s="31">
        <f>IFERROR(Serie_Historica!S10/Serie_Historica!S8,"")</f>
        <v>0.30667295696388319</v>
      </c>
      <c r="Q6" s="31">
        <f>IFERROR(Serie_Historica!T10/Serie_Historica!T8,"")</f>
        <v>0.31270919472337072</v>
      </c>
      <c r="R6" s="31">
        <f>IFERROR(Serie_Historica!U10/Serie_Historica!U8,"")</f>
        <v>0.29484275759707779</v>
      </c>
      <c r="S6" s="31">
        <f>IFERROR(Serie_Historica!V10/Serie_Historica!V8,"")</f>
        <v>0.30729065603556244</v>
      </c>
      <c r="T6" s="31">
        <f>IFERROR(Serie_Historica!W10/Serie_Historica!W8,"")</f>
        <v>0.32085428000826388</v>
      </c>
      <c r="U6" s="31">
        <f>IFERROR(Serie_Historica!X10/Serie_Historica!X8,"")</f>
        <v>0.32834345315087454</v>
      </c>
      <c r="V6" s="31">
        <f>IFERROR(Serie_Historica!Y10/Serie_Historica!Y8,"")</f>
        <v>0.31466552384956864</v>
      </c>
      <c r="W6" s="31">
        <f>IFERROR(Serie_Historica!Z10/Serie_Historica!Z8,"")</f>
        <v>0.31879181800802908</v>
      </c>
      <c r="X6" s="19">
        <f>IFERROR((W6-D6)*100,"")</f>
        <v>5.6105250843849985</v>
      </c>
    </row>
    <row r="7" spans="1:24">
      <c r="A7" s="28" t="s">
        <v>233</v>
      </c>
      <c r="B7" s="28" t="s">
        <v>234</v>
      </c>
      <c r="C7" s="28" t="s">
        <v>506</v>
      </c>
      <c r="D7" s="31">
        <f>IFERROR(Serie_Historica!G11/Serie_Historica!G8,"")</f>
        <v>0.52574115722756087</v>
      </c>
      <c r="E7" s="31">
        <f>IFERROR(Serie_Historica!H11/Serie_Historica!H8,"")</f>
        <v>0.52222633136094676</v>
      </c>
      <c r="F7" s="31">
        <f>IFERROR(Serie_Historica!I11/Serie_Historica!I8,"")</f>
        <v>0.504741655698424</v>
      </c>
      <c r="G7" s="31">
        <f>IFERROR(Serie_Historica!J11/Serie_Historica!J8,"")</f>
        <v>0.53252457644844176</v>
      </c>
      <c r="H7" s="31">
        <f>IFERROR(Serie_Historica!K11/Serie_Historica!K8,"")</f>
        <v>0.54172700455886291</v>
      </c>
      <c r="I7" s="31">
        <f>IFERROR(Serie_Historica!L11/Serie_Historica!L8,"")</f>
        <v>0.57236744941662976</v>
      </c>
      <c r="J7" s="31">
        <f>IFERROR(Serie_Historica!M11/Serie_Historica!M8,"")</f>
        <v>0.58165434176150199</v>
      </c>
      <c r="K7" s="31">
        <f>IFERROR(Serie_Historica!N11/Serie_Historica!N8,"")</f>
        <v>0.56026741564144156</v>
      </c>
      <c r="L7" s="31">
        <f>IFERROR(Serie_Historica!O11/Serie_Historica!O8,"")</f>
        <v>0.56551399670665725</v>
      </c>
      <c r="M7" s="31">
        <f>IFERROR(Serie_Historica!P11/Serie_Historica!P8,"")</f>
        <v>0.52984126984126989</v>
      </c>
      <c r="N7" s="31">
        <f>IFERROR(Serie_Historica!Q11/Serie_Historica!Q8,"")</f>
        <v>0.47778581490082611</v>
      </c>
      <c r="O7" s="31">
        <f>IFERROR(Serie_Historica!R11/Serie_Historica!R8,"")</f>
        <v>0.48320454365460985</v>
      </c>
      <c r="P7" s="31">
        <f>IFERROR(Serie_Historica!S11/Serie_Historica!S8,"")</f>
        <v>0.47294648005451589</v>
      </c>
      <c r="Q7" s="31">
        <f>IFERROR(Serie_Historica!T11/Serie_Historica!T8,"")</f>
        <v>0.48341208899389643</v>
      </c>
      <c r="R7" s="31">
        <f>IFERROR(Serie_Historica!U11/Serie_Historica!U8,"")</f>
        <v>0.49186079011536571</v>
      </c>
      <c r="S7" s="31">
        <f>IFERROR(Serie_Historica!V11/Serie_Historica!V8,"")</f>
        <v>0.49148864859143748</v>
      </c>
      <c r="T7" s="31">
        <f>IFERROR(Serie_Historica!W11/Serie_Historica!W8,"")</f>
        <v>0.47626713036292267</v>
      </c>
      <c r="U7" s="31">
        <f>IFERROR(Serie_Historica!X11/Serie_Historica!X8,"")</f>
        <v>0.49479728783397459</v>
      </c>
      <c r="V7" s="31">
        <f>IFERROR(Serie_Historica!Y11/Serie_Historica!Y8,"")</f>
        <v>0.50154037729136181</v>
      </c>
      <c r="W7" s="31">
        <f>IFERROR(Serie_Historica!Z11/Serie_Historica!Z8,"")</f>
        <v>0.48292104760084115</v>
      </c>
      <c r="X7" s="19">
        <f>IFERROR((W7-D7)*100,"")</f>
        <v>-4.2820109626719729</v>
      </c>
    </row>
    <row r="8" spans="1:24">
      <c r="A8" s="28" t="s">
        <v>113</v>
      </c>
      <c r="B8" s="28" t="s">
        <v>114</v>
      </c>
      <c r="C8" s="28" t="s">
        <v>504</v>
      </c>
      <c r="D8" s="31">
        <f>IFERROR(Serie_Historica!G19/Serie_Historica!G18,"")</f>
        <v>0.41191830787935996</v>
      </c>
      <c r="E8" s="31">
        <f>IFERROR(Serie_Historica!H19/Serie_Historica!H18,"")</f>
        <v>0.32670448394569901</v>
      </c>
      <c r="F8" s="31">
        <f>IFERROR(Serie_Historica!I19/Serie_Historica!I18,"")</f>
        <v>0.32214021063687021</v>
      </c>
      <c r="G8" s="31">
        <f>IFERROR(Serie_Historica!J19/Serie_Historica!J18,"")</f>
        <v>0.37925040695909912</v>
      </c>
      <c r="H8" s="31">
        <f>IFERROR(Serie_Historica!K19/Serie_Historica!K18,"")</f>
        <v>0.35545532882313036</v>
      </c>
      <c r="I8" s="31">
        <f>IFERROR(Serie_Historica!L19/Serie_Historica!L18,"")</f>
        <v>0.33314219436226916</v>
      </c>
      <c r="J8" s="31">
        <f>IFERROR(Serie_Historica!M19/Serie_Historica!M18,"")</f>
        <v>0.35447848094548823</v>
      </c>
      <c r="K8" s="31">
        <f>IFERROR(Serie_Historica!N19/Serie_Historica!N18,"")</f>
        <v>0.24683414478169324</v>
      </c>
      <c r="L8" s="31">
        <f>IFERROR(Serie_Historica!O19/Serie_Historica!O18,"")</f>
        <v>0.2992894244554215</v>
      </c>
      <c r="M8" s="31">
        <f>IFERROR(Serie_Historica!P19/Serie_Historica!P18,"")</f>
        <v>0.36457018810278713</v>
      </c>
      <c r="N8" s="31">
        <f>IFERROR(Serie_Historica!Q19/Serie_Historica!Q18,"")</f>
        <v>0.35696171410099392</v>
      </c>
      <c r="O8" s="31">
        <f>IFERROR(Serie_Historica!R19/Serie_Historica!R18,"")</f>
        <v>0.35012550096017364</v>
      </c>
      <c r="P8" s="31">
        <f>IFERROR(Serie_Historica!S19/Serie_Historica!S18,"")</f>
        <v>0.32970141073940223</v>
      </c>
      <c r="Q8" s="31">
        <f>IFERROR(Serie_Historica!T19/Serie_Historica!T18,"")</f>
        <v>0.27902597459775164</v>
      </c>
      <c r="R8" s="31">
        <f>IFERROR(Serie_Historica!U19/Serie_Historica!U18,"")</f>
        <v>0.17207765995651533</v>
      </c>
      <c r="S8" s="31">
        <f>IFERROR(Serie_Historica!V19/Serie_Historica!V18,"")</f>
        <v>0.20392964780222181</v>
      </c>
      <c r="T8" s="31">
        <f>IFERROR(Serie_Historica!W19/Serie_Historica!W18,"")</f>
        <v>0.30575055770084375</v>
      </c>
      <c r="U8" s="31">
        <f>IFERROR(Serie_Historica!X19/Serie_Historica!X18,"")</f>
        <v>0.32165551566784323</v>
      </c>
      <c r="V8" s="31">
        <f>IFERROR(Serie_Historica!Y19/Serie_Historica!Y18,"")</f>
        <v>0.24603410714054735</v>
      </c>
      <c r="W8" s="31">
        <f>IFERROR(Serie_Historica!Z19/Serie_Historica!Z18,"")</f>
        <v>0.35316372056579171</v>
      </c>
      <c r="X8" s="19">
        <f>IFERROR((W8-D8)*100,"")</f>
        <v>-5.8754587313568249</v>
      </c>
    </row>
    <row r="9" spans="1:24">
      <c r="A9" s="28" t="s">
        <v>113</v>
      </c>
      <c r="B9" s="28" t="s">
        <v>114</v>
      </c>
      <c r="C9" s="28" t="s">
        <v>505</v>
      </c>
      <c r="D9" s="31">
        <f>IFERROR(Serie_Historica!G20/Serie_Historica!G18,"")</f>
        <v>0.28478866447439299</v>
      </c>
      <c r="E9" s="31">
        <f>IFERROR(Serie_Historica!H20/Serie_Historica!H18,"")</f>
        <v>0.31208456925108796</v>
      </c>
      <c r="F9" s="31">
        <f>IFERROR(Serie_Historica!I20/Serie_Historica!I18,"")</f>
        <v>0.32470752983049861</v>
      </c>
      <c r="G9" s="31">
        <f>IFERROR(Serie_Historica!J20/Serie_Historica!J18,"")</f>
        <v>0.29332192928174183</v>
      </c>
      <c r="H9" s="31">
        <f>IFERROR(Serie_Historica!K20/Serie_Historica!K18,"")</f>
        <v>0.30804686210879489</v>
      </c>
      <c r="I9" s="31">
        <f>IFERROR(Serie_Historica!L20/Serie_Historica!L18,"")</f>
        <v>0.31632087889174149</v>
      </c>
      <c r="J9" s="31">
        <f>IFERROR(Serie_Historica!M20/Serie_Historica!M18,"")</f>
        <v>0.29297104162306059</v>
      </c>
      <c r="K9" s="31">
        <f>IFERROR(Serie_Historica!N20/Serie_Historica!N18,"")</f>
        <v>0.34031058261388936</v>
      </c>
      <c r="L9" s="31">
        <f>IFERROR(Serie_Historica!O20/Serie_Historica!O18,"")</f>
        <v>0.33763504897664154</v>
      </c>
      <c r="M9" s="31">
        <f>IFERROR(Serie_Historica!P20/Serie_Historica!P18,"")</f>
        <v>0.33409655779939662</v>
      </c>
      <c r="N9" s="31">
        <f>IFERROR(Serie_Historica!Q20/Serie_Historica!Q18,"")</f>
        <v>0.36202613099492953</v>
      </c>
      <c r="O9" s="31">
        <f>IFERROR(Serie_Historica!R20/Serie_Historica!R18,"")</f>
        <v>0.36968773482508138</v>
      </c>
      <c r="P9" s="31">
        <f>IFERROR(Serie_Historica!S20/Serie_Historica!S18,"")</f>
        <v>0.37546900090830004</v>
      </c>
      <c r="Q9" s="31">
        <f>IFERROR(Serie_Historica!T20/Serie_Historica!T18,"")</f>
        <v>0.40712530928878987</v>
      </c>
      <c r="R9" s="31">
        <f>IFERROR(Serie_Historica!U20/Serie_Historica!U18,"")</f>
        <v>0.44906279666042143</v>
      </c>
      <c r="S9" s="31">
        <f>IFERROR(Serie_Historica!V20/Serie_Historica!V18,"")</f>
        <v>0.4486068847701275</v>
      </c>
      <c r="T9" s="31">
        <f>IFERROR(Serie_Historica!W20/Serie_Historica!W18,"")</f>
        <v>0.41815466268386031</v>
      </c>
      <c r="U9" s="31">
        <f>IFERROR(Serie_Historica!X20/Serie_Historica!X18,"")</f>
        <v>0.40787318216141227</v>
      </c>
      <c r="V9" s="31">
        <f>IFERROR(Serie_Historica!Y20/Serie_Historica!Y18,"")</f>
        <v>0.43635538834798965</v>
      </c>
      <c r="W9" s="31">
        <f>IFERROR(Serie_Historica!Z20/Serie_Historica!Z18,"")</f>
        <v>0.37933144073396213</v>
      </c>
      <c r="X9" s="19">
        <f>IFERROR((W9-D9)*100,"")</f>
        <v>9.4542776259569141</v>
      </c>
    </row>
    <row r="10" spans="1:24">
      <c r="A10" s="28" t="s">
        <v>113</v>
      </c>
      <c r="B10" s="28" t="s">
        <v>114</v>
      </c>
      <c r="C10" s="28" t="s">
        <v>506</v>
      </c>
      <c r="D10" s="31">
        <f>IFERROR(Serie_Historica!G21/Serie_Historica!G18,"")</f>
        <v>0.26614065778470913</v>
      </c>
      <c r="E10" s="31">
        <f>IFERROR(Serie_Historica!H21/Serie_Historica!H18,"")</f>
        <v>0.30527529391387187</v>
      </c>
      <c r="F10" s="31">
        <f>IFERROR(Serie_Historica!I21/Serie_Historica!I18,"")</f>
        <v>0.30361953107525941</v>
      </c>
      <c r="G10" s="31">
        <f>IFERROR(Serie_Historica!J21/Serie_Historica!J18,"")</f>
        <v>0.28457969894880397</v>
      </c>
      <c r="H10" s="31">
        <f>IFERROR(Serie_Historica!K21/Serie_Historica!K18,"")</f>
        <v>0.29672368589919879</v>
      </c>
      <c r="I10" s="31">
        <f>IFERROR(Serie_Historica!L21/Serie_Historica!L18,"")</f>
        <v>0.31675745767792213</v>
      </c>
      <c r="J10" s="31">
        <f>IFERROR(Serie_Historica!M21/Serie_Historica!M18,"")</f>
        <v>0.32395175863990261</v>
      </c>
      <c r="K10" s="31">
        <f>IFERROR(Serie_Historica!N21/Serie_Historica!N18,"")</f>
        <v>0.37132057941636049</v>
      </c>
      <c r="L10" s="31">
        <f>IFERROR(Serie_Historica!O21/Serie_Historica!O18,"")</f>
        <v>0.33200615720073101</v>
      </c>
      <c r="M10" s="31">
        <f>IFERROR(Serie_Historica!P21/Serie_Historica!P18,"")</f>
        <v>0.27546169254055869</v>
      </c>
      <c r="N10" s="31">
        <f>IFERROR(Serie_Historica!Q21/Serie_Historica!Q18,"")</f>
        <v>0.25946751533970447</v>
      </c>
      <c r="O10" s="31">
        <f>IFERROR(Serie_Historica!R21/Serie_Historica!R18,"")</f>
        <v>0.25878767637972783</v>
      </c>
      <c r="P10" s="31">
        <f>IFERROR(Serie_Historica!S21/Serie_Historica!S18,"")</f>
        <v>0.27303677529219539</v>
      </c>
      <c r="Q10" s="31">
        <f>IFERROR(Serie_Historica!T21/Serie_Historica!T18,"")</f>
        <v>0.29084907713382535</v>
      </c>
      <c r="R10" s="31">
        <f>IFERROR(Serie_Historica!U21/Serie_Historica!U18,"")</f>
        <v>0.3513447677801379</v>
      </c>
      <c r="S10" s="31">
        <f>IFERROR(Serie_Historica!V21/Serie_Historica!V18,"")</f>
        <v>0.32179481579624264</v>
      </c>
      <c r="T10" s="31">
        <f>IFERROR(Serie_Historica!W21/Serie_Historica!W18,"")</f>
        <v>0.25602897948842018</v>
      </c>
      <c r="U10" s="31">
        <f>IFERROR(Serie_Historica!X21/Serie_Historica!X18,"")</f>
        <v>0.24512462610496072</v>
      </c>
      <c r="V10" s="31">
        <f>IFERROR(Serie_Historica!Y21/Serie_Historica!Y18,"")</f>
        <v>0.28956977107305004</v>
      </c>
      <c r="W10" s="31">
        <f>IFERROR(Serie_Historica!Z21/Serie_Historica!Z18,"")</f>
        <v>0.24189042609799025</v>
      </c>
      <c r="X10" s="19">
        <f>IFERROR((W10-D10)*100,"")</f>
        <v>-2.4250231686718888</v>
      </c>
    </row>
    <row r="11" spans="1:24">
      <c r="A11" s="28" t="s">
        <v>241</v>
      </c>
      <c r="B11" s="28" t="s">
        <v>242</v>
      </c>
      <c r="C11" s="28" t="s">
        <v>504</v>
      </c>
      <c r="D11" s="31">
        <f>IFERROR(Serie_Historica!G29/Serie_Historica!G28,"")</f>
        <v>8.6540588365405888E-2</v>
      </c>
      <c r="E11" s="31">
        <f>IFERROR(Serie_Historica!H29/Serie_Historica!H28,"")</f>
        <v>8.4232365145228222E-2</v>
      </c>
      <c r="F11" s="31">
        <f>IFERROR(Serie_Historica!I29/Serie_Historica!I28,"")</f>
        <v>0.10298255486775464</v>
      </c>
      <c r="G11" s="31">
        <f>IFERROR(Serie_Historica!J29/Serie_Historica!J28,"")</f>
        <v>5.1363704480743295E-2</v>
      </c>
      <c r="H11" s="31">
        <f>IFERROR(Serie_Historica!K29/Serie_Historica!K28,"")</f>
        <v>3.6818695283818127E-2</v>
      </c>
      <c r="I11" s="31">
        <f>IFERROR(Serie_Historica!L29/Serie_Historica!L28,"")</f>
        <v>4.2807897210905672E-2</v>
      </c>
      <c r="J11" s="31">
        <f>IFERROR(Serie_Historica!M29/Serie_Historica!M28,"")</f>
        <v>3.6140481048661348E-2</v>
      </c>
      <c r="K11" s="31">
        <f>IFERROR(Serie_Historica!N29/Serie_Historica!N28,"")</f>
        <v>3.8039592732292973E-2</v>
      </c>
      <c r="L11" s="31">
        <f>IFERROR(Serie_Historica!O29/Serie_Historica!O28,"")</f>
        <v>4.9689713396048503E-2</v>
      </c>
      <c r="M11" s="31">
        <f>IFERROR(Serie_Historica!P29/Serie_Historica!P28,"")</f>
        <v>3.8147531206942642E-2</v>
      </c>
      <c r="N11" s="31">
        <f>IFERROR(Serie_Historica!Q29/Serie_Historica!Q28,"")</f>
        <v>4.1907383595631779E-2</v>
      </c>
      <c r="O11" s="31">
        <f>IFERROR(Serie_Historica!R29/Serie_Historica!R28,"")</f>
        <v>3.4809517701385323E-2</v>
      </c>
      <c r="P11" s="31">
        <f>IFERROR(Serie_Historica!S29/Serie_Historica!S28,"")</f>
        <v>3.2247994255923576E-2</v>
      </c>
      <c r="Q11" s="31">
        <f>IFERROR(Serie_Historica!T29/Serie_Historica!T28,"")</f>
        <v>4.0225659398687219E-2</v>
      </c>
      <c r="R11" s="31">
        <f>IFERROR(Serie_Historica!U29/Serie_Historica!U28,"")</f>
        <v>4.2698694772964028E-2</v>
      </c>
      <c r="S11" s="31">
        <f>IFERROR(Serie_Historica!V29/Serie_Historica!V28,"")</f>
        <v>3.8387343600133635E-2</v>
      </c>
      <c r="T11" s="31">
        <f>IFERROR(Serie_Historica!W29/Serie_Historica!W28,"")</f>
        <v>4.0037872192234022E-2</v>
      </c>
      <c r="U11" s="31">
        <f>IFERROR(Serie_Historica!X29/Serie_Historica!X28,"")</f>
        <v>4.4101948903551132E-2</v>
      </c>
      <c r="V11" s="31">
        <f>IFERROR(Serie_Historica!Y29/Serie_Historica!Y28,"")</f>
        <v>0.2199034175334324</v>
      </c>
      <c r="W11" s="31">
        <f>IFERROR(Serie_Historica!Z29/Serie_Historica!Z28,"")</f>
        <v>0.16253295354686223</v>
      </c>
      <c r="X11" s="19">
        <f>IFERROR((W11-D11)*100,"")</f>
        <v>7.5992365181456343</v>
      </c>
    </row>
    <row r="12" spans="1:24">
      <c r="A12" s="28" t="s">
        <v>241</v>
      </c>
      <c r="B12" s="28" t="s">
        <v>242</v>
      </c>
      <c r="C12" s="28" t="s">
        <v>505</v>
      </c>
      <c r="D12" s="31">
        <f>IFERROR(Serie_Historica!G30/Serie_Historica!G28,"")</f>
        <v>0.20664675956646761</v>
      </c>
      <c r="E12" s="31">
        <f>IFERROR(Serie_Historica!H30/Serie_Historica!H28,"")</f>
        <v>0.20267404333794375</v>
      </c>
      <c r="F12" s="31">
        <f>IFERROR(Serie_Historica!I30/Serie_Historica!I28,"")</f>
        <v>0.20435726344561461</v>
      </c>
      <c r="G12" s="31">
        <f>IFERROR(Serie_Historica!J30/Serie_Historica!J28,"")</f>
        <v>0.20455567211149409</v>
      </c>
      <c r="H12" s="31">
        <f>IFERROR(Serie_Historica!K30/Serie_Historica!K28,"")</f>
        <v>0.20520333239197966</v>
      </c>
      <c r="I12" s="31">
        <f>IFERROR(Serie_Historica!L30/Serie_Historica!L28,"")</f>
        <v>0.20795988718270134</v>
      </c>
      <c r="J12" s="31">
        <f>IFERROR(Serie_Historica!M30/Serie_Historica!M28,"")</f>
        <v>0.18682371854325111</v>
      </c>
      <c r="K12" s="31">
        <f>IFERROR(Serie_Historica!N30/Serie_Historica!N28,"")</f>
        <v>0.1921208983556443</v>
      </c>
      <c r="L12" s="31">
        <f>IFERROR(Serie_Historica!O30/Serie_Historica!O28,"")</f>
        <v>0.19873692520228933</v>
      </c>
      <c r="M12" s="31">
        <f>IFERROR(Serie_Historica!P30/Serie_Historica!P28,"")</f>
        <v>0.20949266868200794</v>
      </c>
      <c r="N12" s="31">
        <f>IFERROR(Serie_Historica!Q30/Serie_Historica!Q28,"")</f>
        <v>0.21962439103899162</v>
      </c>
      <c r="O12" s="31">
        <f>IFERROR(Serie_Historica!R30/Serie_Historica!R28,"")</f>
        <v>0.22054579271421243</v>
      </c>
      <c r="P12" s="31">
        <f>IFERROR(Serie_Historica!S30/Serie_Historica!S28,"")</f>
        <v>0.21783785471232792</v>
      </c>
      <c r="Q12" s="31">
        <f>IFERROR(Serie_Historica!T30/Serie_Historica!T28,"")</f>
        <v>0.23350667753967086</v>
      </c>
      <c r="R12" s="31">
        <f>IFERROR(Serie_Historica!U30/Serie_Historica!U28,"")</f>
        <v>0.23147251669832711</v>
      </c>
      <c r="S12" s="31">
        <f>IFERROR(Serie_Historica!V30/Serie_Historica!V28,"")</f>
        <v>0.23149874449030616</v>
      </c>
      <c r="T12" s="31">
        <f>IFERROR(Serie_Historica!W30/Serie_Historica!W28,"")</f>
        <v>0.21935399616924953</v>
      </c>
      <c r="U12" s="31">
        <f>IFERROR(Serie_Historica!X30/Serie_Historica!X28,"")</f>
        <v>0.21874078667791752</v>
      </c>
      <c r="V12" s="31">
        <f>IFERROR(Serie_Historica!Y30/Serie_Historica!Y28,"")</f>
        <v>0.19685735512630015</v>
      </c>
      <c r="W12" s="31">
        <f>IFERROR(Serie_Historica!Z30/Serie_Historica!Z28,"")</f>
        <v>0.21675100754522592</v>
      </c>
      <c r="X12" s="19">
        <f>IFERROR((W12-D12)*100,"")</f>
        <v>1.0104247978758307</v>
      </c>
    </row>
    <row r="13" spans="1:24">
      <c r="A13" s="28" t="s">
        <v>241</v>
      </c>
      <c r="B13" s="28" t="s">
        <v>242</v>
      </c>
      <c r="C13" s="28" t="s">
        <v>506</v>
      </c>
      <c r="D13" s="31">
        <f>IFERROR(Serie_Historica!G31/Serie_Historica!G28,"")</f>
        <v>0.63536828135368284</v>
      </c>
      <c r="E13" s="31">
        <f>IFERROR(Serie_Historica!H31/Serie_Historica!H28,"")</f>
        <v>0.58990318118948826</v>
      </c>
      <c r="F13" s="31">
        <f>IFERROR(Serie_Historica!I31/Serie_Historica!I28,"")</f>
        <v>0.56901680199372939</v>
      </c>
      <c r="G13" s="31">
        <f>IFERROR(Serie_Historica!J31/Serie_Historica!J28,"")</f>
        <v>0.63674509216244568</v>
      </c>
      <c r="H13" s="31">
        <f>IFERROR(Serie_Historica!K31/Serie_Historica!K28,"")</f>
        <v>0.65970064953402996</v>
      </c>
      <c r="I13" s="31">
        <f>IFERROR(Serie_Historica!L31/Serie_Historica!L28,"")</f>
        <v>0.65615794421811346</v>
      </c>
      <c r="J13" s="31">
        <f>IFERROR(Serie_Historica!M31/Serie_Historica!M28,"")</f>
        <v>0.69912817659061399</v>
      </c>
      <c r="K13" s="31">
        <f>IFERROR(Serie_Historica!N31/Serie_Historica!N28,"")</f>
        <v>0.68488524024357178</v>
      </c>
      <c r="L13" s="31">
        <f>IFERROR(Serie_Historica!O31/Serie_Historica!O28,"")</f>
        <v>0.6907221016161218</v>
      </c>
      <c r="M13" s="31">
        <f>IFERROR(Serie_Historica!P31/Serie_Historica!P28,"")</f>
        <v>0.67413165525325436</v>
      </c>
      <c r="N13" s="31">
        <f>IFERROR(Serie_Historica!Q31/Serie_Historica!Q28,"")</f>
        <v>0.67645833710632597</v>
      </c>
      <c r="O13" s="31">
        <f>IFERROR(Serie_Historica!R31/Serie_Historica!R28,"")</f>
        <v>0.68578437660338631</v>
      </c>
      <c r="P13" s="31">
        <f>IFERROR(Serie_Historica!S31/Serie_Historica!S28,"")</f>
        <v>0.6873380576280711</v>
      </c>
      <c r="Q13" s="31">
        <f>IFERROR(Serie_Historica!T31/Serie_Historica!T28,"")</f>
        <v>0.66455890806518458</v>
      </c>
      <c r="R13" s="31">
        <f>IFERROR(Serie_Historica!U31/Serie_Historica!U28,"")</f>
        <v>0.65203750229793489</v>
      </c>
      <c r="S13" s="31">
        <f>IFERROR(Serie_Historica!V31/Serie_Historica!V28,"")</f>
        <v>0.66154045112133719</v>
      </c>
      <c r="T13" s="31">
        <f>IFERROR(Serie_Historica!W31/Serie_Historica!W28,"")</f>
        <v>0.64469789308723668</v>
      </c>
      <c r="U13" s="31">
        <f>IFERROR(Serie_Historica!X31/Serie_Historica!X28,"")</f>
        <v>0.66547380620761876</v>
      </c>
      <c r="V13" s="31">
        <f>IFERROR(Serie_Historica!Y31/Serie_Historica!Y28,"")</f>
        <v>0.50596582466567608</v>
      </c>
      <c r="W13" s="31">
        <f>IFERROR(Serie_Historica!Z31/Serie_Historica!Z28,"")</f>
        <v>0.55346050119693346</v>
      </c>
      <c r="X13" s="19">
        <f>IFERROR((W13-D13)*100,"")</f>
        <v>-8.1907780156749368</v>
      </c>
    </row>
    <row r="14" spans="1:24">
      <c r="A14" s="28" t="s">
        <v>423</v>
      </c>
      <c r="B14" s="28" t="s">
        <v>424</v>
      </c>
      <c r="C14" s="28" t="s">
        <v>504</v>
      </c>
      <c r="D14" s="31">
        <f>IFERROR(Serie_Historica!G39/Serie_Historica!G38,"")</f>
        <v>5.2935665209244219E-2</v>
      </c>
      <c r="E14" s="31">
        <f>IFERROR(Serie_Historica!H39/Serie_Historica!H38,"")</f>
        <v>3.0899308224442736E-2</v>
      </c>
      <c r="F14" s="31">
        <f>IFERROR(Serie_Historica!I39/Serie_Historica!I38,"")</f>
        <v>3.4841165275947883E-2</v>
      </c>
      <c r="G14" s="31">
        <f>IFERROR(Serie_Historica!J39/Serie_Historica!J38,"")</f>
        <v>3.45648090169067E-2</v>
      </c>
      <c r="H14" s="31">
        <f>IFERROR(Serie_Historica!K39/Serie_Historica!K38,"")</f>
        <v>3.3348826400185917E-2</v>
      </c>
      <c r="I14" s="31">
        <f>IFERROR(Serie_Historica!L39/Serie_Historica!L38,"")</f>
        <v>3.4984055524291881E-2</v>
      </c>
      <c r="J14" s="31">
        <f>IFERROR(Serie_Historica!M39/Serie_Historica!M38,"")</f>
        <v>3.3678113363673975E-2</v>
      </c>
      <c r="K14" s="31">
        <f>IFERROR(Serie_Historica!N39/Serie_Historica!N38,"")</f>
        <v>4.3274167522370545E-2</v>
      </c>
      <c r="L14" s="31">
        <f>IFERROR(Serie_Historica!O39/Serie_Historica!O38,"")</f>
        <v>3.6508486317977137E-2</v>
      </c>
      <c r="M14" s="31">
        <f>IFERROR(Serie_Historica!P39/Serie_Historica!P38,"")</f>
        <v>2.8333333333333332E-2</v>
      </c>
      <c r="N14" s="31">
        <f>IFERROR(Serie_Historica!Q39/Serie_Historica!Q38,"")</f>
        <v>3.5745566017079046E-2</v>
      </c>
      <c r="O14" s="31">
        <f>IFERROR(Serie_Historica!R39/Serie_Historica!R38,"")</f>
        <v>3.4926087861753073E-2</v>
      </c>
      <c r="P14" s="31">
        <f>IFERROR(Serie_Historica!S39/Serie_Historica!S38,"")</f>
        <v>2.9858640253870566E-2</v>
      </c>
      <c r="Q14" s="31">
        <f>IFERROR(Serie_Historica!T39/Serie_Historica!T38,"")</f>
        <v>3.8890329271454499E-2</v>
      </c>
      <c r="R14" s="31">
        <f>IFERROR(Serie_Historica!U39/Serie_Historica!U38,"")</f>
        <v>3.9705451654742478E-2</v>
      </c>
      <c r="S14" s="31">
        <f>IFERROR(Serie_Historica!V39/Serie_Historica!V38,"")</f>
        <v>5.8610417840753562E-2</v>
      </c>
      <c r="T14" s="31">
        <f>IFERROR(Serie_Historica!W39/Serie_Historica!W38,"")</f>
        <v>3.8999854206152498E-2</v>
      </c>
      <c r="U14" s="31">
        <f>IFERROR(Serie_Historica!X39/Serie_Historica!X38,"")</f>
        <v>4.0715333947646835E-2</v>
      </c>
      <c r="V14" s="31">
        <f>IFERROR(Serie_Historica!Y39/Serie_Historica!Y38,"")</f>
        <v>2.5822032323982908E-2</v>
      </c>
      <c r="W14" s="31">
        <f>IFERROR(Serie_Historica!Z39/Serie_Historica!Z38,"")</f>
        <v>3.0277366080880795E-2</v>
      </c>
      <c r="X14" s="19">
        <f>IFERROR((W14-D14)*100,"")</f>
        <v>-2.2658299128363426</v>
      </c>
    </row>
    <row r="15" spans="1:24">
      <c r="A15" s="28" t="s">
        <v>423</v>
      </c>
      <c r="B15" s="28" t="s">
        <v>424</v>
      </c>
      <c r="C15" s="28" t="s">
        <v>505</v>
      </c>
      <c r="D15" s="31">
        <f>IFERROR(Serie_Historica!G40/Serie_Historica!G38,"")</f>
        <v>0.2056527170518426</v>
      </c>
      <c r="E15" s="31">
        <f>IFERROR(Serie_Historica!H40/Serie_Historica!H38,"")</f>
        <v>0.21229823212913143</v>
      </c>
      <c r="F15" s="31">
        <f>IFERROR(Serie_Historica!I40/Serie_Historica!I38,"")</f>
        <v>0.22383252818035426</v>
      </c>
      <c r="G15" s="31">
        <f>IFERROR(Serie_Historica!J40/Serie_Historica!J38,"")</f>
        <v>0.22116468378209142</v>
      </c>
      <c r="H15" s="31">
        <f>IFERROR(Serie_Historica!K40/Serie_Historica!K38,"")</f>
        <v>0.18765977225191727</v>
      </c>
      <c r="I15" s="31">
        <f>IFERROR(Serie_Historica!L40/Serie_Historica!L38,"")</f>
        <v>0.19199024573250797</v>
      </c>
      <c r="J15" s="31">
        <f>IFERROR(Serie_Historica!M40/Serie_Historica!M38,"")</f>
        <v>0.17070748862225898</v>
      </c>
      <c r="K15" s="31">
        <f>IFERROR(Serie_Historica!N40/Serie_Historica!N38,"")</f>
        <v>0.18028458266099456</v>
      </c>
      <c r="L15" s="31">
        <f>IFERROR(Serie_Historica!O40/Serie_Historica!O38,"")</f>
        <v>0.1886387253204018</v>
      </c>
      <c r="M15" s="31">
        <f>IFERROR(Serie_Historica!P40/Serie_Historica!P38,"")</f>
        <v>0.20685185185185184</v>
      </c>
      <c r="N15" s="31">
        <f>IFERROR(Serie_Historica!Q40/Serie_Historica!Q38,"")</f>
        <v>0.24074885044887234</v>
      </c>
      <c r="O15" s="31">
        <f>IFERROR(Serie_Historica!R40/Serie_Historica!R38,"")</f>
        <v>0.19643972517176764</v>
      </c>
      <c r="P15" s="31">
        <f>IFERROR(Serie_Historica!S40/Serie_Historica!S38,"")</f>
        <v>0.18424848543129146</v>
      </c>
      <c r="Q15" s="31">
        <f>IFERROR(Serie_Historica!T40/Serie_Historica!T38,"")</f>
        <v>0.20547057298418461</v>
      </c>
      <c r="R15" s="31">
        <f>IFERROR(Serie_Historica!U40/Serie_Historica!U38,"")</f>
        <v>0.2160997447805531</v>
      </c>
      <c r="S15" s="31">
        <f>IFERROR(Serie_Historica!V40/Serie_Historica!V38,"")</f>
        <v>0.20332501408904274</v>
      </c>
      <c r="T15" s="31">
        <f>IFERROR(Serie_Historica!W40/Serie_Historica!W38,"")</f>
        <v>0.26359527627934098</v>
      </c>
      <c r="U15" s="31">
        <f>IFERROR(Serie_Historica!X40/Serie_Historica!X38,"")</f>
        <v>0.27381318043752773</v>
      </c>
      <c r="V15" s="31">
        <f>IFERROR(Serie_Historica!Y40/Serie_Historica!Y38,"")</f>
        <v>0.28060561025450492</v>
      </c>
      <c r="W15" s="31">
        <f>IFERROR(Serie_Historica!Z40/Serie_Historica!Z38,"")</f>
        <v>0.26880614621457305</v>
      </c>
      <c r="X15" s="19">
        <f>IFERROR((W15-D15)*100,"")</f>
        <v>6.3153429162730452</v>
      </c>
    </row>
    <row r="16" spans="1:24">
      <c r="A16" s="28" t="s">
        <v>423</v>
      </c>
      <c r="B16" s="28" t="s">
        <v>424</v>
      </c>
      <c r="C16" s="28" t="s">
        <v>506</v>
      </c>
      <c r="D16" s="31">
        <f>IFERROR(Serie_Historica!G41/Serie_Historica!G38,"")</f>
        <v>0.65755777638975643</v>
      </c>
      <c r="E16" s="31">
        <f>IFERROR(Serie_Historica!H41/Serie_Historica!H38,"")</f>
        <v>0.66195234435049966</v>
      </c>
      <c r="F16" s="31">
        <f>IFERROR(Serie_Historica!I41/Serie_Historica!I38,"")</f>
        <v>0.65188113014199967</v>
      </c>
      <c r="G16" s="31">
        <f>IFERROR(Serie_Historica!J41/Serie_Historica!J38,"")</f>
        <v>0.67914840325610515</v>
      </c>
      <c r="H16" s="31">
        <f>IFERROR(Serie_Historica!K41/Serie_Historica!K38,"")</f>
        <v>0.70183592842203113</v>
      </c>
      <c r="I16" s="31">
        <f>IFERROR(Serie_Historica!L41/Serie_Historica!L38,"")</f>
        <v>0.71965860063777898</v>
      </c>
      <c r="J16" s="31">
        <f>IFERROR(Serie_Historica!M41/Serie_Historica!M38,"")</f>
        <v>0.71319817956143983</v>
      </c>
      <c r="K16" s="31">
        <f>IFERROR(Serie_Historica!N41/Serie_Historica!N38,"")</f>
        <v>0.70485550828810328</v>
      </c>
      <c r="L16" s="31">
        <f>IFERROR(Serie_Historica!O41/Serie_Historica!O38,"")</f>
        <v>0.71146518877727749</v>
      </c>
      <c r="M16" s="31">
        <f>IFERROR(Serie_Historica!P41/Serie_Historica!P38,"")</f>
        <v>0.71456790123456793</v>
      </c>
      <c r="N16" s="31">
        <f>IFERROR(Serie_Historica!Q41/Serie_Historica!Q38,"")</f>
        <v>0.69137289248959932</v>
      </c>
      <c r="O16" s="31">
        <f>IFERROR(Serie_Historica!R41/Serie_Historica!R38,"")</f>
        <v>0.73547782635852588</v>
      </c>
      <c r="P16" s="31">
        <f>IFERROR(Serie_Historica!S41/Serie_Historica!S38,"")</f>
        <v>0.74141744398499854</v>
      </c>
      <c r="Q16" s="31">
        <f>IFERROR(Serie_Historica!T41/Serie_Historica!T38,"")</f>
        <v>0.71942788004493996</v>
      </c>
      <c r="R16" s="31">
        <f>IFERROR(Serie_Historica!U41/Serie_Historica!U38,"")</f>
        <v>0.71612066440734701</v>
      </c>
      <c r="S16" s="31">
        <f>IFERROR(Serie_Historica!V41/Serie_Historica!V38,"")</f>
        <v>0.69901779244827311</v>
      </c>
      <c r="T16" s="31">
        <f>IFERROR(Serie_Historica!W41/Serie_Historica!W38,"")</f>
        <v>0.65964426301210088</v>
      </c>
      <c r="U16" s="31">
        <f>IFERROR(Serie_Historica!X41/Serie_Historica!X38,"")</f>
        <v>0.66007986075560565</v>
      </c>
      <c r="V16" s="31">
        <f>IFERROR(Serie_Historica!Y41/Serie_Historica!Y38,"")</f>
        <v>0.65880240262554957</v>
      </c>
      <c r="W16" s="31">
        <f>IFERROR(Serie_Historica!Z41/Serie_Historica!Z38,"")</f>
        <v>0.66658600768276821</v>
      </c>
      <c r="X16" s="19">
        <f>IFERROR((W16-D16)*100,"")</f>
        <v>0.90282312930117792</v>
      </c>
    </row>
    <row r="17" spans="1:24">
      <c r="A17" s="28" t="s">
        <v>227</v>
      </c>
      <c r="B17" s="28" t="s">
        <v>228</v>
      </c>
      <c r="C17" s="28" t="s">
        <v>504</v>
      </c>
      <c r="D17" s="31">
        <f>IFERROR(Serie_Historica!G49/Serie_Historica!G48,"")</f>
        <v>4.9430474962389857E-2</v>
      </c>
      <c r="E17" s="31">
        <f>IFERROR(Serie_Historica!H49/Serie_Historica!H48,"")</f>
        <v>3.6611966844524987E-2</v>
      </c>
      <c r="F17" s="31">
        <f>IFERROR(Serie_Historica!I49/Serie_Historica!I48,"")</f>
        <v>3.7727999999999998E-2</v>
      </c>
      <c r="G17" s="31">
        <f>IFERROR(Serie_Historica!J49/Serie_Historica!J48,"")</f>
        <v>3.720176811355462E-2</v>
      </c>
      <c r="H17" s="31">
        <f>IFERROR(Serie_Historica!K49/Serie_Historica!K48,"")</f>
        <v>3.2631928941243525E-2</v>
      </c>
      <c r="I17" s="31">
        <f>IFERROR(Serie_Historica!L49/Serie_Historica!L48,"")</f>
        <v>3.1182973106748061E-2</v>
      </c>
      <c r="J17" s="31">
        <f>IFERROR(Serie_Historica!M49/Serie_Historica!M48,"")</f>
        <v>2.9205382272429348E-2</v>
      </c>
      <c r="K17" s="31">
        <f>IFERROR(Serie_Historica!N49/Serie_Historica!N48,"")</f>
        <v>3.0883767320913334E-2</v>
      </c>
      <c r="L17" s="31">
        <f>IFERROR(Serie_Historica!O49/Serie_Historica!O48,"")</f>
        <v>3.8823850643366666E-2</v>
      </c>
      <c r="M17" s="31">
        <f>IFERROR(Serie_Historica!P49/Serie_Historica!P48,"")</f>
        <v>2.7049278486318183E-2</v>
      </c>
      <c r="N17" s="31">
        <f>IFERROR(Serie_Historica!Q49/Serie_Historica!Q48,"")</f>
        <v>2.8359189033899695E-2</v>
      </c>
      <c r="O17" s="31">
        <f>IFERROR(Serie_Historica!R49/Serie_Historica!R48,"")</f>
        <v>2.4315282109441453E-2</v>
      </c>
      <c r="P17" s="31">
        <f>IFERROR(Serie_Historica!S49/Serie_Historica!S48,"")</f>
        <v>2.1198636320188622E-2</v>
      </c>
      <c r="Q17" s="31">
        <f>IFERROR(Serie_Historica!T49/Serie_Historica!T48,"")</f>
        <v>2.1680799543758941E-2</v>
      </c>
      <c r="R17" s="31">
        <f>IFERROR(Serie_Historica!U49/Serie_Historica!U48,"")</f>
        <v>4.7859581546003678E-2</v>
      </c>
      <c r="S17" s="31">
        <f>IFERROR(Serie_Historica!V49/Serie_Historica!V48,"")</f>
        <v>2.4129400887881992E-2</v>
      </c>
      <c r="T17" s="31">
        <f>IFERROR(Serie_Historica!W49/Serie_Historica!W48,"")</f>
        <v>2.2937236342743094E-2</v>
      </c>
      <c r="U17" s="31">
        <f>IFERROR(Serie_Historica!X49/Serie_Historica!X48,"")</f>
        <v>3.2733899528934428E-2</v>
      </c>
      <c r="V17" s="31">
        <f>IFERROR(Serie_Historica!Y49/Serie_Historica!Y48,"")</f>
        <v>1.7560789963709512E-2</v>
      </c>
      <c r="W17" s="31">
        <f>IFERROR(Serie_Historica!Z49/Serie_Historica!Z48,"")</f>
        <v>2.1510954455332968E-2</v>
      </c>
      <c r="X17" s="19">
        <f>IFERROR((W17-D17)*100,"")</f>
        <v>-2.7919520507056887</v>
      </c>
    </row>
    <row r="18" spans="1:24">
      <c r="A18" s="28" t="s">
        <v>227</v>
      </c>
      <c r="B18" s="28" t="s">
        <v>228</v>
      </c>
      <c r="C18" s="28" t="s">
        <v>505</v>
      </c>
      <c r="D18" s="31">
        <f>IFERROR(Serie_Historica!G50/Serie_Historica!G48,"")</f>
        <v>0.3188982018769253</v>
      </c>
      <c r="E18" s="31">
        <f>IFERROR(Serie_Historica!H50/Serie_Historica!H48,"")</f>
        <v>0.32850095640793314</v>
      </c>
      <c r="F18" s="31">
        <f>IFERROR(Serie_Historica!I50/Serie_Historica!I48,"")</f>
        <v>0.31414399999999998</v>
      </c>
      <c r="G18" s="31">
        <f>IFERROR(Serie_Historica!J50/Serie_Historica!J48,"")</f>
        <v>0.30392883617494443</v>
      </c>
      <c r="H18" s="31">
        <f>IFERROR(Serie_Historica!K50/Serie_Historica!K48,"")</f>
        <v>0.33586662233410913</v>
      </c>
      <c r="I18" s="31">
        <f>IFERROR(Serie_Historica!L50/Serie_Historica!L48,"")</f>
        <v>0.29997112687675304</v>
      </c>
      <c r="J18" s="31">
        <f>IFERROR(Serie_Historica!M50/Serie_Historica!M48,"")</f>
        <v>0.27086787215175234</v>
      </c>
      <c r="K18" s="31">
        <f>IFERROR(Serie_Historica!N50/Serie_Historica!N48,"")</f>
        <v>0.26397250026716063</v>
      </c>
      <c r="L18" s="31">
        <f>IFERROR(Serie_Historica!O50/Serie_Historica!O48,"")</f>
        <v>0.2852998395849688</v>
      </c>
      <c r="M18" s="31">
        <f>IFERROR(Serie_Historica!P50/Serie_Historica!P48,"")</f>
        <v>0.30599964074007546</v>
      </c>
      <c r="N18" s="31">
        <f>IFERROR(Serie_Historica!Q50/Serie_Historica!Q48,"")</f>
        <v>0.34477003474787271</v>
      </c>
      <c r="O18" s="31">
        <f>IFERROR(Serie_Historica!R50/Serie_Historica!R48,"")</f>
        <v>0.36535299121066062</v>
      </c>
      <c r="P18" s="31">
        <f>IFERROR(Serie_Historica!S50/Serie_Historica!S48,"")</f>
        <v>0.33415465658421573</v>
      </c>
      <c r="Q18" s="31">
        <f>IFERROR(Serie_Historica!T50/Serie_Historica!T48,"")</f>
        <v>0.38443918811529437</v>
      </c>
      <c r="R18" s="31">
        <f>IFERROR(Serie_Historica!U50/Serie_Historica!U48,"")</f>
        <v>0.37743149785520441</v>
      </c>
      <c r="S18" s="31">
        <f>IFERROR(Serie_Historica!V50/Serie_Historica!V48,"")</f>
        <v>0.38366330448688585</v>
      </c>
      <c r="T18" s="31">
        <f>IFERROR(Serie_Historica!W50/Serie_Historica!W48,"")</f>
        <v>0.42740825861469373</v>
      </c>
      <c r="U18" s="31">
        <f>IFERROR(Serie_Historica!X50/Serie_Historica!X48,"")</f>
        <v>0.42944675583674313</v>
      </c>
      <c r="V18" s="31">
        <f>IFERROR(Serie_Historica!Y50/Serie_Historica!Y48,"")</f>
        <v>0.42592391230478571</v>
      </c>
      <c r="W18" s="31">
        <f>IFERROR(Serie_Historica!Z50/Serie_Historica!Z48,"")</f>
        <v>0.41344807737405753</v>
      </c>
      <c r="X18" s="19">
        <f>IFERROR((W18-D18)*100,"")</f>
        <v>9.4549875497132234</v>
      </c>
    </row>
    <row r="19" spans="1:24">
      <c r="A19" s="28" t="s">
        <v>227</v>
      </c>
      <c r="B19" s="28" t="s">
        <v>228</v>
      </c>
      <c r="C19" s="28" t="s">
        <v>506</v>
      </c>
      <c r="D19" s="31">
        <f>IFERROR(Serie_Historica!G51/Serie_Historica!G48,"")</f>
        <v>0.55670176946772687</v>
      </c>
      <c r="E19" s="31">
        <f>IFERROR(Serie_Historica!H51/Serie_Historica!H48,"")</f>
        <v>0.5408906339138897</v>
      </c>
      <c r="F19" s="31">
        <f>IFERROR(Serie_Historica!I51/Serie_Historica!I48,"")</f>
        <v>0.55167999999999995</v>
      </c>
      <c r="G19" s="31">
        <f>IFERROR(Serie_Historica!J51/Serie_Historica!J48,"")</f>
        <v>0.58377947999890178</v>
      </c>
      <c r="H19" s="31">
        <f>IFERROR(Serie_Historica!K51/Serie_Historica!K48,"")</f>
        <v>0.5480929083741034</v>
      </c>
      <c r="I19" s="31">
        <f>IFERROR(Serie_Historica!L51/Serie_Historica!L48,"")</f>
        <v>0.60944976076555024</v>
      </c>
      <c r="J19" s="31">
        <f>IFERROR(Serie_Historica!M51/Serie_Historica!M48,"")</f>
        <v>0.61074912287465788</v>
      </c>
      <c r="K19" s="31">
        <f>IFERROR(Serie_Historica!N51/Serie_Historica!N48,"")</f>
        <v>0.61803156057421726</v>
      </c>
      <c r="L19" s="31">
        <f>IFERROR(Serie_Historica!O51/Serie_Historica!O48,"")</f>
        <v>0.61427011160790468</v>
      </c>
      <c r="M19" s="31">
        <f>IFERROR(Serie_Historica!P51/Serie_Historica!P48,"")</f>
        <v>0.60732890246093052</v>
      </c>
      <c r="N19" s="31">
        <f>IFERROR(Serie_Historica!Q51/Serie_Historica!Q48,"")</f>
        <v>0.58552901584174666</v>
      </c>
      <c r="O19" s="31">
        <f>IFERROR(Serie_Historica!R51/Serie_Historica!R48,"")</f>
        <v>0.57313297419903597</v>
      </c>
      <c r="P19" s="31">
        <f>IFERROR(Serie_Historica!S51/Serie_Historica!S48,"")</f>
        <v>0.57346771881007252</v>
      </c>
      <c r="Q19" s="31">
        <f>IFERROR(Serie_Historica!T51/Serie_Historica!T48,"")</f>
        <v>0.55730593393853833</v>
      </c>
      <c r="R19" s="31">
        <f>IFERROR(Serie_Historica!U51/Serie_Historica!U48,"")</f>
        <v>0.54675654381510985</v>
      </c>
      <c r="S19" s="31">
        <f>IFERROR(Serie_Historica!V51/Serie_Historica!V48,"")</f>
        <v>0.56288886482704625</v>
      </c>
      <c r="T19" s="31">
        <f>IFERROR(Serie_Historica!W51/Serie_Historica!W48,"")</f>
        <v>0.51544521221101658</v>
      </c>
      <c r="U19" s="31">
        <f>IFERROR(Serie_Historica!X51/Serie_Historica!X48,"")</f>
        <v>0.50748547261286658</v>
      </c>
      <c r="V19" s="31">
        <f>IFERROR(Serie_Historica!Y51/Serie_Historica!Y48,"")</f>
        <v>0.51789379255977053</v>
      </c>
      <c r="W19" s="31">
        <f>IFERROR(Serie_Historica!Z51/Serie_Historica!Z48,"")</f>
        <v>0.51700196846197033</v>
      </c>
      <c r="X19" s="19">
        <f>IFERROR((W19-D19)*100,"")</f>
        <v>-3.9699801005756541</v>
      </c>
    </row>
    <row r="20" spans="1:24">
      <c r="A20" s="28" t="s">
        <v>375</v>
      </c>
      <c r="B20" s="28" t="s">
        <v>376</v>
      </c>
      <c r="C20" s="28" t="s">
        <v>504</v>
      </c>
      <c r="D20" s="31">
        <f>IFERROR(Serie_Historica!G59/Serie_Historica!G58,"")</f>
        <v>5.5596196049743966E-2</v>
      </c>
      <c r="E20" s="31">
        <f>IFERROR(Serie_Historica!H59/Serie_Historica!H58,"")</f>
        <v>4.7161486420237278E-2</v>
      </c>
      <c r="F20" s="31">
        <f>IFERROR(Serie_Historica!I59/Serie_Historica!I58,"")</f>
        <v>5.0423958145408621E-2</v>
      </c>
      <c r="G20" s="31">
        <f>IFERROR(Serie_Historica!J59/Serie_Historica!J58,"")</f>
        <v>4.0229885057471264E-2</v>
      </c>
      <c r="H20" s="31">
        <f>IFERROR(Serie_Historica!K59/Serie_Historica!K58,"")</f>
        <v>4.0224850343115785E-2</v>
      </c>
      <c r="I20" s="31">
        <f>IFERROR(Serie_Historica!L59/Serie_Historica!L58,"")</f>
        <v>4.3235256327894128E-2</v>
      </c>
      <c r="J20" s="31">
        <f>IFERROR(Serie_Historica!M59/Serie_Historica!M58,"")</f>
        <v>3.8200684018317776E-2</v>
      </c>
      <c r="K20" s="31">
        <f>IFERROR(Serie_Historica!N59/Serie_Historica!N58,"")</f>
        <v>4.1088435374149662E-2</v>
      </c>
      <c r="L20" s="31">
        <f>IFERROR(Serie_Historica!O59/Serie_Historica!O58,"")</f>
        <v>3.7432277130192086E-2</v>
      </c>
      <c r="M20" s="31">
        <f>IFERROR(Serie_Historica!P59/Serie_Historica!P58,"")</f>
        <v>6.4078081901124545E-2</v>
      </c>
      <c r="N20" s="31">
        <f>IFERROR(Serie_Historica!Q59/Serie_Historica!Q58,"")</f>
        <v>7.0276990015927895E-2</v>
      </c>
      <c r="O20" s="31">
        <f>IFERROR(Serie_Historica!R59/Serie_Historica!R58,"")</f>
        <v>8.7014631401238038E-2</v>
      </c>
      <c r="P20" s="31">
        <f>IFERROR(Serie_Historica!S59/Serie_Historica!S58,"")</f>
        <v>7.2047377326565146E-2</v>
      </c>
      <c r="Q20" s="31">
        <f>IFERROR(Serie_Historica!T59/Serie_Historica!T58,"")</f>
        <v>7.3635300633885167E-2</v>
      </c>
      <c r="R20" s="31">
        <f>IFERROR(Serie_Historica!U59/Serie_Historica!U58,"")</f>
        <v>3.5929777750826231E-2</v>
      </c>
      <c r="S20" s="31">
        <f>IFERROR(Serie_Historica!V59/Serie_Historica!V58,"")</f>
        <v>3.1547363909129877E-2</v>
      </c>
      <c r="T20" s="31">
        <f>IFERROR(Serie_Historica!W59/Serie_Historica!W58,"")</f>
        <v>2.6404390127515179E-2</v>
      </c>
      <c r="U20" s="31">
        <f>IFERROR(Serie_Historica!X59/Serie_Historica!X58,"")</f>
        <v>5.177550920724857E-2</v>
      </c>
      <c r="V20" s="31">
        <f>IFERROR(Serie_Historica!Y59/Serie_Historica!Y58,"")</f>
        <v>9.5406983147923785E-2</v>
      </c>
      <c r="W20" s="31">
        <f>IFERROR(Serie_Historica!Z59/Serie_Historica!Z58,"")</f>
        <v>4.6827920990960829E-2</v>
      </c>
      <c r="X20" s="19">
        <f>IFERROR((W20-D20)*100,"")</f>
        <v>-0.87682750587831371</v>
      </c>
    </row>
    <row r="21" spans="1:24">
      <c r="A21" s="28" t="s">
        <v>375</v>
      </c>
      <c r="B21" s="28" t="s">
        <v>376</v>
      </c>
      <c r="C21" s="28" t="s">
        <v>505</v>
      </c>
      <c r="D21" s="31">
        <f>IFERROR(Serie_Historica!G60/Serie_Historica!G58,"")</f>
        <v>0.20890375169819209</v>
      </c>
      <c r="E21" s="31">
        <f>IFERROR(Serie_Historica!H60/Serie_Historica!H58,"")</f>
        <v>0.21051083439552898</v>
      </c>
      <c r="F21" s="31">
        <f>IFERROR(Serie_Historica!I60/Serie_Historica!I58,"")</f>
        <v>0.20683745264297312</v>
      </c>
      <c r="G21" s="31">
        <f>IFERROR(Serie_Historica!J60/Serie_Historica!J58,"")</f>
        <v>0.21405963684824256</v>
      </c>
      <c r="H21" s="31">
        <f>IFERROR(Serie_Historica!K60/Serie_Historica!K58,"")</f>
        <v>0.21784202073295372</v>
      </c>
      <c r="I21" s="31">
        <f>IFERROR(Serie_Historica!L60/Serie_Historica!L58,"")</f>
        <v>0.20731080560195297</v>
      </c>
      <c r="J21" s="31">
        <f>IFERROR(Serie_Historica!M60/Serie_Historica!M58,"")</f>
        <v>0.17564199176859313</v>
      </c>
      <c r="K21" s="31">
        <f>IFERROR(Serie_Historica!N60/Serie_Historica!N58,"")</f>
        <v>0.18552380952380954</v>
      </c>
      <c r="L21" s="31">
        <f>IFERROR(Serie_Historica!O60/Serie_Historica!O58,"")</f>
        <v>0.19422098177639141</v>
      </c>
      <c r="M21" s="31">
        <f>IFERROR(Serie_Historica!P60/Serie_Historica!P58,"")</f>
        <v>0.18705707617228942</v>
      </c>
      <c r="N21" s="31">
        <f>IFERROR(Serie_Historica!Q60/Serie_Historica!Q58,"")</f>
        <v>0.22559341128938271</v>
      </c>
      <c r="O21" s="31">
        <f>IFERROR(Serie_Historica!R60/Serie_Historica!R58,"")</f>
        <v>0.21416010129431626</v>
      </c>
      <c r="P21" s="31">
        <f>IFERROR(Serie_Historica!S60/Serie_Historica!S58,"")</f>
        <v>0.20795262267343487</v>
      </c>
      <c r="Q21" s="31">
        <f>IFERROR(Serie_Historica!T60/Serie_Historica!T58,"")</f>
        <v>0.22715244015016309</v>
      </c>
      <c r="R21" s="31">
        <f>IFERROR(Serie_Historica!U60/Serie_Historica!U58,"")</f>
        <v>0.24677844819744701</v>
      </c>
      <c r="S21" s="31">
        <f>IFERROR(Serie_Historica!V60/Serie_Historica!V58,"")</f>
        <v>0.24289184169167025</v>
      </c>
      <c r="T21" s="31">
        <f>IFERROR(Serie_Historica!W60/Serie_Historica!W58,"")</f>
        <v>0.28188542191352295</v>
      </c>
      <c r="U21" s="31">
        <f>IFERROR(Serie_Historica!X60/Serie_Historica!X58,"")</f>
        <v>0.29365505788111168</v>
      </c>
      <c r="V21" s="31">
        <f>IFERROR(Serie_Historica!Y60/Serie_Historica!Y58,"")</f>
        <v>0.2760656459962551</v>
      </c>
      <c r="W21" s="31">
        <f>IFERROR(Serie_Historica!Z60/Serie_Historica!Z58,"")</f>
        <v>0.27109139604954802</v>
      </c>
      <c r="X21" s="19">
        <f>IFERROR((W21-D21)*100,"")</f>
        <v>6.2187644351355935</v>
      </c>
    </row>
    <row r="22" spans="1:24">
      <c r="A22" s="28" t="s">
        <v>375</v>
      </c>
      <c r="B22" s="28" t="s">
        <v>376</v>
      </c>
      <c r="C22" s="28" t="s">
        <v>506</v>
      </c>
      <c r="D22" s="31">
        <f>IFERROR(Serie_Historica!G61/Serie_Historica!G58,"")</f>
        <v>0.61364823910544464</v>
      </c>
      <c r="E22" s="31">
        <f>IFERROR(Serie_Historica!H61/Serie_Historica!H58,"")</f>
        <v>0.59731346210412783</v>
      </c>
      <c r="F22" s="31">
        <f>IFERROR(Serie_Historica!I61/Serie_Historica!I58,"")</f>
        <v>0.59994587768356489</v>
      </c>
      <c r="G22" s="31">
        <f>IFERROR(Serie_Historica!J61/Serie_Historica!J58,"")</f>
        <v>0.62818590704647681</v>
      </c>
      <c r="H22" s="31">
        <f>IFERROR(Serie_Historica!K61/Serie_Historica!K58,"")</f>
        <v>0.60556285589137104</v>
      </c>
      <c r="I22" s="31">
        <f>IFERROR(Serie_Historica!L61/Serie_Historica!L58,"")</f>
        <v>0.65109854811769241</v>
      </c>
      <c r="J22" s="31">
        <f>IFERROR(Serie_Historica!M61/Serie_Historica!M58,"")</f>
        <v>0.65242594632195239</v>
      </c>
      <c r="K22" s="31">
        <f>IFERROR(Serie_Historica!N61/Serie_Historica!N58,"")</f>
        <v>0.66536054421768709</v>
      </c>
      <c r="L22" s="31">
        <f>IFERROR(Serie_Historica!O61/Serie_Historica!O58,"")</f>
        <v>0.67410934165161718</v>
      </c>
      <c r="M22" s="31">
        <f>IFERROR(Serie_Historica!P61/Serie_Historica!P58,"")</f>
        <v>0.63662210906004668</v>
      </c>
      <c r="N22" s="31">
        <f>IFERROR(Serie_Historica!Q61/Serie_Historica!Q58,"")</f>
        <v>0.63330872926459736</v>
      </c>
      <c r="O22" s="31">
        <f>IFERROR(Serie_Historica!R61/Serie_Historica!R58,"")</f>
        <v>0.63048677546426557</v>
      </c>
      <c r="P22" s="31">
        <f>IFERROR(Serie_Historica!S61/Serie_Historica!S58,"")</f>
        <v>0.65184433164128597</v>
      </c>
      <c r="Q22" s="31">
        <f>IFERROR(Serie_Historica!T61/Serie_Historica!T58,"")</f>
        <v>0.64074712289987079</v>
      </c>
      <c r="R22" s="31">
        <f>IFERROR(Serie_Historica!U61/Serie_Historica!U58,"")</f>
        <v>0.65692368333282802</v>
      </c>
      <c r="S22" s="31">
        <f>IFERROR(Serie_Historica!V61/Serie_Historica!V58,"")</f>
        <v>0.66943849121303045</v>
      </c>
      <c r="T22" s="31">
        <f>IFERROR(Serie_Historica!W61/Serie_Historica!W58,"")</f>
        <v>0.6292781209405901</v>
      </c>
      <c r="U22" s="31">
        <f>IFERROR(Serie_Historica!X61/Serie_Historica!X58,"")</f>
        <v>0.60863087969520835</v>
      </c>
      <c r="V22" s="31">
        <f>IFERROR(Serie_Historica!Y61/Serie_Historica!Y58,"")</f>
        <v>0.57407203436501819</v>
      </c>
      <c r="W22" s="31">
        <f>IFERROR(Serie_Historica!Z61/Serie_Historica!Z58,"")</f>
        <v>0.62615082022095747</v>
      </c>
      <c r="X22" s="19">
        <f>IFERROR((W22-D22)*100,"")</f>
        <v>1.2502581115512834</v>
      </c>
    </row>
    <row r="23" spans="1:24">
      <c r="A23" s="28" t="s">
        <v>143</v>
      </c>
      <c r="B23" s="28" t="s">
        <v>144</v>
      </c>
      <c r="C23" s="28" t="s">
        <v>504</v>
      </c>
      <c r="D23" s="31">
        <f>IFERROR(Serie_Historica!G69/Serie_Historica!G68,"")</f>
        <v>0.70289872768565775</v>
      </c>
      <c r="E23" s="31">
        <f>IFERROR(Serie_Historica!H69/Serie_Historica!H68,"")</f>
        <v>0.66401221007458877</v>
      </c>
      <c r="F23" s="31">
        <f>IFERROR(Serie_Historica!I69/Serie_Historica!I68,"")</f>
        <v>0.60128440835503805</v>
      </c>
      <c r="G23" s="31">
        <f>IFERROR(Serie_Historica!J69/Serie_Historica!J68,"")</f>
        <v>0.65160543290586681</v>
      </c>
      <c r="H23" s="31">
        <f>IFERROR(Serie_Historica!K69/Serie_Historica!K68,"")</f>
        <v>0.66529979990056665</v>
      </c>
      <c r="I23" s="31">
        <f>IFERROR(Serie_Historica!L69/Serie_Historica!L68,"")</f>
        <v>0.68861341808157606</v>
      </c>
      <c r="J23" s="31">
        <f>IFERROR(Serie_Historica!M69/Serie_Historica!M68,"")</f>
        <v>0.67476804055359596</v>
      </c>
      <c r="K23" s="31">
        <f>IFERROR(Serie_Historica!N69/Serie_Historica!N68,"")</f>
        <v>0.51471858200738363</v>
      </c>
      <c r="L23" s="31">
        <f>IFERROR(Serie_Historica!O69/Serie_Historica!O68,"")</f>
        <v>0.54397922312556457</v>
      </c>
      <c r="M23" s="31">
        <f>IFERROR(Serie_Historica!P69/Serie_Historica!P68,"")</f>
        <v>0.5592041329517411</v>
      </c>
      <c r="N23" s="31">
        <f>IFERROR(Serie_Historica!Q69/Serie_Historica!Q68,"")</f>
        <v>0.59186175158292775</v>
      </c>
      <c r="O23" s="31">
        <f>IFERROR(Serie_Historica!R69/Serie_Historica!R68,"")</f>
        <v>0.59019658153861365</v>
      </c>
      <c r="P23" s="31">
        <f>IFERROR(Serie_Historica!S69/Serie_Historica!S68,"")</f>
        <v>0.66403690206507104</v>
      </c>
      <c r="Q23" s="31">
        <f>IFERROR(Serie_Historica!T69/Serie_Historica!T68,"")</f>
        <v>0.55279356516713229</v>
      </c>
      <c r="R23" s="31">
        <f>IFERROR(Serie_Historica!U69/Serie_Historica!U68,"")</f>
        <v>0.48483704276785689</v>
      </c>
      <c r="S23" s="31">
        <f>IFERROR(Serie_Historica!V69/Serie_Historica!V68,"")</f>
        <v>0.51025484103819474</v>
      </c>
      <c r="T23" s="31">
        <f>IFERROR(Serie_Historica!W69/Serie_Historica!W68,"")</f>
        <v>0.5512545789198261</v>
      </c>
      <c r="U23" s="31">
        <f>IFERROR(Serie_Historica!X69/Serie_Historica!X68,"")</f>
        <v>0.51723792677635749</v>
      </c>
      <c r="V23" s="31">
        <f>IFERROR(Serie_Historica!Y69/Serie_Historica!Y68,"")</f>
        <v>0.54411116672017101</v>
      </c>
      <c r="W23" s="31">
        <f>IFERROR(Serie_Historica!Z69/Serie_Historica!Z68,"")</f>
        <v>0.52828483298694362</v>
      </c>
      <c r="X23" s="19">
        <f>IFERROR((W23-D23)*100,"")</f>
        <v>-17.461389469871413</v>
      </c>
    </row>
    <row r="24" spans="1:24">
      <c r="A24" s="28" t="s">
        <v>143</v>
      </c>
      <c r="B24" s="28" t="s">
        <v>144</v>
      </c>
      <c r="C24" s="28" t="s">
        <v>505</v>
      </c>
      <c r="D24" s="31">
        <f>IFERROR(Serie_Historica!G70/Serie_Historica!G68,"")</f>
        <v>0.15228699113531466</v>
      </c>
      <c r="E24" s="31">
        <f>IFERROR(Serie_Historica!H70/Serie_Historica!H68,"")</f>
        <v>0.15765811791151527</v>
      </c>
      <c r="F24" s="31">
        <f>IFERROR(Serie_Historica!I70/Serie_Historica!I68,"")</f>
        <v>0.18869695112609161</v>
      </c>
      <c r="G24" s="31">
        <f>IFERROR(Serie_Historica!J70/Serie_Historica!J68,"")</f>
        <v>0.16408359420230453</v>
      </c>
      <c r="H24" s="31">
        <f>IFERROR(Serie_Historica!K70/Serie_Historica!K68,"")</f>
        <v>0.18971645047436303</v>
      </c>
      <c r="I24" s="31">
        <f>IFERROR(Serie_Historica!L70/Serie_Historica!L68,"")</f>
        <v>0.16835636401945464</v>
      </c>
      <c r="J24" s="31">
        <f>IFERROR(Serie_Historica!M70/Serie_Historica!M68,"")</f>
        <v>0.17877073806483879</v>
      </c>
      <c r="K24" s="31">
        <f>IFERROR(Serie_Historica!N70/Serie_Historica!N68,"")</f>
        <v>0.21593730434594874</v>
      </c>
      <c r="L24" s="31">
        <f>IFERROR(Serie_Historica!O70/Serie_Historica!O68,"")</f>
        <v>0.21736224028906956</v>
      </c>
      <c r="M24" s="31">
        <f>IFERROR(Serie_Historica!P70/Serie_Historica!P68,"")</f>
        <v>0.25140675979388671</v>
      </c>
      <c r="N24" s="31">
        <f>IFERROR(Serie_Historica!Q70/Serie_Historica!Q68,"")</f>
        <v>0.23269427548916233</v>
      </c>
      <c r="O24" s="31">
        <f>IFERROR(Serie_Historica!R70/Serie_Historica!R68,"")</f>
        <v>0.23037539046776095</v>
      </c>
      <c r="P24" s="31">
        <f>IFERROR(Serie_Historica!S70/Serie_Historica!S68,"")</f>
        <v>0.19372270921566695</v>
      </c>
      <c r="Q24" s="31">
        <f>IFERROR(Serie_Historica!T70/Serie_Historica!T68,"")</f>
        <v>0.2292264714382044</v>
      </c>
      <c r="R24" s="31">
        <f>IFERROR(Serie_Historica!U70/Serie_Historica!U68,"")</f>
        <v>0.20896231770785201</v>
      </c>
      <c r="S24" s="31">
        <f>IFERROR(Serie_Historica!V70/Serie_Historica!V68,"")</f>
        <v>0.24384343386791368</v>
      </c>
      <c r="T24" s="31">
        <f>IFERROR(Serie_Historica!W70/Serie_Historica!W68,"")</f>
        <v>0.23016177346301675</v>
      </c>
      <c r="U24" s="31">
        <f>IFERROR(Serie_Historica!X70/Serie_Historica!X68,"")</f>
        <v>0.24899820890209035</v>
      </c>
      <c r="V24" s="31">
        <f>IFERROR(Serie_Historica!Y70/Serie_Historica!Y68,"")</f>
        <v>0.22037936899447078</v>
      </c>
      <c r="W24" s="31">
        <f>IFERROR(Serie_Historica!Z70/Serie_Historica!Z68,"")</f>
        <v>0.24550763156159897</v>
      </c>
      <c r="X24" s="19">
        <f>IFERROR((W24-D24)*100,"")</f>
        <v>9.3220640426284298</v>
      </c>
    </row>
    <row r="25" spans="1:24">
      <c r="A25" s="28" t="s">
        <v>143</v>
      </c>
      <c r="B25" s="28" t="s">
        <v>144</v>
      </c>
      <c r="C25" s="28" t="s">
        <v>506</v>
      </c>
      <c r="D25" s="31">
        <f>IFERROR(Serie_Historica!G71/Serie_Historica!G68,"")</f>
        <v>8.7071723363207898E-2</v>
      </c>
      <c r="E25" s="31">
        <f>IFERROR(Serie_Historica!H71/Serie_Historica!H68,"")</f>
        <v>9.4934607131909682E-2</v>
      </c>
      <c r="F25" s="31">
        <f>IFERROR(Serie_Historica!I71/Serie_Historica!I68,"")</f>
        <v>0.10739364690260968</v>
      </c>
      <c r="G25" s="31">
        <f>IFERROR(Serie_Historica!J71/Serie_Historica!J68,"")</f>
        <v>9.7652947776679086E-2</v>
      </c>
      <c r="H25" s="31">
        <f>IFERROR(Serie_Historica!K71/Serie_Historica!K68,"")</f>
        <v>9.0369341644102402E-2</v>
      </c>
      <c r="I25" s="31">
        <f>IFERROR(Serie_Historica!L71/Serie_Historica!L68,"")</f>
        <v>9.6124874896844764E-2</v>
      </c>
      <c r="J25" s="31">
        <f>IFERROR(Serie_Historica!M71/Serie_Historica!M68,"")</f>
        <v>0.11472378924556824</v>
      </c>
      <c r="K25" s="31">
        <f>IFERROR(Serie_Historica!N71/Serie_Historica!N68,"")</f>
        <v>0.20397137243895594</v>
      </c>
      <c r="L25" s="31">
        <f>IFERROR(Serie_Historica!O71/Serie_Historica!O68,"")</f>
        <v>0.1873215898825655</v>
      </c>
      <c r="M25" s="31">
        <f>IFERROR(Serie_Historica!P71/Serie_Historica!P68,"")</f>
        <v>0.14882767234268501</v>
      </c>
      <c r="N25" s="31">
        <f>IFERROR(Serie_Historica!Q71/Serie_Historica!Q68,"")</f>
        <v>0.14282189660456154</v>
      </c>
      <c r="O25" s="31">
        <f>IFERROR(Serie_Historica!R71/Serie_Historica!R68,"")</f>
        <v>0.1489085734597268</v>
      </c>
      <c r="P25" s="31">
        <f>IFERROR(Serie_Historica!S71/Serie_Historica!S68,"")</f>
        <v>0.1199284283791326</v>
      </c>
      <c r="Q25" s="31">
        <f>IFERROR(Serie_Historica!T71/Serie_Historica!T68,"")</f>
        <v>0.18534341585589056</v>
      </c>
      <c r="R25" s="31">
        <f>IFERROR(Serie_Historica!U71/Serie_Historica!U68,"")</f>
        <v>0.20136829681109214</v>
      </c>
      <c r="S25" s="31">
        <f>IFERROR(Serie_Historica!V71/Serie_Historica!V68,"")</f>
        <v>0.20987770559373986</v>
      </c>
      <c r="T25" s="31">
        <f>IFERROR(Serie_Historica!W71/Serie_Historica!W68,"")</f>
        <v>0.17883275890069833</v>
      </c>
      <c r="U25" s="31">
        <f>IFERROR(Serie_Historica!X71/Serie_Historica!X68,"")</f>
        <v>0.19836687470102016</v>
      </c>
      <c r="V25" s="31">
        <f>IFERROR(Serie_Historica!Y71/Serie_Historica!Y68,"")</f>
        <v>0.19100449237014896</v>
      </c>
      <c r="W25" s="31">
        <f>IFERROR(Serie_Historica!Z71/Serie_Historica!Z68,"")</f>
        <v>0.18936300141215984</v>
      </c>
      <c r="X25" s="19">
        <f>IFERROR((W25-D25)*100,"")</f>
        <v>10.229127804895194</v>
      </c>
    </row>
    <row r="26" spans="1:24">
      <c r="A26" s="28" t="s">
        <v>205</v>
      </c>
      <c r="B26" s="28" t="s">
        <v>206</v>
      </c>
      <c r="C26" s="28" t="s">
        <v>504</v>
      </c>
      <c r="D26" s="31">
        <f>IFERROR(Serie_Historica!G79/Serie_Historica!G78,"")</f>
        <v>0.18441196938065413</v>
      </c>
      <c r="E26" s="31">
        <f>IFERROR(Serie_Historica!H79/Serie_Historica!H78,"")</f>
        <v>0.1506747387289884</v>
      </c>
      <c r="F26" s="31">
        <f>IFERROR(Serie_Historica!I79/Serie_Historica!I78,"")</f>
        <v>0.14319150982718265</v>
      </c>
      <c r="G26" s="31">
        <f>IFERROR(Serie_Historica!J79/Serie_Historica!J78,"")</f>
        <v>0.1536949133499986</v>
      </c>
      <c r="H26" s="31">
        <f>IFERROR(Serie_Historica!K79/Serie_Historica!K78,"")</f>
        <v>0.14410313787316278</v>
      </c>
      <c r="I26" s="31">
        <f>IFERROR(Serie_Historica!L79/Serie_Historica!L78,"")</f>
        <v>0.1826876792030305</v>
      </c>
      <c r="J26" s="31">
        <f>IFERROR(Serie_Historica!M79/Serie_Historica!M78,"")</f>
        <v>0.16515276630883569</v>
      </c>
      <c r="K26" s="31">
        <f>IFERROR(Serie_Historica!N79/Serie_Historica!N78,"")</f>
        <v>0.13281093394077448</v>
      </c>
      <c r="L26" s="31">
        <f>IFERROR(Serie_Historica!O79/Serie_Historica!O78,"")</f>
        <v>0.16201952119034752</v>
      </c>
      <c r="M26" s="31">
        <f>IFERROR(Serie_Historica!P79/Serie_Historica!P78,"")</f>
        <v>0.16737649635232632</v>
      </c>
      <c r="N26" s="31">
        <f>IFERROR(Serie_Historica!Q79/Serie_Historica!Q78,"")</f>
        <v>0.15545071366989174</v>
      </c>
      <c r="O26" s="31">
        <f>IFERROR(Serie_Historica!R79/Serie_Historica!R78,"")</f>
        <v>0.14956966486509718</v>
      </c>
      <c r="P26" s="31">
        <f>IFERROR(Serie_Historica!S79/Serie_Historica!S78,"")</f>
        <v>0.13179010506663488</v>
      </c>
      <c r="Q26" s="31">
        <f>IFERROR(Serie_Historica!T79/Serie_Historica!T78,"")</f>
        <v>8.376875933055708E-2</v>
      </c>
      <c r="R26" s="31">
        <f>IFERROR(Serie_Historica!U79/Serie_Historica!U78,"")</f>
        <v>7.6933371400021419E-2</v>
      </c>
      <c r="S26" s="31">
        <f>IFERROR(Serie_Historica!V79/Serie_Historica!V78,"")</f>
        <v>7.9388034708479216E-2</v>
      </c>
      <c r="T26" s="31">
        <f>IFERROR(Serie_Historica!W79/Serie_Historica!W78,"")</f>
        <v>5.9846929533240743E-2</v>
      </c>
      <c r="U26" s="31">
        <f>IFERROR(Serie_Historica!X79/Serie_Historica!X78,"")</f>
        <v>5.7713738806655042E-2</v>
      </c>
      <c r="V26" s="31">
        <f>IFERROR(Serie_Historica!Y79/Serie_Historica!Y78,"")</f>
        <v>5.1243153668537031E-2</v>
      </c>
      <c r="W26" s="31">
        <f>IFERROR(Serie_Historica!Z79/Serie_Historica!Z78,"")</f>
        <v>4.1971116123970184E-2</v>
      </c>
      <c r="X26" s="19">
        <f>IFERROR((W26-D26)*100,"")</f>
        <v>-14.244085325668394</v>
      </c>
    </row>
    <row r="27" spans="1:24">
      <c r="A27" s="28" t="s">
        <v>205</v>
      </c>
      <c r="B27" s="28" t="s">
        <v>206</v>
      </c>
      <c r="C27" s="28" t="s">
        <v>505</v>
      </c>
      <c r="D27" s="31">
        <f>IFERROR(Serie_Historica!G80/Serie_Historica!G78,"")</f>
        <v>0.29516353514265831</v>
      </c>
      <c r="E27" s="31">
        <f>IFERROR(Serie_Historica!H80/Serie_Historica!H78,"")</f>
        <v>0.29350289173740995</v>
      </c>
      <c r="F27" s="31">
        <f>IFERROR(Serie_Historica!I80/Serie_Historica!I78,"")</f>
        <v>0.29558498188463883</v>
      </c>
      <c r="G27" s="31">
        <f>IFERROR(Serie_Historica!J80/Serie_Historica!J78,"")</f>
        <v>0.27781366738757968</v>
      </c>
      <c r="H27" s="31">
        <f>IFERROR(Serie_Historica!K80/Serie_Historica!K78,"")</f>
        <v>0.28101001881706761</v>
      </c>
      <c r="I27" s="31">
        <f>IFERROR(Serie_Historica!L80/Serie_Historica!L78,"")</f>
        <v>0.28071827713944875</v>
      </c>
      <c r="J27" s="31">
        <f>IFERROR(Serie_Historica!M80/Serie_Historica!M78,"")</f>
        <v>0.26098069285517678</v>
      </c>
      <c r="K27" s="31">
        <f>IFERROR(Serie_Historica!N80/Serie_Historica!N78,"")</f>
        <v>0.28018223234624146</v>
      </c>
      <c r="L27" s="31">
        <f>IFERROR(Serie_Historica!O80/Serie_Historica!O78,"")</f>
        <v>0.28116554859631832</v>
      </c>
      <c r="M27" s="31">
        <f>IFERROR(Serie_Historica!P80/Serie_Historica!P78,"")</f>
        <v>0.31407612419556369</v>
      </c>
      <c r="N27" s="31">
        <f>IFERROR(Serie_Historica!Q80/Serie_Historica!Q78,"")</f>
        <v>0.33972363253185173</v>
      </c>
      <c r="O27" s="31">
        <f>IFERROR(Serie_Historica!R80/Serie_Historica!R78,"")</f>
        <v>0.35216564410585921</v>
      </c>
      <c r="P27" s="31">
        <f>IFERROR(Serie_Historica!S80/Serie_Historica!S78,"")</f>
        <v>0.3485967943752607</v>
      </c>
      <c r="Q27" s="31">
        <f>IFERROR(Serie_Historica!T80/Serie_Historica!T78,"")</f>
        <v>0.37444998821403314</v>
      </c>
      <c r="R27" s="31">
        <f>IFERROR(Serie_Historica!U80/Serie_Historica!U78,"")</f>
        <v>0.40410763356054386</v>
      </c>
      <c r="S27" s="31">
        <f>IFERROR(Serie_Historica!V80/Serie_Historica!V78,"")</f>
        <v>0.41758427631467671</v>
      </c>
      <c r="T27" s="31">
        <f>IFERROR(Serie_Historica!W80/Serie_Historica!W78,"")</f>
        <v>0.44979922709981279</v>
      </c>
      <c r="U27" s="31">
        <f>IFERROR(Serie_Historica!X80/Serie_Historica!X78,"")</f>
        <v>0.46809486974420833</v>
      </c>
      <c r="V27" s="31">
        <f>IFERROR(Serie_Historica!Y80/Serie_Historica!Y78,"")</f>
        <v>0.48973126435521114</v>
      </c>
      <c r="W27" s="31">
        <f>IFERROR(Serie_Historica!Z80/Serie_Historica!Z78,"")</f>
        <v>0.48035994507650059</v>
      </c>
      <c r="X27" s="19">
        <f>IFERROR((W27-D27)*100,"")</f>
        <v>18.519640993384229</v>
      </c>
    </row>
    <row r="28" spans="1:24">
      <c r="A28" s="28" t="s">
        <v>205</v>
      </c>
      <c r="B28" s="28" t="s">
        <v>206</v>
      </c>
      <c r="C28" s="28" t="s">
        <v>506</v>
      </c>
      <c r="D28" s="31">
        <f>IFERROR(Serie_Historica!G81/Serie_Historica!G78,"")</f>
        <v>0.47233820459290188</v>
      </c>
      <c r="E28" s="31">
        <f>IFERROR(Serie_Historica!H81/Serie_Historica!H78,"")</f>
        <v>0.48618392126357085</v>
      </c>
      <c r="F28" s="31">
        <f>IFERROR(Serie_Historica!I81/Serie_Historica!I78,"")</f>
        <v>0.49684183526243225</v>
      </c>
      <c r="G28" s="31">
        <f>IFERROR(Serie_Historica!J81/Serie_Historica!J78,"")</f>
        <v>0.50616521079684296</v>
      </c>
      <c r="H28" s="31">
        <f>IFERROR(Serie_Historica!K81/Serie_Historica!K78,"")</f>
        <v>0.51772364339114074</v>
      </c>
      <c r="I28" s="31">
        <f>IFERROR(Serie_Historica!L81/Serie_Historica!L78,"")</f>
        <v>0.49366903162344866</v>
      </c>
      <c r="J28" s="31">
        <f>IFERROR(Serie_Historica!M81/Serie_Historica!M78,"")</f>
        <v>0.52062443474499631</v>
      </c>
      <c r="K28" s="31">
        <f>IFERROR(Serie_Historica!N81/Serie_Historica!N78,"")</f>
        <v>0.52373576309794989</v>
      </c>
      <c r="L28" s="31">
        <f>IFERROR(Serie_Historica!O81/Serie_Historica!O78,"")</f>
        <v>0.50936317680348453</v>
      </c>
      <c r="M28" s="31">
        <f>IFERROR(Serie_Historica!P81/Serie_Historica!P78,"")</f>
        <v>0.47101342182692696</v>
      </c>
      <c r="N28" s="31">
        <f>IFERROR(Serie_Historica!Q81/Serie_Historica!Q78,"")</f>
        <v>0.46772918861959956</v>
      </c>
      <c r="O28" s="31">
        <f>IFERROR(Serie_Historica!R81/Serie_Historica!R78,"")</f>
        <v>0.46134505248906704</v>
      </c>
      <c r="P28" s="31">
        <f>IFERROR(Serie_Historica!S81/Serie_Historica!S78,"")</f>
        <v>0.48365409442094182</v>
      </c>
      <c r="Q28" s="31">
        <f>IFERROR(Serie_Historica!T81/Serie_Historica!T78,"")</f>
        <v>0.50215093894869178</v>
      </c>
      <c r="R28" s="31">
        <f>IFERROR(Serie_Historica!U81/Serie_Historica!U78,"")</f>
        <v>0.4829681310445737</v>
      </c>
      <c r="S28" s="31">
        <f>IFERROR(Serie_Historica!V81/Serie_Historica!V78,"")</f>
        <v>0.46680536526784056</v>
      </c>
      <c r="T28" s="31">
        <f>IFERROR(Serie_Historica!W81/Serie_Historica!W78,"")</f>
        <v>0.45724141054284162</v>
      </c>
      <c r="U28" s="31">
        <f>IFERROR(Serie_Historica!X81/Serie_Historica!X78,"")</f>
        <v>0.44129639584125446</v>
      </c>
      <c r="V28" s="31">
        <f>IFERROR(Serie_Historica!Y81/Serie_Historica!Y78,"")</f>
        <v>0.42459744484857348</v>
      </c>
      <c r="W28" s="31">
        <f>IFERROR(Serie_Historica!Z81/Serie_Historica!Z78,"")</f>
        <v>0.43896503530796388</v>
      </c>
      <c r="X28" s="19">
        <f>IFERROR((W28-D28)*100,"")</f>
        <v>-3.3373169284937996</v>
      </c>
    </row>
    <row r="29" spans="1:24">
      <c r="A29" s="28" t="s">
        <v>333</v>
      </c>
      <c r="B29" s="28" t="s">
        <v>334</v>
      </c>
      <c r="C29" s="28" t="s">
        <v>504</v>
      </c>
      <c r="D29" s="31">
        <f>IFERROR(Serie_Historica!G89/Serie_Historica!G88,"")</f>
        <v>4.2384594121441077E-2</v>
      </c>
      <c r="E29" s="31">
        <f>IFERROR(Serie_Historica!H89/Serie_Historica!H88,"")</f>
        <v>3.1724249273490476E-2</v>
      </c>
      <c r="F29" s="31">
        <f>IFERROR(Serie_Historica!I89/Serie_Historica!I88,"")</f>
        <v>3.5906391896611947E-2</v>
      </c>
      <c r="G29" s="31">
        <f>IFERROR(Serie_Historica!J89/Serie_Historica!J88,"")</f>
        <v>3.7106350025813112E-2</v>
      </c>
      <c r="H29" s="31">
        <f>IFERROR(Serie_Historica!K89/Serie_Historica!K88,"")</f>
        <v>3.8921820825411027E-2</v>
      </c>
      <c r="I29" s="31">
        <f>IFERROR(Serie_Historica!L89/Serie_Historica!L88,"")</f>
        <v>3.8024213966763337E-2</v>
      </c>
      <c r="J29" s="31">
        <f>IFERROR(Serie_Historica!M89/Serie_Historica!M88,"")</f>
        <v>3.6446731699823334E-2</v>
      </c>
      <c r="K29" s="31">
        <f>IFERROR(Serie_Historica!N89/Serie_Historica!N88,"")</f>
        <v>3.718786839567035E-2</v>
      </c>
      <c r="L29" s="31">
        <f>IFERROR(Serie_Historica!O89/Serie_Historica!O88,"")</f>
        <v>4.0328706581037224E-2</v>
      </c>
      <c r="M29" s="31">
        <f>IFERROR(Serie_Historica!P89/Serie_Historica!P88,"")</f>
        <v>3.2135814641360609E-2</v>
      </c>
      <c r="N29" s="31">
        <f>IFERROR(Serie_Historica!Q89/Serie_Historica!Q88,"")</f>
        <v>3.4150363967242948E-2</v>
      </c>
      <c r="O29" s="31">
        <f>IFERROR(Serie_Historica!R89/Serie_Historica!R88,"")</f>
        <v>3.2967605743921193E-2</v>
      </c>
      <c r="P29" s="31">
        <f>IFERROR(Serie_Historica!S89/Serie_Historica!S88,"")</f>
        <v>3.7275951536502344E-2</v>
      </c>
      <c r="Q29" s="31">
        <f>IFERROR(Serie_Historica!T89/Serie_Historica!T88,"")</f>
        <v>5.3830322433112282E-2</v>
      </c>
      <c r="R29" s="31">
        <f>IFERROR(Serie_Historica!U89/Serie_Historica!U88,"")</f>
        <v>7.2685396522388673E-2</v>
      </c>
      <c r="S29" s="31">
        <f>IFERROR(Serie_Historica!V89/Serie_Historica!V88,"")</f>
        <v>7.2204635166295383E-2</v>
      </c>
      <c r="T29" s="31">
        <f>IFERROR(Serie_Historica!W89/Serie_Historica!W88,"")</f>
        <v>7.267390144102473E-2</v>
      </c>
      <c r="U29" s="31">
        <f>IFERROR(Serie_Historica!X89/Serie_Historica!X88,"")</f>
        <v>5.5972022645037312E-2</v>
      </c>
      <c r="V29" s="31">
        <f>IFERROR(Serie_Historica!Y89/Serie_Historica!Y88,"")</f>
        <v>4.8715203426124197E-2</v>
      </c>
      <c r="W29" s="31">
        <f>IFERROR(Serie_Historica!Z89/Serie_Historica!Z88,"")</f>
        <v>4.5952350454720126E-2</v>
      </c>
      <c r="X29" s="19">
        <f>IFERROR((W29-D29)*100,"")</f>
        <v>0.35677563332790485</v>
      </c>
    </row>
    <row r="30" spans="1:24">
      <c r="A30" s="28" t="s">
        <v>333</v>
      </c>
      <c r="B30" s="28" t="s">
        <v>334</v>
      </c>
      <c r="C30" s="28" t="s">
        <v>505</v>
      </c>
      <c r="D30" s="31">
        <f>IFERROR(Serie_Historica!G90/Serie_Historica!G88,"")</f>
        <v>0.1773703123560306</v>
      </c>
      <c r="E30" s="31">
        <f>IFERROR(Serie_Historica!H90/Serie_Historica!H88,"")</f>
        <v>0.19825637713916694</v>
      </c>
      <c r="F30" s="31">
        <f>IFERROR(Serie_Historica!I90/Serie_Historica!I88,"")</f>
        <v>0.20663639538945161</v>
      </c>
      <c r="G30" s="31">
        <f>IFERROR(Serie_Historica!J90/Serie_Historica!J88,"")</f>
        <v>0.20721476510067113</v>
      </c>
      <c r="H30" s="31">
        <f>IFERROR(Serie_Historica!K90/Serie_Historica!K88,"")</f>
        <v>0.21278380494351862</v>
      </c>
      <c r="I30" s="31">
        <f>IFERROR(Serie_Historica!L90/Serie_Historica!L88,"")</f>
        <v>0.19794687658242416</v>
      </c>
      <c r="J30" s="31">
        <f>IFERROR(Serie_Historica!M90/Serie_Historica!M88,"")</f>
        <v>0.18795606421384131</v>
      </c>
      <c r="K30" s="31">
        <f>IFERROR(Serie_Historica!N90/Serie_Historica!N88,"")</f>
        <v>0.19336977101418212</v>
      </c>
      <c r="L30" s="31">
        <f>IFERROR(Serie_Historica!O90/Serie_Historica!O88,"")</f>
        <v>0.20368068503556383</v>
      </c>
      <c r="M30" s="31">
        <f>IFERROR(Serie_Historica!P90/Serie_Historica!P88,"")</f>
        <v>0.20282844466354449</v>
      </c>
      <c r="N30" s="31">
        <f>IFERROR(Serie_Historica!Q90/Serie_Historica!Q88,"")</f>
        <v>0.24189604185623295</v>
      </c>
      <c r="O30" s="31">
        <f>IFERROR(Serie_Historica!R90/Serie_Historica!R88,"")</f>
        <v>0.21245211227228897</v>
      </c>
      <c r="P30" s="31">
        <f>IFERROR(Serie_Historica!S90/Serie_Historica!S88,"")</f>
        <v>0.20870724334102972</v>
      </c>
      <c r="Q30" s="31">
        <f>IFERROR(Serie_Historica!T90/Serie_Historica!T88,"")</f>
        <v>0.21474959981705924</v>
      </c>
      <c r="R30" s="31">
        <f>IFERROR(Serie_Historica!U90/Serie_Historica!U88,"")</f>
        <v>0.21851267792671286</v>
      </c>
      <c r="S30" s="31">
        <f>IFERROR(Serie_Historica!V90/Serie_Historica!V88,"")</f>
        <v>0.21407355297612068</v>
      </c>
      <c r="T30" s="31">
        <f>IFERROR(Serie_Historica!W90/Serie_Historica!W88,"")</f>
        <v>0.25860167230030245</v>
      </c>
      <c r="U30" s="31">
        <f>IFERROR(Serie_Historica!X90/Serie_Historica!X88,"")</f>
        <v>0.25842696629213485</v>
      </c>
      <c r="V30" s="31">
        <f>IFERROR(Serie_Historica!Y90/Serie_Historica!Y88,"")</f>
        <v>0.24819325481798715</v>
      </c>
      <c r="W30" s="31">
        <f>IFERROR(Serie_Historica!Z90/Serie_Historica!Z88,"")</f>
        <v>0.24559690021775329</v>
      </c>
      <c r="X30" s="19">
        <f>IFERROR((W30-D30)*100,"")</f>
        <v>6.8226587861722701</v>
      </c>
    </row>
    <row r="31" spans="1:24">
      <c r="A31" s="28" t="s">
        <v>333</v>
      </c>
      <c r="B31" s="28" t="s">
        <v>334</v>
      </c>
      <c r="C31" s="28" t="s">
        <v>506</v>
      </c>
      <c r="D31" s="31">
        <f>IFERROR(Serie_Historica!G91/Serie_Historica!G88,"")</f>
        <v>0.6760342762369852</v>
      </c>
      <c r="E31" s="31">
        <f>IFERROR(Serie_Historica!H91/Serie_Historica!H88,"")</f>
        <v>0.64594769131417495</v>
      </c>
      <c r="F31" s="31">
        <f>IFERROR(Serie_Historica!I91/Serie_Historica!I88,"")</f>
        <v>0.61962975899406214</v>
      </c>
      <c r="G31" s="31">
        <f>IFERROR(Serie_Historica!J91/Serie_Historica!J88,"")</f>
        <v>0.66688177594217868</v>
      </c>
      <c r="H31" s="31">
        <f>IFERROR(Serie_Historica!K91/Serie_Historica!K88,"")</f>
        <v>0.64366401968459908</v>
      </c>
      <c r="I31" s="31">
        <f>IFERROR(Serie_Historica!L91/Serie_Historica!L88,"")</f>
        <v>0.69097270174469461</v>
      </c>
      <c r="J31" s="31">
        <f>IFERROR(Serie_Historica!M91/Serie_Historica!M88,"")</f>
        <v>0.66080344112451028</v>
      </c>
      <c r="K31" s="31">
        <f>IFERROR(Serie_Historica!N91/Serie_Historica!N88,"")</f>
        <v>0.66970314007073195</v>
      </c>
      <c r="L31" s="31">
        <f>IFERROR(Serie_Historica!O91/Serie_Historica!O88,"")</f>
        <v>0.69484151646985703</v>
      </c>
      <c r="M31" s="31">
        <f>IFERROR(Serie_Historica!P91/Serie_Historica!P88,"")</f>
        <v>0.69691274340645792</v>
      </c>
      <c r="N31" s="31">
        <f>IFERROR(Serie_Historica!Q91/Serie_Historica!Q88,"")</f>
        <v>0.67658098271155598</v>
      </c>
      <c r="O31" s="31">
        <f>IFERROR(Serie_Historica!R91/Serie_Historica!R88,"")</f>
        <v>0.70652315550806599</v>
      </c>
      <c r="P31" s="31">
        <f>IFERROR(Serie_Historica!S91/Serie_Historica!S88,"")</f>
        <v>0.69448477779629147</v>
      </c>
      <c r="Q31" s="31">
        <f>IFERROR(Serie_Historica!T91/Serie_Historica!T88,"")</f>
        <v>0.68611936885433344</v>
      </c>
      <c r="R31" s="31">
        <f>IFERROR(Serie_Historica!U91/Serie_Historica!U88,"")</f>
        <v>0.67514628376976382</v>
      </c>
      <c r="S31" s="31">
        <f>IFERROR(Serie_Historica!V91/Serie_Historica!V88,"")</f>
        <v>0.67495212412553252</v>
      </c>
      <c r="T31" s="31">
        <f>IFERROR(Serie_Historica!W91/Serie_Historica!W88,"")</f>
        <v>0.62063689734922611</v>
      </c>
      <c r="U31" s="31">
        <f>IFERROR(Serie_Historica!X91/Serie_Historica!X88,"")</f>
        <v>0.6427866553556898</v>
      </c>
      <c r="V31" s="31">
        <f>IFERROR(Serie_Historica!Y91/Serie_Historica!Y88,"")</f>
        <v>0.65740430942184158</v>
      </c>
      <c r="W31" s="31">
        <f>IFERROR(Serie_Historica!Z91/Serie_Historica!Z88,"")</f>
        <v>0.65247534264121942</v>
      </c>
      <c r="X31" s="19">
        <f>IFERROR((W31-D31)*100,"")</f>
        <v>-2.3558933595765774</v>
      </c>
    </row>
    <row r="32" spans="1:24">
      <c r="A32" s="28" t="s">
        <v>137</v>
      </c>
      <c r="B32" s="28" t="s">
        <v>138</v>
      </c>
      <c r="C32" s="28" t="s">
        <v>504</v>
      </c>
      <c r="D32" s="31">
        <f>IFERROR(Serie_Historica!G99/Serie_Historica!G98,"")</f>
        <v>0.49411151214024562</v>
      </c>
      <c r="E32" s="31">
        <f>IFERROR(Serie_Historica!H99/Serie_Historica!H98,"")</f>
        <v>0.40126351669017396</v>
      </c>
      <c r="F32" s="31">
        <f>IFERROR(Serie_Historica!I99/Serie_Historica!I98,"")</f>
        <v>0.36767122639836369</v>
      </c>
      <c r="G32" s="31">
        <f>IFERROR(Serie_Historica!J99/Serie_Historica!J98,"")</f>
        <v>0.43699035945882664</v>
      </c>
      <c r="H32" s="31">
        <f>IFERROR(Serie_Historica!K99/Serie_Historica!K98,"")</f>
        <v>0.37594714310460026</v>
      </c>
      <c r="I32" s="31">
        <f>IFERROR(Serie_Historica!L99/Serie_Historica!L98,"")</f>
        <v>0.43079852246397621</v>
      </c>
      <c r="J32" s="31">
        <f>IFERROR(Serie_Historica!M99/Serie_Historica!M98,"")</f>
        <v>0.46805242851500922</v>
      </c>
      <c r="K32" s="31">
        <f>IFERROR(Serie_Historica!N99/Serie_Historica!N98,"")</f>
        <v>0.29592772955042701</v>
      </c>
      <c r="L32" s="31">
        <f>IFERROR(Serie_Historica!O99/Serie_Historica!O98,"")</f>
        <v>0.40708103665022727</v>
      </c>
      <c r="M32" s="31">
        <f>IFERROR(Serie_Historica!P99/Serie_Historica!P98,"")</f>
        <v>0.46231122255322576</v>
      </c>
      <c r="N32" s="31">
        <f>IFERROR(Serie_Historica!Q99/Serie_Historica!Q98,"")</f>
        <v>0.46499478859452731</v>
      </c>
      <c r="O32" s="31">
        <f>IFERROR(Serie_Historica!R99/Serie_Historica!R98,"")</f>
        <v>0.41738688655926059</v>
      </c>
      <c r="P32" s="31">
        <f>IFERROR(Serie_Historica!S99/Serie_Historica!S98,"")</f>
        <v>0.38263156829816075</v>
      </c>
      <c r="Q32" s="31">
        <f>IFERROR(Serie_Historica!T99/Serie_Historica!T98,"")</f>
        <v>0.23780550685779106</v>
      </c>
      <c r="R32" s="31">
        <f>IFERROR(Serie_Historica!U99/Serie_Historica!U98,"")</f>
        <v>0.10875519287075693</v>
      </c>
      <c r="S32" s="31">
        <f>IFERROR(Serie_Historica!V99/Serie_Historica!V98,"")</f>
        <v>0.13078554243070942</v>
      </c>
      <c r="T32" s="31">
        <f>IFERROR(Serie_Historica!W99/Serie_Historica!W98,"")</f>
        <v>0.17193156573429064</v>
      </c>
      <c r="U32" s="31">
        <f>IFERROR(Serie_Historica!X99/Serie_Historica!X98,"")</f>
        <v>0.15499475535262541</v>
      </c>
      <c r="V32" s="31">
        <f>IFERROR(Serie_Historica!Y99/Serie_Historica!Y98,"")</f>
        <v>0.1263681866768693</v>
      </c>
      <c r="W32" s="31">
        <f>IFERROR(Serie_Historica!Z99/Serie_Historica!Z98,"")</f>
        <v>0.25635356924349156</v>
      </c>
      <c r="X32" s="19">
        <f>IFERROR((W32-D32)*100,"")</f>
        <v>-23.775794289675407</v>
      </c>
    </row>
    <row r="33" spans="1:24">
      <c r="A33" s="28" t="s">
        <v>137</v>
      </c>
      <c r="B33" s="28" t="s">
        <v>138</v>
      </c>
      <c r="C33" s="28" t="s">
        <v>505</v>
      </c>
      <c r="D33" s="31">
        <f>IFERROR(Serie_Historica!G100/Serie_Historica!G98,"")</f>
        <v>0.21066724477360083</v>
      </c>
      <c r="E33" s="31">
        <f>IFERROR(Serie_Historica!H100/Serie_Historica!H98,"")</f>
        <v>0.21850611189468735</v>
      </c>
      <c r="F33" s="31">
        <f>IFERROR(Serie_Historica!I100/Serie_Historica!I98,"")</f>
        <v>0.24574668069661035</v>
      </c>
      <c r="G33" s="31">
        <f>IFERROR(Serie_Historica!J100/Serie_Historica!J98,"")</f>
        <v>0.2216713664729057</v>
      </c>
      <c r="H33" s="31">
        <f>IFERROR(Serie_Historica!K100/Serie_Historica!K98,"")</f>
        <v>0.23400559253668557</v>
      </c>
      <c r="I33" s="31">
        <f>IFERROR(Serie_Historica!L100/Serie_Historica!L98,"")</f>
        <v>0.22438013115295802</v>
      </c>
      <c r="J33" s="31">
        <f>IFERROR(Serie_Historica!M100/Serie_Historica!M98,"")</f>
        <v>0.18971412754724878</v>
      </c>
      <c r="K33" s="31">
        <f>IFERROR(Serie_Historica!N100/Serie_Historica!N98,"")</f>
        <v>0.21378714094149198</v>
      </c>
      <c r="L33" s="31">
        <f>IFERROR(Serie_Historica!O100/Serie_Historica!O98,"")</f>
        <v>0.23208587177255585</v>
      </c>
      <c r="M33" s="31">
        <f>IFERROR(Serie_Historica!P100/Serie_Historica!P98,"")</f>
        <v>0.21847459771569225</v>
      </c>
      <c r="N33" s="31">
        <f>IFERROR(Serie_Historica!Q100/Serie_Historica!Q98,"")</f>
        <v>0.26048993553924832</v>
      </c>
      <c r="O33" s="31">
        <f>IFERROR(Serie_Historica!R100/Serie_Historica!R98,"")</f>
        <v>0.27674811681142714</v>
      </c>
      <c r="P33" s="31">
        <f>IFERROR(Serie_Historica!S100/Serie_Historica!S98,"")</f>
        <v>0.284800598911438</v>
      </c>
      <c r="Q33" s="31">
        <f>IFERROR(Serie_Historica!T100/Serie_Historica!T98,"")</f>
        <v>0.32694647829225532</v>
      </c>
      <c r="R33" s="31">
        <f>IFERROR(Serie_Historica!U100/Serie_Historica!U98,"")</f>
        <v>0.34280611749556722</v>
      </c>
      <c r="S33" s="31">
        <f>IFERROR(Serie_Historica!V100/Serie_Historica!V98,"")</f>
        <v>0.33264008772049064</v>
      </c>
      <c r="T33" s="31">
        <f>IFERROR(Serie_Historica!W100/Serie_Historica!W98,"")</f>
        <v>0.36050477704005679</v>
      </c>
      <c r="U33" s="31">
        <f>IFERROR(Serie_Historica!X100/Serie_Historica!X98,"")</f>
        <v>0.37749717863846166</v>
      </c>
      <c r="V33" s="31">
        <f>IFERROR(Serie_Historica!Y100/Serie_Historica!Y98,"")</f>
        <v>0.37903159007450826</v>
      </c>
      <c r="W33" s="31">
        <f>IFERROR(Serie_Historica!Z100/Serie_Historica!Z98,"")</f>
        <v>0.35021566356788558</v>
      </c>
      <c r="X33" s="19">
        <f>IFERROR((W33-D33)*100,"")</f>
        <v>13.954841879428475</v>
      </c>
    </row>
    <row r="34" spans="1:24">
      <c r="A34" s="28" t="s">
        <v>137</v>
      </c>
      <c r="B34" s="28" t="s">
        <v>138</v>
      </c>
      <c r="C34" s="28" t="s">
        <v>506</v>
      </c>
      <c r="D34" s="31">
        <f>IFERROR(Serie_Historica!G101/Serie_Historica!G98,"")</f>
        <v>0.21981930252179618</v>
      </c>
      <c r="E34" s="31">
        <f>IFERROR(Serie_Historica!H101/Serie_Historica!H98,"")</f>
        <v>0.24523977433004232</v>
      </c>
      <c r="F34" s="31">
        <f>IFERROR(Serie_Historica!I101/Serie_Historica!I98,"")</f>
        <v>0.2751800049656542</v>
      </c>
      <c r="G34" s="31">
        <f>IFERROR(Serie_Historica!J101/Serie_Historica!J98,"")</f>
        <v>0.27604829432663824</v>
      </c>
      <c r="H34" s="31">
        <f>IFERROR(Serie_Historica!K101/Serie_Historica!K98,"")</f>
        <v>0.30848036425725667</v>
      </c>
      <c r="I34" s="31">
        <f>IFERROR(Serie_Historica!L101/Serie_Historica!L98,"")</f>
        <v>0.27225843505489622</v>
      </c>
      <c r="J34" s="31">
        <f>IFERROR(Serie_Historica!M101/Serie_Historica!M98,"")</f>
        <v>0.26234510600808097</v>
      </c>
      <c r="K34" s="31">
        <f>IFERROR(Serie_Historica!N101/Serie_Historica!N98,"")</f>
        <v>0.30572729197543935</v>
      </c>
      <c r="L34" s="31">
        <f>IFERROR(Serie_Historica!O101/Serie_Historica!O98,"")</f>
        <v>0.28826394932791799</v>
      </c>
      <c r="M34" s="31">
        <f>IFERROR(Serie_Historica!P101/Serie_Historica!P98,"")</f>
        <v>0.24473148456999574</v>
      </c>
      <c r="N34" s="31">
        <f>IFERROR(Serie_Historica!Q101/Serie_Historica!Q98,"")</f>
        <v>0.23700161310441203</v>
      </c>
      <c r="O34" s="31">
        <f>IFERROR(Serie_Historica!R101/Serie_Historica!R98,"")</f>
        <v>0.25073813175969439</v>
      </c>
      <c r="P34" s="31">
        <f>IFERROR(Serie_Historica!S101/Serie_Historica!S98,"")</f>
        <v>0.27617101349574086</v>
      </c>
      <c r="Q34" s="31">
        <f>IFERROR(Serie_Historica!T101/Serie_Historica!T98,"")</f>
        <v>0.36781736619573063</v>
      </c>
      <c r="R34" s="31">
        <f>IFERROR(Serie_Historica!U101/Serie_Historica!U98,"")</f>
        <v>0.37942575663895434</v>
      </c>
      <c r="S34" s="31">
        <f>IFERROR(Serie_Historica!V101/Serie_Historica!V98,"")</f>
        <v>0.3677486735447506</v>
      </c>
      <c r="T34" s="31">
        <f>IFERROR(Serie_Historica!W101/Serie_Historica!W98,"")</f>
        <v>0.35503573096145913</v>
      </c>
      <c r="U34" s="31">
        <f>IFERROR(Serie_Historica!X101/Serie_Historica!X98,"")</f>
        <v>0.359569839396358</v>
      </c>
      <c r="V34" s="31">
        <f>IFERROR(Serie_Historica!Y101/Serie_Historica!Y98,"")</f>
        <v>0.37348192908897998</v>
      </c>
      <c r="W34" s="31">
        <f>IFERROR(Serie_Historica!Z101/Serie_Historica!Z98,"")</f>
        <v>0.29277149426550036</v>
      </c>
      <c r="X34" s="19">
        <f>IFERROR((W34-D34)*100,"")</f>
        <v>7.295219174370418</v>
      </c>
    </row>
    <row r="35" spans="1:24">
      <c r="A35" s="28" t="s">
        <v>125</v>
      </c>
      <c r="B35" s="28" t="s">
        <v>126</v>
      </c>
      <c r="C35" s="28" t="s">
        <v>504</v>
      </c>
      <c r="D35" s="31">
        <f>IFERROR(Serie_Historica!G109/Serie_Historica!G108,"")</f>
        <v>0.70593770130917544</v>
      </c>
      <c r="E35" s="31">
        <f>IFERROR(Serie_Historica!H109/Serie_Historica!H108,"")</f>
        <v>0.69108293935266718</v>
      </c>
      <c r="F35" s="31">
        <f>IFERROR(Serie_Historica!I109/Serie_Historica!I108,"")</f>
        <v>0.65405158427130294</v>
      </c>
      <c r="G35" s="31">
        <f>IFERROR(Serie_Historica!J109/Serie_Historica!J108,"")</f>
        <v>0.706033803451104</v>
      </c>
      <c r="H35" s="31">
        <f>IFERROR(Serie_Historica!K109/Serie_Historica!K108,"")</f>
        <v>0.69958320673498375</v>
      </c>
      <c r="I35" s="31">
        <f>IFERROR(Serie_Historica!L109/Serie_Historica!L108,"")</f>
        <v>0.69364922620679348</v>
      </c>
      <c r="J35" s="31">
        <f>IFERROR(Serie_Historica!M109/Serie_Historica!M108,"")</f>
        <v>0.72019873011228763</v>
      </c>
      <c r="K35" s="31">
        <f>IFERROR(Serie_Historica!N109/Serie_Historica!N108,"")</f>
        <v>0.60511194689554304</v>
      </c>
      <c r="L35" s="31">
        <f>IFERROR(Serie_Historica!O109/Serie_Historica!O108,"")</f>
        <v>0.63249045486575406</v>
      </c>
      <c r="M35" s="31">
        <f>IFERROR(Serie_Historica!P109/Serie_Historica!P108,"")</f>
        <v>0.63852378283831746</v>
      </c>
      <c r="N35" s="31">
        <f>IFERROR(Serie_Historica!Q109/Serie_Historica!Q108,"")</f>
        <v>0.64366656385756404</v>
      </c>
      <c r="O35" s="31">
        <f>IFERROR(Serie_Historica!R109/Serie_Historica!R108,"")</f>
        <v>0.6084201928498113</v>
      </c>
      <c r="P35" s="31">
        <f>IFERROR(Serie_Historica!S109/Serie_Historica!S108,"")</f>
        <v>0.55962652545240987</v>
      </c>
      <c r="Q35" s="31">
        <f>IFERROR(Serie_Historica!T109/Serie_Historica!T108,"")</f>
        <v>0.46040839273033324</v>
      </c>
      <c r="R35" s="31">
        <f>IFERROR(Serie_Historica!U109/Serie_Historica!U108,"")</f>
        <v>0.43146897274176954</v>
      </c>
      <c r="S35" s="31">
        <f>IFERROR(Serie_Historica!V109/Serie_Historica!V108,"")</f>
        <v>0.32241472925613307</v>
      </c>
      <c r="T35" s="31">
        <f>IFERROR(Serie_Historica!W109/Serie_Historica!W108,"")</f>
        <v>0.36364646956499957</v>
      </c>
      <c r="U35" s="31">
        <f>IFERROR(Serie_Historica!X109/Serie_Historica!X108,"")</f>
        <v>0.3890364953890465</v>
      </c>
      <c r="V35" s="31">
        <f>IFERROR(Serie_Historica!Y109/Serie_Historica!Y108,"")</f>
        <v>0.33934320370533827</v>
      </c>
      <c r="W35" s="31">
        <f>IFERROR(Serie_Historica!Z109/Serie_Historica!Z108,"")</f>
        <v>0.45332702727952168</v>
      </c>
      <c r="X35" s="19">
        <f>IFERROR((W35-D35)*100,"")</f>
        <v>-25.261067402965377</v>
      </c>
    </row>
    <row r="36" spans="1:24">
      <c r="A36" s="28" t="s">
        <v>125</v>
      </c>
      <c r="B36" s="28" t="s">
        <v>126</v>
      </c>
      <c r="C36" s="28" t="s">
        <v>505</v>
      </c>
      <c r="D36" s="31">
        <f>IFERROR(Serie_Historica!G110/Serie_Historica!G108,"")</f>
        <v>0.20887459611355993</v>
      </c>
      <c r="E36" s="31">
        <f>IFERROR(Serie_Historica!H110/Serie_Historica!H108,"")</f>
        <v>0.21145327696735541</v>
      </c>
      <c r="F36" s="31">
        <f>IFERROR(Serie_Historica!I110/Serie_Historica!I108,"")</f>
        <v>0.26464596893436365</v>
      </c>
      <c r="G36" s="31">
        <f>IFERROR(Serie_Historica!J110/Serie_Historica!J108,"")</f>
        <v>0.21459080456073204</v>
      </c>
      <c r="H36" s="31">
        <f>IFERROR(Serie_Historica!K110/Serie_Historica!K108,"")</f>
        <v>0.21183913844310925</v>
      </c>
      <c r="I36" s="31">
        <f>IFERROR(Serie_Historica!L110/Serie_Historica!L108,"")</f>
        <v>0.20311448650534553</v>
      </c>
      <c r="J36" s="31">
        <f>IFERROR(Serie_Historica!M110/Serie_Historica!M108,"")</f>
        <v>0.18007047919830987</v>
      </c>
      <c r="K36" s="31">
        <f>IFERROR(Serie_Historica!N110/Serie_Historica!N108,"")</f>
        <v>0.23188397061896265</v>
      </c>
      <c r="L36" s="31">
        <f>IFERROR(Serie_Historica!O110/Serie_Historica!O108,"")</f>
        <v>0.22604812252160417</v>
      </c>
      <c r="M36" s="31">
        <f>IFERROR(Serie_Historica!P110/Serie_Historica!P108,"")</f>
        <v>0.22233543340069398</v>
      </c>
      <c r="N36" s="31">
        <f>IFERROR(Serie_Historica!Q110/Serie_Historica!Q108,"")</f>
        <v>0.22018213444184023</v>
      </c>
      <c r="O36" s="31">
        <f>IFERROR(Serie_Historica!R110/Serie_Historica!R108,"")</f>
        <v>0.24134778020325851</v>
      </c>
      <c r="P36" s="31">
        <f>IFERROR(Serie_Historica!S110/Serie_Historica!S108,"")</f>
        <v>0.26052968618316708</v>
      </c>
      <c r="Q36" s="31">
        <f>IFERROR(Serie_Historica!T110/Serie_Historica!T108,"")</f>
        <v>0.314640264590621</v>
      </c>
      <c r="R36" s="31">
        <f>IFERROR(Serie_Historica!U110/Serie_Historica!U108,"")</f>
        <v>0.34868713494829051</v>
      </c>
      <c r="S36" s="31">
        <f>IFERROR(Serie_Historica!V110/Serie_Historica!V108,"")</f>
        <v>0.35215163630978824</v>
      </c>
      <c r="T36" s="31">
        <f>IFERROR(Serie_Historica!W110/Serie_Historica!W108,"")</f>
        <v>0.36854087043929046</v>
      </c>
      <c r="U36" s="31">
        <f>IFERROR(Serie_Historica!X110/Serie_Historica!X108,"")</f>
        <v>0.34572989346564476</v>
      </c>
      <c r="V36" s="31">
        <f>IFERROR(Serie_Historica!Y110/Serie_Historica!Y108,"")</f>
        <v>0.37252834209030755</v>
      </c>
      <c r="W36" s="31">
        <f>IFERROR(Serie_Historica!Z110/Serie_Historica!Z108,"")</f>
        <v>0.31991895553064276</v>
      </c>
      <c r="X36" s="19">
        <f>IFERROR((W36-D36)*100,"")</f>
        <v>11.104435941708282</v>
      </c>
    </row>
    <row r="37" spans="1:24">
      <c r="A37" s="28" t="s">
        <v>125</v>
      </c>
      <c r="B37" s="28" t="s">
        <v>126</v>
      </c>
      <c r="C37" s="28" t="s">
        <v>506</v>
      </c>
      <c r="D37" s="31">
        <f>IFERROR(Serie_Historica!G111/Serie_Historica!G108,"")</f>
        <v>7.8636753285619365E-2</v>
      </c>
      <c r="E37" s="31">
        <f>IFERROR(Serie_Historica!H111/Serie_Historica!H108,"")</f>
        <v>8.6608363424106813E-2</v>
      </c>
      <c r="F37" s="31">
        <f>IFERROR(Serie_Historica!I111/Serie_Historica!I108,"")</f>
        <v>7.2327130500633538E-2</v>
      </c>
      <c r="G37" s="31">
        <f>IFERROR(Serie_Historica!J111/Serie_Historica!J108,"")</f>
        <v>7.2595403888522592E-2</v>
      </c>
      <c r="H37" s="31">
        <f>IFERROR(Serie_Historica!K111/Serie_Historica!K108,"")</f>
        <v>8.1807490067178287E-2</v>
      </c>
      <c r="I37" s="31">
        <f>IFERROR(Serie_Historica!L111/Serie_Historica!L108,"")</f>
        <v>9.6225733296782717E-2</v>
      </c>
      <c r="J37" s="31">
        <f>IFERROR(Serie_Historica!M111/Serie_Historica!M108,"")</f>
        <v>9.2589644405623991E-2</v>
      </c>
      <c r="K37" s="31">
        <f>IFERROR(Serie_Historica!N111/Serie_Historica!N108,"")</f>
        <v>0.15009563302634329</v>
      </c>
      <c r="L37" s="31">
        <f>IFERROR(Serie_Historica!O111/Serie_Historica!O108,"")</f>
        <v>0.13082859594798113</v>
      </c>
      <c r="M37" s="31">
        <f>IFERROR(Serie_Historica!P111/Serie_Historica!P108,"")</f>
        <v>0.12897725021368611</v>
      </c>
      <c r="N37" s="31">
        <f>IFERROR(Serie_Historica!Q111/Serie_Historica!Q108,"")</f>
        <v>0.12397029607772868</v>
      </c>
      <c r="O37" s="31">
        <f>IFERROR(Serie_Historica!R111/Serie_Historica!R108,"")</f>
        <v>0.1378162963391304</v>
      </c>
      <c r="P37" s="31">
        <f>IFERROR(Serie_Historica!S111/Serie_Historica!S108,"")</f>
        <v>0.16689560895330241</v>
      </c>
      <c r="Q37" s="31">
        <f>IFERROR(Serie_Historica!T111/Serie_Historica!T108,"")</f>
        <v>0.21011085978801189</v>
      </c>
      <c r="R37" s="31">
        <f>IFERROR(Serie_Historica!U111/Serie_Historica!U108,"")</f>
        <v>0.20390828750920886</v>
      </c>
      <c r="S37" s="31">
        <f>IFERROR(Serie_Historica!V111/Serie_Historica!V108,"")</f>
        <v>0.29750135742139294</v>
      </c>
      <c r="T37" s="31">
        <f>IFERROR(Serie_Historica!W111/Serie_Historica!W108,"")</f>
        <v>0.24018418980129611</v>
      </c>
      <c r="U37" s="31">
        <f>IFERROR(Serie_Historica!X111/Serie_Historica!X108,"")</f>
        <v>0.23852701437540977</v>
      </c>
      <c r="V37" s="31">
        <f>IFERROR(Serie_Historica!Y111/Serie_Historica!Y108,"")</f>
        <v>0.259534726706526</v>
      </c>
      <c r="W37" s="31">
        <f>IFERROR(Serie_Historica!Z111/Serie_Historica!Z108,"")</f>
        <v>0.20559837443946188</v>
      </c>
      <c r="X37" s="19">
        <f>IFERROR((W37-D37)*100,"")</f>
        <v>12.696162115384253</v>
      </c>
    </row>
    <row r="38" spans="1:24">
      <c r="A38" s="28" t="s">
        <v>163</v>
      </c>
      <c r="B38" s="28" t="s">
        <v>164</v>
      </c>
      <c r="C38" s="28" t="s">
        <v>504</v>
      </c>
      <c r="D38" s="31">
        <f>IFERROR(Serie_Historica!G119/Serie_Historica!G118,"")</f>
        <v>0.27641959076341521</v>
      </c>
      <c r="E38" s="31">
        <f>IFERROR(Serie_Historica!H119/Serie_Historica!H118,"")</f>
        <v>0.27799826261731592</v>
      </c>
      <c r="F38" s="31">
        <f>IFERROR(Serie_Historica!I119/Serie_Historica!I118,"")</f>
        <v>0.25317018543526232</v>
      </c>
      <c r="G38" s="31">
        <f>IFERROR(Serie_Historica!J119/Serie_Historica!J118,"")</f>
        <v>0.31202981667148022</v>
      </c>
      <c r="H38" s="31">
        <f>IFERROR(Serie_Historica!K119/Serie_Historica!K118,"")</f>
        <v>0.52034215548198681</v>
      </c>
      <c r="I38" s="31">
        <f>IFERROR(Serie_Historica!L119/Serie_Historica!L118,"")</f>
        <v>0.56525076151872022</v>
      </c>
      <c r="J38" s="31">
        <f>IFERROR(Serie_Historica!M119/Serie_Historica!M118,"")</f>
        <v>0.46346392585962987</v>
      </c>
      <c r="K38" s="31">
        <f>IFERROR(Serie_Historica!N119/Serie_Historica!N118,"")</f>
        <v>0.37870151438383154</v>
      </c>
      <c r="L38" s="31">
        <f>IFERROR(Serie_Historica!O119/Serie_Historica!O118,"")</f>
        <v>0.48016388182738112</v>
      </c>
      <c r="M38" s="31">
        <f>IFERROR(Serie_Historica!P119/Serie_Historica!P118,"")</f>
        <v>0.54946771631429747</v>
      </c>
      <c r="N38" s="31">
        <f>IFERROR(Serie_Historica!Q119/Serie_Historica!Q118,"")</f>
        <v>0.55184189969039232</v>
      </c>
      <c r="O38" s="31">
        <f>IFERROR(Serie_Historica!R119/Serie_Historica!R118,"")</f>
        <v>0.30492576388929021</v>
      </c>
      <c r="P38" s="31">
        <f>IFERROR(Serie_Historica!S119/Serie_Historica!S118,"")</f>
        <v>0.36049415885525504</v>
      </c>
      <c r="Q38" s="31">
        <f>IFERROR(Serie_Historica!T119/Serie_Historica!T118,"")</f>
        <v>0.32082125123701938</v>
      </c>
      <c r="R38" s="31">
        <f>IFERROR(Serie_Historica!U119/Serie_Historica!U118,"")</f>
        <v>0.27570896763412983</v>
      </c>
      <c r="S38" s="31">
        <f>IFERROR(Serie_Historica!V119/Serie_Historica!V118,"")</f>
        <v>0.24824192804213799</v>
      </c>
      <c r="T38" s="31">
        <f>IFERROR(Serie_Historica!W119/Serie_Historica!W118,"")</f>
        <v>0.20726326171918452</v>
      </c>
      <c r="U38" s="31">
        <f>IFERROR(Serie_Historica!X119/Serie_Historica!X118,"")</f>
        <v>0.22835807860262008</v>
      </c>
      <c r="V38" s="31">
        <f>IFERROR(Serie_Historica!Y119/Serie_Historica!Y118,"")</f>
        <v>0.29754412074631253</v>
      </c>
      <c r="W38" s="31">
        <f>IFERROR(Serie_Historica!Z119/Serie_Historica!Z118,"")</f>
        <v>0.23927041744396207</v>
      </c>
      <c r="X38" s="19">
        <f>IFERROR((W38-D38)*100,"")</f>
        <v>-3.7149173319453137</v>
      </c>
    </row>
    <row r="39" spans="1:24">
      <c r="A39" s="28" t="s">
        <v>163</v>
      </c>
      <c r="B39" s="28" t="s">
        <v>164</v>
      </c>
      <c r="C39" s="28" t="s">
        <v>505</v>
      </c>
      <c r="D39" s="31">
        <f>IFERROR(Serie_Historica!G120/Serie_Historica!G118,"")</f>
        <v>0.19321636946339057</v>
      </c>
      <c r="E39" s="31">
        <f>IFERROR(Serie_Historica!H120/Serie_Historica!H118,"")</f>
        <v>0.18305540888109148</v>
      </c>
      <c r="F39" s="31">
        <f>IFERROR(Serie_Historica!I120/Serie_Historica!I118,"")</f>
        <v>0.21097789927867988</v>
      </c>
      <c r="G39" s="31">
        <f>IFERROR(Serie_Historica!J120/Serie_Historica!J118,"")</f>
        <v>0.19886949704996493</v>
      </c>
      <c r="H39" s="31">
        <f>IFERROR(Serie_Historica!K120/Serie_Historica!K118,"")</f>
        <v>0.2215901816252995</v>
      </c>
      <c r="I39" s="31">
        <f>IFERROR(Serie_Historica!L120/Serie_Historica!L118,"")</f>
        <v>0.22206125728539564</v>
      </c>
      <c r="J39" s="31">
        <f>IFERROR(Serie_Historica!M120/Serie_Historica!M118,"")</f>
        <v>0.1900568755954615</v>
      </c>
      <c r="K39" s="31">
        <f>IFERROR(Serie_Historica!N120/Serie_Historica!N118,"")</f>
        <v>0.2303735292461859</v>
      </c>
      <c r="L39" s="31">
        <f>IFERROR(Serie_Historica!O120/Serie_Historica!O118,"")</f>
        <v>0.23458301453710789</v>
      </c>
      <c r="M39" s="31">
        <f>IFERROR(Serie_Historica!P120/Serie_Historica!P118,"")</f>
        <v>0.17103727302247615</v>
      </c>
      <c r="N39" s="31">
        <f>IFERROR(Serie_Historica!Q120/Serie_Historica!Q118,"")</f>
        <v>0.15467294879817425</v>
      </c>
      <c r="O39" s="31">
        <f>IFERROR(Serie_Historica!R120/Serie_Historica!R118,"")</f>
        <v>0.19587467996694197</v>
      </c>
      <c r="P39" s="31">
        <f>IFERROR(Serie_Historica!S120/Serie_Historica!S118,"")</f>
        <v>0.18562302226998625</v>
      </c>
      <c r="Q39" s="31">
        <f>IFERROR(Serie_Historica!T120/Serie_Historica!T118,"")</f>
        <v>0.23015691239957994</v>
      </c>
      <c r="R39" s="31">
        <f>IFERROR(Serie_Historica!U120/Serie_Historica!U118,"")</f>
        <v>0.26893685910407811</v>
      </c>
      <c r="S39" s="31">
        <f>IFERROR(Serie_Historica!V120/Serie_Historica!V118,"")</f>
        <v>0.18964262600676909</v>
      </c>
      <c r="T39" s="31">
        <f>IFERROR(Serie_Historica!W120/Serie_Historica!W118,"")</f>
        <v>0.17026467818129232</v>
      </c>
      <c r="U39" s="31">
        <f>IFERROR(Serie_Historica!X120/Serie_Historica!X118,"")</f>
        <v>0.20339737991266377</v>
      </c>
      <c r="V39" s="31">
        <f>IFERROR(Serie_Historica!Y120/Serie_Historica!Y118,"")</f>
        <v>0.20356816697585231</v>
      </c>
      <c r="W39" s="31">
        <f>IFERROR(Serie_Historica!Z120/Serie_Historica!Z118,"")</f>
        <v>0.21793038919980706</v>
      </c>
      <c r="X39" s="19">
        <f>IFERROR((W39-D39)*100,"")</f>
        <v>2.4714019736416488</v>
      </c>
    </row>
    <row r="40" spans="1:24">
      <c r="A40" s="28" t="s">
        <v>163</v>
      </c>
      <c r="B40" s="28" t="s">
        <v>164</v>
      </c>
      <c r="C40" s="28" t="s">
        <v>506</v>
      </c>
      <c r="D40" s="31">
        <f>IFERROR(Serie_Historica!G121/Serie_Historica!G118,"")</f>
        <v>0.32445147505957761</v>
      </c>
      <c r="E40" s="31">
        <f>IFERROR(Serie_Historica!H121/Serie_Historica!H118,"")</f>
        <v>0.28966597966240271</v>
      </c>
      <c r="F40" s="31">
        <f>IFERROR(Serie_Historica!I121/Serie_Historica!I118,"")</f>
        <v>0.30682454464609205</v>
      </c>
      <c r="G40" s="31">
        <f>IFERROR(Serie_Historica!J121/Serie_Historica!J118,"")</f>
        <v>0.3160319621515314</v>
      </c>
      <c r="H40" s="31">
        <f>IFERROR(Serie_Historica!K121/Serie_Historica!K118,"")</f>
        <v>0.16113986794212865</v>
      </c>
      <c r="I40" s="31">
        <f>IFERROR(Serie_Historica!L121/Serie_Historica!L118,"")</f>
        <v>0.15427050104334061</v>
      </c>
      <c r="J40" s="31">
        <f>IFERROR(Serie_Historica!M121/Serie_Historica!M118,"")</f>
        <v>0.25211479054190605</v>
      </c>
      <c r="K40" s="31">
        <f>IFERROR(Serie_Historica!N121/Serie_Historica!N118,"")</f>
        <v>0.27065388729381296</v>
      </c>
      <c r="L40" s="31">
        <f>IFERROR(Serie_Historica!O121/Serie_Historica!O118,"")</f>
        <v>0.2020682676407434</v>
      </c>
      <c r="M40" s="31">
        <f>IFERROR(Serie_Historica!P121/Serie_Historica!P118,"")</f>
        <v>0.1951721474772474</v>
      </c>
      <c r="N40" s="31">
        <f>IFERROR(Serie_Historica!Q121/Serie_Historica!Q118,"")</f>
        <v>0.20033701017983419</v>
      </c>
      <c r="O40" s="31">
        <f>IFERROR(Serie_Historica!R121/Serie_Historica!R118,"")</f>
        <v>0.34291361563668515</v>
      </c>
      <c r="P40" s="31">
        <f>IFERROR(Serie_Historica!S121/Serie_Historica!S118,"")</f>
        <v>0.31568053814158059</v>
      </c>
      <c r="Q40" s="31">
        <f>IFERROR(Serie_Historica!T121/Serie_Historica!T118,"")</f>
        <v>0.28943012839072957</v>
      </c>
      <c r="R40" s="31">
        <f>IFERROR(Serie_Historica!U121/Serie_Historica!U118,"")</f>
        <v>0.27686703826441678</v>
      </c>
      <c r="S40" s="31">
        <f>IFERROR(Serie_Historica!V121/Serie_Historica!V118,"")</f>
        <v>0.24717361483128392</v>
      </c>
      <c r="T40" s="31">
        <f>IFERROR(Serie_Historica!W121/Serie_Historica!W118,"")</f>
        <v>0.20027488758531528</v>
      </c>
      <c r="U40" s="31">
        <f>IFERROR(Serie_Historica!X121/Serie_Historica!X118,"")</f>
        <v>0.24602328966521106</v>
      </c>
      <c r="V40" s="31">
        <f>IFERROR(Serie_Historica!Y121/Serie_Historica!Y118,"")</f>
        <v>0.23117371722653984</v>
      </c>
      <c r="W40" s="31">
        <f>IFERROR(Serie_Historica!Z121/Serie_Historica!Z118,"")</f>
        <v>0.27445647436232717</v>
      </c>
      <c r="X40" s="19">
        <f>IFERROR((W40-D40)*100,"")</f>
        <v>-4.9995000697250438</v>
      </c>
    </row>
    <row r="41" spans="1:24">
      <c r="A41" s="28" t="s">
        <v>283</v>
      </c>
      <c r="B41" s="28" t="s">
        <v>284</v>
      </c>
      <c r="C41" s="28" t="s">
        <v>504</v>
      </c>
      <c r="D41" s="31">
        <f>IFERROR(Serie_Historica!G129/Serie_Historica!G128,"")</f>
        <v>4.956441750987501E-2</v>
      </c>
      <c r="E41" s="31">
        <f>IFERROR(Serie_Historica!H129/Serie_Historica!H128,"")</f>
        <v>3.4645593408181949E-2</v>
      </c>
      <c r="F41" s="31">
        <f>IFERROR(Serie_Historica!I129/Serie_Historica!I128,"")</f>
        <v>3.6741071428571428E-2</v>
      </c>
      <c r="G41" s="31">
        <f>IFERROR(Serie_Historica!J129/Serie_Historica!J128,"")</f>
        <v>3.6963468347871148E-2</v>
      </c>
      <c r="H41" s="31">
        <f>IFERROR(Serie_Historica!K129/Serie_Historica!K128,"")</f>
        <v>3.5497538073972289E-2</v>
      </c>
      <c r="I41" s="31">
        <f>IFERROR(Serie_Historica!L129/Serie_Historica!L128,"")</f>
        <v>3.6597719177858382E-2</v>
      </c>
      <c r="J41" s="31">
        <f>IFERROR(Serie_Historica!M129/Serie_Historica!M128,"")</f>
        <v>4.6799951969260324E-2</v>
      </c>
      <c r="K41" s="31">
        <f>IFERROR(Serie_Historica!N129/Serie_Historica!N128,"")</f>
        <v>4.2813455657492352E-2</v>
      </c>
      <c r="L41" s="31">
        <f>IFERROR(Serie_Historica!O129/Serie_Historica!O128,"")</f>
        <v>3.3368994854551935E-2</v>
      </c>
      <c r="M41" s="31">
        <f>IFERROR(Serie_Historica!P129/Serie_Historica!P128,"")</f>
        <v>4.266002530679467E-2</v>
      </c>
      <c r="N41" s="31">
        <f>IFERROR(Serie_Historica!Q129/Serie_Historica!Q128,"")</f>
        <v>5.3310964176453174E-2</v>
      </c>
      <c r="O41" s="31">
        <f>IFERROR(Serie_Historica!R129/Serie_Historica!R128,"")</f>
        <v>0.22328444211629125</v>
      </c>
      <c r="P41" s="31">
        <f>IFERROR(Serie_Historica!S129/Serie_Historica!S128,"")</f>
        <v>0.28028014838539661</v>
      </c>
      <c r="Q41" s="31">
        <f>IFERROR(Serie_Historica!T129/Serie_Historica!T128,"")</f>
        <v>6.2432361285793679E-2</v>
      </c>
      <c r="R41" s="31">
        <f>IFERROR(Serie_Historica!U129/Serie_Historica!U128,"")</f>
        <v>6.3422971132533978E-2</v>
      </c>
      <c r="S41" s="31">
        <f>IFERROR(Serie_Historica!V129/Serie_Historica!V128,"")</f>
        <v>6.6839320454517293E-2</v>
      </c>
      <c r="T41" s="31">
        <f>IFERROR(Serie_Historica!W129/Serie_Historica!W128,"")</f>
        <v>3.5615075754818828E-2</v>
      </c>
      <c r="U41" s="31">
        <f>IFERROR(Serie_Historica!X129/Serie_Historica!X128,"")</f>
        <v>4.627462504854165E-2</v>
      </c>
      <c r="V41" s="31">
        <f>IFERROR(Serie_Historica!Y129/Serie_Historica!Y128,"")</f>
        <v>4.5949214026602174E-2</v>
      </c>
      <c r="W41" s="31">
        <f>IFERROR(Serie_Historica!Z129/Serie_Historica!Z128,"")</f>
        <v>3.7889256032842697E-2</v>
      </c>
      <c r="X41" s="19">
        <f>IFERROR((W41-D41)*100,"")</f>
        <v>-1.1675161477032312</v>
      </c>
    </row>
    <row r="42" spans="1:24">
      <c r="A42" s="28" t="s">
        <v>283</v>
      </c>
      <c r="B42" s="28" t="s">
        <v>284</v>
      </c>
      <c r="C42" s="28" t="s">
        <v>505</v>
      </c>
      <c r="D42" s="31">
        <f>IFERROR(Serie_Historica!G130/Serie_Historica!G128,"")</f>
        <v>0.25566798333423518</v>
      </c>
      <c r="E42" s="31">
        <f>IFERROR(Serie_Historica!H130/Serie_Historica!H128,"")</f>
        <v>0.23688141473521901</v>
      </c>
      <c r="F42" s="31">
        <f>IFERROR(Serie_Historica!I130/Serie_Historica!I128,"")</f>
        <v>0.2544642857142857</v>
      </c>
      <c r="G42" s="31">
        <f>IFERROR(Serie_Historica!J130/Serie_Historica!J128,"")</f>
        <v>0.25282839623456255</v>
      </c>
      <c r="H42" s="31">
        <f>IFERROR(Serie_Historica!K130/Serie_Historica!K128,"")</f>
        <v>0.25592579869460669</v>
      </c>
      <c r="I42" s="31">
        <f>IFERROR(Serie_Historica!L130/Serie_Historica!L128,"")</f>
        <v>0.25938633467307126</v>
      </c>
      <c r="J42" s="31">
        <f>IFERROR(Serie_Historica!M130/Serie_Historica!M128,"")</f>
        <v>0.23246878001921228</v>
      </c>
      <c r="K42" s="31">
        <f>IFERROR(Serie_Historica!N130/Serie_Historica!N128,"")</f>
        <v>0.23571757191956916</v>
      </c>
      <c r="L42" s="31">
        <f>IFERROR(Serie_Historica!O130/Serie_Historica!O128,"")</f>
        <v>0.23628305058841509</v>
      </c>
      <c r="M42" s="31">
        <f>IFERROR(Serie_Historica!P130/Serie_Historica!P128,"")</f>
        <v>0.24023378657936492</v>
      </c>
      <c r="N42" s="31">
        <f>IFERROR(Serie_Historica!Q130/Serie_Historica!Q128,"")</f>
        <v>0.25609395045889666</v>
      </c>
      <c r="O42" s="31">
        <f>IFERROR(Serie_Historica!R130/Serie_Historica!R128,"")</f>
        <v>0.25721581980094288</v>
      </c>
      <c r="P42" s="31">
        <f>IFERROR(Serie_Historica!S130/Serie_Historica!S128,"")</f>
        <v>0.28769941821572642</v>
      </c>
      <c r="Q42" s="31">
        <f>IFERROR(Serie_Historica!T130/Serie_Historica!T128,"")</f>
        <v>0.26340343385299364</v>
      </c>
      <c r="R42" s="31">
        <f>IFERROR(Serie_Historica!U130/Serie_Historica!U128,"")</f>
        <v>0.27888749432531312</v>
      </c>
      <c r="S42" s="31">
        <f>IFERROR(Serie_Historica!V130/Serie_Historica!V128,"")</f>
        <v>0.27456908836321731</v>
      </c>
      <c r="T42" s="31">
        <f>IFERROR(Serie_Historica!W130/Serie_Historica!W128,"")</f>
        <v>0.3138153984254643</v>
      </c>
      <c r="U42" s="31">
        <f>IFERROR(Serie_Historica!X130/Serie_Historica!X128,"")</f>
        <v>0.31161116300548913</v>
      </c>
      <c r="V42" s="31">
        <f>IFERROR(Serie_Historica!Y130/Serie_Historica!Y128,"")</f>
        <v>0.30617096714692682</v>
      </c>
      <c r="W42" s="31">
        <f>IFERROR(Serie_Historica!Z130/Serie_Historica!Z128,"")</f>
        <v>0.30162210874136375</v>
      </c>
      <c r="X42" s="19">
        <f>IFERROR((W42-D42)*100,"")</f>
        <v>4.5954125407128563</v>
      </c>
    </row>
    <row r="43" spans="1:24">
      <c r="A43" s="28" t="s">
        <v>283</v>
      </c>
      <c r="B43" s="28" t="s">
        <v>284</v>
      </c>
      <c r="C43" s="28" t="s">
        <v>506</v>
      </c>
      <c r="D43" s="31">
        <f>IFERROR(Serie_Historica!G131/Serie_Historica!G128,"")</f>
        <v>0.55229695362805042</v>
      </c>
      <c r="E43" s="31">
        <f>IFERROR(Serie_Historica!H131/Serie_Historica!H128,"")</f>
        <v>0.55404037970413911</v>
      </c>
      <c r="F43" s="31">
        <f>IFERROR(Serie_Historica!I131/Serie_Historica!I128,"")</f>
        <v>0.55227678571428573</v>
      </c>
      <c r="G43" s="31">
        <f>IFERROR(Serie_Historica!J131/Serie_Historica!J128,"")</f>
        <v>0.59085413248121599</v>
      </c>
      <c r="H43" s="31">
        <f>IFERROR(Serie_Historica!K131/Serie_Historica!K128,"")</f>
        <v>0.59002251994350929</v>
      </c>
      <c r="I43" s="31">
        <f>IFERROR(Serie_Historica!L131/Serie_Historica!L128,"")</f>
        <v>0.62065810541450184</v>
      </c>
      <c r="J43" s="31">
        <f>IFERROR(Serie_Historica!M131/Serie_Historica!M128,"")</f>
        <v>0.62716138328530258</v>
      </c>
      <c r="K43" s="31">
        <f>IFERROR(Serie_Historica!N131/Serie_Historica!N128,"")</f>
        <v>0.62001028388947521</v>
      </c>
      <c r="L43" s="31">
        <f>IFERROR(Serie_Historica!O131/Serie_Historica!O128,"")</f>
        <v>0.62922206938713132</v>
      </c>
      <c r="M43" s="31">
        <f>IFERROR(Serie_Historica!P131/Serie_Historica!P128,"")</f>
        <v>0.592580690513969</v>
      </c>
      <c r="N43" s="31">
        <f>IFERROR(Serie_Historica!Q131/Serie_Historica!Q128,"")</f>
        <v>0.60225007401559261</v>
      </c>
      <c r="O43" s="31">
        <f>IFERROR(Serie_Historica!R131/Serie_Historica!R128,"")</f>
        <v>0.44921424829753798</v>
      </c>
      <c r="P43" s="31">
        <f>IFERROR(Serie_Historica!S131/Serie_Historica!S128,"")</f>
        <v>0.37564614542579716</v>
      </c>
      <c r="Q43" s="31">
        <f>IFERROR(Serie_Historica!T131/Serie_Historica!T128,"")</f>
        <v>0.58258504197256422</v>
      </c>
      <c r="R43" s="31">
        <f>IFERROR(Serie_Historica!U131/Serie_Historica!U128,"")</f>
        <v>0.5698987902902769</v>
      </c>
      <c r="S43" s="31">
        <f>IFERROR(Serie_Historica!V131/Serie_Historica!V128,"")</f>
        <v>0.57060011647934972</v>
      </c>
      <c r="T43" s="31">
        <f>IFERROR(Serie_Historica!W131/Serie_Historica!W128,"")</f>
        <v>0.56341206011863609</v>
      </c>
      <c r="U43" s="31">
        <f>IFERROR(Serie_Historica!X131/Serie_Historica!X128,"")</f>
        <v>0.54620640434933199</v>
      </c>
      <c r="V43" s="31">
        <f>IFERROR(Serie_Historica!Y131/Serie_Historica!Y128,"")</f>
        <v>0.54672801426434114</v>
      </c>
      <c r="W43" s="31">
        <f>IFERROR(Serie_Historica!Z131/Serie_Historica!Z128,"")</f>
        <v>0.55179733653749874</v>
      </c>
      <c r="X43" s="19">
        <f>IFERROR((W43-D43)*100,"")</f>
        <v>-4.9961709055168502E-2</v>
      </c>
    </row>
    <row r="44" spans="1:24">
      <c r="A44" s="28" t="s">
        <v>171</v>
      </c>
      <c r="B44" s="28" t="s">
        <v>172</v>
      </c>
      <c r="C44" s="28" t="s">
        <v>504</v>
      </c>
      <c r="D44" s="31">
        <f>IFERROR(Serie_Historica!G139/Serie_Historica!G138,"")</f>
        <v>7.1642438706877851E-2</v>
      </c>
      <c r="E44" s="31">
        <f>IFERROR(Serie_Historica!H139/Serie_Historica!H138,"")</f>
        <v>4.7512025865468023E-2</v>
      </c>
      <c r="F44" s="31">
        <f>IFERROR(Serie_Historica!I139/Serie_Historica!I138,"")</f>
        <v>6.3169970960456026E-2</v>
      </c>
      <c r="G44" s="31">
        <f>IFERROR(Serie_Historica!J139/Serie_Historica!J138,"")</f>
        <v>6.4669335085727947E-2</v>
      </c>
      <c r="H44" s="31">
        <f>IFERROR(Serie_Historica!K139/Serie_Historica!K138,"")</f>
        <v>6.1840120663650078E-2</v>
      </c>
      <c r="I44" s="31">
        <f>IFERROR(Serie_Historica!L139/Serie_Historica!L138,"")</f>
        <v>6.9507063420498949E-2</v>
      </c>
      <c r="J44" s="31">
        <f>IFERROR(Serie_Historica!M139/Serie_Historica!M138,"")</f>
        <v>6.0352776107436362E-2</v>
      </c>
      <c r="K44" s="31">
        <f>IFERROR(Serie_Historica!N139/Serie_Historica!N138,"")</f>
        <v>5.9718670076726342E-2</v>
      </c>
      <c r="L44" s="31">
        <f>IFERROR(Serie_Historica!O139/Serie_Historica!O138,"")</f>
        <v>5.4879154078549847E-2</v>
      </c>
      <c r="M44" s="31">
        <f>IFERROR(Serie_Historica!P139/Serie_Historica!P138,"")</f>
        <v>5.6383899038216882E-2</v>
      </c>
      <c r="N44" s="31">
        <f>IFERROR(Serie_Historica!Q139/Serie_Historica!Q138,"")</f>
        <v>5.4273036362588602E-2</v>
      </c>
      <c r="O44" s="31">
        <f>IFERROR(Serie_Historica!R139/Serie_Historica!R138,"")</f>
        <v>4.7842303765289328E-2</v>
      </c>
      <c r="P44" s="31">
        <f>IFERROR(Serie_Historica!S139/Serie_Historica!S138,"")</f>
        <v>0.15794430361920855</v>
      </c>
      <c r="Q44" s="31">
        <f>IFERROR(Serie_Historica!T139/Serie_Historica!T138,"")</f>
        <v>0.14624727242784799</v>
      </c>
      <c r="R44" s="31">
        <f>IFERROR(Serie_Historica!U139/Serie_Historica!U138,"")</f>
        <v>0.11965675513869486</v>
      </c>
      <c r="S44" s="31">
        <f>IFERROR(Serie_Historica!V139/Serie_Historica!V138,"")</f>
        <v>7.4659119748367697E-2</v>
      </c>
      <c r="T44" s="31">
        <f>IFERROR(Serie_Historica!W139/Serie_Historica!W138,"")</f>
        <v>0.24188892265257941</v>
      </c>
      <c r="U44" s="31">
        <f>IFERROR(Serie_Historica!X139/Serie_Historica!X138,"")</f>
        <v>0.28428111355551172</v>
      </c>
      <c r="V44" s="31">
        <f>IFERROR(Serie_Historica!Y139/Serie_Historica!Y138,"")</f>
        <v>0.26775158243784525</v>
      </c>
      <c r="W44" s="31">
        <f>IFERROR(Serie_Historica!Z139/Serie_Historica!Z138,"")</f>
        <v>0.33276891512219769</v>
      </c>
      <c r="X44" s="19">
        <f>IFERROR((W44-D44)*100,"")</f>
        <v>26.112647641531982</v>
      </c>
    </row>
    <row r="45" spans="1:24">
      <c r="A45" s="28" t="s">
        <v>171</v>
      </c>
      <c r="B45" s="28" t="s">
        <v>172</v>
      </c>
      <c r="C45" s="28" t="s">
        <v>505</v>
      </c>
      <c r="D45" s="31">
        <f>IFERROR(Serie_Historica!G140/Serie_Historica!G138,"")</f>
        <v>0.21952701236710784</v>
      </c>
      <c r="E45" s="31">
        <f>IFERROR(Serie_Historica!H140/Serie_Historica!H138,"")</f>
        <v>0.21910732592066873</v>
      </c>
      <c r="F45" s="31">
        <f>IFERROR(Serie_Historica!I140/Serie_Historica!I138,"")</f>
        <v>0.22417810920302586</v>
      </c>
      <c r="G45" s="31">
        <f>IFERROR(Serie_Historica!J140/Serie_Historica!J138,"")</f>
        <v>0.20503016906625246</v>
      </c>
      <c r="H45" s="31">
        <f>IFERROR(Serie_Historica!K140/Serie_Historica!K138,"")</f>
        <v>0.19950858755412834</v>
      </c>
      <c r="I45" s="31">
        <f>IFERROR(Serie_Historica!L140/Serie_Historica!L138,"")</f>
        <v>0.20503957519286645</v>
      </c>
      <c r="J45" s="31">
        <f>IFERROR(Serie_Historica!M140/Serie_Historica!M138,"")</f>
        <v>0.19444778512728</v>
      </c>
      <c r="K45" s="31">
        <f>IFERROR(Serie_Historica!N140/Serie_Historica!N138,"")</f>
        <v>0.20382033248081841</v>
      </c>
      <c r="L45" s="31">
        <f>IFERROR(Serie_Historica!O140/Serie_Historica!O138,"")</f>
        <v>0.20187311178247735</v>
      </c>
      <c r="M45" s="31">
        <f>IFERROR(Serie_Historica!P140/Serie_Historica!P138,"")</f>
        <v>0.1917078011297135</v>
      </c>
      <c r="N45" s="31">
        <f>IFERROR(Serie_Historica!Q140/Serie_Historica!Q138,"")</f>
        <v>0.19691119691119691</v>
      </c>
      <c r="O45" s="31">
        <f>IFERROR(Serie_Historica!R140/Serie_Historica!R138,"")</f>
        <v>0.19691192098518473</v>
      </c>
      <c r="P45" s="31">
        <f>IFERROR(Serie_Historica!S140/Serie_Historica!S138,"")</f>
        <v>0.17417441205464018</v>
      </c>
      <c r="Q45" s="31">
        <f>IFERROR(Serie_Historica!T140/Serie_Historica!T138,"")</f>
        <v>0.17567623203919469</v>
      </c>
      <c r="R45" s="31">
        <f>IFERROR(Serie_Historica!U140/Serie_Historica!U138,"")</f>
        <v>0.19294352424665737</v>
      </c>
      <c r="S45" s="31">
        <f>IFERROR(Serie_Historica!V140/Serie_Historica!V138,"")</f>
        <v>0.18887803677584575</v>
      </c>
      <c r="T45" s="31">
        <f>IFERROR(Serie_Historica!W140/Serie_Historica!W138,"")</f>
        <v>0.19174399850400878</v>
      </c>
      <c r="U45" s="31">
        <f>IFERROR(Serie_Historica!X140/Serie_Historica!X138,"")</f>
        <v>0.20116400537233248</v>
      </c>
      <c r="V45" s="31">
        <f>IFERROR(Serie_Historica!Y140/Serie_Historica!Y138,"")</f>
        <v>0.2381171894974162</v>
      </c>
      <c r="W45" s="31">
        <f>IFERROR(Serie_Historica!Z140/Serie_Historica!Z138,"")</f>
        <v>0.21981585855861699</v>
      </c>
      <c r="X45" s="19">
        <f>IFERROR((W45-D45)*100,"")</f>
        <v>2.8884619150915114E-2</v>
      </c>
    </row>
    <row r="46" spans="1:24">
      <c r="A46" s="28" t="s">
        <v>171</v>
      </c>
      <c r="B46" s="28" t="s">
        <v>172</v>
      </c>
      <c r="C46" s="28" t="s">
        <v>506</v>
      </c>
      <c r="D46" s="31">
        <f>IFERROR(Serie_Historica!G141/Serie_Historica!G138,"")</f>
        <v>0.44170101974397918</v>
      </c>
      <c r="E46" s="31">
        <f>IFERROR(Serie_Historica!H141/Serie_Historica!H138,"")</f>
        <v>0.41475435691191548</v>
      </c>
      <c r="F46" s="31">
        <f>IFERROR(Serie_Historica!I141/Serie_Historica!I138,"")</f>
        <v>0.44140106836840787</v>
      </c>
      <c r="G46" s="31">
        <f>IFERROR(Serie_Historica!J141/Serie_Historica!J138,"")</f>
        <v>0.40770057948503496</v>
      </c>
      <c r="H46" s="31">
        <f>IFERROR(Serie_Historica!K141/Serie_Historica!K138,"")</f>
        <v>0.37456818955870191</v>
      </c>
      <c r="I46" s="31">
        <f>IFERROR(Serie_Historica!L141/Serie_Historica!L138,"")</f>
        <v>0.44870253481615069</v>
      </c>
      <c r="J46" s="31">
        <f>IFERROR(Serie_Historica!M141/Serie_Historica!M138,"")</f>
        <v>0.43002605732611748</v>
      </c>
      <c r="K46" s="31">
        <f>IFERROR(Serie_Historica!N141/Serie_Historica!N138,"")</f>
        <v>0.37201086956521739</v>
      </c>
      <c r="L46" s="31">
        <f>IFERROR(Serie_Historica!O141/Serie_Historica!O138,"")</f>
        <v>0.37397280966767371</v>
      </c>
      <c r="M46" s="31">
        <f>IFERROR(Serie_Historica!P141/Serie_Historica!P138,"")</f>
        <v>0.34575848557325328</v>
      </c>
      <c r="N46" s="31">
        <f>IFERROR(Serie_Historica!Q141/Serie_Historica!Q138,"")</f>
        <v>0.34973779749899153</v>
      </c>
      <c r="O46" s="31">
        <f>IFERROR(Serie_Historica!R141/Serie_Historica!R138,"")</f>
        <v>0.37991498405951118</v>
      </c>
      <c r="P46" s="31">
        <f>IFERROR(Serie_Historica!S141/Serie_Historica!S138,"")</f>
        <v>0.34087628503027745</v>
      </c>
      <c r="Q46" s="31">
        <f>IFERROR(Serie_Historica!T141/Serie_Historica!T138,"")</f>
        <v>0.33302317921692948</v>
      </c>
      <c r="R46" s="31">
        <f>IFERROR(Serie_Historica!U141/Serie_Historica!U138,"")</f>
        <v>0.33906206346038714</v>
      </c>
      <c r="S46" s="31">
        <f>IFERROR(Serie_Historica!V141/Serie_Historica!V138,"")</f>
        <v>0.36127538817666555</v>
      </c>
      <c r="T46" s="31">
        <f>IFERROR(Serie_Historica!W141/Serie_Historica!W138,"")</f>
        <v>0.2789556111357846</v>
      </c>
      <c r="U46" s="31">
        <f>IFERROR(Serie_Historica!X141/Serie_Historica!X138,"")</f>
        <v>0.25203749079338184</v>
      </c>
      <c r="V46" s="31">
        <f>IFERROR(Serie_Historica!Y141/Serie_Historica!Y138,"")</f>
        <v>0.20928854214281842</v>
      </c>
      <c r="W46" s="31">
        <f>IFERROR(Serie_Historica!Z141/Serie_Historica!Z138,"")</f>
        <v>0.19171670757560758</v>
      </c>
      <c r="X46" s="19">
        <f>IFERROR((W46-D46)*100,"")</f>
        <v>-24.998431216837162</v>
      </c>
    </row>
    <row r="47" spans="1:24">
      <c r="A47" s="28" t="s">
        <v>135</v>
      </c>
      <c r="B47" s="28" t="s">
        <v>136</v>
      </c>
      <c r="C47" s="28" t="s">
        <v>504</v>
      </c>
      <c r="D47" s="31">
        <f>IFERROR(Serie_Historica!G149/Serie_Historica!G148,"")</f>
        <v>8.7532347413682834E-2</v>
      </c>
      <c r="E47" s="31">
        <f>IFERROR(Serie_Historica!H149/Serie_Historica!H148,"")</f>
        <v>4.909348936396269E-2</v>
      </c>
      <c r="F47" s="31">
        <f>IFERROR(Serie_Historica!I149/Serie_Historica!I148,"")</f>
        <v>5.456730945418032E-2</v>
      </c>
      <c r="G47" s="31">
        <f>IFERROR(Serie_Historica!J149/Serie_Historica!J148,"")</f>
        <v>6.0862221507279018E-2</v>
      </c>
      <c r="H47" s="31">
        <f>IFERROR(Serie_Historica!K149/Serie_Historica!K148,"")</f>
        <v>5.4455644083204108E-2</v>
      </c>
      <c r="I47" s="31">
        <f>IFERROR(Serie_Historica!L149/Serie_Historica!L148,"")</f>
        <v>6.2441752096924513E-2</v>
      </c>
      <c r="J47" s="31">
        <f>IFERROR(Serie_Historica!M149/Serie_Historica!M148,"")</f>
        <v>5.5287425404168263E-2</v>
      </c>
      <c r="K47" s="31">
        <f>IFERROR(Serie_Historica!N149/Serie_Historica!N148,"")</f>
        <v>6.2040191704192366E-2</v>
      </c>
      <c r="L47" s="31">
        <f>IFERROR(Serie_Historica!O149/Serie_Historica!O148,"")</f>
        <v>6.8203127930090382E-2</v>
      </c>
      <c r="M47" s="31">
        <f>IFERROR(Serie_Historica!P149/Serie_Historica!P148,"")</f>
        <v>0.15511440819625649</v>
      </c>
      <c r="N47" s="31">
        <f>IFERROR(Serie_Historica!Q149/Serie_Historica!Q148,"")</f>
        <v>0.31838792858547671</v>
      </c>
      <c r="O47" s="31">
        <f>IFERROR(Serie_Historica!R149/Serie_Historica!R148,"")</f>
        <v>0.39313832751893979</v>
      </c>
      <c r="P47" s="31">
        <f>IFERROR(Serie_Historica!S149/Serie_Historica!S148,"")</f>
        <v>0.25621538139972361</v>
      </c>
      <c r="Q47" s="31">
        <f>IFERROR(Serie_Historica!T149/Serie_Historica!T148,"")</f>
        <v>0.41735074662808463</v>
      </c>
      <c r="R47" s="31">
        <f>IFERROR(Serie_Historica!U149/Serie_Historica!U148,"")</f>
        <v>0.3202869944883312</v>
      </c>
      <c r="S47" s="31">
        <f>IFERROR(Serie_Historica!V149/Serie_Historica!V148,"")</f>
        <v>0.2787264846389183</v>
      </c>
      <c r="T47" s="31">
        <f>IFERROR(Serie_Historica!W149/Serie_Historica!W148,"")</f>
        <v>0.29694471896048752</v>
      </c>
      <c r="U47" s="31">
        <f>IFERROR(Serie_Historica!X149/Serie_Historica!X148,"")</f>
        <v>0.28516678051298633</v>
      </c>
      <c r="V47" s="31">
        <f>IFERROR(Serie_Historica!Y149/Serie_Historica!Y148,"")</f>
        <v>0.29984131000465447</v>
      </c>
      <c r="W47" s="31">
        <f>IFERROR(Serie_Historica!Z149/Serie_Historica!Z148,"")</f>
        <v>0.30618256848804254</v>
      </c>
      <c r="X47" s="19">
        <f>IFERROR((W47-D47)*100,"")</f>
        <v>21.865022107435973</v>
      </c>
    </row>
    <row r="48" spans="1:24">
      <c r="A48" s="28" t="s">
        <v>135</v>
      </c>
      <c r="B48" s="28" t="s">
        <v>136</v>
      </c>
      <c r="C48" s="28" t="s">
        <v>505</v>
      </c>
      <c r="D48" s="31">
        <f>IFERROR(Serie_Historica!G150/Serie_Historica!G148,"")</f>
        <v>0.1635131013175114</v>
      </c>
      <c r="E48" s="31">
        <f>IFERROR(Serie_Historica!H150/Serie_Historica!H148,"")</f>
        <v>0.16397635255636758</v>
      </c>
      <c r="F48" s="31">
        <f>IFERROR(Serie_Historica!I150/Serie_Historica!I148,"")</f>
        <v>0.16697083635670676</v>
      </c>
      <c r="G48" s="31">
        <f>IFERROR(Serie_Historica!J150/Serie_Historica!J148,"")</f>
        <v>0.18045524008686559</v>
      </c>
      <c r="H48" s="31">
        <f>IFERROR(Serie_Historica!K150/Serie_Historica!K148,"")</f>
        <v>0.17681541094059142</v>
      </c>
      <c r="I48" s="31">
        <f>IFERROR(Serie_Historica!L150/Serie_Historica!L148,"")</f>
        <v>0.17104391470822713</v>
      </c>
      <c r="J48" s="31">
        <f>IFERROR(Serie_Historica!M150/Serie_Historica!M148,"")</f>
        <v>0.17589135568628164</v>
      </c>
      <c r="K48" s="31">
        <f>IFERROR(Serie_Historica!N150/Serie_Historica!N148,"")</f>
        <v>0.17757970872129994</v>
      </c>
      <c r="L48" s="31">
        <f>IFERROR(Serie_Historica!O150/Serie_Historica!O148,"")</f>
        <v>0.18644282338821588</v>
      </c>
      <c r="M48" s="31">
        <f>IFERROR(Serie_Historica!P150/Serie_Historica!P148,"")</f>
        <v>0.20215993872274157</v>
      </c>
      <c r="N48" s="31">
        <f>IFERROR(Serie_Historica!Q150/Serie_Historica!Q148,"")</f>
        <v>0.20433065273923209</v>
      </c>
      <c r="O48" s="31">
        <f>IFERROR(Serie_Historica!R150/Serie_Historica!R148,"")</f>
        <v>0.22705447639493839</v>
      </c>
      <c r="P48" s="31">
        <f>IFERROR(Serie_Historica!S150/Serie_Historica!S148,"")</f>
        <v>0.29342928806159063</v>
      </c>
      <c r="Q48" s="31">
        <f>IFERROR(Serie_Historica!T150/Serie_Historica!T148,"")</f>
        <v>0.28515971926552836</v>
      </c>
      <c r="R48" s="31">
        <f>IFERROR(Serie_Historica!U150/Serie_Historica!U148,"")</f>
        <v>0.3086842928454045</v>
      </c>
      <c r="S48" s="31">
        <f>IFERROR(Serie_Historica!V150/Serie_Historica!V148,"")</f>
        <v>0.34190416314314431</v>
      </c>
      <c r="T48" s="31">
        <f>IFERROR(Serie_Historica!W150/Serie_Historica!W148,"")</f>
        <v>0.30467649907214678</v>
      </c>
      <c r="U48" s="31">
        <f>IFERROR(Serie_Historica!X150/Serie_Historica!X148,"")</f>
        <v>0.31275582832322624</v>
      </c>
      <c r="V48" s="31">
        <f>IFERROR(Serie_Historica!Y150/Serie_Historica!Y148,"")</f>
        <v>0.30719946520222041</v>
      </c>
      <c r="W48" s="31">
        <f>IFERROR(Serie_Historica!Z150/Serie_Historica!Z148,"")</f>
        <v>0.29474562472033011</v>
      </c>
      <c r="X48" s="19">
        <f>IFERROR((W48-D48)*100,"")</f>
        <v>13.123252340281871</v>
      </c>
    </row>
    <row r="49" spans="1:24">
      <c r="A49" s="28" t="s">
        <v>135</v>
      </c>
      <c r="B49" s="28" t="s">
        <v>136</v>
      </c>
      <c r="C49" s="28" t="s">
        <v>506</v>
      </c>
      <c r="D49" s="31">
        <f>IFERROR(Serie_Historica!G151/Serie_Historica!G148,"")</f>
        <v>0.25365292086076097</v>
      </c>
      <c r="E49" s="31">
        <f>IFERROR(Serie_Historica!H151/Serie_Historica!H148,"")</f>
        <v>0.21750942938020323</v>
      </c>
      <c r="F49" s="31">
        <f>IFERROR(Serie_Historica!I151/Serie_Historica!I148,"")</f>
        <v>0.21860638976230787</v>
      </c>
      <c r="G49" s="31">
        <f>IFERROR(Serie_Historica!J151/Serie_Historica!J148,"")</f>
        <v>0.26745757258907743</v>
      </c>
      <c r="H49" s="31">
        <f>IFERROR(Serie_Historica!K151/Serie_Historica!K148,"")</f>
        <v>0.2582816426929041</v>
      </c>
      <c r="I49" s="31">
        <f>IFERROR(Serie_Historica!L151/Serie_Historica!L148,"")</f>
        <v>0.2773273897079464</v>
      </c>
      <c r="J49" s="31">
        <f>IFERROR(Serie_Historica!M151/Serie_Historica!M148,"")</f>
        <v>0.33916744070276406</v>
      </c>
      <c r="K49" s="31">
        <f>IFERROR(Serie_Historica!N151/Serie_Historica!N148,"")</f>
        <v>0.33377106135257956</v>
      </c>
      <c r="L49" s="31">
        <f>IFERROR(Serie_Historica!O151/Serie_Historica!O148,"")</f>
        <v>0.32267092975284101</v>
      </c>
      <c r="M49" s="31">
        <f>IFERROR(Serie_Historica!P151/Serie_Historica!P148,"")</f>
        <v>0.33082948587195254</v>
      </c>
      <c r="N49" s="31">
        <f>IFERROR(Serie_Historica!Q151/Serie_Historica!Q148,"")</f>
        <v>0.23007582876248334</v>
      </c>
      <c r="O49" s="31">
        <f>IFERROR(Serie_Historica!R151/Serie_Historica!R148,"")</f>
        <v>0.20433705592139215</v>
      </c>
      <c r="P49" s="31">
        <f>IFERROR(Serie_Historica!S151/Serie_Historica!S148,"")</f>
        <v>0.30864405401953154</v>
      </c>
      <c r="Q49" s="31">
        <f>IFERROR(Serie_Historica!T151/Serie_Historica!T148,"")</f>
        <v>0.22592266508947786</v>
      </c>
      <c r="R49" s="31">
        <f>IFERROR(Serie_Historica!U151/Serie_Historica!U148,"")</f>
        <v>0.28890881294250859</v>
      </c>
      <c r="S49" s="31">
        <f>IFERROR(Serie_Historica!V151/Serie_Historica!V148,"")</f>
        <v>0.30878010121179655</v>
      </c>
      <c r="T49" s="31">
        <f>IFERROR(Serie_Historica!W151/Serie_Historica!W148,"")</f>
        <v>0.27688051191355617</v>
      </c>
      <c r="U49" s="31">
        <f>IFERROR(Serie_Historica!X151/Serie_Historica!X148,"")</f>
        <v>0.28227108633722497</v>
      </c>
      <c r="V49" s="31">
        <f>IFERROR(Serie_Historica!Y151/Serie_Historica!Y148,"")</f>
        <v>0.25668887701837745</v>
      </c>
      <c r="W49" s="31">
        <f>IFERROR(Serie_Historica!Z151/Serie_Historica!Z148,"")</f>
        <v>0.28493387361408046</v>
      </c>
      <c r="X49" s="19">
        <f>IFERROR((W49-D49)*100,"")</f>
        <v>3.1280952753319493</v>
      </c>
    </row>
    <row r="50" spans="1:24">
      <c r="A50" s="28" t="s">
        <v>387</v>
      </c>
      <c r="B50" s="28" t="s">
        <v>388</v>
      </c>
      <c r="C50" s="28" t="s">
        <v>504</v>
      </c>
      <c r="D50" s="31">
        <f>IFERROR(Serie_Historica!G159/Serie_Historica!G158,"")</f>
        <v>5.4260651629072683E-2</v>
      </c>
      <c r="E50" s="31">
        <f>IFERROR(Serie_Historica!H159/Serie_Historica!H158,"")</f>
        <v>3.6768513723459351E-2</v>
      </c>
      <c r="F50" s="31">
        <f>IFERROR(Serie_Historica!I159/Serie_Historica!I158,"")</f>
        <v>3.8981088382863759E-2</v>
      </c>
      <c r="G50" s="31">
        <f>IFERROR(Serie_Historica!J159/Serie_Historica!J158,"")</f>
        <v>3.950508174988953E-2</v>
      </c>
      <c r="H50" s="31">
        <f>IFERROR(Serie_Historica!K159/Serie_Historica!K158,"")</f>
        <v>3.8868723532970356E-2</v>
      </c>
      <c r="I50" s="31">
        <f>IFERROR(Serie_Historica!L159/Serie_Historica!L158,"")</f>
        <v>3.8849822460488757E-2</v>
      </c>
      <c r="J50" s="31">
        <f>IFERROR(Serie_Historica!M159/Serie_Historica!M158,"")</f>
        <v>3.5975936625171241E-2</v>
      </c>
      <c r="K50" s="31">
        <f>IFERROR(Serie_Historica!N159/Serie_Historica!N158,"")</f>
        <v>3.7260024991480178E-2</v>
      </c>
      <c r="L50" s="31">
        <f>IFERROR(Serie_Historica!O159/Serie_Historica!O158,"")</f>
        <v>3.268968412215343E-2</v>
      </c>
      <c r="M50" s="31">
        <f>IFERROR(Serie_Historica!P159/Serie_Historica!P158,"")</f>
        <v>3.2610675897249045E-2</v>
      </c>
      <c r="N50" s="31">
        <f>IFERROR(Serie_Historica!Q159/Serie_Historica!Q158,"")</f>
        <v>4.4715769444224215E-2</v>
      </c>
      <c r="O50" s="31">
        <f>IFERROR(Serie_Historica!R159/Serie_Historica!R158,"")</f>
        <v>3.6261049463983452E-2</v>
      </c>
      <c r="P50" s="31">
        <f>IFERROR(Serie_Historica!S159/Serie_Historica!S158,"")</f>
        <v>3.9498075003564809E-2</v>
      </c>
      <c r="Q50" s="31">
        <f>IFERROR(Serie_Historica!T159/Serie_Historica!T158,"")</f>
        <v>3.7837466982264763E-2</v>
      </c>
      <c r="R50" s="31">
        <f>IFERROR(Serie_Historica!U159/Serie_Historica!U158,"")</f>
        <v>4.2300650293579142E-2</v>
      </c>
      <c r="S50" s="31">
        <f>IFERROR(Serie_Historica!V159/Serie_Historica!V158,"")</f>
        <v>3.9303234145051845E-2</v>
      </c>
      <c r="T50" s="31">
        <f>IFERROR(Serie_Historica!W159/Serie_Historica!W158,"")</f>
        <v>3.9394894421682952E-2</v>
      </c>
      <c r="U50" s="31">
        <f>IFERROR(Serie_Historica!X159/Serie_Historica!X158,"")</f>
        <v>3.8922919857069936E-2</v>
      </c>
      <c r="V50" s="31">
        <f>IFERROR(Serie_Historica!Y159/Serie_Historica!Y158,"")</f>
        <v>3.6321817049211752E-2</v>
      </c>
      <c r="W50" s="31">
        <f>IFERROR(Serie_Historica!Z159/Serie_Historica!Z158,"")</f>
        <v>4.0397201534642296E-2</v>
      </c>
      <c r="X50" s="19">
        <f>IFERROR((W50-D50)*100,"")</f>
        <v>-1.3863450094430387</v>
      </c>
    </row>
    <row r="51" spans="1:24">
      <c r="A51" s="28" t="s">
        <v>387</v>
      </c>
      <c r="B51" s="28" t="s">
        <v>388</v>
      </c>
      <c r="C51" s="28" t="s">
        <v>505</v>
      </c>
      <c r="D51" s="31">
        <f>IFERROR(Serie_Historica!G160/Serie_Historica!G158,"")</f>
        <v>0.24461152882205514</v>
      </c>
      <c r="E51" s="31">
        <f>IFERROR(Serie_Historica!H160/Serie_Historica!H158,"")</f>
        <v>0.24432936302433972</v>
      </c>
      <c r="F51" s="31">
        <f>IFERROR(Serie_Historica!I160/Serie_Historica!I158,"")</f>
        <v>0.24112311848707063</v>
      </c>
      <c r="G51" s="31">
        <f>IFERROR(Serie_Historica!J160/Serie_Historica!J158,"")</f>
        <v>0.21626159964648697</v>
      </c>
      <c r="H51" s="31">
        <f>IFERROR(Serie_Historica!K160/Serie_Historica!K158,"")</f>
        <v>0.22875075620084695</v>
      </c>
      <c r="I51" s="31">
        <f>IFERROR(Serie_Historica!L160/Serie_Historica!L158,"")</f>
        <v>0.22648471767736544</v>
      </c>
      <c r="J51" s="31">
        <f>IFERROR(Serie_Historica!M160/Serie_Historica!M158,"")</f>
        <v>0.20757638930251951</v>
      </c>
      <c r="K51" s="31">
        <f>IFERROR(Serie_Historica!N160/Serie_Historica!N158,"")</f>
        <v>0.21475633306827219</v>
      </c>
      <c r="L51" s="31">
        <f>IFERROR(Serie_Historica!O160/Serie_Historica!O158,"")</f>
        <v>0.22956238849826843</v>
      </c>
      <c r="M51" s="31">
        <f>IFERROR(Serie_Historica!P160/Serie_Historica!P158,"")</f>
        <v>0.23706503916924759</v>
      </c>
      <c r="N51" s="31">
        <f>IFERROR(Serie_Historica!Q160/Serie_Historica!Q158,"")</f>
        <v>0.28462697217156901</v>
      </c>
      <c r="O51" s="31">
        <f>IFERROR(Serie_Historica!R160/Serie_Historica!R158,"")</f>
        <v>0.25089336091781078</v>
      </c>
      <c r="P51" s="31">
        <f>IFERROR(Serie_Historica!S160/Serie_Historica!S158,"")</f>
        <v>0.25762868957650076</v>
      </c>
      <c r="Q51" s="31">
        <f>IFERROR(Serie_Historica!T160/Serie_Historica!T158,"")</f>
        <v>0.2506946588453226</v>
      </c>
      <c r="R51" s="31">
        <f>IFERROR(Serie_Historica!U160/Serie_Historica!U158,"")</f>
        <v>0.25882315802765327</v>
      </c>
      <c r="S51" s="31">
        <f>IFERROR(Serie_Historica!V160/Serie_Historica!V158,"")</f>
        <v>0.25379666891872044</v>
      </c>
      <c r="T51" s="31">
        <f>IFERROR(Serie_Historica!W160/Serie_Historica!W158,"")</f>
        <v>0.24247199381142023</v>
      </c>
      <c r="U51" s="31">
        <f>IFERROR(Serie_Historica!X160/Serie_Historica!X158,"")</f>
        <v>0.24249617151607963</v>
      </c>
      <c r="V51" s="31">
        <f>IFERROR(Serie_Historica!Y160/Serie_Historica!Y158,"")</f>
        <v>0.24397431597105754</v>
      </c>
      <c r="W51" s="31">
        <f>IFERROR(Serie_Historica!Z160/Serie_Historica!Z158,"")</f>
        <v>0.23574813811780637</v>
      </c>
      <c r="X51" s="19">
        <f>IFERROR((W51-D51)*100,"")</f>
        <v>-0.88633907042487692</v>
      </c>
    </row>
    <row r="52" spans="1:24">
      <c r="A52" s="28" t="s">
        <v>387</v>
      </c>
      <c r="B52" s="28" t="s">
        <v>388</v>
      </c>
      <c r="C52" s="28" t="s">
        <v>506</v>
      </c>
      <c r="D52" s="31">
        <f>IFERROR(Serie_Historica!G161/Serie_Historica!G158,"")</f>
        <v>0.60125313283208015</v>
      </c>
      <c r="E52" s="31">
        <f>IFERROR(Serie_Historica!H161/Serie_Historica!H158,"")</f>
        <v>0.55815639564992237</v>
      </c>
      <c r="F52" s="31">
        <f>IFERROR(Serie_Historica!I161/Serie_Historica!I158,"")</f>
        <v>0.58568120416827485</v>
      </c>
      <c r="G52" s="31">
        <f>IFERROR(Serie_Historica!J161/Serie_Historica!J158,"")</f>
        <v>0.64295183384887322</v>
      </c>
      <c r="H52" s="31">
        <f>IFERROR(Serie_Historica!K161/Serie_Historica!K158,"")</f>
        <v>0.64148517846339992</v>
      </c>
      <c r="I52" s="31">
        <f>IFERROR(Serie_Historica!L161/Serie_Historica!L158,"")</f>
        <v>0.660377358490566</v>
      </c>
      <c r="J52" s="31">
        <f>IFERROR(Serie_Historica!M161/Serie_Historica!M158,"")</f>
        <v>0.6479242361069748</v>
      </c>
      <c r="K52" s="31">
        <f>IFERROR(Serie_Historica!N161/Serie_Historica!N158,"")</f>
        <v>0.66806770419175276</v>
      </c>
      <c r="L52" s="31">
        <f>IFERROR(Serie_Historica!O161/Serie_Historica!O158,"")</f>
        <v>0.68595865253436872</v>
      </c>
      <c r="M52" s="31">
        <f>IFERROR(Serie_Historica!P161/Serie_Historica!P158,"")</f>
        <v>0.67029513572599742</v>
      </c>
      <c r="N52" s="31">
        <f>IFERROR(Serie_Historica!Q161/Serie_Historica!Q158,"")</f>
        <v>0.64183778641084599</v>
      </c>
      <c r="O52" s="31">
        <f>IFERROR(Serie_Historica!R161/Serie_Historica!R158,"")</f>
        <v>0.67985706225315023</v>
      </c>
      <c r="P52" s="31">
        <f>IFERROR(Serie_Historica!S161/Serie_Historica!S158,"")</f>
        <v>0.67556680450591755</v>
      </c>
      <c r="Q52" s="31">
        <f>IFERROR(Serie_Historica!T161/Serie_Historica!T158,"")</f>
        <v>0.68093718911872658</v>
      </c>
      <c r="R52" s="31">
        <f>IFERROR(Serie_Historica!U161/Serie_Historica!U158,"")</f>
        <v>0.6690131952774796</v>
      </c>
      <c r="S52" s="31">
        <f>IFERROR(Serie_Historica!V161/Serie_Historica!V158,"")</f>
        <v>0.68005169932144638</v>
      </c>
      <c r="T52" s="31">
        <f>IFERROR(Serie_Historica!W161/Serie_Historica!W158,"")</f>
        <v>0.69177434604475263</v>
      </c>
      <c r="U52" s="31">
        <f>IFERROR(Serie_Historica!X161/Serie_Historica!X158,"")</f>
        <v>0.68703420112302194</v>
      </c>
      <c r="V52" s="31">
        <f>IFERROR(Serie_Historica!Y161/Serie_Historica!Y158,"")</f>
        <v>0.67113901001485454</v>
      </c>
      <c r="W52" s="31">
        <f>IFERROR(Serie_Historica!Z161/Serie_Historica!Z158,"")</f>
        <v>0.68790340780862103</v>
      </c>
      <c r="X52" s="19">
        <f>IFERROR((W52-D52)*100,"")</f>
        <v>8.6650274976540871</v>
      </c>
    </row>
    <row r="53" spans="1:24">
      <c r="A53" s="28" t="s">
        <v>295</v>
      </c>
      <c r="B53" s="28" t="s">
        <v>296</v>
      </c>
      <c r="C53" s="28" t="s">
        <v>504</v>
      </c>
      <c r="D53" s="31">
        <f>IFERROR(Serie_Historica!G169/Serie_Historica!G168,"")</f>
        <v>5.7456737312852418E-2</v>
      </c>
      <c r="E53" s="31">
        <f>IFERROR(Serie_Historica!H169/Serie_Historica!H168,"")</f>
        <v>2.6563064691001084E-2</v>
      </c>
      <c r="F53" s="31">
        <f>IFERROR(Serie_Historica!I169/Serie_Historica!I168,"")</f>
        <v>3.5037807890993485E-2</v>
      </c>
      <c r="G53" s="31">
        <f>IFERROR(Serie_Historica!J169/Serie_Historica!J168,"")</f>
        <v>3.3689878483591645E-2</v>
      </c>
      <c r="H53" s="31">
        <f>IFERROR(Serie_Historica!K169/Serie_Historica!K168,"")</f>
        <v>3.0455316057156696E-2</v>
      </c>
      <c r="I53" s="31">
        <f>IFERROR(Serie_Historica!L169/Serie_Historica!L168,"")</f>
        <v>3.0555850781166967E-2</v>
      </c>
      <c r="J53" s="31">
        <f>IFERROR(Serie_Historica!M169/Serie_Historica!M168,"")</f>
        <v>2.6499904159478626E-2</v>
      </c>
      <c r="K53" s="31">
        <f>IFERROR(Serie_Historica!N169/Serie_Historica!N168,"")</f>
        <v>3.348176777012267E-2</v>
      </c>
      <c r="L53" s="31">
        <f>IFERROR(Serie_Historica!O169/Serie_Historica!O168,"")</f>
        <v>2.7707808564231738E-2</v>
      </c>
      <c r="M53" s="31">
        <f>IFERROR(Serie_Historica!P169/Serie_Historica!P168,"")</f>
        <v>2.388154192459201E-2</v>
      </c>
      <c r="N53" s="31">
        <f>IFERROR(Serie_Historica!Q169/Serie_Historica!Q168,"")</f>
        <v>3.0913654963722018E-2</v>
      </c>
      <c r="O53" s="31">
        <f>IFERROR(Serie_Historica!R169/Serie_Historica!R168,"")</f>
        <v>2.6292266436519433E-2</v>
      </c>
      <c r="P53" s="31">
        <f>IFERROR(Serie_Historica!S169/Serie_Historica!S168,"")</f>
        <v>2.4504249291784703E-2</v>
      </c>
      <c r="Q53" s="31">
        <f>IFERROR(Serie_Historica!T169/Serie_Historica!T168,"")</f>
        <v>2.487389575382316E-2</v>
      </c>
      <c r="R53" s="31">
        <f>IFERROR(Serie_Historica!U169/Serie_Historica!U168,"")</f>
        <v>3.0203628472660293E-2</v>
      </c>
      <c r="S53" s="31">
        <f>IFERROR(Serie_Historica!V169/Serie_Historica!V168,"")</f>
        <v>2.6002359803201317E-2</v>
      </c>
      <c r="T53" s="31">
        <f>IFERROR(Serie_Historica!W169/Serie_Historica!W168,"")</f>
        <v>2.4268364679092519E-2</v>
      </c>
      <c r="U53" s="31">
        <f>IFERROR(Serie_Historica!X169/Serie_Historica!X168,"")</f>
        <v>2.425049966688874E-2</v>
      </c>
      <c r="V53" s="31">
        <f>IFERROR(Serie_Historica!Y169/Serie_Historica!Y168,"")</f>
        <v>2.3920897509032136E-2</v>
      </c>
      <c r="W53" s="31">
        <f>IFERROR(Serie_Historica!Z169/Serie_Historica!Z168,"")</f>
        <v>0.36638116879333449</v>
      </c>
      <c r="X53" s="19">
        <f>IFERROR((W53-D53)*100,"")</f>
        <v>30.892443148048208</v>
      </c>
    </row>
    <row r="54" spans="1:24">
      <c r="A54" s="28" t="s">
        <v>295</v>
      </c>
      <c r="B54" s="28" t="s">
        <v>296</v>
      </c>
      <c r="C54" s="28" t="s">
        <v>505</v>
      </c>
      <c r="D54" s="31">
        <f>IFERROR(Serie_Historica!G170/Serie_Historica!G168,"")</f>
        <v>0.19735562901030526</v>
      </c>
      <c r="E54" s="31">
        <f>IFERROR(Serie_Historica!H170/Serie_Historica!H168,"")</f>
        <v>0.1694976508854355</v>
      </c>
      <c r="F54" s="31">
        <f>IFERROR(Serie_Historica!I170/Serie_Historica!I168,"")</f>
        <v>0.18125327543610092</v>
      </c>
      <c r="G54" s="31">
        <f>IFERROR(Serie_Historica!J170/Serie_Historica!J168,"")</f>
        <v>0.17499818089209052</v>
      </c>
      <c r="H54" s="31">
        <f>IFERROR(Serie_Historica!K170/Serie_Historica!K168,"")</f>
        <v>0.16844272220876724</v>
      </c>
      <c r="I54" s="31">
        <f>IFERROR(Serie_Historica!L170/Serie_Historica!L168,"")</f>
        <v>0.16255712615580828</v>
      </c>
      <c r="J54" s="31">
        <f>IFERROR(Serie_Historica!M170/Serie_Historica!M168,"")</f>
        <v>0.15377611654207399</v>
      </c>
      <c r="K54" s="31">
        <f>IFERROR(Serie_Historica!N170/Serie_Historica!N168,"")</f>
        <v>0.16980339438749789</v>
      </c>
      <c r="L54" s="31">
        <f>IFERROR(Serie_Historica!O170/Serie_Historica!O168,"")</f>
        <v>0.18103518322905662</v>
      </c>
      <c r="M54" s="31">
        <f>IFERROR(Serie_Historica!P170/Serie_Historica!P168,"")</f>
        <v>0.16833145751266179</v>
      </c>
      <c r="N54" s="31">
        <f>IFERROR(Serie_Historica!Q170/Serie_Historica!Q168,"")</f>
        <v>0.1788796808913036</v>
      </c>
      <c r="O54" s="31">
        <f>IFERROR(Serie_Historica!R170/Serie_Historica!R168,"")</f>
        <v>0.17609345621551645</v>
      </c>
      <c r="P54" s="31">
        <f>IFERROR(Serie_Historica!S170/Serie_Historica!S168,"")</f>
        <v>0.15674220963172805</v>
      </c>
      <c r="Q54" s="31">
        <f>IFERROR(Serie_Historica!T170/Serie_Historica!T168,"")</f>
        <v>0.16621740638928181</v>
      </c>
      <c r="R54" s="31">
        <f>IFERROR(Serie_Historica!U170/Serie_Historica!U168,"")</f>
        <v>0.16969039388357599</v>
      </c>
      <c r="S54" s="31">
        <f>IFERROR(Serie_Historica!V170/Serie_Historica!V168,"")</f>
        <v>0.16578730603976047</v>
      </c>
      <c r="T54" s="31">
        <f>IFERROR(Serie_Historica!W170/Serie_Historica!W168,"")</f>
        <v>0.18352028337690815</v>
      </c>
      <c r="U54" s="31">
        <f>IFERROR(Serie_Historica!X170/Serie_Historica!X168,"")</f>
        <v>0.18562862853335871</v>
      </c>
      <c r="V54" s="31">
        <f>IFERROR(Serie_Historica!Y170/Serie_Historica!Y168,"")</f>
        <v>0.19015021867275148</v>
      </c>
      <c r="W54" s="31">
        <f>IFERROR(Serie_Historica!Z170/Serie_Historica!Z168,"")</f>
        <v>0.12116762803705645</v>
      </c>
      <c r="X54" s="19">
        <f>IFERROR((W54-D54)*100,"")</f>
        <v>-7.6188000973248808</v>
      </c>
    </row>
    <row r="55" spans="1:24">
      <c r="A55" s="28" t="s">
        <v>295</v>
      </c>
      <c r="B55" s="28" t="s">
        <v>296</v>
      </c>
      <c r="C55" s="28" t="s">
        <v>506</v>
      </c>
      <c r="D55" s="31">
        <f>IFERROR(Serie_Historica!G171/Serie_Historica!G168,"")</f>
        <v>0.5865253742951585</v>
      </c>
      <c r="E55" s="31">
        <f>IFERROR(Serie_Historica!H171/Serie_Historica!H168,"")</f>
        <v>0.61185399349475966</v>
      </c>
      <c r="F55" s="31">
        <f>IFERROR(Serie_Historica!I171/Serie_Historica!I168,"")</f>
        <v>0.59377105637493444</v>
      </c>
      <c r="G55" s="31">
        <f>IFERROR(Serie_Historica!J171/Serie_Historica!J168,"")</f>
        <v>0.64105362730117155</v>
      </c>
      <c r="H55" s="31">
        <f>IFERROR(Serie_Historica!K171/Serie_Historica!K168,"")</f>
        <v>0.62200290627270527</v>
      </c>
      <c r="I55" s="31">
        <f>IFERROR(Serie_Historica!L171/Serie_Historica!L168,"")</f>
        <v>0.65506430013816563</v>
      </c>
      <c r="J55" s="31">
        <f>IFERROR(Serie_Historica!M171/Serie_Historica!M168,"")</f>
        <v>0.66403105232892468</v>
      </c>
      <c r="K55" s="31">
        <f>IFERROR(Serie_Historica!N171/Serie_Historica!N168,"")</f>
        <v>0.65085699882372705</v>
      </c>
      <c r="L55" s="31">
        <f>IFERROR(Serie_Historica!O171/Serie_Historica!O168,"")</f>
        <v>0.68830746729503534</v>
      </c>
      <c r="M55" s="31">
        <f>IFERROR(Serie_Historica!P171/Serie_Historica!P168,"")</f>
        <v>0.67149690489589198</v>
      </c>
      <c r="N55" s="31">
        <f>IFERROR(Serie_Historica!Q171/Serie_Historica!Q168,"")</f>
        <v>0.69925380832846185</v>
      </c>
      <c r="O55" s="31">
        <f>IFERROR(Serie_Historica!R171/Serie_Historica!R168,"")</f>
        <v>0.69401719939586348</v>
      </c>
      <c r="P55" s="31">
        <f>IFERROR(Serie_Historica!S171/Serie_Historica!S168,"")</f>
        <v>0.73631728045325784</v>
      </c>
      <c r="Q55" s="31">
        <f>IFERROR(Serie_Historica!T171/Serie_Historica!T168,"")</f>
        <v>0.71237556379940747</v>
      </c>
      <c r="R55" s="31">
        <f>IFERROR(Serie_Historica!U171/Serie_Historica!U168,"")</f>
        <v>0.70868764351139257</v>
      </c>
      <c r="S55" s="31">
        <f>IFERROR(Serie_Historica!V171/Serie_Historica!V168,"")</f>
        <v>0.71163650125781963</v>
      </c>
      <c r="T55" s="31">
        <f>IFERROR(Serie_Historica!W171/Serie_Historica!W168,"")</f>
        <v>0.69555958505524162</v>
      </c>
      <c r="U55" s="31">
        <f>IFERROR(Serie_Historica!X171/Serie_Historica!X168,"")</f>
        <v>0.68643761301989148</v>
      </c>
      <c r="V55" s="31">
        <f>IFERROR(Serie_Historica!Y171/Serie_Historica!Y168,"")</f>
        <v>0.69699562654497049</v>
      </c>
      <c r="W55" s="31">
        <f>IFERROR(Serie_Historica!Z171/Serie_Historica!Z168,"")</f>
        <v>0.44921051098292841</v>
      </c>
      <c r="X55" s="19">
        <f>IFERROR((W55-D55)*100,"")</f>
        <v>-13.731486331223008</v>
      </c>
    </row>
    <row r="56" spans="1:24">
      <c r="A56" s="28" t="s">
        <v>181</v>
      </c>
      <c r="B56" s="28" t="s">
        <v>182</v>
      </c>
      <c r="C56" s="28" t="s">
        <v>504</v>
      </c>
      <c r="D56" s="31">
        <f>IFERROR(Serie_Historica!G179/Serie_Historica!G178,"")</f>
        <v>0.14513174580808794</v>
      </c>
      <c r="E56" s="31">
        <f>IFERROR(Serie_Historica!H179/Serie_Historica!H178,"")</f>
        <v>8.8667220836796901E-2</v>
      </c>
      <c r="F56" s="31">
        <f>IFERROR(Serie_Historica!I179/Serie_Historica!I178,"")</f>
        <v>6.6722169362511893E-2</v>
      </c>
      <c r="G56" s="31">
        <f>IFERROR(Serie_Historica!J179/Serie_Historica!J178,"")</f>
        <v>3.3340573414422245E-2</v>
      </c>
      <c r="H56" s="31">
        <f>IFERROR(Serie_Historica!K179/Serie_Historica!K178,"")</f>
        <v>2.9865281610128226E-2</v>
      </c>
      <c r="I56" s="31">
        <f>IFERROR(Serie_Historica!L179/Serie_Historica!L178,"")</f>
        <v>3.5580990296093552E-2</v>
      </c>
      <c r="J56" s="31">
        <f>IFERROR(Serie_Historica!M179/Serie_Historica!M178,"")</f>
        <v>3.0982501325657146E-2</v>
      </c>
      <c r="K56" s="31">
        <f>IFERROR(Serie_Historica!N179/Serie_Historica!N178,"")</f>
        <v>3.5544560900983006E-2</v>
      </c>
      <c r="L56" s="31">
        <f>IFERROR(Serie_Historica!O179/Serie_Historica!O178,"")</f>
        <v>3.1097404266255461E-2</v>
      </c>
      <c r="M56" s="31">
        <f>IFERROR(Serie_Historica!P179/Serie_Historica!P178,"")</f>
        <v>0.12447854231599137</v>
      </c>
      <c r="N56" s="31">
        <f>IFERROR(Serie_Historica!Q179/Serie_Historica!Q178,"")</f>
        <v>4.4484842003956582E-2</v>
      </c>
      <c r="O56" s="31">
        <f>IFERROR(Serie_Historica!R179/Serie_Historica!R178,"")</f>
        <v>0.26134386293668854</v>
      </c>
      <c r="P56" s="31">
        <f>IFERROR(Serie_Historica!S179/Serie_Historica!S178,"")</f>
        <v>0.44725364813903917</v>
      </c>
      <c r="Q56" s="31">
        <f>IFERROR(Serie_Historica!T179/Serie_Historica!T178,"")</f>
        <v>0.24459210256710476</v>
      </c>
      <c r="R56" s="31">
        <f>IFERROR(Serie_Historica!U179/Serie_Historica!U178,"")</f>
        <v>0.20928916084858615</v>
      </c>
      <c r="S56" s="31">
        <f>IFERROR(Serie_Historica!V179/Serie_Historica!V178,"")</f>
        <v>0.82443702891279491</v>
      </c>
      <c r="T56" s="31">
        <f>IFERROR(Serie_Historica!W179/Serie_Historica!W178,"")</f>
        <v>0.8946545931547738</v>
      </c>
      <c r="U56" s="31">
        <f>IFERROR(Serie_Historica!X179/Serie_Historica!X178,"")</f>
        <v>0.85765279470659939</v>
      </c>
      <c r="V56" s="31">
        <f>IFERROR(Serie_Historica!Y179/Serie_Historica!Y178,"")</f>
        <v>0.85619140167388119</v>
      </c>
      <c r="W56" s="31">
        <f>IFERROR(Serie_Historica!Z179/Serie_Historica!Z178,"")</f>
        <v>0.8671420522572012</v>
      </c>
      <c r="X56" s="19">
        <f>IFERROR((W56-D56)*100,"")</f>
        <v>72.201030644911327</v>
      </c>
    </row>
    <row r="57" spans="1:24">
      <c r="A57" s="28" t="s">
        <v>181</v>
      </c>
      <c r="B57" s="28" t="s">
        <v>182</v>
      </c>
      <c r="C57" s="28" t="s">
        <v>505</v>
      </c>
      <c r="D57" s="31">
        <f>IFERROR(Serie_Historica!G180/Serie_Historica!G178,"")</f>
        <v>0.15330421304776667</v>
      </c>
      <c r="E57" s="31">
        <f>IFERROR(Serie_Historica!H180/Serie_Historica!H178,"")</f>
        <v>0.15793848711554448</v>
      </c>
      <c r="F57" s="31">
        <f>IFERROR(Serie_Historica!I180/Serie_Historica!I178,"")</f>
        <v>0.16198858230256899</v>
      </c>
      <c r="G57" s="31">
        <f>IFERROR(Serie_Historica!J180/Serie_Historica!J178,"")</f>
        <v>0.17854039965247612</v>
      </c>
      <c r="H57" s="31">
        <f>IFERROR(Serie_Historica!K180/Serie_Historica!K178,"")</f>
        <v>0.16847914299626685</v>
      </c>
      <c r="I57" s="31">
        <f>IFERROR(Serie_Historica!L180/Serie_Historica!L178,"")</f>
        <v>0.18553537364186778</v>
      </c>
      <c r="J57" s="31">
        <f>IFERROR(Serie_Historica!M180/Serie_Historica!M178,"")</f>
        <v>0.17210817362321038</v>
      </c>
      <c r="K57" s="31">
        <f>IFERROR(Serie_Historica!N180/Serie_Historica!N178,"")</f>
        <v>0.16782761538962307</v>
      </c>
      <c r="L57" s="31">
        <f>IFERROR(Serie_Historica!O180/Serie_Historica!O178,"")</f>
        <v>0.18529940889231561</v>
      </c>
      <c r="M57" s="31">
        <f>IFERROR(Serie_Historica!P180/Serie_Historica!P178,"")</f>
        <v>0.1722848237832654</v>
      </c>
      <c r="N57" s="31">
        <f>IFERROR(Serie_Historica!Q180/Serie_Historica!Q178,"")</f>
        <v>0.19232208736566325</v>
      </c>
      <c r="O57" s="31">
        <f>IFERROR(Serie_Historica!R180/Serie_Historica!R178,"")</f>
        <v>0.18862936688528978</v>
      </c>
      <c r="P57" s="31">
        <f>IFERROR(Serie_Historica!S180/Serie_Historica!S178,"")</f>
        <v>0.26430562387276602</v>
      </c>
      <c r="Q57" s="31">
        <f>IFERROR(Serie_Historica!T180/Serie_Historica!T178,"")</f>
        <v>0.19137663554137518</v>
      </c>
      <c r="R57" s="31">
        <f>IFERROR(Serie_Historica!U180/Serie_Historica!U178,"")</f>
        <v>0.20772569210448283</v>
      </c>
      <c r="S57" s="31">
        <f>IFERROR(Serie_Historica!V180/Serie_Historica!V178,"")</f>
        <v>5.6192098569528386E-2</v>
      </c>
      <c r="T57" s="31">
        <f>IFERROR(Serie_Historica!W180/Serie_Historica!W178,"")</f>
        <v>2.4548581830836982E-2</v>
      </c>
      <c r="U57" s="31">
        <f>IFERROR(Serie_Historica!X180/Serie_Historica!X178,"")</f>
        <v>3.3009751001218876E-2</v>
      </c>
      <c r="V57" s="31">
        <f>IFERROR(Serie_Historica!Y180/Serie_Historica!Y178,"")</f>
        <v>3.3450738036435147E-2</v>
      </c>
      <c r="W57" s="31">
        <f>IFERROR(Serie_Historica!Z180/Serie_Historica!Z178,"")</f>
        <v>3.3329811958588633E-2</v>
      </c>
      <c r="X57" s="19">
        <f>IFERROR((W57-D57)*100,"")</f>
        <v>-11.997440108917804</v>
      </c>
    </row>
    <row r="58" spans="1:24">
      <c r="A58" s="28" t="s">
        <v>181</v>
      </c>
      <c r="B58" s="28" t="s">
        <v>182</v>
      </c>
      <c r="C58" s="28" t="s">
        <v>506</v>
      </c>
      <c r="D58" s="31">
        <f>IFERROR(Serie_Historica!G181/Serie_Historica!G178,"")</f>
        <v>0.5440326898689587</v>
      </c>
      <c r="E58" s="31">
        <f>IFERROR(Serie_Historica!H181/Serie_Historica!H178,"")</f>
        <v>0.57786090329731232</v>
      </c>
      <c r="F58" s="31">
        <f>IFERROR(Serie_Historica!I181/Serie_Historica!I178,"")</f>
        <v>0.54031874405328262</v>
      </c>
      <c r="G58" s="31">
        <f>IFERROR(Serie_Historica!J181/Serie_Historica!J178,"")</f>
        <v>0.61055603822762816</v>
      </c>
      <c r="H58" s="31">
        <f>IFERROR(Serie_Historica!K181/Serie_Historica!K178,"")</f>
        <v>0.52791754585294592</v>
      </c>
      <c r="I58" s="31">
        <f>IFERROR(Serie_Historica!L181/Serie_Historica!L178,"")</f>
        <v>0.64369246081114706</v>
      </c>
      <c r="J58" s="31">
        <f>IFERROR(Serie_Historica!M181/Serie_Historica!M178,"")</f>
        <v>0.663434588288766</v>
      </c>
      <c r="K58" s="31">
        <f>IFERROR(Serie_Historica!N181/Serie_Historica!N178,"")</f>
        <v>0.66558166786016537</v>
      </c>
      <c r="L58" s="31">
        <f>IFERROR(Serie_Historica!O181/Serie_Historica!O178,"")</f>
        <v>0.65902081727062456</v>
      </c>
      <c r="M58" s="31">
        <f>IFERROR(Serie_Historica!P181/Serie_Historica!P178,"")</f>
        <v>0.56643490769599614</v>
      </c>
      <c r="N58" s="31">
        <f>IFERROR(Serie_Historica!Q181/Serie_Historica!Q178,"")</f>
        <v>0.70106400042773886</v>
      </c>
      <c r="O58" s="31">
        <f>IFERROR(Serie_Historica!R181/Serie_Historica!R178,"")</f>
        <v>0.50117119528844867</v>
      </c>
      <c r="P58" s="31">
        <f>IFERROR(Serie_Historica!S181/Serie_Historica!S178,"")</f>
        <v>0.26483030004918839</v>
      </c>
      <c r="Q58" s="31">
        <f>IFERROR(Serie_Historica!T181/Serie_Historica!T178,"")</f>
        <v>0.47062611597342152</v>
      </c>
      <c r="R58" s="31">
        <f>IFERROR(Serie_Historica!U181/Serie_Historica!U178,"")</f>
        <v>0.50963689786236088</v>
      </c>
      <c r="S58" s="31">
        <f>IFERROR(Serie_Historica!V181/Serie_Historica!V178,"")</f>
        <v>0.10610225655146664</v>
      </c>
      <c r="T58" s="31">
        <f>IFERROR(Serie_Historica!W181/Serie_Historica!W178,"")</f>
        <v>6.965024294261736E-2</v>
      </c>
      <c r="U58" s="31">
        <f>IFERROR(Serie_Historica!X181/Serie_Historica!X178,"")</f>
        <v>9.2503917812989722E-2</v>
      </c>
      <c r="V58" s="31">
        <f>IFERROR(Serie_Historica!Y181/Serie_Historica!Y178,"")</f>
        <v>9.0185248489550729E-2</v>
      </c>
      <c r="W58" s="31">
        <f>IFERROR(Serie_Historica!Z181/Serie_Historica!Z178,"")</f>
        <v>8.5150362701598703E-2</v>
      </c>
      <c r="X58" s="19">
        <f>IFERROR((W58-D58)*100,"")</f>
        <v>-45.888232716735999</v>
      </c>
    </row>
    <row r="59" spans="1:24">
      <c r="A59" s="28" t="s">
        <v>273</v>
      </c>
      <c r="B59" s="28" t="s">
        <v>274</v>
      </c>
      <c r="C59" s="28" t="s">
        <v>504</v>
      </c>
      <c r="D59" s="31">
        <f>IFERROR(Serie_Historica!G189/Serie_Historica!G188,"")</f>
        <v>5.7331603161495812E-2</v>
      </c>
      <c r="E59" s="31">
        <f>IFERROR(Serie_Historica!H189/Serie_Historica!H188,"")</f>
        <v>4.2930565353219791E-2</v>
      </c>
      <c r="F59" s="31">
        <f>IFERROR(Serie_Historica!I189/Serie_Historica!I188,"")</f>
        <v>4.5338983050847458E-2</v>
      </c>
      <c r="G59" s="31">
        <f>IFERROR(Serie_Historica!J189/Serie_Historica!J188,"")</f>
        <v>5.1937954359911366E-2</v>
      </c>
      <c r="H59" s="31">
        <f>IFERROR(Serie_Historica!K189/Serie_Historica!K188,"")</f>
        <v>4.3656965118862474E-2</v>
      </c>
      <c r="I59" s="31">
        <f>IFERROR(Serie_Historica!L189/Serie_Historica!L188,"")</f>
        <v>4.8399946886203693E-2</v>
      </c>
      <c r="J59" s="31">
        <f>IFERROR(Serie_Historica!M189/Serie_Historica!M188,"")</f>
        <v>5.3074570831693361E-2</v>
      </c>
      <c r="K59" s="31">
        <f>IFERROR(Serie_Historica!N189/Serie_Historica!N188,"")</f>
        <v>4.5882416222903552E-2</v>
      </c>
      <c r="L59" s="31">
        <f>IFERROR(Serie_Historica!O189/Serie_Historica!O188,"")</f>
        <v>3.936145835985437E-2</v>
      </c>
      <c r="M59" s="31">
        <f>IFERROR(Serie_Historica!P189/Serie_Historica!P188,"")</f>
        <v>4.3786820735618591E-2</v>
      </c>
      <c r="N59" s="31">
        <f>IFERROR(Serie_Historica!Q189/Serie_Historica!Q188,"")</f>
        <v>4.7123950872041111E-2</v>
      </c>
      <c r="O59" s="31">
        <f>IFERROR(Serie_Historica!R189/Serie_Historica!R188,"")</f>
        <v>3.8264688591485976E-2</v>
      </c>
      <c r="P59" s="31">
        <f>IFERROR(Serie_Historica!S189/Serie_Historica!S188,"")</f>
        <v>3.8424750156667437E-2</v>
      </c>
      <c r="Q59" s="31">
        <f>IFERROR(Serie_Historica!T189/Serie_Historica!T188,"")</f>
        <v>4.0801298428060476E-2</v>
      </c>
      <c r="R59" s="31">
        <f>IFERROR(Serie_Historica!U189/Serie_Historica!U188,"")</f>
        <v>4.8705717191685649E-2</v>
      </c>
      <c r="S59" s="31">
        <f>IFERROR(Serie_Historica!V189/Serie_Historica!V188,"")</f>
        <v>3.9352703199705776E-2</v>
      </c>
      <c r="T59" s="31">
        <f>IFERROR(Serie_Historica!W189/Serie_Historica!W188,"")</f>
        <v>4.3624410816174644E-2</v>
      </c>
      <c r="U59" s="31">
        <f>IFERROR(Serie_Historica!X189/Serie_Historica!X188,"")</f>
        <v>4.3031986957220603E-2</v>
      </c>
      <c r="V59" s="31">
        <f>IFERROR(Serie_Historica!Y189/Serie_Historica!Y188,"")</f>
        <v>4.2204744797229507E-2</v>
      </c>
      <c r="W59" s="31">
        <f>IFERROR(Serie_Historica!Z189/Serie_Historica!Z188,"")</f>
        <v>4.3782163771516454E-2</v>
      </c>
      <c r="X59" s="19">
        <f>IFERROR((W59-D59)*100,"")</f>
        <v>-1.3549439389979359</v>
      </c>
    </row>
    <row r="60" spans="1:24">
      <c r="A60" s="28" t="s">
        <v>273</v>
      </c>
      <c r="B60" s="28" t="s">
        <v>274</v>
      </c>
      <c r="C60" s="28" t="s">
        <v>505</v>
      </c>
      <c r="D60" s="31">
        <f>IFERROR(Serie_Historica!G190/Serie_Historica!G188,"")</f>
        <v>0.20390468326058747</v>
      </c>
      <c r="E60" s="31">
        <f>IFERROR(Serie_Historica!H190/Serie_Historica!H188,"")</f>
        <v>0.2044240653028318</v>
      </c>
      <c r="F60" s="31">
        <f>IFERROR(Serie_Historica!I190/Serie_Historica!I188,"")</f>
        <v>0.19953389830508475</v>
      </c>
      <c r="G60" s="31">
        <f>IFERROR(Serie_Historica!J190/Serie_Historica!J188,"")</f>
        <v>0.20363099171947285</v>
      </c>
      <c r="H60" s="31">
        <f>IFERROR(Serie_Historica!K190/Serie_Historica!K188,"")</f>
        <v>0.20610234762645338</v>
      </c>
      <c r="I60" s="31">
        <f>IFERROR(Serie_Historica!L190/Serie_Historica!L188,"")</f>
        <v>0.21514407117248704</v>
      </c>
      <c r="J60" s="31">
        <f>IFERROR(Serie_Historica!M190/Serie_Historica!M188,"")</f>
        <v>0.20042992521723335</v>
      </c>
      <c r="K60" s="31">
        <f>IFERROR(Serie_Historica!N190/Serie_Historica!N188,"")</f>
        <v>0.22126297670916034</v>
      </c>
      <c r="L60" s="31">
        <f>IFERROR(Serie_Historica!O190/Serie_Historica!O188,"")</f>
        <v>0.22529724775313797</v>
      </c>
      <c r="M60" s="31">
        <f>IFERROR(Serie_Historica!P190/Serie_Historica!P188,"")</f>
        <v>0.22248254213770671</v>
      </c>
      <c r="N60" s="31">
        <f>IFERROR(Serie_Historica!Q190/Serie_Historica!Q188,"")</f>
        <v>0.30304172701839321</v>
      </c>
      <c r="O60" s="31">
        <f>IFERROR(Serie_Historica!R190/Serie_Historica!R188,"")</f>
        <v>0.30132793858284057</v>
      </c>
      <c r="P60" s="31">
        <f>IFERROR(Serie_Historica!S190/Serie_Historica!S188,"")</f>
        <v>0.289801774464857</v>
      </c>
      <c r="Q60" s="31">
        <f>IFERROR(Serie_Historica!T190/Serie_Historica!T188,"")</f>
        <v>0.30005109554867604</v>
      </c>
      <c r="R60" s="31">
        <f>IFERROR(Serie_Historica!U190/Serie_Historica!U188,"")</f>
        <v>0.29263540905639834</v>
      </c>
      <c r="S60" s="31">
        <f>IFERROR(Serie_Historica!V190/Serie_Historica!V188,"")</f>
        <v>0.31220774444386068</v>
      </c>
      <c r="T60" s="31">
        <f>IFERROR(Serie_Historica!W190/Serie_Historica!W188,"")</f>
        <v>0.33628131977176878</v>
      </c>
      <c r="U60" s="31">
        <f>IFERROR(Serie_Historica!X190/Serie_Historica!X188,"")</f>
        <v>0.31829663138074354</v>
      </c>
      <c r="V60" s="31">
        <f>IFERROR(Serie_Historica!Y190/Serie_Historica!Y188,"")</f>
        <v>0.31367662448349892</v>
      </c>
      <c r="W60" s="31">
        <f>IFERROR(Serie_Historica!Z190/Serie_Historica!Z188,"")</f>
        <v>0.33136818029457576</v>
      </c>
      <c r="X60" s="19">
        <f>IFERROR((W60-D60)*100,"")</f>
        <v>12.746349703398829</v>
      </c>
    </row>
    <row r="61" spans="1:24">
      <c r="A61" s="28" t="s">
        <v>273</v>
      </c>
      <c r="B61" s="28" t="s">
        <v>274</v>
      </c>
      <c r="C61" s="28" t="s">
        <v>506</v>
      </c>
      <c r="D61" s="31">
        <f>IFERROR(Serie_Historica!G191/Serie_Historica!G188,"")</f>
        <v>0.59956352483189812</v>
      </c>
      <c r="E61" s="31">
        <f>IFERROR(Serie_Historica!H191/Serie_Historica!H188,"")</f>
        <v>0.57507810138063087</v>
      </c>
      <c r="F61" s="31">
        <f>IFERROR(Serie_Historica!I191/Serie_Historica!I188,"")</f>
        <v>0.52555084745762715</v>
      </c>
      <c r="G61" s="31">
        <f>IFERROR(Serie_Historica!J191/Serie_Historica!J188,"")</f>
        <v>0.58550713369358165</v>
      </c>
      <c r="H61" s="31">
        <f>IFERROR(Serie_Historica!K191/Serie_Historica!K188,"")</f>
        <v>0.6369325335110716</v>
      </c>
      <c r="I61" s="31">
        <f>IFERROR(Serie_Historica!L191/Serie_Historica!L188,"")</f>
        <v>0.60523170893639622</v>
      </c>
      <c r="J61" s="31">
        <f>IFERROR(Serie_Historica!M191/Serie_Historica!M188,"")</f>
        <v>0.61019104423385506</v>
      </c>
      <c r="K61" s="31">
        <f>IFERROR(Serie_Historica!N191/Serie_Historica!N188,"")</f>
        <v>0.6160238825238018</v>
      </c>
      <c r="L61" s="31">
        <f>IFERROR(Serie_Historica!O191/Serie_Historica!O188,"")</f>
        <v>0.65885887415026601</v>
      </c>
      <c r="M61" s="31">
        <f>IFERROR(Serie_Historica!P191/Serie_Historica!P188,"")</f>
        <v>0.64963719491390493</v>
      </c>
      <c r="N61" s="31">
        <f>IFERROR(Serie_Historica!Q191/Serie_Historica!Q188,"")</f>
        <v>0.6095755868171987</v>
      </c>
      <c r="O61" s="31">
        <f>IFERROR(Serie_Historica!R191/Serie_Historica!R188,"")</f>
        <v>0.62245391983954079</v>
      </c>
      <c r="P61" s="31">
        <f>IFERROR(Serie_Historica!S191/Serie_Historica!S188,"")</f>
        <v>0.64514001121409015</v>
      </c>
      <c r="Q61" s="31">
        <f>IFERROR(Serie_Historica!T191/Serie_Historica!T188,"")</f>
        <v>0.62377145261639266</v>
      </c>
      <c r="R61" s="31">
        <f>IFERROR(Serie_Historica!U191/Serie_Historica!U188,"")</f>
        <v>0.61920724282665063</v>
      </c>
      <c r="S61" s="31">
        <f>IFERROR(Serie_Historica!V191/Serie_Historica!V188,"")</f>
        <v>0.61213418798928176</v>
      </c>
      <c r="T61" s="31">
        <f>IFERROR(Serie_Historica!W191/Serie_Historica!W188,"")</f>
        <v>0.58770776482262466</v>
      </c>
      <c r="U61" s="31">
        <f>IFERROR(Serie_Historica!X191/Serie_Historica!X188,"")</f>
        <v>0.6005993248983903</v>
      </c>
      <c r="V61" s="31">
        <f>IFERROR(Serie_Historica!Y191/Serie_Historica!Y188,"")</f>
        <v>0.57324875122719576</v>
      </c>
      <c r="W61" s="31">
        <f>IFERROR(Serie_Historica!Z191/Serie_Historica!Z188,"")</f>
        <v>0.57150462369619659</v>
      </c>
      <c r="X61" s="19">
        <f>IFERROR((W61-D61)*100,"")</f>
        <v>-2.8058901135701531</v>
      </c>
    </row>
    <row r="62" spans="1:24">
      <c r="A62" s="28" t="s">
        <v>239</v>
      </c>
      <c r="B62" s="28" t="s">
        <v>240</v>
      </c>
      <c r="C62" s="28" t="s">
        <v>504</v>
      </c>
      <c r="D62" s="31">
        <f>IFERROR(Serie_Historica!G199/Serie_Historica!G198,"")</f>
        <v>9.1139469635261108E-2</v>
      </c>
      <c r="E62" s="31">
        <f>IFERROR(Serie_Historica!H199/Serie_Historica!H198,"")</f>
        <v>6.0999039385206531E-2</v>
      </c>
      <c r="F62" s="31">
        <f>IFERROR(Serie_Historica!I199/Serie_Historica!I198,"")</f>
        <v>6.1711570045776987E-2</v>
      </c>
      <c r="G62" s="31">
        <f>IFERROR(Serie_Historica!J199/Serie_Historica!J198,"")</f>
        <v>5.9078955415570913E-2</v>
      </c>
      <c r="H62" s="31">
        <f>IFERROR(Serie_Historica!K199/Serie_Historica!K198,"")</f>
        <v>6.5478646585516817E-2</v>
      </c>
      <c r="I62" s="31">
        <f>IFERROR(Serie_Historica!L199/Serie_Historica!L198,"")</f>
        <v>6.1842949508908743E-2</v>
      </c>
      <c r="J62" s="31">
        <f>IFERROR(Serie_Historica!M199/Serie_Historica!M198,"")</f>
        <v>5.6183061830618303E-2</v>
      </c>
      <c r="K62" s="31">
        <f>IFERROR(Serie_Historica!N199/Serie_Historica!N198,"")</f>
        <v>8.2276330690826724E-2</v>
      </c>
      <c r="L62" s="31">
        <f>IFERROR(Serie_Historica!O199/Serie_Historica!O198,"")</f>
        <v>7.0012208205393806E-2</v>
      </c>
      <c r="M62" s="31">
        <f>IFERROR(Serie_Historica!P199/Serie_Historica!P198,"")</f>
        <v>8.588711240936292E-2</v>
      </c>
      <c r="N62" s="31">
        <f>IFERROR(Serie_Historica!Q199/Serie_Historica!Q198,"")</f>
        <v>9.7528875411941843E-2</v>
      </c>
      <c r="O62" s="31">
        <f>IFERROR(Serie_Historica!R199/Serie_Historica!R198,"")</f>
        <v>0.11277804525758305</v>
      </c>
      <c r="P62" s="31">
        <f>IFERROR(Serie_Historica!S199/Serie_Historica!S198,"")</f>
        <v>0.10254097649813546</v>
      </c>
      <c r="Q62" s="31">
        <f>IFERROR(Serie_Historica!T199/Serie_Historica!T198,"")</f>
        <v>8.6353443767892432E-2</v>
      </c>
      <c r="R62" s="31">
        <f>IFERROR(Serie_Historica!U199/Serie_Historica!U198,"")</f>
        <v>8.0713783115969301E-2</v>
      </c>
      <c r="S62" s="31">
        <f>IFERROR(Serie_Historica!V199/Serie_Historica!V198,"")</f>
        <v>9.7942470193309414E-2</v>
      </c>
      <c r="T62" s="31">
        <f>IFERROR(Serie_Historica!W199/Serie_Historica!W198,"")</f>
        <v>7.8393817204301081E-2</v>
      </c>
      <c r="U62" s="31">
        <f>IFERROR(Serie_Historica!X199/Serie_Historica!X198,"")</f>
        <v>7.2537913393020279E-2</v>
      </c>
      <c r="V62" s="31">
        <f>IFERROR(Serie_Historica!Y199/Serie_Historica!Y198,"")</f>
        <v>4.5868878357030018E-2</v>
      </c>
      <c r="W62" s="31">
        <f>IFERROR(Serie_Historica!Z199/Serie_Historica!Z198,"")</f>
        <v>3.8983721850911715E-2</v>
      </c>
      <c r="X62" s="19">
        <f>IFERROR((W62-D62)*100,"")</f>
        <v>-5.2155747784349398</v>
      </c>
    </row>
    <row r="63" spans="1:24">
      <c r="A63" s="28" t="s">
        <v>239</v>
      </c>
      <c r="B63" s="28" t="s">
        <v>240</v>
      </c>
      <c r="C63" s="28" t="s">
        <v>505</v>
      </c>
      <c r="D63" s="31">
        <f>IFERROR(Serie_Historica!G200/Serie_Historica!G198,"")</f>
        <v>0.1930491447189791</v>
      </c>
      <c r="E63" s="31">
        <f>IFERROR(Serie_Historica!H200/Serie_Historica!H198,"")</f>
        <v>0.20489113032340697</v>
      </c>
      <c r="F63" s="31">
        <f>IFERROR(Serie_Historica!I200/Serie_Historica!I198,"")</f>
        <v>0.2124261802425132</v>
      </c>
      <c r="G63" s="31">
        <f>IFERROR(Serie_Historica!J200/Serie_Historica!J198,"")</f>
        <v>0.2054920188367684</v>
      </c>
      <c r="H63" s="31">
        <f>IFERROR(Serie_Historica!K200/Serie_Historica!K198,"")</f>
        <v>0.20388900350732411</v>
      </c>
      <c r="I63" s="31">
        <f>IFERROR(Serie_Historica!L200/Serie_Historica!L198,"")</f>
        <v>0.21637628942302947</v>
      </c>
      <c r="J63" s="31">
        <f>IFERROR(Serie_Historica!M200/Serie_Historica!M198,"")</f>
        <v>0.20796957969579696</v>
      </c>
      <c r="K63" s="31">
        <f>IFERROR(Serie_Historica!N200/Serie_Historica!N198,"")</f>
        <v>0.22432993582483957</v>
      </c>
      <c r="L63" s="31">
        <f>IFERROR(Serie_Historica!O200/Serie_Historica!O198,"")</f>
        <v>0.23515593207798455</v>
      </c>
      <c r="M63" s="31">
        <f>IFERROR(Serie_Historica!P200/Serie_Historica!P198,"")</f>
        <v>0.33808114361048996</v>
      </c>
      <c r="N63" s="31">
        <f>IFERROR(Serie_Historica!Q200/Serie_Historica!Q198,"")</f>
        <v>0.34399907345989028</v>
      </c>
      <c r="O63" s="31">
        <f>IFERROR(Serie_Historica!R200/Serie_Historica!R198,"")</f>
        <v>0.30664419836302359</v>
      </c>
      <c r="P63" s="31">
        <f>IFERROR(Serie_Historica!S200/Serie_Historica!S198,"")</f>
        <v>0.33934611048478014</v>
      </c>
      <c r="Q63" s="31">
        <f>IFERROR(Serie_Historica!T200/Serie_Historica!T198,"")</f>
        <v>0.39964724755599279</v>
      </c>
      <c r="R63" s="31">
        <f>IFERROR(Serie_Historica!U200/Serie_Historica!U198,"")</f>
        <v>0.42240349527908233</v>
      </c>
      <c r="S63" s="31">
        <f>IFERROR(Serie_Historica!V200/Serie_Historica!V198,"")</f>
        <v>0.4059931705058456</v>
      </c>
      <c r="T63" s="31">
        <f>IFERROR(Serie_Historica!W200/Serie_Historica!W198,"")</f>
        <v>0.34435483870967742</v>
      </c>
      <c r="U63" s="31">
        <f>IFERROR(Serie_Historica!X200/Serie_Historica!X198,"")</f>
        <v>0.35869267312260189</v>
      </c>
      <c r="V63" s="31">
        <f>IFERROR(Serie_Historica!Y200/Serie_Historica!Y198,"")</f>
        <v>0.34485781990521325</v>
      </c>
      <c r="W63" s="31">
        <f>IFERROR(Serie_Historica!Z200/Serie_Historica!Z198,"")</f>
        <v>0.34968910831140404</v>
      </c>
      <c r="X63" s="19">
        <f>IFERROR((W63-D63)*100,"")</f>
        <v>15.663996359242493</v>
      </c>
    </row>
    <row r="64" spans="1:24">
      <c r="A64" s="28" t="s">
        <v>239</v>
      </c>
      <c r="B64" s="28" t="s">
        <v>240</v>
      </c>
      <c r="C64" s="28" t="s">
        <v>506</v>
      </c>
      <c r="D64" s="31">
        <f>IFERROR(Serie_Historica!G201/Serie_Historica!G198,"")</f>
        <v>0.55756177029595444</v>
      </c>
      <c r="E64" s="31">
        <f>IFERROR(Serie_Historica!H201/Serie_Historica!H198,"")</f>
        <v>0.52045308997758566</v>
      </c>
      <c r="F64" s="31">
        <f>IFERROR(Serie_Historica!I201/Serie_Historica!I198,"")</f>
        <v>0.54097214942167238</v>
      </c>
      <c r="G64" s="31">
        <f>IFERROR(Serie_Historica!J201/Serie_Historica!J198,"")</f>
        <v>0.5570913094000367</v>
      </c>
      <c r="H64" s="31">
        <f>IFERROR(Serie_Historica!K201/Serie_Historica!K198,"")</f>
        <v>0.53337115741695895</v>
      </c>
      <c r="I64" s="31">
        <f>IFERROR(Serie_Historica!L201/Serie_Historica!L198,"")</f>
        <v>0.57776022901140123</v>
      </c>
      <c r="J64" s="31">
        <f>IFERROR(Serie_Historica!M201/Serie_Historica!M198,"")</f>
        <v>0.59072090720907211</v>
      </c>
      <c r="K64" s="31">
        <f>IFERROR(Serie_Historica!N201/Serie_Historica!N198,"")</f>
        <v>0.5434692336730842</v>
      </c>
      <c r="L64" s="31">
        <f>IFERROR(Serie_Historica!O201/Serie_Historica!O198,"")</f>
        <v>0.57913136768894968</v>
      </c>
      <c r="M64" s="31">
        <f>IFERROR(Serie_Historica!P201/Serie_Historica!P198,"")</f>
        <v>0.47482841965128153</v>
      </c>
      <c r="N64" s="31">
        <f>IFERROR(Serie_Historica!Q201/Serie_Historica!Q198,"")</f>
        <v>0.42187055813512747</v>
      </c>
      <c r="O64" s="31">
        <f>IFERROR(Serie_Historica!R201/Serie_Historica!R198,"")</f>
        <v>0.44545016851227731</v>
      </c>
      <c r="P64" s="31">
        <f>IFERROR(Serie_Historica!S201/Serie_Historica!S198,"")</f>
        <v>0.43407336744428066</v>
      </c>
      <c r="Q64" s="31">
        <f>IFERROR(Serie_Historica!T201/Serie_Historica!T198,"")</f>
        <v>0.47281235874391769</v>
      </c>
      <c r="R64" s="31">
        <f>IFERROR(Serie_Historica!U201/Serie_Historica!U198,"")</f>
        <v>0.45644810263291385</v>
      </c>
      <c r="S64" s="31">
        <f>IFERROR(Serie_Historica!V201/Serie_Historica!V198,"")</f>
        <v>0.45256250723463365</v>
      </c>
      <c r="T64" s="31">
        <f>IFERROR(Serie_Historica!W201/Serie_Historica!W198,"")</f>
        <v>0.52798219086021503</v>
      </c>
      <c r="U64" s="31">
        <f>IFERROR(Serie_Historica!X201/Serie_Historica!X198,"")</f>
        <v>0.52304494792618306</v>
      </c>
      <c r="V64" s="31">
        <f>IFERROR(Serie_Historica!Y201/Serie_Historica!Y198,"")</f>
        <v>0.56250394944707738</v>
      </c>
      <c r="W64" s="31">
        <f>IFERROR(Serie_Historica!Z201/Serie_Historica!Z198,"")</f>
        <v>0.578949411207626</v>
      </c>
      <c r="X64" s="19">
        <f>IFERROR((W64-D64)*100,"")</f>
        <v>2.1387640911671557</v>
      </c>
    </row>
    <row r="65" spans="1:24">
      <c r="A65" s="28" t="s">
        <v>269</v>
      </c>
      <c r="B65" s="28" t="s">
        <v>270</v>
      </c>
      <c r="C65" s="28" t="s">
        <v>504</v>
      </c>
      <c r="D65" s="31">
        <f>IFERROR(Serie_Historica!G209/Serie_Historica!G208,"")</f>
        <v>3.9464938517779991E-2</v>
      </c>
      <c r="E65" s="31">
        <f>IFERROR(Serie_Historica!H209/Serie_Historica!H208,"")</f>
        <v>2.7515671395579016E-2</v>
      </c>
      <c r="F65" s="31">
        <f>IFERROR(Serie_Historica!I209/Serie_Historica!I208,"")</f>
        <v>3.0920765538308085E-2</v>
      </c>
      <c r="G65" s="31">
        <f>IFERROR(Serie_Historica!J209/Serie_Historica!J208,"")</f>
        <v>3.1969236067267405E-2</v>
      </c>
      <c r="H65" s="31">
        <f>IFERROR(Serie_Historica!K209/Serie_Historica!K208,"")</f>
        <v>3.2726700582157653E-2</v>
      </c>
      <c r="I65" s="31">
        <f>IFERROR(Serie_Historica!L209/Serie_Historica!L208,"")</f>
        <v>3.0879587105804136E-2</v>
      </c>
      <c r="J65" s="31">
        <f>IFERROR(Serie_Historica!M209/Serie_Historica!M208,"")</f>
        <v>2.7853343619310567E-2</v>
      </c>
      <c r="K65" s="31">
        <f>IFERROR(Serie_Historica!N209/Serie_Historica!N208,"")</f>
        <v>2.2522689386923506E-2</v>
      </c>
      <c r="L65" s="31">
        <f>IFERROR(Serie_Historica!O209/Serie_Historica!O208,"")</f>
        <v>2.447776040926531E-2</v>
      </c>
      <c r="M65" s="31">
        <f>IFERROR(Serie_Historica!P209/Serie_Historica!P208,"")</f>
        <v>2.1390195882137017E-2</v>
      </c>
      <c r="N65" s="31">
        <f>IFERROR(Serie_Historica!Q209/Serie_Historica!Q208,"")</f>
        <v>2.5964153094938745E-2</v>
      </c>
      <c r="O65" s="31">
        <f>IFERROR(Serie_Historica!R209/Serie_Historica!R208,"")</f>
        <v>1.8052192628463814E-2</v>
      </c>
      <c r="P65" s="31">
        <f>IFERROR(Serie_Historica!S209/Serie_Historica!S208,"")</f>
        <v>1.7858575056810586E-2</v>
      </c>
      <c r="Q65" s="31">
        <f>IFERROR(Serie_Historica!T209/Serie_Historica!T208,"")</f>
        <v>2.2123603611481538E-2</v>
      </c>
      <c r="R65" s="31">
        <f>IFERROR(Serie_Historica!U209/Serie_Historica!U208,"")</f>
        <v>2.9214551257023543E-2</v>
      </c>
      <c r="S65" s="31">
        <f>IFERROR(Serie_Historica!V209/Serie_Historica!V208,"")</f>
        <v>5.5003956582110276E-2</v>
      </c>
      <c r="T65" s="31">
        <f>IFERROR(Serie_Historica!W209/Serie_Historica!W208,"")</f>
        <v>5.3925826063285068E-2</v>
      </c>
      <c r="U65" s="31">
        <f>IFERROR(Serie_Historica!X209/Serie_Historica!X208,"")</f>
        <v>5.1484321242504669E-2</v>
      </c>
      <c r="V65" s="31">
        <f>IFERROR(Serie_Historica!Y209/Serie_Historica!Y208,"")</f>
        <v>5.2290688692138571E-2</v>
      </c>
      <c r="W65" s="31">
        <f>IFERROR(Serie_Historica!Z209/Serie_Historica!Z208,"")</f>
        <v>0.1725555206780193</v>
      </c>
      <c r="X65" s="19">
        <f>IFERROR((W65-D65)*100,"")</f>
        <v>13.309058216023931</v>
      </c>
    </row>
    <row r="66" spans="1:24">
      <c r="A66" s="28" t="s">
        <v>269</v>
      </c>
      <c r="B66" s="28" t="s">
        <v>270</v>
      </c>
      <c r="C66" s="28" t="s">
        <v>505</v>
      </c>
      <c r="D66" s="31">
        <f>IFERROR(Serie_Historica!G210/Serie_Historica!G208,"")</f>
        <v>0.1846128281821203</v>
      </c>
      <c r="E66" s="31">
        <f>IFERROR(Serie_Historica!H210/Serie_Historica!H208,"")</f>
        <v>0.1744638733091389</v>
      </c>
      <c r="F66" s="31">
        <f>IFERROR(Serie_Historica!I210/Serie_Historica!I208,"")</f>
        <v>0.18309332335889283</v>
      </c>
      <c r="G66" s="31">
        <f>IFERROR(Serie_Historica!J210/Serie_Historica!J208,"")</f>
        <v>0.17591689146530448</v>
      </c>
      <c r="H66" s="31">
        <f>IFERROR(Serie_Historica!K210/Serie_Historica!K208,"")</f>
        <v>0.17753186133109561</v>
      </c>
      <c r="I66" s="31">
        <f>IFERROR(Serie_Historica!L210/Serie_Historica!L208,"")</f>
        <v>0.17381795914796833</v>
      </c>
      <c r="J66" s="31">
        <f>IFERROR(Serie_Historica!M210/Serie_Historica!M208,"")</f>
        <v>0.15818750253765887</v>
      </c>
      <c r="K66" s="31">
        <f>IFERROR(Serie_Historica!N210/Serie_Historica!N208,"")</f>
        <v>0.1518799777736618</v>
      </c>
      <c r="L66" s="31">
        <f>IFERROR(Serie_Historica!O210/Serie_Historica!O208,"")</f>
        <v>0.16875088816256928</v>
      </c>
      <c r="M66" s="31">
        <f>IFERROR(Serie_Historica!P210/Serie_Historica!P208,"")</f>
        <v>0.17529282210431474</v>
      </c>
      <c r="N66" s="31">
        <f>IFERROR(Serie_Historica!Q210/Serie_Historica!Q208,"")</f>
        <v>0.2060758457355048</v>
      </c>
      <c r="O66" s="31">
        <f>IFERROR(Serie_Historica!R210/Serie_Historica!R208,"")</f>
        <v>0.19545332257196665</v>
      </c>
      <c r="P66" s="31">
        <f>IFERROR(Serie_Historica!S210/Serie_Historica!S208,"")</f>
        <v>0.17917390723165352</v>
      </c>
      <c r="Q66" s="31">
        <f>IFERROR(Serie_Historica!T210/Serie_Historica!T208,"")</f>
        <v>0.21957457971711519</v>
      </c>
      <c r="R66" s="31">
        <f>IFERROR(Serie_Historica!U210/Serie_Historica!U208,"")</f>
        <v>0.2178105213125329</v>
      </c>
      <c r="S66" s="31">
        <f>IFERROR(Serie_Historica!V210/Serie_Historica!V208,"")</f>
        <v>0.23800707705630292</v>
      </c>
      <c r="T66" s="31">
        <f>IFERROR(Serie_Historica!W210/Serie_Historica!W208,"")</f>
        <v>0.28947538986038912</v>
      </c>
      <c r="U66" s="31">
        <f>IFERROR(Serie_Historica!X210/Serie_Historica!X208,"")</f>
        <v>0.26323355942199939</v>
      </c>
      <c r="V66" s="31">
        <f>IFERROR(Serie_Historica!Y210/Serie_Historica!Y208,"")</f>
        <v>0.29358844851149801</v>
      </c>
      <c r="W66" s="31">
        <f>IFERROR(Serie_Historica!Z210/Serie_Historica!Z208,"")</f>
        <v>0.24972533940202465</v>
      </c>
      <c r="X66" s="19">
        <f>IFERROR((W66-D66)*100,"")</f>
        <v>6.5112511219904352</v>
      </c>
    </row>
    <row r="67" spans="1:24">
      <c r="A67" s="28" t="s">
        <v>269</v>
      </c>
      <c r="B67" s="28" t="s">
        <v>270</v>
      </c>
      <c r="C67" s="28" t="s">
        <v>506</v>
      </c>
      <c r="D67" s="31">
        <f>IFERROR(Serie_Historica!G211/Serie_Historica!G208,"")</f>
        <v>0.55799268860086404</v>
      </c>
      <c r="E67" s="31">
        <f>IFERROR(Serie_Historica!H211/Serie_Historica!H208,"")</f>
        <v>0.47212141207522268</v>
      </c>
      <c r="F67" s="31">
        <f>IFERROR(Serie_Historica!I211/Serie_Historica!I208,"")</f>
        <v>0.48968268811171373</v>
      </c>
      <c r="G67" s="31">
        <f>IFERROR(Serie_Historica!J211/Serie_Historica!J208,"")</f>
        <v>0.52465132296389827</v>
      </c>
      <c r="H67" s="31">
        <f>IFERROR(Serie_Historica!K211/Serie_Historica!K208,"")</f>
        <v>0.52703624062516385</v>
      </c>
      <c r="I67" s="31">
        <f>IFERROR(Serie_Historica!L211/Serie_Historica!L208,"")</f>
        <v>0.56825438481389146</v>
      </c>
      <c r="J67" s="31">
        <f>IFERROR(Serie_Historica!M211/Serie_Historica!M208,"")</f>
        <v>0.5851638312558366</v>
      </c>
      <c r="K67" s="31">
        <f>IFERROR(Serie_Historica!N211/Serie_Historica!N208,"")</f>
        <v>0.54739766623448782</v>
      </c>
      <c r="L67" s="31">
        <f>IFERROR(Serie_Historica!O211/Serie_Historica!O208,"")</f>
        <v>0.5362370328264886</v>
      </c>
      <c r="M67" s="31">
        <f>IFERROR(Serie_Historica!P211/Serie_Historica!P208,"")</f>
        <v>0.55053892615210065</v>
      </c>
      <c r="N67" s="31">
        <f>IFERROR(Serie_Historica!Q211/Serie_Historica!Q208,"")</f>
        <v>0.51135931697903569</v>
      </c>
      <c r="O67" s="31">
        <f>IFERROR(Serie_Historica!R211/Serie_Historica!R208,"")</f>
        <v>0.47796610169491527</v>
      </c>
      <c r="P67" s="31">
        <f>IFERROR(Serie_Historica!S211/Serie_Historica!S208,"")</f>
        <v>0.52567838524261468</v>
      </c>
      <c r="Q67" s="31">
        <f>IFERROR(Serie_Historica!T211/Serie_Historica!T208,"")</f>
        <v>0.50646000480947906</v>
      </c>
      <c r="R67" s="31">
        <f>IFERROR(Serie_Historica!U211/Serie_Historica!U208,"")</f>
        <v>0.52752550544059484</v>
      </c>
      <c r="S67" s="31">
        <f>IFERROR(Serie_Historica!V211/Serie_Historica!V208,"")</f>
        <v>0.48561446466697522</v>
      </c>
      <c r="T67" s="31">
        <f>IFERROR(Serie_Historica!W211/Serie_Historica!W208,"")</f>
        <v>0.43322141996033342</v>
      </c>
      <c r="U67" s="31">
        <f>IFERROR(Serie_Historica!X211/Serie_Historica!X208,"")</f>
        <v>0.45841934532586259</v>
      </c>
      <c r="V67" s="31">
        <f>IFERROR(Serie_Historica!Y211/Serie_Historica!Y208,"")</f>
        <v>0.46369956622496883</v>
      </c>
      <c r="W67" s="31">
        <f>IFERROR(Serie_Historica!Z211/Serie_Historica!Z208,"")</f>
        <v>0.42386015851840225</v>
      </c>
      <c r="X67" s="19">
        <f>IFERROR((W67-D67)*100,"")</f>
        <v>-13.413253008246178</v>
      </c>
    </row>
    <row r="68" spans="1:24">
      <c r="A68" s="28" t="s">
        <v>347</v>
      </c>
      <c r="B68" s="28" t="s">
        <v>348</v>
      </c>
      <c r="C68" s="28" t="s">
        <v>504</v>
      </c>
      <c r="D68" s="31">
        <f>IFERROR(Serie_Historica!G219/Serie_Historica!G218,"")</f>
        <v>5.8401492323145357E-2</v>
      </c>
      <c r="E68" s="31">
        <f>IFERROR(Serie_Historica!H219/Serie_Historica!H218,"")</f>
        <v>3.724696356275304E-2</v>
      </c>
      <c r="F68" s="31">
        <f>IFERROR(Serie_Historica!I219/Serie_Historica!I218,"")</f>
        <v>4.1847410053585096E-2</v>
      </c>
      <c r="G68" s="31">
        <f>IFERROR(Serie_Historica!J219/Serie_Historica!J218,"")</f>
        <v>4.296245104814559E-2</v>
      </c>
      <c r="H68" s="31">
        <f>IFERROR(Serie_Historica!K219/Serie_Historica!K218,"")</f>
        <v>5.9650872817955114E-2</v>
      </c>
      <c r="I68" s="31">
        <f>IFERROR(Serie_Historica!L219/Serie_Historica!L218,"")</f>
        <v>6.1623931623931621E-2</v>
      </c>
      <c r="J68" s="31">
        <f>IFERROR(Serie_Historica!M219/Serie_Historica!M218,"")</f>
        <v>6.6090415359902094E-2</v>
      </c>
      <c r="K68" s="31">
        <f>IFERROR(Serie_Historica!N219/Serie_Historica!N218,"")</f>
        <v>4.9065101678722536E-2</v>
      </c>
      <c r="L68" s="31">
        <f>IFERROR(Serie_Historica!O219/Serie_Historica!O218,"")</f>
        <v>4.2213348545350825E-2</v>
      </c>
      <c r="M68" s="31">
        <f>IFERROR(Serie_Historica!P219/Serie_Historica!P218,"")</f>
        <v>4.2699866241382861E-2</v>
      </c>
      <c r="N68" s="31">
        <f>IFERROR(Serie_Historica!Q219/Serie_Historica!Q218,"")</f>
        <v>4.8746074370761457E-2</v>
      </c>
      <c r="O68" s="31">
        <f>IFERROR(Serie_Historica!R219/Serie_Historica!R218,"")</f>
        <v>3.9353345224090168E-2</v>
      </c>
      <c r="P68" s="31">
        <f>IFERROR(Serie_Historica!S219/Serie_Historica!S218,"")</f>
        <v>3.3906095318908216E-2</v>
      </c>
      <c r="Q68" s="31">
        <f>IFERROR(Serie_Historica!T219/Serie_Historica!T218,"")</f>
        <v>3.6327833231479596E-2</v>
      </c>
      <c r="R68" s="31">
        <f>IFERROR(Serie_Historica!U219/Serie_Historica!U218,"")</f>
        <v>3.6554264664210821E-2</v>
      </c>
      <c r="S68" s="31">
        <f>IFERROR(Serie_Historica!V219/Serie_Historica!V218,"")</f>
        <v>3.6365912433887274E-2</v>
      </c>
      <c r="T68" s="31">
        <f>IFERROR(Serie_Historica!W219/Serie_Historica!W218,"")</f>
        <v>3.4111455943867226E-2</v>
      </c>
      <c r="U68" s="31">
        <f>IFERROR(Serie_Historica!X219/Serie_Historica!X218,"")</f>
        <v>3.2986663403890858E-2</v>
      </c>
      <c r="V68" s="31">
        <f>IFERROR(Serie_Historica!Y219/Serie_Historica!Y218,"")</f>
        <v>3.2328184256775506E-2</v>
      </c>
      <c r="W68" s="31">
        <f>IFERROR(Serie_Historica!Z219/Serie_Historica!Z218,"")</f>
        <v>0.23810695826447734</v>
      </c>
      <c r="X68" s="19">
        <f>IFERROR((W68-D68)*100,"")</f>
        <v>17.970546594133197</v>
      </c>
    </row>
    <row r="69" spans="1:24">
      <c r="A69" s="28" t="s">
        <v>347</v>
      </c>
      <c r="B69" s="28" t="s">
        <v>348</v>
      </c>
      <c r="C69" s="28" t="s">
        <v>505</v>
      </c>
      <c r="D69" s="31">
        <f>IFERROR(Serie_Historica!G220/Serie_Historica!G218,"")</f>
        <v>0.21150810733247238</v>
      </c>
      <c r="E69" s="31">
        <f>IFERROR(Serie_Historica!H220/Serie_Historica!H218,"")</f>
        <v>0.203778677462888</v>
      </c>
      <c r="F69" s="31">
        <f>IFERROR(Serie_Historica!I220/Serie_Historica!I218,"")</f>
        <v>0.2242919112018372</v>
      </c>
      <c r="G69" s="31">
        <f>IFERROR(Serie_Historica!J220/Serie_Historica!J218,"")</f>
        <v>0.20674959686708133</v>
      </c>
      <c r="H69" s="31">
        <f>IFERROR(Serie_Historica!K220/Serie_Historica!K218,"")</f>
        <v>0.21885286783042393</v>
      </c>
      <c r="I69" s="31">
        <f>IFERROR(Serie_Historica!L220/Serie_Historica!L218,"")</f>
        <v>0.21444444444444444</v>
      </c>
      <c r="J69" s="31">
        <f>IFERROR(Serie_Historica!M220/Serie_Historica!M218,"")</f>
        <v>0.22580891914633214</v>
      </c>
      <c r="K69" s="31">
        <f>IFERROR(Serie_Historica!N220/Serie_Historica!N218,"")</f>
        <v>0.22437559710659205</v>
      </c>
      <c r="L69" s="31">
        <f>IFERROR(Serie_Historica!O220/Serie_Historica!O218,"")</f>
        <v>0.21740508334917918</v>
      </c>
      <c r="M69" s="31">
        <f>IFERROR(Serie_Historica!P220/Serie_Historica!P218,"")</f>
        <v>0.25774256610762425</v>
      </c>
      <c r="N69" s="31">
        <f>IFERROR(Serie_Historica!Q220/Serie_Historica!Q218,"")</f>
        <v>0.25501797824404898</v>
      </c>
      <c r="O69" s="31">
        <f>IFERROR(Serie_Historica!R220/Serie_Historica!R218,"")</f>
        <v>0.26458198929831883</v>
      </c>
      <c r="P69" s="31">
        <f>IFERROR(Serie_Historica!S220/Serie_Historica!S218,"")</f>
        <v>0.28705275067175789</v>
      </c>
      <c r="Q69" s="31">
        <f>IFERROR(Serie_Historica!T220/Serie_Historica!T218,"")</f>
        <v>0.27045562572146398</v>
      </c>
      <c r="R69" s="31">
        <f>IFERROR(Serie_Historica!U220/Serie_Historica!U218,"")</f>
        <v>0.28597966059003183</v>
      </c>
      <c r="S69" s="31">
        <f>IFERROR(Serie_Historica!V220/Serie_Historica!V218,"")</f>
        <v>0.28279034832410105</v>
      </c>
      <c r="T69" s="31">
        <f>IFERROR(Serie_Historica!W220/Serie_Historica!W218,"")</f>
        <v>0.35636216435029011</v>
      </c>
      <c r="U69" s="31">
        <f>IFERROR(Serie_Historica!X220/Serie_Historica!X218,"")</f>
        <v>0.36461519637831885</v>
      </c>
      <c r="V69" s="31">
        <f>IFERROR(Serie_Historica!Y220/Serie_Historica!Y218,"")</f>
        <v>0.31081768569050039</v>
      </c>
      <c r="W69" s="31">
        <f>IFERROR(Serie_Historica!Z220/Serie_Historica!Z218,"")</f>
        <v>0.23457332723884533</v>
      </c>
      <c r="X69" s="19">
        <f>IFERROR((W69-D69)*100,"")</f>
        <v>2.3065219906372949</v>
      </c>
    </row>
    <row r="70" spans="1:24">
      <c r="A70" s="28" t="s">
        <v>347</v>
      </c>
      <c r="B70" s="28" t="s">
        <v>348</v>
      </c>
      <c r="C70" s="28" t="s">
        <v>506</v>
      </c>
      <c r="D70" s="31">
        <f>IFERROR(Serie_Historica!G221/Serie_Historica!G218,"")</f>
        <v>0.66063997704118238</v>
      </c>
      <c r="E70" s="31">
        <f>IFERROR(Serie_Historica!H221/Serie_Historica!H218,"")</f>
        <v>0.61066126855600544</v>
      </c>
      <c r="F70" s="31">
        <f>IFERROR(Serie_Historica!I221/Serie_Historica!I218,"")</f>
        <v>0.64672110232202096</v>
      </c>
      <c r="G70" s="31">
        <f>IFERROR(Serie_Historica!J221/Serie_Historica!J218,"")</f>
        <v>0.65710665745219998</v>
      </c>
      <c r="H70" s="31">
        <f>IFERROR(Serie_Historica!K221/Serie_Historica!K218,"")</f>
        <v>0.63441396508728176</v>
      </c>
      <c r="I70" s="31">
        <f>IFERROR(Serie_Historica!L221/Serie_Historica!L218,"")</f>
        <v>0.66897435897435897</v>
      </c>
      <c r="J70" s="31">
        <f>IFERROR(Serie_Historica!M221/Serie_Historica!M218,"")</f>
        <v>0.64583492694867284</v>
      </c>
      <c r="K70" s="31">
        <f>IFERROR(Serie_Historica!N221/Serie_Historica!N218,"")</f>
        <v>0.65900095537054726</v>
      </c>
      <c r="L70" s="31">
        <f>IFERROR(Serie_Historica!O221/Serie_Historica!O218,"")</f>
        <v>0.6822589845978323</v>
      </c>
      <c r="M70" s="31">
        <f>IFERROR(Serie_Historica!P221/Serie_Historica!P218,"")</f>
        <v>0.63982920053503445</v>
      </c>
      <c r="N70" s="31">
        <f>IFERROR(Serie_Historica!Q221/Serie_Historica!Q218,"")</f>
        <v>0.65199581266214557</v>
      </c>
      <c r="O70" s="31">
        <f>IFERROR(Serie_Historica!R221/Serie_Historica!R218,"")</f>
        <v>0.65629387879017875</v>
      </c>
      <c r="P70" s="31">
        <f>IFERROR(Serie_Historica!S221/Serie_Historica!S218,"")</f>
        <v>0.63891245934097018</v>
      </c>
      <c r="Q70" s="31">
        <f>IFERROR(Serie_Historica!T221/Serie_Historica!T218,"")</f>
        <v>0.64816323759081962</v>
      </c>
      <c r="R70" s="31">
        <f>IFERROR(Serie_Historica!U221/Serie_Historica!U218,"")</f>
        <v>0.63351279871540567</v>
      </c>
      <c r="S70" s="31">
        <f>IFERROR(Serie_Historica!V221/Serie_Historica!V218,"")</f>
        <v>0.63640346759302724</v>
      </c>
      <c r="T70" s="31">
        <f>IFERROR(Serie_Historica!W221/Serie_Historica!W218,"")</f>
        <v>0.57104304412360007</v>
      </c>
      <c r="U70" s="31">
        <f>IFERROR(Serie_Historica!X221/Serie_Historica!X218,"")</f>
        <v>0.5648354337452588</v>
      </c>
      <c r="V70" s="31">
        <f>IFERROR(Serie_Historica!Y221/Serie_Historica!Y218,"")</f>
        <v>0.60341319026917029</v>
      </c>
      <c r="W70" s="31">
        <f>IFERROR(Serie_Historica!Z221/Serie_Historica!Z218,"")</f>
        <v>0.49245807109454659</v>
      </c>
      <c r="X70" s="19">
        <f>IFERROR((W70-D70)*100,"")</f>
        <v>-16.81819059466358</v>
      </c>
    </row>
    <row r="71" spans="1:24">
      <c r="A71" s="28" t="s">
        <v>115</v>
      </c>
      <c r="B71" s="28" t="s">
        <v>116</v>
      </c>
      <c r="C71" s="28" t="s">
        <v>504</v>
      </c>
      <c r="D71" s="31">
        <f>IFERROR(Serie_Historica!G229/Serie_Historica!G228,"")</f>
        <v>9.7569403141479882E-2</v>
      </c>
      <c r="E71" s="31">
        <f>IFERROR(Serie_Historica!H229/Serie_Historica!H228,"")</f>
        <v>8.1416652947642901E-2</v>
      </c>
      <c r="F71" s="31">
        <f>IFERROR(Serie_Historica!I229/Serie_Historica!I228,"")</f>
        <v>9.0364947373983387E-2</v>
      </c>
      <c r="G71" s="31">
        <f>IFERROR(Serie_Historica!J229/Serie_Historica!J228,"")</f>
        <v>8.764477964486253E-2</v>
      </c>
      <c r="H71" s="31">
        <f>IFERROR(Serie_Historica!K229/Serie_Historica!K228,"")</f>
        <v>7.6103208012773982E-2</v>
      </c>
      <c r="I71" s="31">
        <f>IFERROR(Serie_Historica!L229/Serie_Historica!L228,"")</f>
        <v>9.9352012797069442E-2</v>
      </c>
      <c r="J71" s="31">
        <f>IFERROR(Serie_Historica!M229/Serie_Historica!M228,"")</f>
        <v>9.0761677019512405E-2</v>
      </c>
      <c r="K71" s="31">
        <f>IFERROR(Serie_Historica!N229/Serie_Historica!N228,"")</f>
        <v>7.7895974718712888E-2</v>
      </c>
      <c r="L71" s="31">
        <f>IFERROR(Serie_Historica!O229/Serie_Historica!O228,"")</f>
        <v>8.0239859941922023E-2</v>
      </c>
      <c r="M71" s="31">
        <f>IFERROR(Serie_Historica!P229/Serie_Historica!P228,"")</f>
        <v>9.2171034798581047E-2</v>
      </c>
      <c r="N71" s="31">
        <f>IFERROR(Serie_Historica!Q229/Serie_Historica!Q228,"")</f>
        <v>8.7479410892613171E-2</v>
      </c>
      <c r="O71" s="31">
        <f>IFERROR(Serie_Historica!R229/Serie_Historica!R228,"")</f>
        <v>8.422905490062621E-2</v>
      </c>
      <c r="P71" s="31">
        <f>IFERROR(Serie_Historica!S229/Serie_Historica!S228,"")</f>
        <v>6.6429390031234839E-2</v>
      </c>
      <c r="Q71" s="31">
        <f>IFERROR(Serie_Historica!T229/Serie_Historica!T228,"")</f>
        <v>7.0929816631414538E-2</v>
      </c>
      <c r="R71" s="31">
        <f>IFERROR(Serie_Historica!U229/Serie_Historica!U228,"")</f>
        <v>7.1929357045085074E-2</v>
      </c>
      <c r="S71" s="31">
        <f>IFERROR(Serie_Historica!V229/Serie_Historica!V228,"")</f>
        <v>6.5061607771280588E-2</v>
      </c>
      <c r="T71" s="31">
        <f>IFERROR(Serie_Historica!W229/Serie_Historica!W228,"")</f>
        <v>7.0541764565668949E-2</v>
      </c>
      <c r="U71" s="31">
        <f>IFERROR(Serie_Historica!X229/Serie_Historica!X228,"")</f>
        <v>6.5362698897805466E-2</v>
      </c>
      <c r="V71" s="31">
        <f>IFERROR(Serie_Historica!Y229/Serie_Historica!Y228,"")</f>
        <v>7.1552792627003772E-2</v>
      </c>
      <c r="W71" s="31">
        <f>IFERROR(Serie_Historica!Z229/Serie_Historica!Z228,"")</f>
        <v>6.6590480769784938E-2</v>
      </c>
      <c r="X71" s="19">
        <f>IFERROR((W71-D71)*100,"")</f>
        <v>-3.0978922371694946</v>
      </c>
    </row>
    <row r="72" spans="1:24">
      <c r="A72" s="28" t="s">
        <v>115</v>
      </c>
      <c r="B72" s="28" t="s">
        <v>116</v>
      </c>
      <c r="C72" s="28" t="s">
        <v>505</v>
      </c>
      <c r="D72" s="31">
        <f>IFERROR(Serie_Historica!G230/Serie_Historica!G228,"")</f>
        <v>0.51743221121439209</v>
      </c>
      <c r="E72" s="31">
        <f>IFERROR(Serie_Historica!H230/Serie_Historica!H228,"")</f>
        <v>0.51746918530241159</v>
      </c>
      <c r="F72" s="31">
        <f>IFERROR(Serie_Historica!I230/Serie_Historica!I228,"")</f>
        <v>0.52047634831649592</v>
      </c>
      <c r="G72" s="31">
        <f>IFERROR(Serie_Historica!J230/Serie_Historica!J228,"")</f>
        <v>0.51309698941217907</v>
      </c>
      <c r="H72" s="31">
        <f>IFERROR(Serie_Historica!K230/Serie_Historica!K228,"")</f>
        <v>0.52473871389171145</v>
      </c>
      <c r="I72" s="31">
        <f>IFERROR(Serie_Historica!L230/Serie_Historica!L228,"")</f>
        <v>0.52009784576639329</v>
      </c>
      <c r="J72" s="31">
        <f>IFERROR(Serie_Historica!M230/Serie_Historica!M228,"")</f>
        <v>0.50654139487498762</v>
      </c>
      <c r="K72" s="31">
        <f>IFERROR(Serie_Historica!N230/Serie_Historica!N228,"")</f>
        <v>0.5421304029029439</v>
      </c>
      <c r="L72" s="31">
        <f>IFERROR(Serie_Historica!O230/Serie_Historica!O228,"")</f>
        <v>0.54576733166297997</v>
      </c>
      <c r="M72" s="31">
        <f>IFERROR(Serie_Historica!P230/Serie_Historica!P228,"")</f>
        <v>0.56502699672200696</v>
      </c>
      <c r="N72" s="31">
        <f>IFERROR(Serie_Historica!Q230/Serie_Historica!Q228,"")</f>
        <v>0.59659252932839435</v>
      </c>
      <c r="O72" s="31">
        <f>IFERROR(Serie_Historica!R230/Serie_Historica!R228,"")</f>
        <v>0.59063835536470621</v>
      </c>
      <c r="P72" s="31">
        <f>IFERROR(Serie_Historica!S230/Serie_Historica!S228,"")</f>
        <v>0.59745425809098396</v>
      </c>
      <c r="Q72" s="31">
        <f>IFERROR(Serie_Historica!T230/Serie_Historica!T228,"")</f>
        <v>0.57861110056805964</v>
      </c>
      <c r="R72" s="31">
        <f>IFERROR(Serie_Historica!U230/Serie_Historica!U228,"")</f>
        <v>0.58887786564268196</v>
      </c>
      <c r="S72" s="31">
        <f>IFERROR(Serie_Historica!V230/Serie_Historica!V228,"")</f>
        <v>0.59141777562634812</v>
      </c>
      <c r="T72" s="31">
        <f>IFERROR(Serie_Historica!W230/Serie_Historica!W228,"")</f>
        <v>0.58018670130223915</v>
      </c>
      <c r="U72" s="31">
        <f>IFERROR(Serie_Historica!X230/Serie_Historica!X228,"")</f>
        <v>0.57509585274437292</v>
      </c>
      <c r="V72" s="31">
        <f>IFERROR(Serie_Historica!Y230/Serie_Historica!Y228,"")</f>
        <v>0.56208012512348293</v>
      </c>
      <c r="W72" s="31">
        <f>IFERROR(Serie_Historica!Z230/Serie_Historica!Z228,"")</f>
        <v>0.56572145107786853</v>
      </c>
      <c r="X72" s="19">
        <f>IFERROR((W72-D72)*100,"")</f>
        <v>4.8289239863476441</v>
      </c>
    </row>
    <row r="73" spans="1:24">
      <c r="A73" s="28" t="s">
        <v>115</v>
      </c>
      <c r="B73" s="28" t="s">
        <v>116</v>
      </c>
      <c r="C73" s="28" t="s">
        <v>506</v>
      </c>
      <c r="D73" s="31">
        <f>IFERROR(Serie_Historica!G231/Serie_Historica!G228,"")</f>
        <v>0.34664468876918109</v>
      </c>
      <c r="E73" s="31">
        <f>IFERROR(Serie_Historica!H231/Serie_Historica!H228,"")</f>
        <v>0.35453497820002866</v>
      </c>
      <c r="F73" s="31">
        <f>IFERROR(Serie_Historica!I231/Serie_Historica!I228,"")</f>
        <v>0.3439930440463666</v>
      </c>
      <c r="G73" s="31">
        <f>IFERROR(Serie_Historica!J231/Serie_Historica!J228,"")</f>
        <v>0.352091664422021</v>
      </c>
      <c r="H73" s="31">
        <f>IFERROR(Serie_Historica!K231/Serie_Historica!K228,"")</f>
        <v>0.35239512265931194</v>
      </c>
      <c r="I73" s="31">
        <f>IFERROR(Serie_Historica!L231/Serie_Historica!L228,"")</f>
        <v>0.34822308111739381</v>
      </c>
      <c r="J73" s="31">
        <f>IFERROR(Serie_Historica!M231/Serie_Historica!M228,"")</f>
        <v>0.36294483041614195</v>
      </c>
      <c r="K73" s="31">
        <f>IFERROR(Serie_Historica!N231/Serie_Historica!N228,"")</f>
        <v>0.3410818573031576</v>
      </c>
      <c r="L73" s="31">
        <f>IFERROR(Serie_Historica!O231/Serie_Historica!O228,"")</f>
        <v>0.34159284613529861</v>
      </c>
      <c r="M73" s="31">
        <f>IFERROR(Serie_Historica!P231/Serie_Historica!P228,"")</f>
        <v>0.31119719981614957</v>
      </c>
      <c r="N73" s="31">
        <f>IFERROR(Serie_Historica!Q231/Serie_Historica!Q228,"")</f>
        <v>0.29318747047298555</v>
      </c>
      <c r="O73" s="31">
        <f>IFERROR(Serie_Historica!R231/Serie_Historica!R228,"")</f>
        <v>0.30065144545434846</v>
      </c>
      <c r="P73" s="31">
        <f>IFERROR(Serie_Historica!S231/Serie_Historica!S228,"")</f>
        <v>0.30938945034677806</v>
      </c>
      <c r="Q73" s="31">
        <f>IFERROR(Serie_Historica!T231/Serie_Historica!T228,"")</f>
        <v>0.32061036217107119</v>
      </c>
      <c r="R73" s="31">
        <f>IFERROR(Serie_Historica!U231/Serie_Historica!U228,"")</f>
        <v>0.3122800032962717</v>
      </c>
      <c r="S73" s="31">
        <f>IFERROR(Serie_Historica!V231/Serie_Historica!V228,"")</f>
        <v>0.31602950362360804</v>
      </c>
      <c r="T73" s="31">
        <f>IFERROR(Serie_Historica!W231/Serie_Historica!W228,"")</f>
        <v>0.31854900301115441</v>
      </c>
      <c r="U73" s="31">
        <f>IFERROR(Serie_Historica!X231/Serie_Historica!X228,"")</f>
        <v>0.32482653297173081</v>
      </c>
      <c r="V73" s="31">
        <f>IFERROR(Serie_Historica!Y231/Serie_Historica!Y228,"")</f>
        <v>0.33181385946655384</v>
      </c>
      <c r="W73" s="31">
        <f>IFERROR(Serie_Historica!Z231/Serie_Historica!Z228,"")</f>
        <v>0.32290360480596886</v>
      </c>
      <c r="X73" s="19">
        <f>IFERROR((W73-D73)*100,"")</f>
        <v>-2.3741083963212226</v>
      </c>
    </row>
    <row r="74" spans="1:24">
      <c r="A74" s="28" t="s">
        <v>281</v>
      </c>
      <c r="B74" s="28" t="s">
        <v>282</v>
      </c>
      <c r="C74" s="28" t="s">
        <v>504</v>
      </c>
      <c r="D74" s="31">
        <f>IFERROR(Serie_Historica!G239/Serie_Historica!G238,"")</f>
        <v>0.16214508193021263</v>
      </c>
      <c r="E74" s="31">
        <f>IFERROR(Serie_Historica!H239/Serie_Historica!H238,"")</f>
        <v>9.1078741381991596E-2</v>
      </c>
      <c r="F74" s="31">
        <f>IFERROR(Serie_Historica!I239/Serie_Historica!I238,"")</f>
        <v>7.6325431510175248E-2</v>
      </c>
      <c r="G74" s="31">
        <f>IFERROR(Serie_Historica!J239/Serie_Historica!J238,"")</f>
        <v>0.11133665769383522</v>
      </c>
      <c r="H74" s="31">
        <f>IFERROR(Serie_Historica!K239/Serie_Historica!K238,"")</f>
        <v>3.1801964498083951E-2</v>
      </c>
      <c r="I74" s="31">
        <f>IFERROR(Serie_Historica!L239/Serie_Historica!L238,"")</f>
        <v>2.8087670839760374E-2</v>
      </c>
      <c r="J74" s="31">
        <f>IFERROR(Serie_Historica!M239/Serie_Historica!M238,"")</f>
        <v>2.6140288198166012E-2</v>
      </c>
      <c r="K74" s="31">
        <f>IFERROR(Serie_Historica!N239/Serie_Historica!N238,"")</f>
        <v>2.7795800783784484E-2</v>
      </c>
      <c r="L74" s="31">
        <f>IFERROR(Serie_Historica!O239/Serie_Historica!O238,"")</f>
        <v>2.8873598369011214E-2</v>
      </c>
      <c r="M74" s="31">
        <f>IFERROR(Serie_Historica!P239/Serie_Historica!P238,"")</f>
        <v>2.3715507920838621E-2</v>
      </c>
      <c r="N74" s="31">
        <f>IFERROR(Serie_Historica!Q239/Serie_Historica!Q238,"")</f>
        <v>6.7875950848449385E-2</v>
      </c>
      <c r="O74" s="31">
        <f>IFERROR(Serie_Historica!R239/Serie_Historica!R238,"")</f>
        <v>2.6225748232816964E-2</v>
      </c>
      <c r="P74" s="31">
        <f>IFERROR(Serie_Historica!S239/Serie_Historica!S238,"")</f>
        <v>2.9761598269914011E-2</v>
      </c>
      <c r="Q74" s="31">
        <f>IFERROR(Serie_Historica!T239/Serie_Historica!T238,"")</f>
        <v>3.4349969192852742E-2</v>
      </c>
      <c r="R74" s="31">
        <f>IFERROR(Serie_Historica!U239/Serie_Historica!U238,"")</f>
        <v>3.9912686480860417E-2</v>
      </c>
      <c r="S74" s="31">
        <f>IFERROR(Serie_Historica!V239/Serie_Historica!V238,"")</f>
        <v>3.4809374091785777E-2</v>
      </c>
      <c r="T74" s="31">
        <f>IFERROR(Serie_Historica!W239/Serie_Historica!W238,"")</f>
        <v>3.3802074599334021E-2</v>
      </c>
      <c r="U74" s="31">
        <f>IFERROR(Serie_Historica!X239/Serie_Historica!X238,"")</f>
        <v>2.9614288306946655E-2</v>
      </c>
      <c r="V74" s="31">
        <f>IFERROR(Serie_Historica!Y239/Serie_Historica!Y238,"")</f>
        <v>2.8856325872236129E-2</v>
      </c>
      <c r="W74" s="31">
        <f>IFERROR(Serie_Historica!Z239/Serie_Historica!Z238,"")</f>
        <v>4.4430459408432973E-2</v>
      </c>
      <c r="X74" s="19">
        <f>IFERROR((W74-D74)*100,"")</f>
        <v>-11.771462252177965</v>
      </c>
    </row>
    <row r="75" spans="1:24">
      <c r="A75" s="28" t="s">
        <v>281</v>
      </c>
      <c r="B75" s="28" t="s">
        <v>282</v>
      </c>
      <c r="C75" s="28" t="s">
        <v>505</v>
      </c>
      <c r="D75" s="31">
        <f>IFERROR(Serie_Historica!G240/Serie_Historica!G238,"")</f>
        <v>0.15650250530402202</v>
      </c>
      <c r="E75" s="31">
        <f>IFERROR(Serie_Historica!H240/Serie_Historica!H238,"")</f>
        <v>0.15515006998082007</v>
      </c>
      <c r="F75" s="31">
        <f>IFERROR(Serie_Historica!I240/Serie_Historica!I238,"")</f>
        <v>0.16209773539928488</v>
      </c>
      <c r="G75" s="31">
        <f>IFERROR(Serie_Historica!J240/Serie_Historica!J238,"")</f>
        <v>0.15956930409072856</v>
      </c>
      <c r="H75" s="31">
        <f>IFERROR(Serie_Historica!K240/Serie_Historica!K238,"")</f>
        <v>0.16640972558692685</v>
      </c>
      <c r="I75" s="31">
        <f>IFERROR(Serie_Historica!L240/Serie_Historica!L238,"")</f>
        <v>0.18739462639451879</v>
      </c>
      <c r="J75" s="31">
        <f>IFERROR(Serie_Historica!M240/Serie_Historica!M238,"")</f>
        <v>0.18036203405978327</v>
      </c>
      <c r="K75" s="31">
        <f>IFERROR(Serie_Historica!N240/Serie_Historica!N238,"")</f>
        <v>0.19168980820637929</v>
      </c>
      <c r="L75" s="31">
        <f>IFERROR(Serie_Historica!O240/Serie_Historica!O238,"")</f>
        <v>0.18491335372069317</v>
      </c>
      <c r="M75" s="31">
        <f>IFERROR(Serie_Historica!P240/Serie_Historica!P238,"")</f>
        <v>0.17738447797677809</v>
      </c>
      <c r="N75" s="31">
        <f>IFERROR(Serie_Historica!Q240/Serie_Historica!Q238,"")</f>
        <v>0.18540788119690885</v>
      </c>
      <c r="O75" s="31">
        <f>IFERROR(Serie_Historica!R240/Serie_Historica!R238,"")</f>
        <v>0.19489772898180177</v>
      </c>
      <c r="P75" s="31">
        <f>IFERROR(Serie_Historica!S240/Serie_Historica!S238,"")</f>
        <v>0.19022364107581141</v>
      </c>
      <c r="Q75" s="31">
        <f>IFERROR(Serie_Historica!T240/Serie_Historica!T238,"")</f>
        <v>0.19782809611829943</v>
      </c>
      <c r="R75" s="31">
        <f>IFERROR(Serie_Historica!U240/Serie_Historica!U238,"")</f>
        <v>0.1958771828379785</v>
      </c>
      <c r="S75" s="31">
        <f>IFERROR(Serie_Historica!V240/Serie_Historica!V238,"")</f>
        <v>0.19884276995429206</v>
      </c>
      <c r="T75" s="31">
        <f>IFERROR(Serie_Historica!W240/Serie_Historica!W238,"")</f>
        <v>0.23595572910428095</v>
      </c>
      <c r="U75" s="31">
        <f>IFERROR(Serie_Historica!X240/Serie_Historica!X238,"")</f>
        <v>0.22756242593759007</v>
      </c>
      <c r="V75" s="31">
        <f>IFERROR(Serie_Historica!Y240/Serie_Historica!Y238,"")</f>
        <v>0.22056497648549853</v>
      </c>
      <c r="W75" s="31">
        <f>IFERROR(Serie_Historica!Z240/Serie_Historica!Z238,"")</f>
        <v>0.22161978990172823</v>
      </c>
      <c r="X75" s="19">
        <f>IFERROR((W75-D75)*100,"")</f>
        <v>6.5117284597706213</v>
      </c>
    </row>
    <row r="76" spans="1:24">
      <c r="A76" s="28" t="s">
        <v>281</v>
      </c>
      <c r="B76" s="28" t="s">
        <v>282</v>
      </c>
      <c r="C76" s="28" t="s">
        <v>506</v>
      </c>
      <c r="D76" s="31">
        <f>IFERROR(Serie_Historica!G241/Serie_Historica!G238,"")</f>
        <v>0.47032004694623752</v>
      </c>
      <c r="E76" s="31">
        <f>IFERROR(Serie_Historica!H241/Serie_Historica!H238,"")</f>
        <v>0.5675185319579078</v>
      </c>
      <c r="F76" s="31">
        <f>IFERROR(Serie_Historica!I241/Serie_Historica!I238,"")</f>
        <v>0.53975190923939431</v>
      </c>
      <c r="G76" s="31">
        <f>IFERROR(Serie_Historica!J241/Serie_Historica!J238,"")</f>
        <v>0.60606328052601388</v>
      </c>
      <c r="H76" s="31">
        <f>IFERROR(Serie_Historica!K241/Serie_Historica!K238,"")</f>
        <v>0.67643042769678019</v>
      </c>
      <c r="I76" s="31">
        <f>IFERROR(Serie_Historica!L241/Serie_Historica!L238,"")</f>
        <v>0.71618179861534603</v>
      </c>
      <c r="J76" s="31">
        <f>IFERROR(Serie_Historica!M241/Serie_Historica!M238,"")</f>
        <v>0.70263189234250323</v>
      </c>
      <c r="K76" s="31">
        <f>IFERROR(Serie_Historica!N241/Serie_Historica!N238,"")</f>
        <v>0.70535413044042461</v>
      </c>
      <c r="L76" s="31">
        <f>IFERROR(Serie_Historica!O241/Serie_Historica!O238,"")</f>
        <v>0.7332568807339449</v>
      </c>
      <c r="M76" s="31">
        <f>IFERROR(Serie_Historica!P241/Serie_Historica!P238,"")</f>
        <v>0.74477036619188641</v>
      </c>
      <c r="N76" s="31">
        <f>IFERROR(Serie_Historica!Q241/Serie_Historica!Q238,"")</f>
        <v>0.71168862613748718</v>
      </c>
      <c r="O76" s="31">
        <f>IFERROR(Serie_Historica!R241/Serie_Historica!R238,"")</f>
        <v>0.74304406677695889</v>
      </c>
      <c r="P76" s="31">
        <f>IFERROR(Serie_Historica!S241/Serie_Historica!S238,"")</f>
        <v>0.74510409693973878</v>
      </c>
      <c r="Q76" s="31">
        <f>IFERROR(Serie_Historica!T241/Serie_Historica!T238,"")</f>
        <v>0.73182378311768326</v>
      </c>
      <c r="R76" s="31">
        <f>IFERROR(Serie_Historica!U241/Serie_Historica!U238,"")</f>
        <v>0.72942928183184919</v>
      </c>
      <c r="S76" s="31">
        <f>IFERROR(Serie_Historica!V241/Serie_Historica!V238,"")</f>
        <v>0.73485428941319453</v>
      </c>
      <c r="T76" s="31">
        <f>IFERROR(Serie_Historica!W241/Serie_Historica!W238,"")</f>
        <v>0.70671729391754301</v>
      </c>
      <c r="U76" s="31">
        <f>IFERROR(Serie_Historica!X241/Serie_Historica!X238,"")</f>
        <v>0.70925900225256477</v>
      </c>
      <c r="V76" s="31">
        <f>IFERROR(Serie_Historica!Y241/Serie_Historica!Y238,"")</f>
        <v>0.70953044316194103</v>
      </c>
      <c r="W76" s="31">
        <f>IFERROR(Serie_Historica!Z241/Serie_Historica!Z238,"")</f>
        <v>0.71041293508253855</v>
      </c>
      <c r="X76" s="19">
        <f>IFERROR((W76-D76)*100,"")</f>
        <v>24.009288813630103</v>
      </c>
    </row>
    <row r="77" spans="1:24">
      <c r="A77" s="28" t="s">
        <v>147</v>
      </c>
      <c r="B77" s="28" t="s">
        <v>148</v>
      </c>
      <c r="C77" s="28" t="s">
        <v>504</v>
      </c>
      <c r="D77" s="31">
        <f>IFERROR(Serie_Historica!G249/Serie_Historica!G248,"")</f>
        <v>7.1457976441841625E-2</v>
      </c>
      <c r="E77" s="31">
        <f>IFERROR(Serie_Historica!H249/Serie_Historica!H248,"")</f>
        <v>6.0412454508693897E-2</v>
      </c>
      <c r="F77" s="31">
        <f>IFERROR(Serie_Historica!I249/Serie_Historica!I248,"")</f>
        <v>6.356546345503486E-2</v>
      </c>
      <c r="G77" s="31">
        <f>IFERROR(Serie_Historica!J249/Serie_Historica!J248,"")</f>
        <v>5.5117496862422642E-2</v>
      </c>
      <c r="H77" s="31">
        <f>IFERROR(Serie_Historica!K249/Serie_Historica!K248,"")</f>
        <v>5.1945335378608286E-2</v>
      </c>
      <c r="I77" s="31">
        <f>IFERROR(Serie_Historica!L249/Serie_Historica!L248,"")</f>
        <v>3.9329096200508749E-2</v>
      </c>
      <c r="J77" s="31">
        <f>IFERROR(Serie_Historica!M249/Serie_Historica!M248,"")</f>
        <v>4.1804759491038589E-2</v>
      </c>
      <c r="K77" s="31">
        <f>IFERROR(Serie_Historica!N249/Serie_Historica!N248,"")</f>
        <v>4.4427444980581383E-2</v>
      </c>
      <c r="L77" s="31">
        <f>IFERROR(Serie_Historica!O249/Serie_Historica!O248,"")</f>
        <v>3.3200195994001397E-2</v>
      </c>
      <c r="M77" s="31">
        <f>IFERROR(Serie_Historica!P249/Serie_Historica!P248,"")</f>
        <v>3.9766237216097754E-2</v>
      </c>
      <c r="N77" s="31">
        <f>IFERROR(Serie_Historica!Q249/Serie_Historica!Q248,"")</f>
        <v>3.9285836492143213E-2</v>
      </c>
      <c r="O77" s="31">
        <f>IFERROR(Serie_Historica!R249/Serie_Historica!R248,"")</f>
        <v>3.1924603240937308E-2</v>
      </c>
      <c r="P77" s="31">
        <f>IFERROR(Serie_Historica!S249/Serie_Historica!S248,"")</f>
        <v>3.5221485205125407E-2</v>
      </c>
      <c r="Q77" s="31">
        <f>IFERROR(Serie_Historica!T249/Serie_Historica!T248,"")</f>
        <v>3.1560320241899462E-2</v>
      </c>
      <c r="R77" s="31">
        <f>IFERROR(Serie_Historica!U249/Serie_Historica!U248,"")</f>
        <v>3.2263200895851989E-2</v>
      </c>
      <c r="S77" s="31">
        <f>IFERROR(Serie_Historica!V249/Serie_Historica!V248,"")</f>
        <v>3.4227677770070672E-2</v>
      </c>
      <c r="T77" s="31">
        <f>IFERROR(Serie_Historica!W249/Serie_Historica!W248,"")</f>
        <v>3.6557909536044993E-2</v>
      </c>
      <c r="U77" s="31">
        <f>IFERROR(Serie_Historica!X249/Serie_Historica!X248,"")</f>
        <v>3.095249990285711E-2</v>
      </c>
      <c r="V77" s="31">
        <f>IFERROR(Serie_Historica!Y249/Serie_Historica!Y248,"")</f>
        <v>2.8247432213275671E-2</v>
      </c>
      <c r="W77" s="31">
        <f>IFERROR(Serie_Historica!Z249/Serie_Historica!Z248,"")</f>
        <v>2.9542908801463728E-2</v>
      </c>
      <c r="X77" s="19">
        <f>IFERROR((W77-D77)*100,"")</f>
        <v>-4.1915067640377899</v>
      </c>
    </row>
    <row r="78" spans="1:24">
      <c r="A78" s="28" t="s">
        <v>147</v>
      </c>
      <c r="B78" s="28" t="s">
        <v>148</v>
      </c>
      <c r="C78" s="28" t="s">
        <v>505</v>
      </c>
      <c r="D78" s="31">
        <f>IFERROR(Serie_Historica!G250/Serie_Historica!G248,"")</f>
        <v>0.22965884493313679</v>
      </c>
      <c r="E78" s="31">
        <f>IFERROR(Serie_Historica!H250/Serie_Historica!H248,"")</f>
        <v>0.21194904973716133</v>
      </c>
      <c r="F78" s="31">
        <f>IFERROR(Serie_Historica!I250/Serie_Historica!I248,"")</f>
        <v>0.22021632174161679</v>
      </c>
      <c r="G78" s="31">
        <f>IFERROR(Serie_Historica!J250/Serie_Historica!J248,"")</f>
        <v>0.21973427965551565</v>
      </c>
      <c r="H78" s="31">
        <f>IFERROR(Serie_Historica!K250/Serie_Historica!K248,"")</f>
        <v>0.22332233223322331</v>
      </c>
      <c r="I78" s="31">
        <f>IFERROR(Serie_Historica!L250/Serie_Historica!L248,"")</f>
        <v>0.24320262731557843</v>
      </c>
      <c r="J78" s="31">
        <f>IFERROR(Serie_Historica!M250/Serie_Historica!M248,"")</f>
        <v>0.22944853849053171</v>
      </c>
      <c r="K78" s="31">
        <f>IFERROR(Serie_Historica!N250/Serie_Historica!N248,"")</f>
        <v>0.22688221511335552</v>
      </c>
      <c r="L78" s="31">
        <f>IFERROR(Serie_Historica!O250/Serie_Historica!O248,"")</f>
        <v>0.23450979227605459</v>
      </c>
      <c r="M78" s="31">
        <f>IFERROR(Serie_Historica!P250/Serie_Historica!P248,"")</f>
        <v>0.2376632576260681</v>
      </c>
      <c r="N78" s="31">
        <f>IFERROR(Serie_Historica!Q250/Serie_Historica!Q248,"")</f>
        <v>0.24202630208234324</v>
      </c>
      <c r="O78" s="31">
        <f>IFERROR(Serie_Historica!R250/Serie_Historica!R248,"")</f>
        <v>0.22294399069241852</v>
      </c>
      <c r="P78" s="31">
        <f>IFERROR(Serie_Historica!S250/Serie_Historica!S248,"")</f>
        <v>0.23205132018600594</v>
      </c>
      <c r="Q78" s="31">
        <f>IFERROR(Serie_Historica!T250/Serie_Historica!T248,"")</f>
        <v>0.23164851275355347</v>
      </c>
      <c r="R78" s="31">
        <f>IFERROR(Serie_Historica!U250/Serie_Historica!U248,"")</f>
        <v>0.21843700975465871</v>
      </c>
      <c r="S78" s="31">
        <f>IFERROR(Serie_Historica!V250/Serie_Historica!V248,"")</f>
        <v>0.21886655305456262</v>
      </c>
      <c r="T78" s="31">
        <f>IFERROR(Serie_Historica!W250/Serie_Historica!W248,"")</f>
        <v>0.23691860183254956</v>
      </c>
      <c r="U78" s="31">
        <f>IFERROR(Serie_Historica!X250/Serie_Historica!X248,"")</f>
        <v>0.25194794621429534</v>
      </c>
      <c r="V78" s="31">
        <f>IFERROR(Serie_Historica!Y250/Serie_Historica!Y248,"")</f>
        <v>0.24403398583093863</v>
      </c>
      <c r="W78" s="31">
        <f>IFERROR(Serie_Historica!Z250/Serie_Historica!Z248,"")</f>
        <v>0.26424560683169634</v>
      </c>
      <c r="X78" s="19">
        <f>IFERROR((W78-D78)*100,"")</f>
        <v>3.4586761898559555</v>
      </c>
    </row>
    <row r="79" spans="1:24">
      <c r="A79" s="28" t="s">
        <v>147</v>
      </c>
      <c r="B79" s="28" t="s">
        <v>148</v>
      </c>
      <c r="C79" s="28" t="s">
        <v>506</v>
      </c>
      <c r="D79" s="31">
        <f>IFERROR(Serie_Historica!G251/Serie_Historica!G248,"")</f>
        <v>0.40865569764816806</v>
      </c>
      <c r="E79" s="31">
        <f>IFERROR(Serie_Historica!H251/Serie_Historica!H248,"")</f>
        <v>0.34819045693489686</v>
      </c>
      <c r="F79" s="31">
        <f>IFERROR(Serie_Historica!I251/Serie_Historica!I248,"")</f>
        <v>0.36400027607150254</v>
      </c>
      <c r="G79" s="31">
        <f>IFERROR(Serie_Historica!J251/Serie_Historica!J248,"")</f>
        <v>0.38662742891764401</v>
      </c>
      <c r="H79" s="31">
        <f>IFERROR(Serie_Historica!K251/Serie_Historica!K248,"")</f>
        <v>0.38539487751592061</v>
      </c>
      <c r="I79" s="31">
        <f>IFERROR(Serie_Historica!L251/Serie_Historica!L248,"")</f>
        <v>0.42612507605580113</v>
      </c>
      <c r="J79" s="31">
        <f>IFERROR(Serie_Historica!M251/Serie_Historica!M248,"")</f>
        <v>0.44242991383007757</v>
      </c>
      <c r="K79" s="31">
        <f>IFERROR(Serie_Historica!N251/Serie_Historica!N248,"")</f>
        <v>0.41133769137770548</v>
      </c>
      <c r="L79" s="31">
        <f>IFERROR(Serie_Historica!O251/Serie_Historica!O248,"")</f>
        <v>0.42363410493598025</v>
      </c>
      <c r="M79" s="31">
        <f>IFERROR(Serie_Historica!P251/Serie_Historica!P248,"")</f>
        <v>0.43585248151591621</v>
      </c>
      <c r="N79" s="31">
        <f>IFERROR(Serie_Historica!Q251/Serie_Historica!Q248,"")</f>
        <v>0.39345527543428094</v>
      </c>
      <c r="O79" s="31">
        <f>IFERROR(Serie_Historica!R251/Serie_Historica!R248,"")</f>
        <v>0.42382928076867787</v>
      </c>
      <c r="P79" s="31">
        <f>IFERROR(Serie_Historica!S251/Serie_Historica!S248,"")</f>
        <v>0.37774935469691412</v>
      </c>
      <c r="Q79" s="31">
        <f>IFERROR(Serie_Historica!T251/Serie_Historica!T248,"")</f>
        <v>0.40639281173762154</v>
      </c>
      <c r="R79" s="31">
        <f>IFERROR(Serie_Historica!U251/Serie_Historica!U248,"")</f>
        <v>0.39363715384274039</v>
      </c>
      <c r="S79" s="31">
        <f>IFERROR(Serie_Historica!V251/Serie_Historica!V248,"")</f>
        <v>0.37505734160973137</v>
      </c>
      <c r="T79" s="31">
        <f>IFERROR(Serie_Historica!W251/Serie_Historica!W248,"")</f>
        <v>0.3304445629514714</v>
      </c>
      <c r="U79" s="31">
        <f>IFERROR(Serie_Historica!X251/Serie_Historica!X248,"")</f>
        <v>0.34526248008570776</v>
      </c>
      <c r="V79" s="31">
        <f>IFERROR(Serie_Historica!Y251/Serie_Historica!Y248,"")</f>
        <v>0.346661877258372</v>
      </c>
      <c r="W79" s="31">
        <f>IFERROR(Serie_Historica!Z251/Serie_Historica!Z248,"")</f>
        <v>0.35568545671302049</v>
      </c>
      <c r="X79" s="19">
        <f>IFERROR((W79-D79)*100,"")</f>
        <v>-5.2970240935147572</v>
      </c>
    </row>
    <row r="80" spans="1:24">
      <c r="A80" s="28" t="s">
        <v>167</v>
      </c>
      <c r="B80" s="28" t="s">
        <v>168</v>
      </c>
      <c r="C80" s="28" t="s">
        <v>504</v>
      </c>
      <c r="D80" s="31">
        <f>IFERROR(Serie_Historica!G259/Serie_Historica!G258,"")</f>
        <v>0.35820998184119296</v>
      </c>
      <c r="E80" s="31">
        <f>IFERROR(Serie_Historica!H259/Serie_Historica!H258,"")</f>
        <v>0.30715411282697763</v>
      </c>
      <c r="F80" s="31">
        <f>IFERROR(Serie_Historica!I259/Serie_Historica!I258,"")</f>
        <v>0.29381493824740246</v>
      </c>
      <c r="G80" s="31">
        <f>IFERROR(Serie_Historica!J259/Serie_Historica!J258,"")</f>
        <v>0.34262462614500416</v>
      </c>
      <c r="H80" s="31">
        <f>IFERROR(Serie_Historica!K259/Serie_Historica!K258,"")</f>
        <v>0.33804915019470166</v>
      </c>
      <c r="I80" s="31">
        <f>IFERROR(Serie_Historica!L259/Serie_Historica!L258,"")</f>
        <v>0.36058416996103637</v>
      </c>
      <c r="J80" s="31">
        <f>IFERROR(Serie_Historica!M259/Serie_Historica!M258,"")</f>
        <v>0.47881432146729774</v>
      </c>
      <c r="K80" s="31">
        <f>IFERROR(Serie_Historica!N259/Serie_Historica!N258,"")</f>
        <v>0.33165292926729384</v>
      </c>
      <c r="L80" s="31">
        <f>IFERROR(Serie_Historica!O259/Serie_Historica!O258,"")</f>
        <v>0.32376644422740097</v>
      </c>
      <c r="M80" s="31">
        <f>IFERROR(Serie_Historica!P259/Serie_Historica!P258,"")</f>
        <v>0.34121527068630342</v>
      </c>
      <c r="N80" s="31">
        <f>IFERROR(Serie_Historica!Q259/Serie_Historica!Q258,"")</f>
        <v>0.32483740099169295</v>
      </c>
      <c r="O80" s="31">
        <f>IFERROR(Serie_Historica!R259/Serie_Historica!R258,"")</f>
        <v>0.32833212353071289</v>
      </c>
      <c r="P80" s="31">
        <f>IFERROR(Serie_Historica!S259/Serie_Historica!S258,"")</f>
        <v>0.31255785028346639</v>
      </c>
      <c r="Q80" s="31">
        <f>IFERROR(Serie_Historica!T259/Serie_Historica!T258,"")</f>
        <v>0.20626921210160168</v>
      </c>
      <c r="R80" s="31">
        <f>IFERROR(Serie_Historica!U259/Serie_Historica!U258,"")</f>
        <v>8.0223568694960667E-2</v>
      </c>
      <c r="S80" s="31">
        <f>IFERROR(Serie_Historica!V259/Serie_Historica!V258,"")</f>
        <v>0.10924592593668946</v>
      </c>
      <c r="T80" s="31">
        <f>IFERROR(Serie_Historica!W259/Serie_Historica!W258,"")</f>
        <v>0.23104434907010013</v>
      </c>
      <c r="U80" s="31">
        <f>IFERROR(Serie_Historica!X259/Serie_Historica!X258,"")</f>
        <v>0.19258719452259093</v>
      </c>
      <c r="V80" s="31">
        <f>IFERROR(Serie_Historica!Y259/Serie_Historica!Y258,"")</f>
        <v>0.19547404995868303</v>
      </c>
      <c r="W80" s="31">
        <f>IFERROR(Serie_Historica!Z259/Serie_Historica!Z258,"")</f>
        <v>0.2544937344502522</v>
      </c>
      <c r="X80" s="19">
        <f>IFERROR((W80-D80)*100,"")</f>
        <v>-10.371624739094077</v>
      </c>
    </row>
    <row r="81" spans="1:24">
      <c r="A81" s="28" t="s">
        <v>167</v>
      </c>
      <c r="B81" s="28" t="s">
        <v>168</v>
      </c>
      <c r="C81" s="28" t="s">
        <v>505</v>
      </c>
      <c r="D81" s="31">
        <f>IFERROR(Serie_Historica!G260/Serie_Historica!G258,"")</f>
        <v>0.24524019149287404</v>
      </c>
      <c r="E81" s="31">
        <f>IFERROR(Serie_Historica!H260/Serie_Historica!H258,"")</f>
        <v>0.26310746927198236</v>
      </c>
      <c r="F81" s="31">
        <f>IFERROR(Serie_Historica!I260/Serie_Historica!I258,"")</f>
        <v>0.27650215643991372</v>
      </c>
      <c r="G81" s="31">
        <f>IFERROR(Serie_Historica!J260/Serie_Historica!J258,"")</f>
        <v>0.27870128165461894</v>
      </c>
      <c r="H81" s="31">
        <f>IFERROR(Serie_Historica!K260/Serie_Historica!K258,"")</f>
        <v>0.29049315712904322</v>
      </c>
      <c r="I81" s="31">
        <f>IFERROR(Serie_Historica!L260/Serie_Historica!L258,"")</f>
        <v>0.27779357811211286</v>
      </c>
      <c r="J81" s="31">
        <f>IFERROR(Serie_Historica!M260/Serie_Historica!M258,"")</f>
        <v>0.23417562143800524</v>
      </c>
      <c r="K81" s="31">
        <f>IFERROR(Serie_Historica!N260/Serie_Historica!N258,"")</f>
        <v>0.29950799153260926</v>
      </c>
      <c r="L81" s="31">
        <f>IFERROR(Serie_Historica!O260/Serie_Historica!O258,"")</f>
        <v>0.31001631463788598</v>
      </c>
      <c r="M81" s="31">
        <f>IFERROR(Serie_Historica!P260/Serie_Historica!P258,"")</f>
        <v>0.31961936747830955</v>
      </c>
      <c r="N81" s="31">
        <f>IFERROR(Serie_Historica!Q260/Serie_Historica!Q258,"")</f>
        <v>0.42542984094275227</v>
      </c>
      <c r="O81" s="31">
        <f>IFERROR(Serie_Historica!R260/Serie_Historica!R258,"")</f>
        <v>0.39451196146908463</v>
      </c>
      <c r="P81" s="31">
        <f>IFERROR(Serie_Historica!S260/Serie_Historica!S258,"")</f>
        <v>0.42608903158625477</v>
      </c>
      <c r="Q81" s="31">
        <f>IFERROR(Serie_Historica!T260/Serie_Historica!T258,"")</f>
        <v>0.45393949199158712</v>
      </c>
      <c r="R81" s="31">
        <f>IFERROR(Serie_Historica!U260/Serie_Historica!U258,"")</f>
        <v>0.43661411808294814</v>
      </c>
      <c r="S81" s="31">
        <f>IFERROR(Serie_Historica!V260/Serie_Historica!V258,"")</f>
        <v>0.48892392417846686</v>
      </c>
      <c r="T81" s="31">
        <f>IFERROR(Serie_Historica!W260/Serie_Historica!W258,"")</f>
        <v>0.34592202058052474</v>
      </c>
      <c r="U81" s="31">
        <f>IFERROR(Serie_Historica!X260/Serie_Historica!X258,"")</f>
        <v>0.35367250788055454</v>
      </c>
      <c r="V81" s="31">
        <f>IFERROR(Serie_Historica!Y260/Serie_Historica!Y258,"")</f>
        <v>0.34343524851574192</v>
      </c>
      <c r="W81" s="31">
        <f>IFERROR(Serie_Historica!Z260/Serie_Historica!Z258,"")</f>
        <v>0.32534922736299104</v>
      </c>
      <c r="X81" s="19">
        <f>IFERROR((W81-D81)*100,"")</f>
        <v>8.0109035870117005</v>
      </c>
    </row>
    <row r="82" spans="1:24">
      <c r="A82" s="28" t="s">
        <v>167</v>
      </c>
      <c r="B82" s="28" t="s">
        <v>168</v>
      </c>
      <c r="C82" s="28" t="s">
        <v>506</v>
      </c>
      <c r="D82" s="31">
        <f>IFERROR(Serie_Historica!G261/Serie_Historica!G258,"")</f>
        <v>0.29649755131238653</v>
      </c>
      <c r="E82" s="31">
        <f>IFERROR(Serie_Historica!H261/Serie_Historica!H258,"")</f>
        <v>0.29501418216199182</v>
      </c>
      <c r="F82" s="31">
        <f>IFERROR(Serie_Historica!I261/Serie_Historica!I258,"")</f>
        <v>0.3050137227994511</v>
      </c>
      <c r="G82" s="31">
        <f>IFERROR(Serie_Historica!J261/Serie_Historica!J258,"")</f>
        <v>0.27138825603090222</v>
      </c>
      <c r="H82" s="31">
        <f>IFERROR(Serie_Historica!K261/Serie_Historica!K258,"")</f>
        <v>0.28500492198865762</v>
      </c>
      <c r="I82" s="31">
        <f>IFERROR(Serie_Historica!L261/Serie_Historica!L258,"")</f>
        <v>0.30216006370694803</v>
      </c>
      <c r="J82" s="31">
        <f>IFERROR(Serie_Historica!M261/Serie_Historica!M258,"")</f>
        <v>0.23732071185935485</v>
      </c>
      <c r="K82" s="31">
        <f>IFERROR(Serie_Historica!N261/Serie_Historica!N258,"")</f>
        <v>0.31118814565296388</v>
      </c>
      <c r="L82" s="31">
        <f>IFERROR(Serie_Historica!O261/Serie_Historica!O258,"")</f>
        <v>0.30620229059698478</v>
      </c>
      <c r="M82" s="31">
        <f>IFERROR(Serie_Historica!P261/Serie_Historica!P258,"")</f>
        <v>0.2348696303356253</v>
      </c>
      <c r="N82" s="31">
        <f>IFERROR(Serie_Historica!Q261/Serie_Historica!Q258,"")</f>
        <v>0.21209994204391783</v>
      </c>
      <c r="O82" s="31">
        <f>IFERROR(Serie_Historica!R261/Serie_Historica!R258,"")</f>
        <v>0.2412356809734913</v>
      </c>
      <c r="P82" s="31">
        <f>IFERROR(Serie_Historica!S261/Serie_Historica!S258,"")</f>
        <v>0.22523646303366887</v>
      </c>
      <c r="Q82" s="31">
        <f>IFERROR(Serie_Historica!T261/Serie_Historica!T258,"")</f>
        <v>0.2956479534055978</v>
      </c>
      <c r="R82" s="31">
        <f>IFERROR(Serie_Historica!U261/Serie_Historica!U258,"")</f>
        <v>0.42718880891383026</v>
      </c>
      <c r="S82" s="31">
        <f>IFERROR(Serie_Historica!V261/Serie_Historica!V258,"")</f>
        <v>0.35610909698559273</v>
      </c>
      <c r="T82" s="31">
        <f>IFERROR(Serie_Historica!W261/Serie_Historica!W258,"")</f>
        <v>0.36824542675177735</v>
      </c>
      <c r="U82" s="31">
        <f>IFERROR(Serie_Historica!X261/Serie_Historica!X258,"")</f>
        <v>0.38051723553536926</v>
      </c>
      <c r="V82" s="31">
        <f>IFERROR(Serie_Historica!Y261/Serie_Historica!Y258,"")</f>
        <v>0.3869192809188628</v>
      </c>
      <c r="W82" s="31">
        <f>IFERROR(Serie_Historica!Z261/Serie_Historica!Z258,"")</f>
        <v>0.35702506219899111</v>
      </c>
      <c r="X82" s="19">
        <f>IFERROR((W82-D82)*100,"")</f>
        <v>6.0527510886604574</v>
      </c>
    </row>
    <row r="83" spans="1:24">
      <c r="A83" s="28" t="s">
        <v>261</v>
      </c>
      <c r="B83" s="28" t="s">
        <v>262</v>
      </c>
      <c r="C83" s="28" t="s">
        <v>504</v>
      </c>
      <c r="D83" s="31">
        <f>IFERROR(Serie_Historica!G269/Serie_Historica!G268,"")</f>
        <v>0.20491691637156087</v>
      </c>
      <c r="E83" s="31">
        <f>IFERROR(Serie_Historica!H269/Serie_Historica!H268,"")</f>
        <v>0.16611335788012313</v>
      </c>
      <c r="F83" s="31">
        <f>IFERROR(Serie_Historica!I269/Serie_Historica!I268,"")</f>
        <v>0.16837671454800734</v>
      </c>
      <c r="G83" s="31">
        <f>IFERROR(Serie_Historica!J269/Serie_Historica!J268,"")</f>
        <v>0.18432517612161661</v>
      </c>
      <c r="H83" s="31">
        <f>IFERROR(Serie_Historica!K269/Serie_Historica!K268,"")</f>
        <v>0.19234008275054007</v>
      </c>
      <c r="I83" s="31">
        <f>IFERROR(Serie_Historica!L269/Serie_Historica!L268,"")</f>
        <v>0.2227043858486816</v>
      </c>
      <c r="J83" s="31">
        <f>IFERROR(Serie_Historica!M269/Serie_Historica!M268,"")</f>
        <v>0.22998592350774208</v>
      </c>
      <c r="K83" s="31">
        <f>IFERROR(Serie_Historica!N269/Serie_Historica!N268,"")</f>
        <v>0.16558916123229142</v>
      </c>
      <c r="L83" s="31">
        <f>IFERROR(Serie_Historica!O269/Serie_Historica!O268,"")</f>
        <v>0.2125534287307192</v>
      </c>
      <c r="M83" s="31">
        <f>IFERROR(Serie_Historica!P269/Serie_Historica!P268,"")</f>
        <v>0.1782398432876936</v>
      </c>
      <c r="N83" s="31">
        <f>IFERROR(Serie_Historica!Q269/Serie_Historica!Q268,"")</f>
        <v>0.20107003709710494</v>
      </c>
      <c r="O83" s="31">
        <f>IFERROR(Serie_Historica!R269/Serie_Historica!R268,"")</f>
        <v>0.17421393109673536</v>
      </c>
      <c r="P83" s="31">
        <f>IFERROR(Serie_Historica!S269/Serie_Historica!S268,"")</f>
        <v>0.20285059425327484</v>
      </c>
      <c r="Q83" s="31">
        <f>IFERROR(Serie_Historica!T269/Serie_Historica!T268,"")</f>
        <v>0.19066937119675456</v>
      </c>
      <c r="R83" s="31">
        <f>IFERROR(Serie_Historica!U269/Serie_Historica!U268,"")</f>
        <v>0.15874471375586791</v>
      </c>
      <c r="S83" s="31">
        <f>IFERROR(Serie_Historica!V269/Serie_Historica!V268,"")</f>
        <v>0.13743211690321905</v>
      </c>
      <c r="T83" s="31">
        <f>IFERROR(Serie_Historica!W269/Serie_Historica!W268,"")</f>
        <v>0.10616634908974035</v>
      </c>
      <c r="U83" s="31">
        <f>IFERROR(Serie_Historica!X269/Serie_Historica!X268,"")</f>
        <v>0.10912912042405168</v>
      </c>
      <c r="V83" s="31">
        <f>IFERROR(Serie_Historica!Y269/Serie_Historica!Y268,"")</f>
        <v>0.13099531282242771</v>
      </c>
      <c r="W83" s="31">
        <f>IFERROR(Serie_Historica!Z269/Serie_Historica!Z268,"")</f>
        <v>0.11707972278446772</v>
      </c>
      <c r="X83" s="19">
        <f>IFERROR((W83-D83)*100,"")</f>
        <v>-8.7837193587093143</v>
      </c>
    </row>
    <row r="84" spans="1:24">
      <c r="A84" s="28" t="s">
        <v>261</v>
      </c>
      <c r="B84" s="28" t="s">
        <v>262</v>
      </c>
      <c r="C84" s="28" t="s">
        <v>505</v>
      </c>
      <c r="D84" s="31">
        <f>IFERROR(Serie_Historica!G270/Serie_Historica!G268,"")</f>
        <v>0.22371288477254153</v>
      </c>
      <c r="E84" s="31">
        <f>IFERROR(Serie_Historica!H270/Serie_Historica!H268,"")</f>
        <v>0.23685640127965232</v>
      </c>
      <c r="F84" s="31">
        <f>IFERROR(Serie_Historica!I270/Serie_Historica!I268,"")</f>
        <v>0.25018900529214816</v>
      </c>
      <c r="G84" s="31">
        <f>IFERROR(Serie_Historica!J270/Serie_Historica!J268,"")</f>
        <v>0.23169262143121988</v>
      </c>
      <c r="H84" s="31">
        <f>IFERROR(Serie_Historica!K270/Serie_Historica!K268,"")</f>
        <v>0.23056643843140126</v>
      </c>
      <c r="I84" s="31">
        <f>IFERROR(Serie_Historica!L270/Serie_Historica!L268,"")</f>
        <v>0.23953226447595072</v>
      </c>
      <c r="J84" s="31">
        <f>IFERROR(Serie_Historica!M270/Serie_Historica!M268,"")</f>
        <v>0.216568330887418</v>
      </c>
      <c r="K84" s="31">
        <f>IFERROR(Serie_Historica!N270/Serie_Historica!N268,"")</f>
        <v>0.24471553856532494</v>
      </c>
      <c r="L84" s="31">
        <f>IFERROR(Serie_Historica!O270/Serie_Historica!O268,"")</f>
        <v>0.24700334510314068</v>
      </c>
      <c r="M84" s="31">
        <f>IFERROR(Serie_Historica!P270/Serie_Historica!P268,"")</f>
        <v>0.27981716897586056</v>
      </c>
      <c r="N84" s="31">
        <f>IFERROR(Serie_Historica!Q270/Serie_Historica!Q268,"")</f>
        <v>0.3059858695449546</v>
      </c>
      <c r="O84" s="31">
        <f>IFERROR(Serie_Historica!R270/Serie_Historica!R268,"")</f>
        <v>0.28671246844859</v>
      </c>
      <c r="P84" s="31">
        <f>IFERROR(Serie_Historica!S270/Serie_Historica!S268,"")</f>
        <v>0.25928568175953615</v>
      </c>
      <c r="Q84" s="31">
        <f>IFERROR(Serie_Historica!T270/Serie_Historica!T268,"")</f>
        <v>0.27554032314471566</v>
      </c>
      <c r="R84" s="31">
        <f>IFERROR(Serie_Historica!U270/Serie_Historica!U268,"")</f>
        <v>0.27949690010538275</v>
      </c>
      <c r="S84" s="31">
        <f>IFERROR(Serie_Historica!V270/Serie_Historica!V268,"")</f>
        <v>0.28602723194375212</v>
      </c>
      <c r="T84" s="31">
        <f>IFERROR(Serie_Historica!W270/Serie_Historica!W268,"")</f>
        <v>0.37704033609586995</v>
      </c>
      <c r="U84" s="31">
        <f>IFERROR(Serie_Historica!X270/Serie_Historica!X268,"")</f>
        <v>0.38675045552426701</v>
      </c>
      <c r="V84" s="31">
        <f>IFERROR(Serie_Historica!Y270/Serie_Historica!Y268,"")</f>
        <v>0.37507246946456119</v>
      </c>
      <c r="W84" s="31">
        <f>IFERROR(Serie_Historica!Z270/Serie_Historica!Z268,"")</f>
        <v>0.38897853724967119</v>
      </c>
      <c r="X84" s="19">
        <f>IFERROR((W84-D84)*100,"")</f>
        <v>16.526565247712966</v>
      </c>
    </row>
    <row r="85" spans="1:24">
      <c r="A85" s="28" t="s">
        <v>261</v>
      </c>
      <c r="B85" s="28" t="s">
        <v>262</v>
      </c>
      <c r="C85" s="28" t="s">
        <v>506</v>
      </c>
      <c r="D85" s="31">
        <f>IFERROR(Serie_Historica!G271/Serie_Historica!G268,"")</f>
        <v>0.50715064015254696</v>
      </c>
      <c r="E85" s="31">
        <f>IFERROR(Serie_Historica!H271/Serie_Historica!H268,"")</f>
        <v>0.52918452345023237</v>
      </c>
      <c r="F85" s="31">
        <f>IFERROR(Serie_Historica!I271/Serie_Historica!I268,"")</f>
        <v>0.52700075602116858</v>
      </c>
      <c r="G85" s="31">
        <f>IFERROR(Serie_Historica!J271/Serie_Historica!J268,"")</f>
        <v>0.52257137560252132</v>
      </c>
      <c r="H85" s="31">
        <f>IFERROR(Serie_Historica!K271/Serie_Historica!K268,"")</f>
        <v>0.49097433268646334</v>
      </c>
      <c r="I85" s="31">
        <f>IFERROR(Serie_Historica!L271/Serie_Historica!L268,"")</f>
        <v>0.50106002385053661</v>
      </c>
      <c r="J85" s="31">
        <f>IFERROR(Serie_Historica!M271/Serie_Historica!M268,"")</f>
        <v>0.50944921980292912</v>
      </c>
      <c r="K85" s="31">
        <f>IFERROR(Serie_Historica!N271/Serie_Historica!N268,"")</f>
        <v>0.53620418259500791</v>
      </c>
      <c r="L85" s="31">
        <f>IFERROR(Serie_Historica!O271/Serie_Historica!O268,"")</f>
        <v>0.49958186210741495</v>
      </c>
      <c r="M85" s="31">
        <f>IFERROR(Serie_Historica!P271/Serie_Historica!P268,"")</f>
        <v>0.49605158446752506</v>
      </c>
      <c r="N85" s="31">
        <f>IFERROR(Serie_Historica!Q271/Serie_Historica!Q268,"")</f>
        <v>0.45679771824842014</v>
      </c>
      <c r="O85" s="31">
        <f>IFERROR(Serie_Historica!R271/Serie_Historica!R268,"")</f>
        <v>0.50811560770940944</v>
      </c>
      <c r="P85" s="31">
        <f>IFERROR(Serie_Historica!S271/Serie_Historica!S268,"")</f>
        <v>0.50676219243788045</v>
      </c>
      <c r="Q85" s="31">
        <f>IFERROR(Serie_Historica!T271/Serie_Historica!T268,"")</f>
        <v>0.5006085192697769</v>
      </c>
      <c r="R85" s="31">
        <f>IFERROR(Serie_Historica!U271/Serie_Historica!U268,"")</f>
        <v>0.53004776438063694</v>
      </c>
      <c r="S85" s="31">
        <f>IFERROR(Serie_Historica!V271/Serie_Historica!V268,"")</f>
        <v>0.54369441456567935</v>
      </c>
      <c r="T85" s="31">
        <f>IFERROR(Serie_Historica!W271/Serie_Historica!W268,"")</f>
        <v>0.48524989095250121</v>
      </c>
      <c r="U85" s="31">
        <f>IFERROR(Serie_Historica!X271/Serie_Historica!X268,"")</f>
        <v>0.47525675004141132</v>
      </c>
      <c r="V85" s="31">
        <f>IFERROR(Serie_Historica!Y271/Serie_Historica!Y268,"")</f>
        <v>0.46447276622087708</v>
      </c>
      <c r="W85" s="31">
        <f>IFERROR(Serie_Historica!Z271/Serie_Historica!Z268,"")</f>
        <v>0.45746159370948336</v>
      </c>
      <c r="X85" s="19">
        <f>IFERROR((W85-D85)*100,"")</f>
        <v>-4.9689046443063596</v>
      </c>
    </row>
    <row r="86" spans="1:24">
      <c r="A86" s="28" t="s">
        <v>193</v>
      </c>
      <c r="B86" s="28" t="s">
        <v>194</v>
      </c>
      <c r="C86" s="28" t="s">
        <v>504</v>
      </c>
      <c r="D86" s="31">
        <f>IFERROR(Serie_Historica!G279/Serie_Historica!G278,"")</f>
        <v>0.59702798796608625</v>
      </c>
      <c r="E86" s="31">
        <f>IFERROR(Serie_Historica!H279/Serie_Historica!H278,"")</f>
        <v>0.50923085939789403</v>
      </c>
      <c r="F86" s="31">
        <f>IFERROR(Serie_Historica!I279/Serie_Historica!I278,"")</f>
        <v>0.4416716181422064</v>
      </c>
      <c r="G86" s="31">
        <f>IFERROR(Serie_Historica!J279/Serie_Historica!J278,"")</f>
        <v>0.49807782466010314</v>
      </c>
      <c r="H86" s="31">
        <f>IFERROR(Serie_Historica!K279/Serie_Historica!K278,"")</f>
        <v>0.50648621678932271</v>
      </c>
      <c r="I86" s="31">
        <f>IFERROR(Serie_Historica!L279/Serie_Historica!L278,"")</f>
        <v>0.45400661996766994</v>
      </c>
      <c r="J86" s="31">
        <f>IFERROR(Serie_Historica!M279/Serie_Historica!M278,"")</f>
        <v>0.46848189962457476</v>
      </c>
      <c r="K86" s="31">
        <f>IFERROR(Serie_Historica!N279/Serie_Historica!N278,"")</f>
        <v>0.24358327325162221</v>
      </c>
      <c r="L86" s="31">
        <f>IFERROR(Serie_Historica!O279/Serie_Historica!O278,"")</f>
        <v>0.37425835858521556</v>
      </c>
      <c r="M86" s="31">
        <f>IFERROR(Serie_Historica!P279/Serie_Historica!P278,"")</f>
        <v>0.59709654465281237</v>
      </c>
      <c r="N86" s="31">
        <f>IFERROR(Serie_Historica!Q279/Serie_Historica!Q278,"")</f>
        <v>0.63431514348666518</v>
      </c>
      <c r="O86" s="31">
        <f>IFERROR(Serie_Historica!R279/Serie_Historica!R278,"")</f>
        <v>0.5626952229385267</v>
      </c>
      <c r="P86" s="31">
        <f>IFERROR(Serie_Historica!S279/Serie_Historica!S278,"")</f>
        <v>0.55446411688014408</v>
      </c>
      <c r="Q86" s="31">
        <f>IFERROR(Serie_Historica!T279/Serie_Historica!T278,"")</f>
        <v>0.40522107079972441</v>
      </c>
      <c r="R86" s="31">
        <f>IFERROR(Serie_Historica!U279/Serie_Historica!U278,"")</f>
        <v>0.15951079345649941</v>
      </c>
      <c r="S86" s="31">
        <f>IFERROR(Serie_Historica!V279/Serie_Historica!V278,"")</f>
        <v>0.22877540851217376</v>
      </c>
      <c r="T86" s="31">
        <f>IFERROR(Serie_Historica!W279/Serie_Historica!W278,"")</f>
        <v>0.35316406581547899</v>
      </c>
      <c r="U86" s="31">
        <f>IFERROR(Serie_Historica!X279/Serie_Historica!X278,"")</f>
        <v>0.33291647955616444</v>
      </c>
      <c r="V86" s="31">
        <f>IFERROR(Serie_Historica!Y279/Serie_Historica!Y278,"")</f>
        <v>0.23097425464658886</v>
      </c>
      <c r="W86" s="31">
        <f>IFERROR(Serie_Historica!Z279/Serie_Historica!Z278,"")</f>
        <v>0.36871294138470162</v>
      </c>
      <c r="X86" s="19">
        <f>IFERROR((W86-D86)*100,"")</f>
        <v>-22.831504658138464</v>
      </c>
    </row>
    <row r="87" spans="1:24">
      <c r="A87" s="28" t="s">
        <v>193</v>
      </c>
      <c r="B87" s="28" t="s">
        <v>194</v>
      </c>
      <c r="C87" s="28" t="s">
        <v>505</v>
      </c>
      <c r="D87" s="31">
        <f>IFERROR(Serie_Historica!G280/Serie_Historica!G278,"")</f>
        <v>0.15826419910657308</v>
      </c>
      <c r="E87" s="31">
        <f>IFERROR(Serie_Historica!H280/Serie_Historica!H278,"")</f>
        <v>0.16613593295172602</v>
      </c>
      <c r="F87" s="31">
        <f>IFERROR(Serie_Historica!I280/Serie_Historica!I278,"")</f>
        <v>0.19150326797385622</v>
      </c>
      <c r="G87" s="31">
        <f>IFERROR(Serie_Historica!J280/Serie_Historica!J278,"")</f>
        <v>0.16018127832473825</v>
      </c>
      <c r="H87" s="31">
        <f>IFERROR(Serie_Historica!K280/Serie_Historica!K278,"")</f>
        <v>0.16703255581888488</v>
      </c>
      <c r="I87" s="31">
        <f>IFERROR(Serie_Historica!L280/Serie_Historica!L278,"")</f>
        <v>0.15759628460729222</v>
      </c>
      <c r="J87" s="31">
        <f>IFERROR(Serie_Historica!M280/Serie_Historica!M278,"")</f>
        <v>0.14390848840518819</v>
      </c>
      <c r="K87" s="31">
        <f>IFERROR(Serie_Historica!N280/Serie_Historica!N278,"")</f>
        <v>0.16351838500360491</v>
      </c>
      <c r="L87" s="31">
        <f>IFERROR(Serie_Historica!O280/Serie_Historica!O278,"")</f>
        <v>0.18312495225484454</v>
      </c>
      <c r="M87" s="31">
        <f>IFERROR(Serie_Historica!P280/Serie_Historica!P278,"")</f>
        <v>0.18205707177955702</v>
      </c>
      <c r="N87" s="31">
        <f>IFERROR(Serie_Historica!Q280/Serie_Historica!Q278,"")</f>
        <v>0.18097928691475509</v>
      </c>
      <c r="O87" s="31">
        <f>IFERROR(Serie_Historica!R280/Serie_Historica!R278,"")</f>
        <v>0.19593774445013892</v>
      </c>
      <c r="P87" s="31">
        <f>IFERROR(Serie_Historica!S280/Serie_Historica!S278,"")</f>
        <v>0.18496899849719842</v>
      </c>
      <c r="Q87" s="31">
        <f>IFERROR(Serie_Historica!T280/Serie_Historica!T278,"")</f>
        <v>0.20019208418298107</v>
      </c>
      <c r="R87" s="31">
        <f>IFERROR(Serie_Historica!U280/Serie_Historica!U278,"")</f>
        <v>0.22208275847760917</v>
      </c>
      <c r="S87" s="31">
        <f>IFERROR(Serie_Historica!V280/Serie_Historica!V278,"")</f>
        <v>0.21439371810512209</v>
      </c>
      <c r="T87" s="31">
        <f>IFERROR(Serie_Historica!W280/Serie_Historica!W278,"")</f>
        <v>0.23131812835715931</v>
      </c>
      <c r="U87" s="31">
        <f>IFERROR(Serie_Historica!X280/Serie_Historica!X278,"")</f>
        <v>0.23932333263226108</v>
      </c>
      <c r="V87" s="31">
        <f>IFERROR(Serie_Historica!Y280/Serie_Historica!Y278,"")</f>
        <v>0.25042973301830307</v>
      </c>
      <c r="W87" s="31">
        <f>IFERROR(Serie_Historica!Z280/Serie_Historica!Z278,"")</f>
        <v>0.23234707021839385</v>
      </c>
      <c r="X87" s="19">
        <f>IFERROR((W87-D87)*100,"")</f>
        <v>7.4082871111820765</v>
      </c>
    </row>
    <row r="88" spans="1:24">
      <c r="A88" s="28" t="s">
        <v>193</v>
      </c>
      <c r="B88" s="28" t="s">
        <v>194</v>
      </c>
      <c r="C88" s="28" t="s">
        <v>506</v>
      </c>
      <c r="D88" s="31">
        <f>IFERROR(Serie_Historica!G281/Serie_Historica!G278,"")</f>
        <v>0.19664509071018324</v>
      </c>
      <c r="E88" s="31">
        <f>IFERROR(Serie_Historica!H281/Serie_Historica!H278,"")</f>
        <v>0.24271787758610586</v>
      </c>
      <c r="F88" s="31">
        <f>IFERROR(Serie_Historica!I281/Serie_Historica!I278,"")</f>
        <v>0.26110120816003168</v>
      </c>
      <c r="G88" s="31">
        <f>IFERROR(Serie_Historica!J281/Serie_Historica!J278,"")</f>
        <v>0.25136740115643069</v>
      </c>
      <c r="H88" s="31">
        <f>IFERROR(Serie_Historica!K281/Serie_Historica!K278,"")</f>
        <v>0.24166146937757266</v>
      </c>
      <c r="I88" s="31">
        <f>IFERROR(Serie_Historica!L281/Serie_Historica!L278,"")</f>
        <v>0.28967490313806993</v>
      </c>
      <c r="J88" s="31">
        <f>IFERROR(Serie_Historica!M281/Serie_Historica!M278,"")</f>
        <v>0.33949554775490287</v>
      </c>
      <c r="K88" s="31">
        <f>IFERROR(Serie_Historica!N281/Serie_Historica!N278,"")</f>
        <v>0.50441600576784429</v>
      </c>
      <c r="L88" s="31">
        <f>IFERROR(Serie_Historica!O281/Serie_Historica!O278,"")</f>
        <v>0.37166102212828805</v>
      </c>
      <c r="M88" s="31">
        <f>IFERROR(Serie_Historica!P281/Serie_Historica!P278,"")</f>
        <v>0.18504905393972332</v>
      </c>
      <c r="N88" s="31">
        <f>IFERROR(Serie_Historica!Q281/Serie_Historica!Q278,"")</f>
        <v>0.15915777900935851</v>
      </c>
      <c r="O88" s="31">
        <f>IFERROR(Serie_Historica!R281/Serie_Historica!R278,"")</f>
        <v>0.20752029779084508</v>
      </c>
      <c r="P88" s="31">
        <f>IFERROR(Serie_Historica!S281/Serie_Historica!S278,"")</f>
        <v>0.22631097045153714</v>
      </c>
      <c r="Q88" s="31">
        <f>IFERROR(Serie_Historica!T281/Serie_Historica!T278,"")</f>
        <v>0.3468650608614558</v>
      </c>
      <c r="R88" s="31">
        <f>IFERROR(Serie_Historica!U281/Serie_Historica!U278,"")</f>
        <v>0.54514994657731763</v>
      </c>
      <c r="S88" s="31">
        <f>IFERROR(Serie_Historica!V281/Serie_Historica!V278,"")</f>
        <v>0.49502568772659322</v>
      </c>
      <c r="T88" s="31">
        <f>IFERROR(Serie_Historica!W281/Serie_Historica!W278,"")</f>
        <v>0.35684405805536357</v>
      </c>
      <c r="U88" s="31">
        <f>IFERROR(Serie_Historica!X281/Serie_Historica!X278,"")</f>
        <v>0.36431125334667264</v>
      </c>
      <c r="V88" s="31">
        <f>IFERROR(Serie_Historica!Y281/Serie_Historica!Y278,"")</f>
        <v>0.42848405642217485</v>
      </c>
      <c r="W88" s="31">
        <f>IFERROR(Serie_Historica!Z281/Serie_Historica!Z278,"")</f>
        <v>0.33941512532326423</v>
      </c>
      <c r="X88" s="19">
        <f>IFERROR((W88-D88)*100,"")</f>
        <v>14.2770034613081</v>
      </c>
    </row>
    <row r="89" spans="1:24">
      <c r="A89" s="28" t="s">
        <v>123</v>
      </c>
      <c r="B89" s="28" t="s">
        <v>124</v>
      </c>
      <c r="C89" s="28" t="s">
        <v>504</v>
      </c>
      <c r="D89" s="31">
        <f>IFERROR(Serie_Historica!G289/Serie_Historica!G288,"")</f>
        <v>8.5470891715585612E-2</v>
      </c>
      <c r="E89" s="31">
        <f>IFERROR(Serie_Historica!H289/Serie_Historica!H288,"")</f>
        <v>5.6517697180887415E-2</v>
      </c>
      <c r="F89" s="31">
        <f>IFERROR(Serie_Historica!I289/Serie_Historica!I288,"")</f>
        <v>6.5072512253535331E-2</v>
      </c>
      <c r="G89" s="31">
        <f>IFERROR(Serie_Historica!J289/Serie_Historica!J288,"")</f>
        <v>6.897471264367816E-2</v>
      </c>
      <c r="H89" s="31">
        <f>IFERROR(Serie_Historica!K289/Serie_Historica!K288,"")</f>
        <v>7.2054314498466929E-2</v>
      </c>
      <c r="I89" s="31">
        <f>IFERROR(Serie_Historica!L289/Serie_Historica!L288,"")</f>
        <v>7.943032800287779E-2</v>
      </c>
      <c r="J89" s="31">
        <f>IFERROR(Serie_Historica!M289/Serie_Historica!M288,"")</f>
        <v>8.2227556756495929E-2</v>
      </c>
      <c r="K89" s="31">
        <f>IFERROR(Serie_Historica!N289/Serie_Historica!N288,"")</f>
        <v>8.5381659371028581E-2</v>
      </c>
      <c r="L89" s="31">
        <f>IFERROR(Serie_Historica!O289/Serie_Historica!O288,"")</f>
        <v>9.0862566836251477E-2</v>
      </c>
      <c r="M89" s="31">
        <f>IFERROR(Serie_Historica!P289/Serie_Historica!P288,"")</f>
        <v>9.1490628455295472E-2</v>
      </c>
      <c r="N89" s="31">
        <f>IFERROR(Serie_Historica!Q289/Serie_Historica!Q288,"")</f>
        <v>0.11132989338970418</v>
      </c>
      <c r="O89" s="31">
        <f>IFERROR(Serie_Historica!R289/Serie_Historica!R288,"")</f>
        <v>0.15644417604478647</v>
      </c>
      <c r="P89" s="31">
        <f>IFERROR(Serie_Historica!S289/Serie_Historica!S288,"")</f>
        <v>0.1306220216016396</v>
      </c>
      <c r="Q89" s="31">
        <f>IFERROR(Serie_Historica!T289/Serie_Historica!T288,"")</f>
        <v>9.7505523568717375E-2</v>
      </c>
      <c r="R89" s="31">
        <f>IFERROR(Serie_Historica!U289/Serie_Historica!U288,"")</f>
        <v>9.5612444196428573E-2</v>
      </c>
      <c r="S89" s="31">
        <f>IFERROR(Serie_Historica!V289/Serie_Historica!V288,"")</f>
        <v>6.5219475246842989E-2</v>
      </c>
      <c r="T89" s="31">
        <f>IFERROR(Serie_Historica!W289/Serie_Historica!W288,"")</f>
        <v>6.197166005721589E-2</v>
      </c>
      <c r="U89" s="31">
        <f>IFERROR(Serie_Historica!X289/Serie_Historica!X288,"")</f>
        <v>6.3122819755211557E-2</v>
      </c>
      <c r="V89" s="31">
        <f>IFERROR(Serie_Historica!Y289/Serie_Historica!Y288,"")</f>
        <v>6.0373251679724786E-2</v>
      </c>
      <c r="W89" s="31">
        <f>IFERROR(Serie_Historica!Z289/Serie_Historica!Z288,"")</f>
        <v>5.0524063367290886E-2</v>
      </c>
      <c r="X89" s="19">
        <f>IFERROR((W89-D89)*100,"")</f>
        <v>-3.4946828348294727</v>
      </c>
    </row>
    <row r="90" spans="1:24">
      <c r="A90" s="28" t="s">
        <v>123</v>
      </c>
      <c r="B90" s="28" t="s">
        <v>124</v>
      </c>
      <c r="C90" s="28" t="s">
        <v>505</v>
      </c>
      <c r="D90" s="31">
        <f>IFERROR(Serie_Historica!G290/Serie_Historica!G288,"")</f>
        <v>0.33737020455254585</v>
      </c>
      <c r="E90" s="31">
        <f>IFERROR(Serie_Historica!H290/Serie_Historica!H288,"")</f>
        <v>0.35789616258380685</v>
      </c>
      <c r="F90" s="31">
        <f>IFERROR(Serie_Historica!I290/Serie_Historica!I288,"")</f>
        <v>0.35340629696303494</v>
      </c>
      <c r="G90" s="31">
        <f>IFERROR(Serie_Historica!J290/Serie_Historica!J288,"")</f>
        <v>0.34769195402298853</v>
      </c>
      <c r="H90" s="31">
        <f>IFERROR(Serie_Historica!K290/Serie_Historica!K288,"")</f>
        <v>0.39438687950137508</v>
      </c>
      <c r="I90" s="31">
        <f>IFERROR(Serie_Historica!L290/Serie_Historica!L288,"")</f>
        <v>0.38910690343045884</v>
      </c>
      <c r="J90" s="31">
        <f>IFERROR(Serie_Historica!M290/Serie_Historica!M288,"")</f>
        <v>0.37744577673767765</v>
      </c>
      <c r="K90" s="31">
        <f>IFERROR(Serie_Historica!N290/Serie_Historica!N288,"")</f>
        <v>0.39375264761059448</v>
      </c>
      <c r="L90" s="31">
        <f>IFERROR(Serie_Historica!O290/Serie_Historica!O288,"")</f>
        <v>0.40845083468607513</v>
      </c>
      <c r="M90" s="31">
        <f>IFERROR(Serie_Historica!P290/Serie_Historica!P288,"")</f>
        <v>0.37133207096141707</v>
      </c>
      <c r="N90" s="31">
        <f>IFERROR(Serie_Historica!Q290/Serie_Historica!Q288,"")</f>
        <v>0.40116007555930855</v>
      </c>
      <c r="O90" s="31">
        <f>IFERROR(Serie_Historica!R290/Serie_Historica!R288,"")</f>
        <v>0.3761378195973461</v>
      </c>
      <c r="P90" s="31">
        <f>IFERROR(Serie_Historica!S290/Serie_Historica!S288,"")</f>
        <v>0.37618821591580642</v>
      </c>
      <c r="Q90" s="31">
        <f>IFERROR(Serie_Historica!T290/Serie_Historica!T288,"")</f>
        <v>0.38571207074938652</v>
      </c>
      <c r="R90" s="31">
        <f>IFERROR(Serie_Historica!U290/Serie_Historica!U288,"")</f>
        <v>0.40076171875</v>
      </c>
      <c r="S90" s="31">
        <f>IFERROR(Serie_Historica!V290/Serie_Historica!V288,"")</f>
        <v>0.42236647930947419</v>
      </c>
      <c r="T90" s="31">
        <f>IFERROR(Serie_Historica!W290/Serie_Historica!W288,"")</f>
        <v>0.42034210702632868</v>
      </c>
      <c r="U90" s="31">
        <f>IFERROR(Serie_Historica!X290/Serie_Historica!X288,"")</f>
        <v>0.4170779731266423</v>
      </c>
      <c r="V90" s="31">
        <f>IFERROR(Serie_Historica!Y290/Serie_Historica!Y288,"")</f>
        <v>0.40966031975872835</v>
      </c>
      <c r="W90" s="31">
        <f>IFERROR(Serie_Historica!Z290/Serie_Historica!Z288,"")</f>
        <v>0.40377139939232304</v>
      </c>
      <c r="X90" s="19">
        <f>IFERROR((W90-D90)*100,"")</f>
        <v>6.6401194839777187</v>
      </c>
    </row>
    <row r="91" spans="1:24">
      <c r="A91" s="28" t="s">
        <v>123</v>
      </c>
      <c r="B91" s="28" t="s">
        <v>124</v>
      </c>
      <c r="C91" s="28" t="s">
        <v>506</v>
      </c>
      <c r="D91" s="31">
        <f>IFERROR(Serie_Historica!G291/Serie_Historica!G288,"")</f>
        <v>0.50492333814661894</v>
      </c>
      <c r="E91" s="31">
        <f>IFERROR(Serie_Historica!H291/Serie_Historica!H288,"")</f>
        <v>0.48957993437051722</v>
      </c>
      <c r="F91" s="31">
        <f>IFERROR(Serie_Historica!I291/Serie_Historica!I288,"")</f>
        <v>0.47592571941395445</v>
      </c>
      <c r="G91" s="31">
        <f>IFERROR(Serie_Historica!J291/Serie_Historica!J288,"")</f>
        <v>0.46366436781609194</v>
      </c>
      <c r="H91" s="31">
        <f>IFERROR(Serie_Historica!K291/Serie_Historica!K288,"")</f>
        <v>0.42698706763461941</v>
      </c>
      <c r="I91" s="31">
        <f>IFERROR(Serie_Historica!L291/Serie_Historica!L288,"")</f>
        <v>0.44703881748912655</v>
      </c>
      <c r="J91" s="31">
        <f>IFERROR(Serie_Historica!M291/Serie_Historica!M288,"")</f>
        <v>0.4549295519795411</v>
      </c>
      <c r="K91" s="31">
        <f>IFERROR(Serie_Historica!N291/Serie_Historica!N288,"")</f>
        <v>0.43472000887579931</v>
      </c>
      <c r="L91" s="31">
        <f>IFERROR(Serie_Historica!O291/Serie_Historica!O288,"")</f>
        <v>0.44154650228441616</v>
      </c>
      <c r="M91" s="31">
        <f>IFERROR(Serie_Historica!P291/Serie_Historica!P288,"")</f>
        <v>0.47563219316976219</v>
      </c>
      <c r="N91" s="31">
        <f>IFERROR(Serie_Historica!Q291/Serie_Historica!Q288,"")</f>
        <v>0.42875714086931327</v>
      </c>
      <c r="O91" s="31">
        <f>IFERROR(Serie_Historica!R291/Serie_Historica!R288,"")</f>
        <v>0.42726523417416779</v>
      </c>
      <c r="P91" s="31">
        <f>IFERROR(Serie_Historica!S291/Serie_Historica!S288,"")</f>
        <v>0.43963988884837357</v>
      </c>
      <c r="Q91" s="31">
        <f>IFERROR(Serie_Historica!T291/Serie_Historica!T288,"")</f>
        <v>0.45872306421651793</v>
      </c>
      <c r="R91" s="31">
        <f>IFERROR(Serie_Historica!U291/Serie_Historica!U288,"")</f>
        <v>0.44572684151785713</v>
      </c>
      <c r="S91" s="31">
        <f>IFERROR(Serie_Historica!V291/Serie_Historica!V288,"")</f>
        <v>0.45324463682723221</v>
      </c>
      <c r="T91" s="31">
        <f>IFERROR(Serie_Historica!W291/Serie_Historica!W288,"")</f>
        <v>0.46513509447701062</v>
      </c>
      <c r="U91" s="31">
        <f>IFERROR(Serie_Historica!X291/Serie_Historica!X288,"")</f>
        <v>0.46198590699385267</v>
      </c>
      <c r="V91" s="31">
        <f>IFERROR(Serie_Historica!Y291/Serie_Historica!Y288,"")</f>
        <v>0.46408824492393397</v>
      </c>
      <c r="W91" s="31">
        <f>IFERROR(Serie_Historica!Z291/Serie_Historica!Z288,"")</f>
        <v>0.46340840689820584</v>
      </c>
      <c r="X91" s="19">
        <f>IFERROR((W91-D91)*100,"")</f>
        <v>-4.1514931248413101</v>
      </c>
    </row>
    <row r="92" spans="1:24">
      <c r="A92" s="28" t="s">
        <v>237</v>
      </c>
      <c r="B92" s="28" t="s">
        <v>238</v>
      </c>
      <c r="C92" s="28" t="s">
        <v>504</v>
      </c>
      <c r="D92" s="31">
        <f>IFERROR(Serie_Historica!G299/Serie_Historica!G298,"")</f>
        <v>5.520550601008143E-2</v>
      </c>
      <c r="E92" s="31">
        <f>IFERROR(Serie_Historica!H299/Serie_Historica!H298,"")</f>
        <v>8.5706115445892392E-2</v>
      </c>
      <c r="F92" s="31">
        <f>IFERROR(Serie_Historica!I299/Serie_Historica!I298,"")</f>
        <v>0.11070740026694349</v>
      </c>
      <c r="G92" s="31">
        <f>IFERROR(Serie_Historica!J299/Serie_Historica!J298,"")</f>
        <v>3.9930555555555552E-2</v>
      </c>
      <c r="H92" s="31">
        <f>IFERROR(Serie_Historica!K299/Serie_Historica!K298,"")</f>
        <v>3.8307349665924278E-2</v>
      </c>
      <c r="I92" s="31">
        <f>IFERROR(Serie_Historica!L299/Serie_Historica!L298,"")</f>
        <v>4.074590891792465E-2</v>
      </c>
      <c r="J92" s="31">
        <f>IFERROR(Serie_Historica!M299/Serie_Historica!M298,"")</f>
        <v>4.2051542582671346E-2</v>
      </c>
      <c r="K92" s="31">
        <f>IFERROR(Serie_Historica!N299/Serie_Historica!N298,"")</f>
        <v>4.0210400871191106E-2</v>
      </c>
      <c r="L92" s="31">
        <f>IFERROR(Serie_Historica!O299/Serie_Historica!O298,"")</f>
        <v>4.6137257869249396E-2</v>
      </c>
      <c r="M92" s="31">
        <f>IFERROR(Serie_Historica!P299/Serie_Historica!P298,"")</f>
        <v>4.9058374103612357E-2</v>
      </c>
      <c r="N92" s="31">
        <f>IFERROR(Serie_Historica!Q299/Serie_Historica!Q298,"")</f>
        <v>5.2904838946903954E-2</v>
      </c>
      <c r="O92" s="31">
        <f>IFERROR(Serie_Historica!R299/Serie_Historica!R298,"")</f>
        <v>6.3308337470279308E-2</v>
      </c>
      <c r="P92" s="31">
        <f>IFERROR(Serie_Historica!S299/Serie_Historica!S298,"")</f>
        <v>6.7137172073615206E-2</v>
      </c>
      <c r="Q92" s="31">
        <f>IFERROR(Serie_Historica!T299/Serie_Historica!T298,"")</f>
        <v>7.2611658162988965E-2</v>
      </c>
      <c r="R92" s="31">
        <f>IFERROR(Serie_Historica!U299/Serie_Historica!U298,"")</f>
        <v>0.11080751353585869</v>
      </c>
      <c r="S92" s="31">
        <f>IFERROR(Serie_Historica!V299/Serie_Historica!V298,"")</f>
        <v>0.16004532473796637</v>
      </c>
      <c r="T92" s="31">
        <f>IFERROR(Serie_Historica!W299/Serie_Historica!W298,"")</f>
        <v>9.9829554988386776E-2</v>
      </c>
      <c r="U92" s="31">
        <f>IFERROR(Serie_Historica!X299/Serie_Historica!X298,"")</f>
        <v>6.7956787875635097E-2</v>
      </c>
      <c r="V92" s="31">
        <f>IFERROR(Serie_Historica!Y299/Serie_Historica!Y298,"")</f>
        <v>5.0761201651361852E-2</v>
      </c>
      <c r="W92" s="31">
        <f>IFERROR(Serie_Historica!Z299/Serie_Historica!Z298,"")</f>
        <v>4.4494908003038146E-2</v>
      </c>
      <c r="X92" s="19">
        <f>IFERROR((W92-D92)*100,"")</f>
        <v>-1.0710598007043284</v>
      </c>
    </row>
    <row r="93" spans="1:24">
      <c r="A93" s="28" t="s">
        <v>237</v>
      </c>
      <c r="B93" s="28" t="s">
        <v>238</v>
      </c>
      <c r="C93" s="28" t="s">
        <v>505</v>
      </c>
      <c r="D93" s="31">
        <f>IFERROR(Serie_Historica!G300/Serie_Historica!G298,"")</f>
        <v>0.17734587049243894</v>
      </c>
      <c r="E93" s="31">
        <f>IFERROR(Serie_Historica!H300/Serie_Historica!H298,"")</f>
        <v>0.17917398586543568</v>
      </c>
      <c r="F93" s="31">
        <f>IFERROR(Serie_Historica!I300/Serie_Historica!I298,"")</f>
        <v>0.18333827673142519</v>
      </c>
      <c r="G93" s="31">
        <f>IFERROR(Serie_Historica!J300/Serie_Historica!J298,"")</f>
        <v>0.19773582175925927</v>
      </c>
      <c r="H93" s="31">
        <f>IFERROR(Serie_Historica!K300/Serie_Historica!K298,"")</f>
        <v>0.21104677060133631</v>
      </c>
      <c r="I93" s="31">
        <f>IFERROR(Serie_Historica!L300/Serie_Historica!L298,"")</f>
        <v>0.22384878853228465</v>
      </c>
      <c r="J93" s="31">
        <f>IFERROR(Serie_Historica!M300/Serie_Historica!M298,"")</f>
        <v>0.20672455200443376</v>
      </c>
      <c r="K93" s="31">
        <f>IFERROR(Serie_Historica!N300/Serie_Historica!N298,"")</f>
        <v>0.23039306334627793</v>
      </c>
      <c r="L93" s="31">
        <f>IFERROR(Serie_Historica!O300/Serie_Historica!O298,"")</f>
        <v>0.25561819007263925</v>
      </c>
      <c r="M93" s="31">
        <f>IFERROR(Serie_Historica!P300/Serie_Historica!P298,"")</f>
        <v>0.24375041887272972</v>
      </c>
      <c r="N93" s="31">
        <f>IFERROR(Serie_Historica!Q300/Serie_Historica!Q298,"")</f>
        <v>0.33737314310928079</v>
      </c>
      <c r="O93" s="31">
        <f>IFERROR(Serie_Historica!R300/Serie_Historica!R298,"")</f>
        <v>0.31694667258903142</v>
      </c>
      <c r="P93" s="31">
        <f>IFERROR(Serie_Historica!S300/Serie_Historica!S298,"")</f>
        <v>0.28355248753976331</v>
      </c>
      <c r="Q93" s="31">
        <f>IFERROR(Serie_Historica!T300/Serie_Historica!T298,"")</f>
        <v>0.31959745647958576</v>
      </c>
      <c r="R93" s="31">
        <f>IFERROR(Serie_Historica!U300/Serie_Historica!U298,"")</f>
        <v>0.29587320152045249</v>
      </c>
      <c r="S93" s="31">
        <f>IFERROR(Serie_Historica!V300/Serie_Historica!V298,"")</f>
        <v>0.29938826916156891</v>
      </c>
      <c r="T93" s="31">
        <f>IFERROR(Serie_Historica!W300/Serie_Historica!W298,"")</f>
        <v>0.23364213612639426</v>
      </c>
      <c r="U93" s="31">
        <f>IFERROR(Serie_Historica!X300/Serie_Historica!X298,"")</f>
        <v>0.2528221401446184</v>
      </c>
      <c r="V93" s="31">
        <f>IFERROR(Serie_Historica!Y300/Serie_Historica!Y298,"")</f>
        <v>0.25625535524186221</v>
      </c>
      <c r="W93" s="31">
        <f>IFERROR(Serie_Historica!Z300/Serie_Historica!Z298,"")</f>
        <v>0.24197448576255948</v>
      </c>
      <c r="X93" s="19">
        <f>IFERROR((W93-D93)*100,"")</f>
        <v>6.4628615270120537</v>
      </c>
    </row>
    <row r="94" spans="1:24">
      <c r="A94" s="28" t="s">
        <v>237</v>
      </c>
      <c r="B94" s="28" t="s">
        <v>238</v>
      </c>
      <c r="C94" s="28" t="s">
        <v>506</v>
      </c>
      <c r="D94" s="31">
        <f>IFERROR(Serie_Historica!G301/Serie_Historica!G298,"")</f>
        <v>0.61831136099263284</v>
      </c>
      <c r="E94" s="31">
        <f>IFERROR(Serie_Historica!H301/Serie_Historica!H298,"")</f>
        <v>0.56681236978634753</v>
      </c>
      <c r="F94" s="31">
        <f>IFERROR(Serie_Historica!I301/Serie_Historica!I298,"")</f>
        <v>0.57129615897968267</v>
      </c>
      <c r="G94" s="31">
        <f>IFERROR(Serie_Historica!J301/Serie_Historica!J298,"")</f>
        <v>0.63693576388888884</v>
      </c>
      <c r="H94" s="31">
        <f>IFERROR(Serie_Historica!K301/Serie_Historica!K298,"")</f>
        <v>0.60335560504825536</v>
      </c>
      <c r="I94" s="31">
        <f>IFERROR(Serie_Historica!L301/Serie_Historica!L298,"")</f>
        <v>0.62270709120893064</v>
      </c>
      <c r="J94" s="31">
        <f>IFERROR(Serie_Historica!M301/Serie_Historica!M298,"")</f>
        <v>0.63181230371328279</v>
      </c>
      <c r="K94" s="31">
        <f>IFERROR(Serie_Historica!N301/Serie_Historica!N298,"")</f>
        <v>0.60952557069181612</v>
      </c>
      <c r="L94" s="31">
        <f>IFERROR(Serie_Historica!O301/Serie_Historica!O298,"")</f>
        <v>0.59390133171912829</v>
      </c>
      <c r="M94" s="31">
        <f>IFERROR(Serie_Historica!P301/Serie_Historica!P298,"")</f>
        <v>0.59421285436632931</v>
      </c>
      <c r="N94" s="31">
        <f>IFERROR(Serie_Historica!Q301/Serie_Historica!Q298,"")</f>
        <v>0.54212384174143258</v>
      </c>
      <c r="O94" s="31">
        <f>IFERROR(Serie_Historica!R301/Serie_Historica!R298,"")</f>
        <v>0.57395553000809973</v>
      </c>
      <c r="P94" s="31">
        <f>IFERROR(Serie_Historica!S301/Serie_Historica!S298,"")</f>
        <v>0.59913454479889761</v>
      </c>
      <c r="Q94" s="31">
        <f>IFERROR(Serie_Historica!T301/Serie_Historica!T298,"")</f>
        <v>0.55323735551872433</v>
      </c>
      <c r="R94" s="31">
        <f>IFERROR(Serie_Historica!U301/Serie_Historica!U298,"")</f>
        <v>0.53501174620138936</v>
      </c>
      <c r="S94" s="31">
        <f>IFERROR(Serie_Historica!V301/Serie_Historica!V298,"")</f>
        <v>0.43160328604350257</v>
      </c>
      <c r="T94" s="31">
        <f>IFERROR(Serie_Historica!W301/Serie_Historica!W298,"")</f>
        <v>0.51013397154539752</v>
      </c>
      <c r="U94" s="31">
        <f>IFERROR(Serie_Historica!X301/Serie_Historica!X298,"")</f>
        <v>0.54589987688359431</v>
      </c>
      <c r="V94" s="31">
        <f>IFERROR(Serie_Historica!Y301/Serie_Historica!Y298,"")</f>
        <v>0.52454972693675839</v>
      </c>
      <c r="W94" s="31">
        <f>IFERROR(Serie_Historica!Z301/Serie_Historica!Z298,"")</f>
        <v>0.5358532388820858</v>
      </c>
      <c r="X94" s="19">
        <f>IFERROR((W94-D94)*100,"")</f>
        <v>-8.2458122110547034</v>
      </c>
    </row>
    <row r="95" spans="1:24">
      <c r="A95" s="28" t="s">
        <v>367</v>
      </c>
      <c r="B95" s="28" t="s">
        <v>368</v>
      </c>
      <c r="C95" s="28" t="s">
        <v>504</v>
      </c>
      <c r="D95" s="31">
        <f>IFERROR(Serie_Historica!G309/Serie_Historica!G308,"")</f>
        <v>4.7181760607979732E-2</v>
      </c>
      <c r="E95" s="31">
        <f>IFERROR(Serie_Historica!H309/Serie_Historica!H308,"")</f>
        <v>2.8110047846889953E-2</v>
      </c>
      <c r="F95" s="31">
        <f>IFERROR(Serie_Historica!I309/Serie_Historica!I308,"")</f>
        <v>3.3301194096269374E-2</v>
      </c>
      <c r="G95" s="31">
        <f>IFERROR(Serie_Historica!J309/Serie_Historica!J308,"")</f>
        <v>3.5770678974857278E-2</v>
      </c>
      <c r="H95" s="31">
        <f>IFERROR(Serie_Historica!K309/Serie_Historica!K308,"")</f>
        <v>3.1963765771594953E-2</v>
      </c>
      <c r="I95" s="31">
        <f>IFERROR(Serie_Historica!L309/Serie_Historica!L308,"")</f>
        <v>2.9770424228545256E-2</v>
      </c>
      <c r="J95" s="31">
        <f>IFERROR(Serie_Historica!M309/Serie_Historica!M308,"")</f>
        <v>2.6147657359204921E-2</v>
      </c>
      <c r="K95" s="31">
        <f>IFERROR(Serie_Historica!N309/Serie_Historica!N308,"")</f>
        <v>3.0861476060312143E-2</v>
      </c>
      <c r="L95" s="31">
        <f>IFERROR(Serie_Historica!O309/Serie_Historica!O308,"")</f>
        <v>2.8340594729495367E-2</v>
      </c>
      <c r="M95" s="31">
        <f>IFERROR(Serie_Historica!P309/Serie_Historica!P308,"")</f>
        <v>3.957046768674035E-2</v>
      </c>
      <c r="N95" s="31">
        <f>IFERROR(Serie_Historica!Q309/Serie_Historica!Q308,"")</f>
        <v>4.2817628618845659E-2</v>
      </c>
      <c r="O95" s="31">
        <f>IFERROR(Serie_Historica!R309/Serie_Historica!R308,"")</f>
        <v>3.9469186064580289E-2</v>
      </c>
      <c r="P95" s="31">
        <f>IFERROR(Serie_Historica!S309/Serie_Historica!S308,"")</f>
        <v>3.9387178343001636E-2</v>
      </c>
      <c r="Q95" s="31">
        <f>IFERROR(Serie_Historica!T309/Serie_Historica!T308,"")</f>
        <v>3.3817789646672147E-2</v>
      </c>
      <c r="R95" s="31">
        <f>IFERROR(Serie_Historica!U309/Serie_Historica!U308,"")</f>
        <v>4.5699865074209187E-2</v>
      </c>
      <c r="S95" s="31">
        <f>IFERROR(Serie_Historica!V309/Serie_Historica!V308,"")</f>
        <v>4.6567335792650794E-2</v>
      </c>
      <c r="T95" s="31">
        <f>IFERROR(Serie_Historica!W309/Serie_Historica!W308,"")</f>
        <v>3.8997535300486032E-2</v>
      </c>
      <c r="U95" s="31">
        <f>IFERROR(Serie_Historica!X309/Serie_Historica!X308,"")</f>
        <v>3.5645875074308109E-2</v>
      </c>
      <c r="V95" s="31">
        <f>IFERROR(Serie_Historica!Y309/Serie_Historica!Y308,"")</f>
        <v>2.9555023528440517E-2</v>
      </c>
      <c r="W95" s="31">
        <f>IFERROR(Serie_Historica!Z309/Serie_Historica!Z308,"")</f>
        <v>3.1588947826775397E-2</v>
      </c>
      <c r="X95" s="19">
        <f>IFERROR((W95-D95)*100,"")</f>
        <v>-1.5592812781204335</v>
      </c>
    </row>
    <row r="96" spans="1:24">
      <c r="A96" s="28" t="s">
        <v>367</v>
      </c>
      <c r="B96" s="28" t="s">
        <v>368</v>
      </c>
      <c r="C96" s="28" t="s">
        <v>505</v>
      </c>
      <c r="D96" s="31">
        <f>IFERROR(Serie_Historica!G310/Serie_Historica!G308,"")</f>
        <v>0.14977834072197593</v>
      </c>
      <c r="E96" s="31">
        <f>IFERROR(Serie_Historica!H310/Serie_Historica!H308,"")</f>
        <v>0.15046138072453863</v>
      </c>
      <c r="F96" s="31">
        <f>IFERROR(Serie_Historica!I310/Serie_Historica!I308,"")</f>
        <v>0.1596825632277683</v>
      </c>
      <c r="G96" s="31">
        <f>IFERROR(Serie_Historica!J310/Serie_Historica!J308,"")</f>
        <v>0.16616057330256287</v>
      </c>
      <c r="H96" s="31">
        <f>IFERROR(Serie_Historica!K310/Serie_Historica!K308,"")</f>
        <v>0.15923649304432222</v>
      </c>
      <c r="I96" s="31">
        <f>IFERROR(Serie_Historica!L310/Serie_Historica!L308,"")</f>
        <v>0.16121829736073739</v>
      </c>
      <c r="J96" s="31">
        <f>IFERROR(Serie_Historica!M310/Serie_Historica!M308,"")</f>
        <v>0.12967345007098913</v>
      </c>
      <c r="K96" s="31">
        <f>IFERROR(Serie_Historica!N310/Serie_Historica!N308,"")</f>
        <v>0.15624724451106603</v>
      </c>
      <c r="L96" s="31">
        <f>IFERROR(Serie_Historica!O310/Serie_Historica!O308,"")</f>
        <v>0.16682881434795482</v>
      </c>
      <c r="M96" s="31">
        <f>IFERROR(Serie_Historica!P310/Serie_Historica!P308,"")</f>
        <v>0.16697478661054951</v>
      </c>
      <c r="N96" s="31">
        <f>IFERROR(Serie_Historica!Q310/Serie_Historica!Q308,"")</f>
        <v>0.18071178314586023</v>
      </c>
      <c r="O96" s="31">
        <f>IFERROR(Serie_Historica!R310/Serie_Historica!R308,"")</f>
        <v>0.18096777201106382</v>
      </c>
      <c r="P96" s="31">
        <f>IFERROR(Serie_Historica!S310/Serie_Historica!S308,"")</f>
        <v>0.17807526401903911</v>
      </c>
      <c r="Q96" s="31">
        <f>IFERROR(Serie_Historica!T310/Serie_Historica!T308,"")</f>
        <v>0.18323746918652423</v>
      </c>
      <c r="R96" s="31">
        <f>IFERROR(Serie_Historica!U310/Serie_Historica!U308,"")</f>
        <v>0.19114487032132327</v>
      </c>
      <c r="S96" s="31">
        <f>IFERROR(Serie_Historica!V310/Serie_Historica!V308,"")</f>
        <v>0.18794615052939204</v>
      </c>
      <c r="T96" s="31">
        <f>IFERROR(Serie_Historica!W310/Serie_Historica!W308,"")</f>
        <v>0.20235874046944463</v>
      </c>
      <c r="U96" s="31">
        <f>IFERROR(Serie_Historica!X310/Serie_Historica!X308,"")</f>
        <v>0.20698386137959884</v>
      </c>
      <c r="V96" s="31">
        <f>IFERROR(Serie_Historica!Y310/Serie_Historica!Y308,"")</f>
        <v>0.20618343928011226</v>
      </c>
      <c r="W96" s="31">
        <f>IFERROR(Serie_Historica!Z310/Serie_Historica!Z308,"")</f>
        <v>0.21243369487768191</v>
      </c>
      <c r="X96" s="19">
        <f>IFERROR((W96-D96)*100,"")</f>
        <v>6.2655354155705973</v>
      </c>
    </row>
    <row r="97" spans="1:24">
      <c r="A97" s="28" t="s">
        <v>367</v>
      </c>
      <c r="B97" s="28" t="s">
        <v>368</v>
      </c>
      <c r="C97" s="28" t="s">
        <v>506</v>
      </c>
      <c r="D97" s="31">
        <f>IFERROR(Serie_Historica!G311/Serie_Historica!G308,"")</f>
        <v>0.66117796073464219</v>
      </c>
      <c r="E97" s="31">
        <f>IFERROR(Serie_Historica!H311/Serie_Historica!H308,"")</f>
        <v>0.58202323991797678</v>
      </c>
      <c r="F97" s="31">
        <f>IFERROR(Serie_Historica!I311/Serie_Historica!I308,"")</f>
        <v>0.5721278647185345</v>
      </c>
      <c r="G97" s="31">
        <f>IFERROR(Serie_Historica!J311/Serie_Historica!J308,"")</f>
        <v>0.61569294303413091</v>
      </c>
      <c r="H97" s="31">
        <f>IFERROR(Serie_Historica!K311/Serie_Historica!K308,"")</f>
        <v>0.61979941766418634</v>
      </c>
      <c r="I97" s="31">
        <f>IFERROR(Serie_Historica!L311/Serie_Historica!L308,"")</f>
        <v>0.70372702811015053</v>
      </c>
      <c r="J97" s="31">
        <f>IFERROR(Serie_Historica!M311/Serie_Historica!M308,"")</f>
        <v>0.59802413629910078</v>
      </c>
      <c r="K97" s="31">
        <f>IFERROR(Serie_Historica!N311/Serie_Historica!N308,"")</f>
        <v>0.68406666078829026</v>
      </c>
      <c r="L97" s="31">
        <f>IFERROR(Serie_Historica!O311/Serie_Historica!O308,"")</f>
        <v>0.72395414745569142</v>
      </c>
      <c r="M97" s="31">
        <f>IFERROR(Serie_Historica!P311/Serie_Historica!P308,"")</f>
        <v>0.69397789403296228</v>
      </c>
      <c r="N97" s="31">
        <f>IFERROR(Serie_Historica!Q311/Serie_Historica!Q308,"")</f>
        <v>0.72347409183108979</v>
      </c>
      <c r="O97" s="31">
        <f>IFERROR(Serie_Historica!R311/Serie_Historica!R308,"")</f>
        <v>0.73428225129751068</v>
      </c>
      <c r="P97" s="31">
        <f>IFERROR(Serie_Historica!S311/Serie_Historica!S308,"")</f>
        <v>0.73731964896623536</v>
      </c>
      <c r="Q97" s="31">
        <f>IFERROR(Serie_Historica!T311/Serie_Historica!T308,"")</f>
        <v>0.68413619556285954</v>
      </c>
      <c r="R97" s="31">
        <f>IFERROR(Serie_Historica!U311/Serie_Historica!U308,"")</f>
        <v>0.70258857628304427</v>
      </c>
      <c r="S97" s="31">
        <f>IFERROR(Serie_Historica!V311/Serie_Historica!V308,"")</f>
        <v>0.70279787285009343</v>
      </c>
      <c r="T97" s="31">
        <f>IFERROR(Serie_Historica!W311/Serie_Historica!W308,"")</f>
        <v>0.69483795176560015</v>
      </c>
      <c r="U97" s="31">
        <f>IFERROR(Serie_Historica!X311/Serie_Historica!X308,"")</f>
        <v>0.70534357867852659</v>
      </c>
      <c r="V97" s="31">
        <f>IFERROR(Serie_Historica!Y311/Serie_Historica!Y308,"")</f>
        <v>0.66374969041525633</v>
      </c>
      <c r="W97" s="31">
        <f>IFERROR(Serie_Historica!Z311/Serie_Historica!Z308,"")</f>
        <v>0.68015200696698597</v>
      </c>
      <c r="X97" s="19">
        <f>IFERROR((W97-D97)*100,"")</f>
        <v>1.8974046232343778</v>
      </c>
    </row>
    <row r="98" spans="1:24">
      <c r="A98" s="28" t="s">
        <v>379</v>
      </c>
      <c r="B98" s="28" t="s">
        <v>380</v>
      </c>
      <c r="C98" s="28" t="s">
        <v>504</v>
      </c>
      <c r="D98" s="31">
        <f>IFERROR(Serie_Historica!G319/Serie_Historica!G318,"")</f>
        <v>5.6617803271722965E-2</v>
      </c>
      <c r="E98" s="31">
        <f>IFERROR(Serie_Historica!H319/Serie_Historica!H318,"")</f>
        <v>3.5851966075558982E-2</v>
      </c>
      <c r="F98" s="31">
        <f>IFERROR(Serie_Historica!I319/Serie_Historica!I318,"")</f>
        <v>3.8945678803750952E-2</v>
      </c>
      <c r="G98" s="31">
        <f>IFERROR(Serie_Historica!J319/Serie_Historica!J318,"")</f>
        <v>4.031389444529928E-2</v>
      </c>
      <c r="H98" s="31">
        <f>IFERROR(Serie_Historica!K319/Serie_Historica!K318,"")</f>
        <v>3.2770605759682221E-2</v>
      </c>
      <c r="I98" s="31">
        <f>IFERROR(Serie_Historica!L319/Serie_Historica!L318,"")</f>
        <v>3.4674220963172804E-2</v>
      </c>
      <c r="J98" s="31">
        <f>IFERROR(Serie_Historica!M319/Serie_Historica!M318,"")</f>
        <v>2.8822495606326888E-2</v>
      </c>
      <c r="K98" s="31">
        <f>IFERROR(Serie_Historica!N319/Serie_Historica!N318,"")</f>
        <v>3.1002789336503727E-2</v>
      </c>
      <c r="L98" s="31">
        <f>IFERROR(Serie_Historica!O319/Serie_Historica!O318,"")</f>
        <v>2.7574839629365647E-2</v>
      </c>
      <c r="M98" s="31">
        <f>IFERROR(Serie_Historica!P319/Serie_Historica!P318,"")</f>
        <v>2.6925083263111431E-2</v>
      </c>
      <c r="N98" s="31">
        <f>IFERROR(Serie_Historica!Q319/Serie_Historica!Q318,"")</f>
        <v>3.2828468494963604E-2</v>
      </c>
      <c r="O98" s="31">
        <f>IFERROR(Serie_Historica!R319/Serie_Historica!R318,"")</f>
        <v>2.841614385882511E-2</v>
      </c>
      <c r="P98" s="31">
        <f>IFERROR(Serie_Historica!S319/Serie_Historica!S318,"")</f>
        <v>2.5068497464806477E-2</v>
      </c>
      <c r="Q98" s="31">
        <f>IFERROR(Serie_Historica!T319/Serie_Historica!T318,"")</f>
        <v>2.6928104575163397E-2</v>
      </c>
      <c r="R98" s="31">
        <f>IFERROR(Serie_Historica!U319/Serie_Historica!U318,"")</f>
        <v>3.0252100840336135E-2</v>
      </c>
      <c r="S98" s="31">
        <f>IFERROR(Serie_Historica!V319/Serie_Historica!V318,"")</f>
        <v>2.7124358286721325E-2</v>
      </c>
      <c r="T98" s="31">
        <f>IFERROR(Serie_Historica!W319/Serie_Historica!W318,"")</f>
        <v>3.0993618960802188E-2</v>
      </c>
      <c r="U98" s="31">
        <f>IFERROR(Serie_Historica!X319/Serie_Historica!X318,"")</f>
        <v>2.3285280546988932E-2</v>
      </c>
      <c r="V98" s="31">
        <f>IFERROR(Serie_Historica!Y319/Serie_Historica!Y318,"")</f>
        <v>2.2500345097317444E-2</v>
      </c>
      <c r="W98" s="31">
        <f>IFERROR(Serie_Historica!Z319/Serie_Historica!Z318,"")</f>
        <v>2.4754807486401988E-2</v>
      </c>
      <c r="X98" s="19">
        <f>IFERROR((W98-D98)*100,"")</f>
        <v>-3.1862995785320978</v>
      </c>
    </row>
    <row r="99" spans="1:24">
      <c r="A99" s="28" t="s">
        <v>379</v>
      </c>
      <c r="B99" s="28" t="s">
        <v>380</v>
      </c>
      <c r="C99" s="28" t="s">
        <v>505</v>
      </c>
      <c r="D99" s="31">
        <f>IFERROR(Serie_Historica!G320/Serie_Historica!G318,"")</f>
        <v>0.19672827703420437</v>
      </c>
      <c r="E99" s="31">
        <f>IFERROR(Serie_Historica!H320/Serie_Historica!H318,"")</f>
        <v>0.20132999228989976</v>
      </c>
      <c r="F99" s="31">
        <f>IFERROR(Serie_Historica!I320/Serie_Historica!I318,"")</f>
        <v>0.20199374841598378</v>
      </c>
      <c r="G99" s="31">
        <f>IFERROR(Serie_Historica!J320/Serie_Historica!J318,"")</f>
        <v>0.19541467918141253</v>
      </c>
      <c r="H99" s="31">
        <f>IFERROR(Serie_Historica!K320/Serie_Historica!K318,"")</f>
        <v>0.20748096656736181</v>
      </c>
      <c r="I99" s="31">
        <f>IFERROR(Serie_Historica!L320/Serie_Historica!L318,"")</f>
        <v>0.20317280453257791</v>
      </c>
      <c r="J99" s="31">
        <f>IFERROR(Serie_Historica!M320/Serie_Historica!M318,"")</f>
        <v>0.17770524730102938</v>
      </c>
      <c r="K99" s="31">
        <f>IFERROR(Serie_Historica!N320/Serie_Historica!N318,"")</f>
        <v>0.18642827747039187</v>
      </c>
      <c r="L99" s="31">
        <f>IFERROR(Serie_Historica!O320/Serie_Historica!O318,"")</f>
        <v>0.2042943692088382</v>
      </c>
      <c r="M99" s="31">
        <f>IFERROR(Serie_Historica!P320/Serie_Historica!P318,"")</f>
        <v>0.20340275269852734</v>
      </c>
      <c r="N99" s="31">
        <f>IFERROR(Serie_Historica!Q320/Serie_Historica!Q318,"")</f>
        <v>0.22013087272994633</v>
      </c>
      <c r="O99" s="31">
        <f>IFERROR(Serie_Historica!R320/Serie_Historica!R318,"")</f>
        <v>0.21162814104069513</v>
      </c>
      <c r="P99" s="31">
        <f>IFERROR(Serie_Historica!S320/Serie_Historica!S318,"")</f>
        <v>0.20435864327780051</v>
      </c>
      <c r="Q99" s="31">
        <f>IFERROR(Serie_Historica!T320/Serie_Historica!T318,"")</f>
        <v>0.2127523602033406</v>
      </c>
      <c r="R99" s="31">
        <f>IFERROR(Serie_Historica!U320/Serie_Historica!U318,"")</f>
        <v>0.21879046700647473</v>
      </c>
      <c r="S99" s="31">
        <f>IFERROR(Serie_Historica!V320/Serie_Historica!V318,"")</f>
        <v>0.21436416111153681</v>
      </c>
      <c r="T99" s="31">
        <f>IFERROR(Serie_Historica!W320/Serie_Historica!W318,"")</f>
        <v>0.2042400018699016</v>
      </c>
      <c r="U99" s="31">
        <f>IFERROR(Serie_Historica!X320/Serie_Historica!X318,"")</f>
        <v>0.21387075952090656</v>
      </c>
      <c r="V99" s="31">
        <f>IFERROR(Serie_Historica!Y320/Serie_Historica!Y318,"")</f>
        <v>0.21494961579165325</v>
      </c>
      <c r="W99" s="31">
        <f>IFERROR(Serie_Historica!Z320/Serie_Historica!Z318,"")</f>
        <v>0.21247162619384127</v>
      </c>
      <c r="X99" s="19">
        <f>IFERROR((W99-D99)*100,"")</f>
        <v>1.5743349159636906</v>
      </c>
    </row>
    <row r="100" spans="1:24">
      <c r="A100" s="28" t="s">
        <v>379</v>
      </c>
      <c r="B100" s="28" t="s">
        <v>380</v>
      </c>
      <c r="C100" s="28" t="s">
        <v>506</v>
      </c>
      <c r="D100" s="31">
        <f>IFERROR(Serie_Historica!G321/Serie_Historica!G318,"")</f>
        <v>0.66624176758019971</v>
      </c>
      <c r="E100" s="31">
        <f>IFERROR(Serie_Historica!H321/Serie_Historica!H318,"")</f>
        <v>0.6458172706245181</v>
      </c>
      <c r="F100" s="31">
        <f>IFERROR(Serie_Historica!I321/Serie_Historica!I318,"")</f>
        <v>0.64872856298048487</v>
      </c>
      <c r="G100" s="31">
        <f>IFERROR(Serie_Historica!J321/Serie_Historica!J318,"")</f>
        <v>0.69264502231112479</v>
      </c>
      <c r="H100" s="31">
        <f>IFERROR(Serie_Historica!K321/Serie_Historica!K318,"")</f>
        <v>0.68043694141012911</v>
      </c>
      <c r="I100" s="31">
        <f>IFERROR(Serie_Historica!L321/Serie_Historica!L318,"")</f>
        <v>0.70600566572237955</v>
      </c>
      <c r="J100" s="31">
        <f>IFERROR(Serie_Historica!M321/Serie_Historica!M318,"")</f>
        <v>0.68616620637710268</v>
      </c>
      <c r="K100" s="31">
        <f>IFERROR(Serie_Historica!N321/Serie_Historica!N318,"")</f>
        <v>0.69930037953267177</v>
      </c>
      <c r="L100" s="31">
        <f>IFERROR(Serie_Historica!O321/Serie_Historica!O318,"")</f>
        <v>0.70968460441910197</v>
      </c>
      <c r="M100" s="31">
        <f>IFERROR(Serie_Historica!P321/Serie_Historica!P318,"")</f>
        <v>0.71132779583483807</v>
      </c>
      <c r="N100" s="31">
        <f>IFERROR(Serie_Historica!Q321/Serie_Historica!Q318,"")</f>
        <v>0.71138151606499522</v>
      </c>
      <c r="O100" s="31">
        <f>IFERROR(Serie_Historica!R321/Serie_Historica!R318,"")</f>
        <v>0.73043244875364843</v>
      </c>
      <c r="P100" s="31">
        <f>IFERROR(Serie_Historica!S321/Serie_Historica!S318,"")</f>
        <v>0.71665669385569863</v>
      </c>
      <c r="Q100" s="31">
        <f>IFERROR(Serie_Historica!T321/Serie_Historica!T318,"")</f>
        <v>0.72305010893246191</v>
      </c>
      <c r="R100" s="31">
        <f>IFERROR(Serie_Historica!U321/Serie_Historica!U318,"")</f>
        <v>0.72963218074114888</v>
      </c>
      <c r="S100" s="31">
        <f>IFERROR(Serie_Historica!V321/Serie_Historica!V318,"")</f>
        <v>0.73473297065358978</v>
      </c>
      <c r="T100" s="31">
        <f>IFERROR(Serie_Historica!W321/Serie_Historica!W318,"")</f>
        <v>0.68557604656054971</v>
      </c>
      <c r="U100" s="31">
        <f>IFERROR(Serie_Historica!X321/Serie_Historica!X318,"")</f>
        <v>0.72504721604628364</v>
      </c>
      <c r="V100" s="31">
        <f>IFERROR(Serie_Historica!Y321/Serie_Historica!Y318,"")</f>
        <v>0.71674412184235958</v>
      </c>
      <c r="W100" s="31">
        <f>IFERROR(Serie_Historica!Z321/Serie_Historica!Z318,"")</f>
        <v>0.70966636686796003</v>
      </c>
      <c r="X100" s="19">
        <f>IFERROR((W100-D100)*100,"")</f>
        <v>4.3424599287760319</v>
      </c>
    </row>
    <row r="101" spans="1:24">
      <c r="A101" s="28" t="s">
        <v>255</v>
      </c>
      <c r="B101" s="28" t="s">
        <v>256</v>
      </c>
      <c r="C101" s="28" t="s">
        <v>504</v>
      </c>
      <c r="D101" s="31">
        <f>IFERROR(Serie_Historica!G329/Serie_Historica!G328,"")</f>
        <v>0.10999258238847091</v>
      </c>
      <c r="E101" s="31">
        <f>IFERROR(Serie_Historica!H329/Serie_Historica!H328,"")</f>
        <v>8.6751598301367305E-2</v>
      </c>
      <c r="F101" s="31">
        <f>IFERROR(Serie_Historica!I329/Serie_Historica!I328,"")</f>
        <v>7.4487334137515085E-2</v>
      </c>
      <c r="G101" s="31">
        <f>IFERROR(Serie_Historica!J329/Serie_Historica!J328,"")</f>
        <v>8.72277857256398E-2</v>
      </c>
      <c r="H101" s="31">
        <f>IFERROR(Serie_Historica!K329/Serie_Historica!K328,"")</f>
        <v>9.5438113272508174E-2</v>
      </c>
      <c r="I101" s="31">
        <f>IFERROR(Serie_Historica!L329/Serie_Historica!L328,"")</f>
        <v>0.10173590406148546</v>
      </c>
      <c r="J101" s="31">
        <f>IFERROR(Serie_Historica!M329/Serie_Historica!M328,"")</f>
        <v>9.8573701891907825E-2</v>
      </c>
      <c r="K101" s="31">
        <f>IFERROR(Serie_Historica!N329/Serie_Historica!N328,"")</f>
        <v>7.9481412885302291E-2</v>
      </c>
      <c r="L101" s="31">
        <f>IFERROR(Serie_Historica!O329/Serie_Historica!O328,"")</f>
        <v>0.11795550210463018</v>
      </c>
      <c r="M101" s="31">
        <f>IFERROR(Serie_Historica!P329/Serie_Historica!P328,"")</f>
        <v>0.22918724596375883</v>
      </c>
      <c r="N101" s="31">
        <f>IFERROR(Serie_Historica!Q329/Serie_Historica!Q328,"")</f>
        <v>0.23630333005562323</v>
      </c>
      <c r="O101" s="31">
        <f>IFERROR(Serie_Historica!R329/Serie_Historica!R328,"")</f>
        <v>0.1339810519635545</v>
      </c>
      <c r="P101" s="31">
        <f>IFERROR(Serie_Historica!S329/Serie_Historica!S328,"")</f>
        <v>0.70776476326548454</v>
      </c>
      <c r="Q101" s="31">
        <f>IFERROR(Serie_Historica!T329/Serie_Historica!T328,"")</f>
        <v>0.16006012834116518</v>
      </c>
      <c r="R101" s="31">
        <f>IFERROR(Serie_Historica!U329/Serie_Historica!U328,"")</f>
        <v>0.16521467077396995</v>
      </c>
      <c r="S101" s="31">
        <f>IFERROR(Serie_Historica!V329/Serie_Historica!V328,"")</f>
        <v>0.1788467838811838</v>
      </c>
      <c r="T101" s="31">
        <f>IFERROR(Serie_Historica!W329/Serie_Historica!W328,"")</f>
        <v>0.12558719906048149</v>
      </c>
      <c r="U101" s="31">
        <f>IFERROR(Serie_Historica!X329/Serie_Historica!X328,"")</f>
        <v>0.10495453882433024</v>
      </c>
      <c r="V101" s="31">
        <f>IFERROR(Serie_Historica!Y329/Serie_Historica!Y328,"")</f>
        <v>9.3632958801498134E-2</v>
      </c>
      <c r="W101" s="31">
        <f>IFERROR(Serie_Historica!Z329/Serie_Historica!Z328,"")</f>
        <v>7.0692273336310854E-2</v>
      </c>
      <c r="X101" s="19">
        <f>IFERROR((W101-D101)*100,"")</f>
        <v>-3.9300309052160061</v>
      </c>
    </row>
    <row r="102" spans="1:24">
      <c r="A102" s="28" t="s">
        <v>255</v>
      </c>
      <c r="B102" s="28" t="s">
        <v>256</v>
      </c>
      <c r="C102" s="28" t="s">
        <v>505</v>
      </c>
      <c r="D102" s="31">
        <f>IFERROR(Serie_Historica!G330/Serie_Historica!G328,"")</f>
        <v>0.21707110310480027</v>
      </c>
      <c r="E102" s="31">
        <f>IFERROR(Serie_Historica!H330/Serie_Historica!H328,"")</f>
        <v>0.21862896075411825</v>
      </c>
      <c r="F102" s="31">
        <f>IFERROR(Serie_Historica!I330/Serie_Historica!I328,"")</f>
        <v>0.21088230225745305</v>
      </c>
      <c r="G102" s="31">
        <f>IFERROR(Serie_Historica!J330/Serie_Historica!J328,"")</f>
        <v>0.20076299475441106</v>
      </c>
      <c r="H102" s="31">
        <f>IFERROR(Serie_Historica!K330/Serie_Historica!K328,"")</f>
        <v>0.19294198657255981</v>
      </c>
      <c r="I102" s="31">
        <f>IFERROR(Serie_Historica!L330/Serie_Historica!L328,"")</f>
        <v>0.20963360498244218</v>
      </c>
      <c r="J102" s="31">
        <f>IFERROR(Serie_Historica!M330/Serie_Historica!M328,"")</f>
        <v>0.19929863853362409</v>
      </c>
      <c r="K102" s="31">
        <f>IFERROR(Serie_Historica!N330/Serie_Historica!N328,"")</f>
        <v>0.2023018917846276</v>
      </c>
      <c r="L102" s="31">
        <f>IFERROR(Serie_Historica!O330/Serie_Historica!O328,"")</f>
        <v>0.21082381238725195</v>
      </c>
      <c r="M102" s="31">
        <f>IFERROR(Serie_Historica!P330/Serie_Historica!P328,"")</f>
        <v>0.25529124091137273</v>
      </c>
      <c r="N102" s="31">
        <f>IFERROR(Serie_Historica!Q330/Serie_Historica!Q328,"")</f>
        <v>0.26410026857654434</v>
      </c>
      <c r="O102" s="31">
        <f>IFERROR(Serie_Historica!R330/Serie_Historica!R328,"")</f>
        <v>0.26785633338873693</v>
      </c>
      <c r="P102" s="31">
        <f>IFERROR(Serie_Historica!S330/Serie_Historica!S328,"")</f>
        <v>0.1900272177396162</v>
      </c>
      <c r="Q102" s="31">
        <f>IFERROR(Serie_Historica!T330/Serie_Historica!T328,"")</f>
        <v>0.25162952857359405</v>
      </c>
      <c r="R102" s="31">
        <f>IFERROR(Serie_Historica!U330/Serie_Historica!U328,"")</f>
        <v>0.26399451289949943</v>
      </c>
      <c r="S102" s="31">
        <f>IFERROR(Serie_Historica!V330/Serie_Historica!V328,"")</f>
        <v>0.25953915037676095</v>
      </c>
      <c r="T102" s="31">
        <f>IFERROR(Serie_Historica!W330/Serie_Historica!W328,"")</f>
        <v>0.32830718899421191</v>
      </c>
      <c r="U102" s="31">
        <f>IFERROR(Serie_Historica!X330/Serie_Historica!X328,"")</f>
        <v>0.33550833860067097</v>
      </c>
      <c r="V102" s="31">
        <f>IFERROR(Serie_Historica!Y330/Serie_Historica!Y328,"")</f>
        <v>0.33576683967375803</v>
      </c>
      <c r="W102" s="31">
        <f>IFERROR(Serie_Historica!Z330/Serie_Historica!Z328,"")</f>
        <v>0.32251004912907549</v>
      </c>
      <c r="X102" s="19">
        <f>IFERROR((W102-D102)*100,"")</f>
        <v>10.543894602427523</v>
      </c>
    </row>
    <row r="103" spans="1:24">
      <c r="A103" s="28" t="s">
        <v>255</v>
      </c>
      <c r="B103" s="28" t="s">
        <v>256</v>
      </c>
      <c r="C103" s="28" t="s">
        <v>506</v>
      </c>
      <c r="D103" s="31">
        <f>IFERROR(Serie_Historica!G331/Serie_Historica!G328,"")</f>
        <v>0.50831832150047684</v>
      </c>
      <c r="E103" s="31">
        <f>IFERROR(Serie_Historica!H331/Serie_Historica!H328,"")</f>
        <v>0.49699006019879605</v>
      </c>
      <c r="F103" s="31">
        <f>IFERROR(Serie_Historica!I331/Serie_Historica!I328,"")</f>
        <v>0.48789419265896949</v>
      </c>
      <c r="G103" s="31">
        <f>IFERROR(Serie_Historica!J331/Serie_Historica!J328,"")</f>
        <v>0.50087426482276265</v>
      </c>
      <c r="H103" s="31">
        <f>IFERROR(Serie_Historica!K331/Serie_Historica!K328,"")</f>
        <v>0.48180409709072131</v>
      </c>
      <c r="I103" s="31">
        <f>IFERROR(Serie_Historica!L331/Serie_Historica!L328,"")</f>
        <v>0.53435367388855759</v>
      </c>
      <c r="J103" s="31">
        <f>IFERROR(Serie_Historica!M331/Serie_Historica!M328,"")</f>
        <v>0.53745505982200747</v>
      </c>
      <c r="K103" s="31">
        <f>IFERROR(Serie_Historica!N331/Serie_Historica!N328,"")</f>
        <v>0.54745336684746659</v>
      </c>
      <c r="L103" s="31">
        <f>IFERROR(Serie_Historica!O331/Serie_Historica!O328,"")</f>
        <v>0.5244497895369814</v>
      </c>
      <c r="M103" s="31">
        <f>IFERROR(Serie_Historica!P331/Serie_Historica!P328,"")</f>
        <v>0.40228005117160298</v>
      </c>
      <c r="N103" s="31">
        <f>IFERROR(Serie_Historica!Q331/Serie_Historica!Q328,"")</f>
        <v>0.39410305707618476</v>
      </c>
      <c r="O103" s="31">
        <f>IFERROR(Serie_Historica!R331/Serie_Historica!R328,"")</f>
        <v>0.47790151251869872</v>
      </c>
      <c r="P103" s="31">
        <f>IFERROR(Serie_Historica!S331/Serie_Historica!S328,"")</f>
        <v>8.065929970113403E-2</v>
      </c>
      <c r="Q103" s="31">
        <f>IFERROR(Serie_Historica!T331/Serie_Historica!T328,"")</f>
        <v>0.4584407053711283</v>
      </c>
      <c r="R103" s="31">
        <f>IFERROR(Serie_Historica!U331/Serie_Historica!U328,"")</f>
        <v>0.45954466692337315</v>
      </c>
      <c r="S103" s="31">
        <f>IFERROR(Serie_Historica!V331/Serie_Historica!V328,"")</f>
        <v>0.45386043464016601</v>
      </c>
      <c r="T103" s="31">
        <f>IFERROR(Serie_Historica!W331/Serie_Historica!W328,"")</f>
        <v>0.43770447110141769</v>
      </c>
      <c r="U103" s="31">
        <f>IFERROR(Serie_Historica!X331/Serie_Historica!X328,"")</f>
        <v>0.44649195312879858</v>
      </c>
      <c r="V103" s="31">
        <f>IFERROR(Serie_Historica!Y331/Serie_Historica!Y328,"")</f>
        <v>0.43515085838133805</v>
      </c>
      <c r="W103" s="31">
        <f>IFERROR(Serie_Historica!Z331/Serie_Historica!Z328,"")</f>
        <v>0.4289772219740956</v>
      </c>
      <c r="X103" s="19">
        <f>IFERROR((W103-D103)*100,"")</f>
        <v>-7.9341099526381242</v>
      </c>
    </row>
    <row r="104" spans="1:24">
      <c r="A104" s="28" t="s">
        <v>131</v>
      </c>
      <c r="B104" s="28" t="s">
        <v>132</v>
      </c>
      <c r="C104" s="28" t="s">
        <v>504</v>
      </c>
      <c r="D104" s="31">
        <f>IFERROR(Serie_Historica!G339/Serie_Historica!G338,"")</f>
        <v>0.18410048468337187</v>
      </c>
      <c r="E104" s="31">
        <f>IFERROR(Serie_Historica!H339/Serie_Historica!H338,"")</f>
        <v>0.10143906847900087</v>
      </c>
      <c r="F104" s="31">
        <f>IFERROR(Serie_Historica!I339/Serie_Historica!I338,"")</f>
        <v>0.1029656475631769</v>
      </c>
      <c r="G104" s="31">
        <f>IFERROR(Serie_Historica!J339/Serie_Historica!J338,"")</f>
        <v>0.11971314288419209</v>
      </c>
      <c r="H104" s="31">
        <f>IFERROR(Serie_Historica!K339/Serie_Historica!K338,"")</f>
        <v>0.11626492673851085</v>
      </c>
      <c r="I104" s="31">
        <f>IFERROR(Serie_Historica!L339/Serie_Historica!L338,"")</f>
        <v>0.1273410022020238</v>
      </c>
      <c r="J104" s="31">
        <f>IFERROR(Serie_Historica!M339/Serie_Historica!M338,"")</f>
        <v>0.13047831594185416</v>
      </c>
      <c r="K104" s="31">
        <f>IFERROR(Serie_Historica!N339/Serie_Historica!N338,"")</f>
        <v>0.1054015957267436</v>
      </c>
      <c r="L104" s="31">
        <f>IFERROR(Serie_Historica!O339/Serie_Historica!O338,"")</f>
        <v>0.11027843601895734</v>
      </c>
      <c r="M104" s="31">
        <f>IFERROR(Serie_Historica!P339/Serie_Historica!P338,"")</f>
        <v>0.13013269212329526</v>
      </c>
      <c r="N104" s="31">
        <f>IFERROR(Serie_Historica!Q339/Serie_Historica!Q338,"")</f>
        <v>0.13674002700984725</v>
      </c>
      <c r="O104" s="31">
        <f>IFERROR(Serie_Historica!R339/Serie_Historica!R338,"")</f>
        <v>0.13709537552541989</v>
      </c>
      <c r="P104" s="31">
        <f>IFERROR(Serie_Historica!S339/Serie_Historica!S338,"")</f>
        <v>0.13993579673519568</v>
      </c>
      <c r="Q104" s="31">
        <f>IFERROR(Serie_Historica!T339/Serie_Historica!T338,"")</f>
        <v>0.1538672875021185</v>
      </c>
      <c r="R104" s="31">
        <f>IFERROR(Serie_Historica!U339/Serie_Historica!U338,"")</f>
        <v>0.16555810164411491</v>
      </c>
      <c r="S104" s="31">
        <f>IFERROR(Serie_Historica!V339/Serie_Historica!V338,"")</f>
        <v>0.15278725090788431</v>
      </c>
      <c r="T104" s="31">
        <f>IFERROR(Serie_Historica!W339/Serie_Historica!W338,"")</f>
        <v>0.11861980777293882</v>
      </c>
      <c r="U104" s="31">
        <f>IFERROR(Serie_Historica!X339/Serie_Historica!X338,"")</f>
        <v>0.12506494724571571</v>
      </c>
      <c r="V104" s="31">
        <f>IFERROR(Serie_Historica!Y339/Serie_Historica!Y338,"")</f>
        <v>0.13013365717164466</v>
      </c>
      <c r="W104" s="31">
        <f>IFERROR(Serie_Historica!Z339/Serie_Historica!Z338,"")</f>
        <v>0.11202214752932316</v>
      </c>
      <c r="X104" s="19">
        <f>IFERROR((W104-D104)*100,"")</f>
        <v>-7.2078337154048713</v>
      </c>
    </row>
    <row r="105" spans="1:24">
      <c r="A105" s="28" t="s">
        <v>131</v>
      </c>
      <c r="B105" s="28" t="s">
        <v>132</v>
      </c>
      <c r="C105" s="28" t="s">
        <v>505</v>
      </c>
      <c r="D105" s="31">
        <f>IFERROR(Serie_Historica!G340/Serie_Historica!G338,"")</f>
        <v>0.41594861722685084</v>
      </c>
      <c r="E105" s="31">
        <f>IFERROR(Serie_Historica!H340/Serie_Historica!H338,"")</f>
        <v>0.4658622281694329</v>
      </c>
      <c r="F105" s="31">
        <f>IFERROR(Serie_Historica!I340/Serie_Historica!I338,"")</f>
        <v>0.46882756092057759</v>
      </c>
      <c r="G105" s="31">
        <f>IFERROR(Serie_Historica!J340/Serie_Historica!J338,"")</f>
        <v>0.46448604766751084</v>
      </c>
      <c r="H105" s="31">
        <f>IFERROR(Serie_Historica!K340/Serie_Historica!K338,"")</f>
        <v>0.469579603259273</v>
      </c>
      <c r="I105" s="31">
        <f>IFERROR(Serie_Historica!L340/Serie_Historica!L338,"")</f>
        <v>0.48952416385825714</v>
      </c>
      <c r="J105" s="31">
        <f>IFERROR(Serie_Historica!M340/Serie_Historica!M338,"")</f>
        <v>0.46407704525805737</v>
      </c>
      <c r="K105" s="31">
        <f>IFERROR(Serie_Historica!N340/Serie_Historica!N338,"")</f>
        <v>0.52029729346939046</v>
      </c>
      <c r="L105" s="31">
        <f>IFERROR(Serie_Historica!O340/Serie_Historica!O338,"")</f>
        <v>0.53042950236966824</v>
      </c>
      <c r="M105" s="31">
        <f>IFERROR(Serie_Historica!P340/Serie_Historica!P338,"")</f>
        <v>0.53160934376774827</v>
      </c>
      <c r="N105" s="31">
        <f>IFERROR(Serie_Historica!Q340/Serie_Historica!Q338,"")</f>
        <v>0.5426625031836092</v>
      </c>
      <c r="O105" s="31">
        <f>IFERROR(Serie_Historica!R340/Serie_Historica!R338,"")</f>
        <v>0.52898602972556374</v>
      </c>
      <c r="P105" s="31">
        <f>IFERROR(Serie_Historica!S340/Serie_Historica!S338,"")</f>
        <v>0.49522963888102883</v>
      </c>
      <c r="Q105" s="31">
        <f>IFERROR(Serie_Historica!T340/Serie_Historica!T338,"")</f>
        <v>0.48393409867358861</v>
      </c>
      <c r="R105" s="31">
        <f>IFERROR(Serie_Historica!U340/Serie_Historica!U338,"")</f>
        <v>0.47023080341195228</v>
      </c>
      <c r="S105" s="31">
        <f>IFERROR(Serie_Historica!V340/Serie_Historica!V338,"")</f>
        <v>0.50580984509128002</v>
      </c>
      <c r="T105" s="31">
        <f>IFERROR(Serie_Historica!W340/Serie_Historica!W338,"")</f>
        <v>0.5264926673874244</v>
      </c>
      <c r="U105" s="31">
        <f>IFERROR(Serie_Historica!X340/Serie_Historica!X338,"")</f>
        <v>0.51467547219811249</v>
      </c>
      <c r="V105" s="31">
        <f>IFERROR(Serie_Historica!Y340/Serie_Historica!Y338,"")</f>
        <v>0.49717454028108338</v>
      </c>
      <c r="W105" s="31">
        <f>IFERROR(Serie_Historica!Z340/Serie_Historica!Z338,"")</f>
        <v>0.50896361278085378</v>
      </c>
      <c r="X105" s="19">
        <f>IFERROR((W105-D105)*100,"")</f>
        <v>9.3014995554002944</v>
      </c>
    </row>
    <row r="106" spans="1:24">
      <c r="A106" s="28" t="s">
        <v>131</v>
      </c>
      <c r="B106" s="28" t="s">
        <v>132</v>
      </c>
      <c r="C106" s="28" t="s">
        <v>506</v>
      </c>
      <c r="D106" s="31">
        <f>IFERROR(Serie_Historica!G341/Serie_Historica!G338,"")</f>
        <v>0.3498748693255615</v>
      </c>
      <c r="E106" s="31">
        <f>IFERROR(Serie_Historica!H341/Serie_Historica!H338,"")</f>
        <v>0.37458819478680033</v>
      </c>
      <c r="F106" s="31">
        <f>IFERROR(Serie_Historica!I341/Serie_Historica!I338,"")</f>
        <v>0.3686400045126354</v>
      </c>
      <c r="G106" s="31">
        <f>IFERROR(Serie_Historica!J341/Serie_Historica!J338,"")</f>
        <v>0.35618091879482144</v>
      </c>
      <c r="H106" s="31">
        <f>IFERROR(Serie_Historica!K341/Serie_Historica!K338,"")</f>
        <v>0.34960908308466171</v>
      </c>
      <c r="I106" s="31">
        <f>IFERROR(Serie_Historica!L341/Serie_Historica!L338,"")</f>
        <v>0.35770124291047845</v>
      </c>
      <c r="J106" s="31">
        <f>IFERROR(Serie_Historica!M341/Serie_Historica!M338,"")</f>
        <v>0.37177553933691215</v>
      </c>
      <c r="K106" s="31">
        <f>IFERROR(Serie_Historica!N341/Serie_Historica!N338,"")</f>
        <v>0.34193807285308658</v>
      </c>
      <c r="L106" s="31">
        <f>IFERROR(Serie_Historica!O341/Serie_Historica!O338,"")</f>
        <v>0.33113744075829382</v>
      </c>
      <c r="M106" s="31">
        <f>IFERROR(Serie_Historica!P341/Serie_Historica!P338,"")</f>
        <v>0.30682195357619657</v>
      </c>
      <c r="N106" s="31">
        <f>IFERROR(Serie_Historica!Q341/Serie_Historica!Q338,"")</f>
        <v>0.29397500626020628</v>
      </c>
      <c r="O106" s="31">
        <f>IFERROR(Serie_Historica!R341/Serie_Historica!R338,"")</f>
        <v>0.30657045254803073</v>
      </c>
      <c r="P106" s="31">
        <f>IFERROR(Serie_Historica!S341/Serie_Historica!S338,"")</f>
        <v>0.33367158761599031</v>
      </c>
      <c r="Q106" s="31">
        <f>IFERROR(Serie_Historica!T341/Serie_Historica!T338,"")</f>
        <v>0.32963864879088728</v>
      </c>
      <c r="R106" s="31">
        <f>IFERROR(Serie_Historica!U341/Serie_Historica!U338,"")</f>
        <v>0.33410993874866041</v>
      </c>
      <c r="S106" s="31">
        <f>IFERROR(Serie_Historica!V341/Serie_Historica!V338,"")</f>
        <v>0.31558119957478448</v>
      </c>
      <c r="T106" s="31">
        <f>IFERROR(Serie_Historica!W341/Serie_Historica!W338,"")</f>
        <v>0.33263185288830555</v>
      </c>
      <c r="U106" s="31">
        <f>IFERROR(Serie_Historica!X341/Serie_Historica!X338,"")</f>
        <v>0.33851621038590202</v>
      </c>
      <c r="V106" s="31">
        <f>IFERROR(Serie_Historica!Y341/Serie_Historica!Y338,"")</f>
        <v>0.34703588961722964</v>
      </c>
      <c r="W106" s="31">
        <f>IFERROR(Serie_Historica!Z341/Serie_Historica!Z338,"")</f>
        <v>0.35228657898774074</v>
      </c>
      <c r="X106" s="19">
        <f>IFERROR((W106-D106)*100,"")</f>
        <v>0.241170966217924</v>
      </c>
    </row>
    <row r="107" spans="1:24">
      <c r="A107" s="28" t="s">
        <v>319</v>
      </c>
      <c r="B107" s="28" t="s">
        <v>320</v>
      </c>
      <c r="C107" s="28" t="s">
        <v>504</v>
      </c>
      <c r="D107" s="31">
        <f>IFERROR(Serie_Historica!G349/Serie_Historica!G348,"")</f>
        <v>5.1486863631989219E-2</v>
      </c>
      <c r="E107" s="31">
        <f>IFERROR(Serie_Historica!H349/Serie_Historica!H348,"")</f>
        <v>3.436657681940701E-2</v>
      </c>
      <c r="F107" s="31">
        <f>IFERROR(Serie_Historica!I349/Serie_Historica!I348,"")</f>
        <v>3.81935138032699E-2</v>
      </c>
      <c r="G107" s="31">
        <f>IFERROR(Serie_Historica!J349/Serie_Historica!J348,"")</f>
        <v>3.7594905706588293E-2</v>
      </c>
      <c r="H107" s="31">
        <f>IFERROR(Serie_Historica!K349/Serie_Historica!K348,"")</f>
        <v>3.2588755800151074E-2</v>
      </c>
      <c r="I107" s="31">
        <f>IFERROR(Serie_Historica!L349/Serie_Historica!L348,"")</f>
        <v>3.2734631925120161E-2</v>
      </c>
      <c r="J107" s="31">
        <f>IFERROR(Serie_Historica!M349/Serie_Historica!M348,"")</f>
        <v>2.9895366218236172E-2</v>
      </c>
      <c r="K107" s="31">
        <f>IFERROR(Serie_Historica!N349/Serie_Historica!N348,"")</f>
        <v>3.2321518108535501E-2</v>
      </c>
      <c r="L107" s="31">
        <f>IFERROR(Serie_Historica!O349/Serie_Historica!O348,"")</f>
        <v>2.878626765912198E-2</v>
      </c>
      <c r="M107" s="31">
        <f>IFERROR(Serie_Historica!P349/Serie_Historica!P348,"")</f>
        <v>2.7862387380166085E-2</v>
      </c>
      <c r="N107" s="31">
        <f>IFERROR(Serie_Historica!Q349/Serie_Historica!Q348,"")</f>
        <v>3.1894934333958722E-2</v>
      </c>
      <c r="O107" s="31">
        <f>IFERROR(Serie_Historica!R349/Serie_Historica!R348,"")</f>
        <v>2.8389225390259516E-2</v>
      </c>
      <c r="P107" s="31">
        <f>IFERROR(Serie_Historica!S349/Serie_Historica!S348,"")</f>
        <v>2.7903884073921217E-2</v>
      </c>
      <c r="Q107" s="31">
        <f>IFERROR(Serie_Historica!T349/Serie_Historica!T348,"")</f>
        <v>2.4741547002382357E-2</v>
      </c>
      <c r="R107" s="31">
        <f>IFERROR(Serie_Historica!U349/Serie_Historica!U348,"")</f>
        <v>3.3917073370791126E-2</v>
      </c>
      <c r="S107" s="31">
        <f>IFERROR(Serie_Historica!V349/Serie_Historica!V348,"")</f>
        <v>3.2030308248665401E-2</v>
      </c>
      <c r="T107" s="31">
        <f>IFERROR(Serie_Historica!W349/Serie_Historica!W348,"")</f>
        <v>2.3195616364675431E-2</v>
      </c>
      <c r="U107" s="31">
        <f>IFERROR(Serie_Historica!X349/Serie_Historica!X348,"")</f>
        <v>2.165950712186299E-2</v>
      </c>
      <c r="V107" s="31">
        <f>IFERROR(Serie_Historica!Y349/Serie_Historica!Y348,"")</f>
        <v>1.998083234106816E-2</v>
      </c>
      <c r="W107" s="31">
        <f>IFERROR(Serie_Historica!Z349/Serie_Historica!Z348,"")</f>
        <v>2.0051337875794596E-2</v>
      </c>
      <c r="X107" s="19">
        <f>IFERROR((W107-D107)*100,"")</f>
        <v>-3.1435525756194629</v>
      </c>
    </row>
    <row r="108" spans="1:24">
      <c r="A108" s="28" t="s">
        <v>319</v>
      </c>
      <c r="B108" s="28" t="s">
        <v>320</v>
      </c>
      <c r="C108" s="28" t="s">
        <v>505</v>
      </c>
      <c r="D108" s="31">
        <f>IFERROR(Serie_Historica!G350/Serie_Historica!G348,"")</f>
        <v>0.16899239726686555</v>
      </c>
      <c r="E108" s="31">
        <f>IFERROR(Serie_Historica!H350/Serie_Historica!H348,"")</f>
        <v>0.17907681940700809</v>
      </c>
      <c r="F108" s="31">
        <f>IFERROR(Serie_Historica!I350/Serie_Historica!I348,"")</f>
        <v>0.17334494773519163</v>
      </c>
      <c r="G108" s="31">
        <f>IFERROR(Serie_Historica!J350/Serie_Historica!J348,"")</f>
        <v>0.17364682831251529</v>
      </c>
      <c r="H108" s="31">
        <f>IFERROR(Serie_Historica!K350/Serie_Historica!K348,"")</f>
        <v>0.17794323945181828</v>
      </c>
      <c r="I108" s="31">
        <f>IFERROR(Serie_Historica!L350/Serie_Historica!L348,"")</f>
        <v>0.17687832026309133</v>
      </c>
      <c r="J108" s="31">
        <f>IFERROR(Serie_Historica!M350/Serie_Historica!M348,"")</f>
        <v>0.15951980568011959</v>
      </c>
      <c r="K108" s="31">
        <f>IFERROR(Serie_Historica!N350/Serie_Historica!N348,"")</f>
        <v>0.18390095267481776</v>
      </c>
      <c r="L108" s="31">
        <f>IFERROR(Serie_Historica!O350/Serie_Historica!O348,"")</f>
        <v>0.20807382652286191</v>
      </c>
      <c r="M108" s="31">
        <f>IFERROR(Serie_Historica!P350/Serie_Historica!P348,"")</f>
        <v>0.20116066561928886</v>
      </c>
      <c r="N108" s="31">
        <f>IFERROR(Serie_Historica!Q350/Serie_Historica!Q348,"")</f>
        <v>0.21718119279094888</v>
      </c>
      <c r="O108" s="31">
        <f>IFERROR(Serie_Historica!R350/Serie_Historica!R348,"")</f>
        <v>0.20552026394839218</v>
      </c>
      <c r="P108" s="31">
        <f>IFERROR(Serie_Historica!S350/Serie_Historica!S348,"")</f>
        <v>0.2018847159169074</v>
      </c>
      <c r="Q108" s="31">
        <f>IFERROR(Serie_Historica!T350/Serie_Historica!T348,"")</f>
        <v>0.20901361659344742</v>
      </c>
      <c r="R108" s="31">
        <f>IFERROR(Serie_Historica!U350/Serie_Historica!U348,"")</f>
        <v>0.21679038674486323</v>
      </c>
      <c r="S108" s="31">
        <f>IFERROR(Serie_Historica!V350/Serie_Historica!V348,"")</f>
        <v>0.2173239194076115</v>
      </c>
      <c r="T108" s="31">
        <f>IFERROR(Serie_Historica!W350/Serie_Historica!W348,"")</f>
        <v>0.26890106565367938</v>
      </c>
      <c r="U108" s="31">
        <f>IFERROR(Serie_Historica!X350/Serie_Historica!X348,"")</f>
        <v>0.27213806616926672</v>
      </c>
      <c r="V108" s="31">
        <f>IFERROR(Serie_Historica!Y350/Serie_Historica!Y348,"")</f>
        <v>0.27476548659715971</v>
      </c>
      <c r="W108" s="31">
        <f>IFERROR(Serie_Historica!Z350/Serie_Historica!Z348,"")</f>
        <v>0.26549207757126153</v>
      </c>
      <c r="X108" s="19">
        <f>IFERROR((W108-D108)*100,"")</f>
        <v>9.6499680304395987</v>
      </c>
    </row>
    <row r="109" spans="1:24">
      <c r="A109" s="28" t="s">
        <v>319</v>
      </c>
      <c r="B109" s="28" t="s">
        <v>320</v>
      </c>
      <c r="C109" s="28" t="s">
        <v>506</v>
      </c>
      <c r="D109" s="31">
        <f>IFERROR(Serie_Historica!G351/Serie_Historica!G348,"")</f>
        <v>0.68607448753729183</v>
      </c>
      <c r="E109" s="31">
        <f>IFERROR(Serie_Historica!H351/Serie_Historica!H348,"")</f>
        <v>0.68800539083557954</v>
      </c>
      <c r="F109" s="31">
        <f>IFERROR(Serie_Historica!I351/Serie_Historica!I348,"")</f>
        <v>0.5904583221656392</v>
      </c>
      <c r="G109" s="31">
        <f>IFERROR(Serie_Historica!J351/Serie_Historica!J348,"")</f>
        <v>0.63311290717609603</v>
      </c>
      <c r="H109" s="31">
        <f>IFERROR(Serie_Historica!K351/Serie_Historica!K348,"")</f>
        <v>0.64368188194669251</v>
      </c>
      <c r="I109" s="31">
        <f>IFERROR(Serie_Historica!L351/Serie_Historica!L348,"")</f>
        <v>0.70270680495825955</v>
      </c>
      <c r="J109" s="31">
        <f>IFERROR(Serie_Historica!M351/Serie_Historica!M348,"")</f>
        <v>0.69801008968609868</v>
      </c>
      <c r="K109" s="31">
        <f>IFERROR(Serie_Historica!N351/Serie_Historica!N348,"")</f>
        <v>0.69383268407451693</v>
      </c>
      <c r="L109" s="31">
        <f>IFERROR(Serie_Historica!O351/Serie_Historica!O348,"")</f>
        <v>0.70021266899589851</v>
      </c>
      <c r="M109" s="31">
        <f>IFERROR(Serie_Historica!P351/Serie_Historica!P348,"")</f>
        <v>0.68206739555612561</v>
      </c>
      <c r="N109" s="31">
        <f>IFERROR(Serie_Historica!Q351/Serie_Historica!Q348,"")</f>
        <v>0.70103473762010349</v>
      </c>
      <c r="O109" s="31">
        <f>IFERROR(Serie_Historica!R351/Serie_Historica!R348,"")</f>
        <v>0.72113064460530851</v>
      </c>
      <c r="P109" s="31">
        <f>IFERROR(Serie_Historica!S351/Serie_Historica!S348,"")</f>
        <v>0.70805246021919566</v>
      </c>
      <c r="Q109" s="31">
        <f>IFERROR(Serie_Historica!T351/Serie_Historica!T348,"")</f>
        <v>0.71477280178348956</v>
      </c>
      <c r="R109" s="31">
        <f>IFERROR(Serie_Historica!U351/Serie_Historica!U348,"")</f>
        <v>0.7089775663372021</v>
      </c>
      <c r="S109" s="31">
        <f>IFERROR(Serie_Historica!V351/Serie_Historica!V348,"")</f>
        <v>0.70420756558176911</v>
      </c>
      <c r="T109" s="31">
        <f>IFERROR(Serie_Historica!W351/Serie_Historica!W348,"")</f>
        <v>0.64036709584159746</v>
      </c>
      <c r="U109" s="31">
        <f>IFERROR(Serie_Historica!X351/Serie_Historica!X348,"")</f>
        <v>0.62802019745270932</v>
      </c>
      <c r="V109" s="31">
        <f>IFERROR(Serie_Historica!Y351/Serie_Historica!Y348,"")</f>
        <v>0.6322423256759504</v>
      </c>
      <c r="W109" s="31">
        <f>IFERROR(Serie_Historica!Z351/Serie_Historica!Z348,"")</f>
        <v>0.63973444072625618</v>
      </c>
      <c r="X109" s="19">
        <f>IFERROR((W109-D109)*100,"")</f>
        <v>-4.6340046811035656</v>
      </c>
    </row>
    <row r="110" spans="1:24">
      <c r="A110" s="28" t="s">
        <v>105</v>
      </c>
      <c r="B110" s="28" t="s">
        <v>106</v>
      </c>
      <c r="C110" s="28" t="s">
        <v>504</v>
      </c>
      <c r="D110" s="31">
        <f>IFERROR(Serie_Historica!G359/Serie_Historica!G358,"")</f>
        <v>0.33105303454770002</v>
      </c>
      <c r="E110" s="31">
        <f>IFERROR(Serie_Historica!H359/Serie_Historica!H358,"")</f>
        <v>0.30165373284563551</v>
      </c>
      <c r="F110" s="31">
        <f>IFERROR(Serie_Historica!I359/Serie_Historica!I358,"")</f>
        <v>0.28370197254548501</v>
      </c>
      <c r="G110" s="31">
        <f>IFERROR(Serie_Historica!J359/Serie_Historica!J358,"")</f>
        <v>0.30274107998400474</v>
      </c>
      <c r="H110" s="31">
        <f>IFERROR(Serie_Historica!K359/Serie_Historica!K358,"")</f>
        <v>0.2793991328359407</v>
      </c>
      <c r="I110" s="31">
        <f>IFERROR(Serie_Historica!L359/Serie_Historica!L358,"")</f>
        <v>0.29578752865853986</v>
      </c>
      <c r="J110" s="31">
        <f>IFERROR(Serie_Historica!M359/Serie_Historica!M358,"")</f>
        <v>0.24214383678041518</v>
      </c>
      <c r="K110" s="31">
        <f>IFERROR(Serie_Historica!N359/Serie_Historica!N358,"")</f>
        <v>0.19117096638491554</v>
      </c>
      <c r="L110" s="31">
        <f>IFERROR(Serie_Historica!O359/Serie_Historica!O358,"")</f>
        <v>0.24279017717655493</v>
      </c>
      <c r="M110" s="31">
        <f>IFERROR(Serie_Historica!P359/Serie_Historica!P358,"")</f>
        <v>0.24411570562152757</v>
      </c>
      <c r="N110" s="31">
        <f>IFERROR(Serie_Historica!Q359/Serie_Historica!Q358,"")</f>
        <v>0.26264100923541661</v>
      </c>
      <c r="O110" s="31">
        <f>IFERROR(Serie_Historica!R359/Serie_Historica!R358,"")</f>
        <v>0.24002374497033549</v>
      </c>
      <c r="P110" s="31">
        <f>IFERROR(Serie_Historica!S359/Serie_Historica!S358,"")</f>
        <v>0.1769477451575778</v>
      </c>
      <c r="Q110" s="31">
        <f>IFERROR(Serie_Historica!T359/Serie_Historica!T358,"")</f>
        <v>0.2092487167730675</v>
      </c>
      <c r="R110" s="31">
        <f>IFERROR(Serie_Historica!U359/Serie_Historica!U358,"")</f>
        <v>0.17860962908474959</v>
      </c>
      <c r="S110" s="31">
        <f>IFERROR(Serie_Historica!V359/Serie_Historica!V358,"")</f>
        <v>0.15786324904960544</v>
      </c>
      <c r="T110" s="31">
        <f>IFERROR(Serie_Historica!W359/Serie_Historica!W358,"")</f>
        <v>0.16626282308698168</v>
      </c>
      <c r="U110" s="31">
        <f>IFERROR(Serie_Historica!X359/Serie_Historica!X358,"")</f>
        <v>0.15323296472853234</v>
      </c>
      <c r="V110" s="31">
        <f>IFERROR(Serie_Historica!Y359/Serie_Historica!Y358,"")</f>
        <v>0.13053348444820778</v>
      </c>
      <c r="W110" s="31">
        <f>IFERROR(Serie_Historica!Z359/Serie_Historica!Z358,"")</f>
        <v>0.10165973022586416</v>
      </c>
      <c r="X110" s="19">
        <f>IFERROR((W110-D110)*100,"")</f>
        <v>-22.939330432183585</v>
      </c>
    </row>
    <row r="111" spans="1:24">
      <c r="A111" s="28" t="s">
        <v>105</v>
      </c>
      <c r="B111" s="28" t="s">
        <v>106</v>
      </c>
      <c r="C111" s="28" t="s">
        <v>505</v>
      </c>
      <c r="D111" s="31">
        <f>IFERROR(Serie_Historica!G360/Serie_Historica!G358,"")</f>
        <v>0.43104394073178814</v>
      </c>
      <c r="E111" s="31">
        <f>IFERROR(Serie_Historica!H360/Serie_Historica!H358,"")</f>
        <v>0.45538403662309074</v>
      </c>
      <c r="F111" s="31">
        <f>IFERROR(Serie_Historica!I360/Serie_Historica!I358,"")</f>
        <v>0.47404674355085535</v>
      </c>
      <c r="G111" s="31">
        <f>IFERROR(Serie_Historica!J360/Serie_Historica!J358,"")</f>
        <v>0.45732954073895232</v>
      </c>
      <c r="H111" s="31">
        <f>IFERROR(Serie_Historica!K360/Serie_Historica!K358,"")</f>
        <v>0.45996239670621103</v>
      </c>
      <c r="I111" s="31">
        <f>IFERROR(Serie_Historica!L360/Serie_Historica!L358,"")</f>
        <v>0.46602927580070225</v>
      </c>
      <c r="J111" s="31">
        <f>IFERROR(Serie_Historica!M360/Serie_Historica!M358,"")</f>
        <v>0.51336606884270441</v>
      </c>
      <c r="K111" s="31">
        <f>IFERROR(Serie_Historica!N360/Serie_Historica!N358,"")</f>
        <v>0.55773068922362579</v>
      </c>
      <c r="L111" s="31">
        <f>IFERROR(Serie_Historica!O360/Serie_Historica!O358,"")</f>
        <v>0.52058604426289357</v>
      </c>
      <c r="M111" s="31">
        <f>IFERROR(Serie_Historica!P360/Serie_Historica!P358,"")</f>
        <v>0.50092494389636566</v>
      </c>
      <c r="N111" s="31">
        <f>IFERROR(Serie_Historica!Q360/Serie_Historica!Q358,"")</f>
        <v>0.50086565641732961</v>
      </c>
      <c r="O111" s="31">
        <f>IFERROR(Serie_Historica!R360/Serie_Historica!R358,"")</f>
        <v>0.52601788609650169</v>
      </c>
      <c r="P111" s="31">
        <f>IFERROR(Serie_Historica!S360/Serie_Historica!S358,"")</f>
        <v>0.56896364095790986</v>
      </c>
      <c r="Q111" s="31">
        <f>IFERROR(Serie_Historica!T360/Serie_Historica!T358,"")</f>
        <v>0.53258913577145417</v>
      </c>
      <c r="R111" s="31">
        <f>IFERROR(Serie_Historica!U360/Serie_Historica!U358,"")</f>
        <v>0.56285741273790246</v>
      </c>
      <c r="S111" s="31">
        <f>IFERROR(Serie_Historica!V360/Serie_Historica!V358,"")</f>
        <v>0.57497136288663042</v>
      </c>
      <c r="T111" s="31">
        <f>IFERROR(Serie_Historica!W360/Serie_Historica!W358,"")</f>
        <v>0.55525781521779249</v>
      </c>
      <c r="U111" s="31">
        <f>IFERROR(Serie_Historica!X360/Serie_Historica!X358,"")</f>
        <v>0.56245237938117554</v>
      </c>
      <c r="V111" s="31">
        <f>IFERROR(Serie_Historica!Y360/Serie_Historica!Y358,"")</f>
        <v>0.56773851629194672</v>
      </c>
      <c r="W111" s="31">
        <f>IFERROR(Serie_Historica!Z360/Serie_Historica!Z358,"")</f>
        <v>0.61069962932322053</v>
      </c>
      <c r="X111" s="19">
        <f>IFERROR((W111-D111)*100,"")</f>
        <v>17.965568859143239</v>
      </c>
    </row>
    <row r="112" spans="1:24">
      <c r="A112" s="28" t="s">
        <v>105</v>
      </c>
      <c r="B112" s="28" t="s">
        <v>106</v>
      </c>
      <c r="C112" s="28" t="s">
        <v>506</v>
      </c>
      <c r="D112" s="31">
        <f>IFERROR(Serie_Historica!G361/Serie_Historica!G358,"")</f>
        <v>0.22503234171626707</v>
      </c>
      <c r="E112" s="31">
        <f>IFERROR(Serie_Historica!H361/Serie_Historica!H358,"")</f>
        <v>0.22415502283859456</v>
      </c>
      <c r="F112" s="31">
        <f>IFERROR(Serie_Historica!I361/Serie_Historica!I358,"")</f>
        <v>0.22914504037730302</v>
      </c>
      <c r="G112" s="31">
        <f>IFERROR(Serie_Historica!J361/Serie_Historica!J358,"")</f>
        <v>0.22838655037385222</v>
      </c>
      <c r="H112" s="31">
        <f>IFERROR(Serie_Historica!K361/Serie_Historica!K358,"")</f>
        <v>0.24689328827313448</v>
      </c>
      <c r="I112" s="31">
        <f>IFERROR(Serie_Historica!L361/Serie_Historica!L358,"")</f>
        <v>0.23072262274405853</v>
      </c>
      <c r="J112" s="31">
        <f>IFERROR(Serie_Historica!M361/Serie_Historica!M358,"")</f>
        <v>0.23633593669592359</v>
      </c>
      <c r="K112" s="31">
        <f>IFERROR(Serie_Historica!N361/Serie_Historica!N358,"")</f>
        <v>0.24342653928999561</v>
      </c>
      <c r="L112" s="31">
        <f>IFERROR(Serie_Historica!O361/Serie_Historica!O358,"")</f>
        <v>0.22818593835821435</v>
      </c>
      <c r="M112" s="31">
        <f>IFERROR(Serie_Historica!P361/Serie_Historica!P358,"")</f>
        <v>0.24585434251302904</v>
      </c>
      <c r="N112" s="31">
        <f>IFERROR(Serie_Historica!Q361/Serie_Historica!Q358,"")</f>
        <v>0.22710615746883506</v>
      </c>
      <c r="O112" s="31">
        <f>IFERROR(Serie_Historica!R361/Serie_Historica!R358,"")</f>
        <v>0.22414060851913428</v>
      </c>
      <c r="P112" s="31">
        <f>IFERROR(Serie_Historica!S361/Serie_Historica!S358,"")</f>
        <v>0.24403111211147019</v>
      </c>
      <c r="Q112" s="31">
        <f>IFERROR(Serie_Historica!T361/Serie_Historica!T358,"")</f>
        <v>0.25052472233468981</v>
      </c>
      <c r="R112" s="31">
        <f>IFERROR(Serie_Historica!U361/Serie_Historica!U358,"")</f>
        <v>0.25302106738753077</v>
      </c>
      <c r="S112" s="31">
        <f>IFERROR(Serie_Historica!V361/Serie_Historica!V358,"")</f>
        <v>0.25970691687744069</v>
      </c>
      <c r="T112" s="31">
        <f>IFERROR(Serie_Historica!W361/Serie_Historica!W358,"")</f>
        <v>0.26982426036892904</v>
      </c>
      <c r="U112" s="31">
        <f>IFERROR(Serie_Historica!X361/Serie_Historica!X358,"")</f>
        <v>0.27293891886399752</v>
      </c>
      <c r="V112" s="31">
        <f>IFERROR(Serie_Historica!Y361/Serie_Historica!Y358,"")</f>
        <v>0.28869745883644898</v>
      </c>
      <c r="W112" s="31">
        <f>IFERROR(Serie_Historica!Z361/Serie_Historica!Z358,"")</f>
        <v>0.27285246191293011</v>
      </c>
      <c r="X112" s="19">
        <f>IFERROR((W112-D112)*100,"")</f>
        <v>4.7820120196663041</v>
      </c>
    </row>
    <row r="113" spans="1:24">
      <c r="A113" s="28" t="s">
        <v>341</v>
      </c>
      <c r="B113" s="28" t="s">
        <v>342</v>
      </c>
      <c r="C113" s="28" t="s">
        <v>504</v>
      </c>
      <c r="D113" s="31">
        <f>IFERROR(Serie_Historica!G369/Serie_Historica!G368,"")</f>
        <v>5.592068619806171E-2</v>
      </c>
      <c r="E113" s="31">
        <f>IFERROR(Serie_Historica!H369/Serie_Historica!H368,"")</f>
        <v>4.1615035109458902E-2</v>
      </c>
      <c r="F113" s="31">
        <f>IFERROR(Serie_Historica!I369/Serie_Historica!I368,"")</f>
        <v>5.1245927621731094E-2</v>
      </c>
      <c r="G113" s="31">
        <f>IFERROR(Serie_Historica!J369/Serie_Historica!J368,"")</f>
        <v>3.9875090079269759E-2</v>
      </c>
      <c r="H113" s="31">
        <f>IFERROR(Serie_Historica!K369/Serie_Historica!K368,"")</f>
        <v>3.8598237133920958E-2</v>
      </c>
      <c r="I113" s="31">
        <f>IFERROR(Serie_Historica!L369/Serie_Historica!L368,"")</f>
        <v>3.6104165396109042E-2</v>
      </c>
      <c r="J113" s="31">
        <f>IFERROR(Serie_Historica!M369/Serie_Historica!M368,"")</f>
        <v>3.2624896494617722E-2</v>
      </c>
      <c r="K113" s="31">
        <f>IFERROR(Serie_Historica!N369/Serie_Historica!N368,"")</f>
        <v>4.4947209653092006E-2</v>
      </c>
      <c r="L113" s="31">
        <f>IFERROR(Serie_Historica!O369/Serie_Historica!O368,"")</f>
        <v>3.8476994173196707E-2</v>
      </c>
      <c r="M113" s="31">
        <f>IFERROR(Serie_Historica!P369/Serie_Historica!P368,"")</f>
        <v>2.9543610980660034E-2</v>
      </c>
      <c r="N113" s="31">
        <f>IFERROR(Serie_Historica!Q369/Serie_Historica!Q368,"")</f>
        <v>3.3956126780118209E-2</v>
      </c>
      <c r="O113" s="31">
        <f>IFERROR(Serie_Historica!R369/Serie_Historica!R368,"")</f>
        <v>2.9056981006331223E-2</v>
      </c>
      <c r="P113" s="31">
        <f>IFERROR(Serie_Historica!S369/Serie_Historica!S368,"")</f>
        <v>2.7496470877063771E-2</v>
      </c>
      <c r="Q113" s="31">
        <f>IFERROR(Serie_Historica!T369/Serie_Historica!T368,"")</f>
        <v>3.6108726752503574E-2</v>
      </c>
      <c r="R113" s="31">
        <f>IFERROR(Serie_Historica!U369/Serie_Historica!U368,"")</f>
        <v>5.0123127436897189E-2</v>
      </c>
      <c r="S113" s="31">
        <f>IFERROR(Serie_Historica!V369/Serie_Historica!V368,"")</f>
        <v>4.5135017210452322E-2</v>
      </c>
      <c r="T113" s="31">
        <f>IFERROR(Serie_Historica!W369/Serie_Historica!W368,"")</f>
        <v>3.7055893746541231E-2</v>
      </c>
      <c r="U113" s="31">
        <f>IFERROR(Serie_Historica!X369/Serie_Historica!X368,"")</f>
        <v>3.923123030221002E-2</v>
      </c>
      <c r="V113" s="31">
        <f>IFERROR(Serie_Historica!Y369/Serie_Historica!Y368,"")</f>
        <v>3.5093337351894058E-2</v>
      </c>
      <c r="W113" s="31">
        <f>IFERROR(Serie_Historica!Z369/Serie_Historica!Z368,"")</f>
        <v>3.8778656656388258E-2</v>
      </c>
      <c r="X113" s="19">
        <f>IFERROR((W113-D113)*100,"")</f>
        <v>-1.7142029541673451</v>
      </c>
    </row>
    <row r="114" spans="1:24">
      <c r="A114" s="28" t="s">
        <v>341</v>
      </c>
      <c r="B114" s="28" t="s">
        <v>342</v>
      </c>
      <c r="C114" s="28" t="s">
        <v>505</v>
      </c>
      <c r="D114" s="31">
        <f>IFERROR(Serie_Historica!G370/Serie_Historica!G368,"")</f>
        <v>0.20975827113735102</v>
      </c>
      <c r="E114" s="31">
        <f>IFERROR(Serie_Historica!H370/Serie_Historica!H368,"")</f>
        <v>0.17905824039653037</v>
      </c>
      <c r="F114" s="31">
        <f>IFERROR(Serie_Historica!I370/Serie_Historica!I368,"")</f>
        <v>0.1964427225499692</v>
      </c>
      <c r="G114" s="31">
        <f>IFERROR(Serie_Historica!J370/Serie_Historica!J368,"")</f>
        <v>0.19841460485227</v>
      </c>
      <c r="H114" s="31">
        <f>IFERROR(Serie_Historica!K370/Serie_Historica!K368,"")</f>
        <v>0.19739835086721638</v>
      </c>
      <c r="I114" s="31">
        <f>IFERROR(Serie_Historica!L370/Serie_Historica!L368,"")</f>
        <v>0.18924193450021345</v>
      </c>
      <c r="J114" s="31">
        <f>IFERROR(Serie_Historica!M370/Serie_Historica!M368,"")</f>
        <v>0.17085288434998619</v>
      </c>
      <c r="K114" s="31">
        <f>IFERROR(Serie_Historica!N370/Serie_Historica!N368,"")</f>
        <v>0.17697335344394169</v>
      </c>
      <c r="L114" s="31">
        <f>IFERROR(Serie_Historica!O370/Serie_Historica!O368,"")</f>
        <v>0.17495479204339964</v>
      </c>
      <c r="M114" s="31">
        <f>IFERROR(Serie_Historica!P370/Serie_Historica!P368,"")</f>
        <v>0.19293002604277845</v>
      </c>
      <c r="N114" s="31">
        <f>IFERROR(Serie_Historica!Q370/Serie_Historica!Q368,"")</f>
        <v>0.21214645563092546</v>
      </c>
      <c r="O114" s="31">
        <f>IFERROR(Serie_Historica!R370/Serie_Historica!R368,"")</f>
        <v>0.20476507830723092</v>
      </c>
      <c r="P114" s="31">
        <f>IFERROR(Serie_Historica!S370/Serie_Historica!S368,"")</f>
        <v>0.18781071625851592</v>
      </c>
      <c r="Q114" s="31">
        <f>IFERROR(Serie_Historica!T370/Serie_Historica!T368,"")</f>
        <v>0.20741058655221745</v>
      </c>
      <c r="R114" s="31">
        <f>IFERROR(Serie_Historica!U370/Serie_Historica!U368,"")</f>
        <v>0.24438231069156577</v>
      </c>
      <c r="S114" s="31">
        <f>IFERROR(Serie_Historica!V370/Serie_Historica!V368,"")</f>
        <v>0.20218645464682214</v>
      </c>
      <c r="T114" s="31">
        <f>IFERROR(Serie_Historica!W370/Serie_Historica!W368,"")</f>
        <v>0.25115661317100169</v>
      </c>
      <c r="U114" s="31">
        <f>IFERROR(Serie_Historica!X370/Serie_Historica!X368,"")</f>
        <v>0.26290144821052225</v>
      </c>
      <c r="V114" s="31">
        <f>IFERROR(Serie_Historica!Y370/Serie_Historica!Y368,"")</f>
        <v>0.26042157213630457</v>
      </c>
      <c r="W114" s="31">
        <f>IFERROR(Serie_Historica!Z370/Serie_Historica!Z368,"")</f>
        <v>0.26375854672208071</v>
      </c>
      <c r="X114" s="19">
        <f>IFERROR((W114-D114)*100,"")</f>
        <v>5.4000275584729698</v>
      </c>
    </row>
    <row r="115" spans="1:24">
      <c r="A115" s="28" t="s">
        <v>341</v>
      </c>
      <c r="B115" s="28" t="s">
        <v>342</v>
      </c>
      <c r="C115" s="28" t="s">
        <v>506</v>
      </c>
      <c r="D115" s="31">
        <f>IFERROR(Serie_Historica!G371/Serie_Historica!G368,"")</f>
        <v>0.64420184917010137</v>
      </c>
      <c r="E115" s="31">
        <f>IFERROR(Serie_Historica!H371/Serie_Historica!H368,"")</f>
        <v>0.67141676992978105</v>
      </c>
      <c r="F115" s="31">
        <f>IFERROR(Serie_Historica!I371/Serie_Historica!I368,"")</f>
        <v>0.61864929118605261</v>
      </c>
      <c r="G115" s="31">
        <f>IFERROR(Serie_Historica!J371/Serie_Historica!J368,"")</f>
        <v>0.66586596204660098</v>
      </c>
      <c r="H115" s="31">
        <f>IFERROR(Serie_Historica!K371/Serie_Historica!K368,"")</f>
        <v>0.66000852999715665</v>
      </c>
      <c r="I115" s="31">
        <f>IFERROR(Serie_Historica!L371/Serie_Historica!L368,"")</f>
        <v>0.71885100933097523</v>
      </c>
      <c r="J115" s="31">
        <f>IFERROR(Serie_Historica!M371/Serie_Historica!M368,"")</f>
        <v>0.7056582942313</v>
      </c>
      <c r="K115" s="31">
        <f>IFERROR(Serie_Historica!N371/Serie_Historica!N368,"")</f>
        <v>0.69054801407742583</v>
      </c>
      <c r="L115" s="31">
        <f>IFERROR(Serie_Historica!O371/Serie_Historica!O368,"")</f>
        <v>0.72046413502109707</v>
      </c>
      <c r="M115" s="31">
        <f>IFERROR(Serie_Historica!P371/Serie_Historica!P368,"")</f>
        <v>0.67843572556888532</v>
      </c>
      <c r="N115" s="31">
        <f>IFERROR(Serie_Historica!Q371/Serie_Historica!Q368,"")</f>
        <v>0.69844103296441751</v>
      </c>
      <c r="O115" s="31">
        <f>IFERROR(Serie_Historica!R371/Serie_Historica!R368,"")</f>
        <v>0.71409530156614465</v>
      </c>
      <c r="P115" s="31">
        <f>IFERROR(Serie_Historica!S371/Serie_Historica!S368,"")</f>
        <v>0.71030503897379238</v>
      </c>
      <c r="Q115" s="31">
        <f>IFERROR(Serie_Historica!T371/Serie_Historica!T368,"")</f>
        <v>0.6982260371959943</v>
      </c>
      <c r="R115" s="31">
        <f>IFERROR(Serie_Historica!U371/Serie_Historica!U368,"")</f>
        <v>0.65211368766673505</v>
      </c>
      <c r="S115" s="31">
        <f>IFERROR(Serie_Historica!V371/Serie_Historica!V368,"")</f>
        <v>0.69830804285645032</v>
      </c>
      <c r="T115" s="31">
        <f>IFERROR(Serie_Historica!W371/Serie_Historica!W368,"")</f>
        <v>0.66337576092971773</v>
      </c>
      <c r="U115" s="31">
        <f>IFERROR(Serie_Historica!X371/Serie_Historica!X368,"")</f>
        <v>0.65677990680407583</v>
      </c>
      <c r="V115" s="31">
        <f>IFERROR(Serie_Historica!Y371/Serie_Historica!Y368,"")</f>
        <v>0.65279635315613993</v>
      </c>
      <c r="W115" s="31">
        <f>IFERROR(Serie_Historica!Z371/Serie_Historica!Z368,"")</f>
        <v>0.64294811636948657</v>
      </c>
      <c r="X115" s="19">
        <f>IFERROR((W115-D115)*100,"")</f>
        <v>-0.12537328006148041</v>
      </c>
    </row>
    <row r="116" spans="1:24">
      <c r="A116" s="28" t="s">
        <v>311</v>
      </c>
      <c r="B116" s="28" t="s">
        <v>312</v>
      </c>
      <c r="C116" s="28" t="s">
        <v>504</v>
      </c>
      <c r="D116" s="31">
        <f>IFERROR(Serie_Historica!G379/Serie_Historica!G378,"")</f>
        <v>6.4151293223324371E-2</v>
      </c>
      <c r="E116" s="31">
        <f>IFERROR(Serie_Historica!H379/Serie_Historica!H378,"")</f>
        <v>5.4639175257731959E-2</v>
      </c>
      <c r="F116" s="31">
        <f>IFERROR(Serie_Historica!I379/Serie_Historica!I378,"")</f>
        <v>6.9026277484103268E-2</v>
      </c>
      <c r="G116" s="31">
        <f>IFERROR(Serie_Historica!J379/Serie_Historica!J378,"")</f>
        <v>7.9041371695784887E-2</v>
      </c>
      <c r="H116" s="31">
        <f>IFERROR(Serie_Historica!K379/Serie_Historica!K378,"")</f>
        <v>9.2678194373109632E-2</v>
      </c>
      <c r="I116" s="31">
        <f>IFERROR(Serie_Historica!L379/Serie_Historica!L378,"")</f>
        <v>8.6101100613616435E-2</v>
      </c>
      <c r="J116" s="31">
        <f>IFERROR(Serie_Historica!M379/Serie_Historica!M378,"")</f>
        <v>0.12559459567494105</v>
      </c>
      <c r="K116" s="31">
        <f>IFERROR(Serie_Historica!N379/Serie_Historica!N378,"")</f>
        <v>0.11143286143286144</v>
      </c>
      <c r="L116" s="31">
        <f>IFERROR(Serie_Historica!O379/Serie_Historica!O378,"")</f>
        <v>0.14496966632962588</v>
      </c>
      <c r="M116" s="31">
        <f>IFERROR(Serie_Historica!P379/Serie_Historica!P378,"")</f>
        <v>0.22411418257813243</v>
      </c>
      <c r="N116" s="31">
        <f>IFERROR(Serie_Historica!Q379/Serie_Historica!Q378,"")</f>
        <v>0.18313589179730913</v>
      </c>
      <c r="O116" s="31">
        <f>IFERROR(Serie_Historica!R379/Serie_Historica!R378,"")</f>
        <v>0.13189651124571536</v>
      </c>
      <c r="P116" s="31">
        <f>IFERROR(Serie_Historica!S379/Serie_Historica!S378,"")</f>
        <v>9.2972199021596466E-2</v>
      </c>
      <c r="Q116" s="31">
        <f>IFERROR(Serie_Historica!T379/Serie_Historica!T378,"")</f>
        <v>0.23998835257442364</v>
      </c>
      <c r="R116" s="31">
        <f>IFERROR(Serie_Historica!U379/Serie_Historica!U378,"")</f>
        <v>0.2195194402270777</v>
      </c>
      <c r="S116" s="31">
        <f>IFERROR(Serie_Historica!V379/Serie_Historica!V378,"")</f>
        <v>0.1884010484927916</v>
      </c>
      <c r="T116" s="31">
        <f>IFERROR(Serie_Historica!W379/Serie_Historica!W378,"")</f>
        <v>0.1556893799295051</v>
      </c>
      <c r="U116" s="31">
        <f>IFERROR(Serie_Historica!X379/Serie_Historica!X378,"")</f>
        <v>0.15387442572741195</v>
      </c>
      <c r="V116" s="31">
        <f>IFERROR(Serie_Historica!Y379/Serie_Historica!Y378,"")</f>
        <v>0.1362791470841582</v>
      </c>
      <c r="W116" s="31">
        <f>IFERROR(Serie_Historica!Z379/Serie_Historica!Z378,"")</f>
        <v>0.15632066046169216</v>
      </c>
      <c r="X116" s="19">
        <f>IFERROR((W116-D116)*100,"")</f>
        <v>9.2169367238367794</v>
      </c>
    </row>
    <row r="117" spans="1:24">
      <c r="A117" s="28" t="s">
        <v>311</v>
      </c>
      <c r="B117" s="28" t="s">
        <v>312</v>
      </c>
      <c r="C117" s="28" t="s">
        <v>505</v>
      </c>
      <c r="D117" s="31">
        <f>IFERROR(Serie_Historica!G380/Serie_Historica!G378,"")</f>
        <v>0.20626680263279873</v>
      </c>
      <c r="E117" s="31">
        <f>IFERROR(Serie_Historica!H380/Serie_Historica!H378,"")</f>
        <v>0.2168384879725086</v>
      </c>
      <c r="F117" s="31">
        <f>IFERROR(Serie_Historica!I380/Serie_Historica!I378,"")</f>
        <v>0.21987282617022907</v>
      </c>
      <c r="G117" s="31">
        <f>IFERROR(Serie_Historica!J380/Serie_Historica!J378,"")</f>
        <v>0.21673053192180294</v>
      </c>
      <c r="H117" s="31">
        <f>IFERROR(Serie_Historica!K380/Serie_Historica!K378,"")</f>
        <v>0.21645836900074189</v>
      </c>
      <c r="I117" s="31">
        <f>IFERROR(Serie_Historica!L380/Serie_Historica!L378,"")</f>
        <v>0.21330476283237557</v>
      </c>
      <c r="J117" s="31">
        <f>IFERROR(Serie_Historica!M380/Serie_Historica!M378,"")</f>
        <v>0.18971099652236478</v>
      </c>
      <c r="K117" s="31">
        <f>IFERROR(Serie_Historica!N380/Serie_Historica!N378,"")</f>
        <v>0.21217646217646219</v>
      </c>
      <c r="L117" s="31">
        <f>IFERROR(Serie_Historica!O380/Serie_Historica!O378,"")</f>
        <v>0.2224469160768453</v>
      </c>
      <c r="M117" s="31">
        <f>IFERROR(Serie_Historica!P380/Serie_Historica!P378,"")</f>
        <v>0.24655647382920109</v>
      </c>
      <c r="N117" s="31">
        <f>IFERROR(Serie_Historica!Q380/Serie_Historica!Q378,"")</f>
        <v>0.25624837435861059</v>
      </c>
      <c r="O117" s="31">
        <f>IFERROR(Serie_Historica!R380/Serie_Historica!R378,"")</f>
        <v>0.253697703901958</v>
      </c>
      <c r="P117" s="31">
        <f>IFERROR(Serie_Historica!S380/Serie_Historica!S378,"")</f>
        <v>0.25443264526906095</v>
      </c>
      <c r="Q117" s="31">
        <f>IFERROR(Serie_Historica!T380/Serie_Historica!T378,"")</f>
        <v>0.24690829365215305</v>
      </c>
      <c r="R117" s="31">
        <f>IFERROR(Serie_Historica!U380/Serie_Historica!U378,"")</f>
        <v>0.2613373820054129</v>
      </c>
      <c r="S117" s="31">
        <f>IFERROR(Serie_Historica!V380/Serie_Historica!V378,"")</f>
        <v>0.2513106159895151</v>
      </c>
      <c r="T117" s="31">
        <f>IFERROR(Serie_Historica!W380/Serie_Historica!W378,"")</f>
        <v>0.28808067396905179</v>
      </c>
      <c r="U117" s="31">
        <f>IFERROR(Serie_Historica!X380/Serie_Historica!X378,"")</f>
        <v>0.29689127105666158</v>
      </c>
      <c r="V117" s="31">
        <f>IFERROR(Serie_Historica!Y380/Serie_Historica!Y378,"")</f>
        <v>0.2905716833149472</v>
      </c>
      <c r="W117" s="31">
        <f>IFERROR(Serie_Historica!Z380/Serie_Historica!Z378,"")</f>
        <v>0.28389072934742599</v>
      </c>
      <c r="X117" s="19">
        <f>IFERROR((W117-D117)*100,"")</f>
        <v>7.7623926714627256</v>
      </c>
    </row>
    <row r="118" spans="1:24">
      <c r="A118" s="28" t="s">
        <v>311</v>
      </c>
      <c r="B118" s="28" t="s">
        <v>312</v>
      </c>
      <c r="C118" s="28" t="s">
        <v>506</v>
      </c>
      <c r="D118" s="31">
        <f>IFERROR(Serie_Historica!G381/Serie_Historica!G378,"")</f>
        <v>0.6529155464911468</v>
      </c>
      <c r="E118" s="31">
        <f>IFERROR(Serie_Historica!H381/Serie_Historica!H378,"")</f>
        <v>0.65283505154639176</v>
      </c>
      <c r="F118" s="31">
        <f>IFERROR(Serie_Historica!I381/Serie_Historica!I378,"")</f>
        <v>0.63763119589366424</v>
      </c>
      <c r="G118" s="31">
        <f>IFERROR(Serie_Historica!J381/Serie_Historica!J378,"")</f>
        <v>0.63038254205364685</v>
      </c>
      <c r="H118" s="31">
        <f>IFERROR(Serie_Historica!K381/Serie_Historica!K378,"")</f>
        <v>0.6185584660160931</v>
      </c>
      <c r="I118" s="31">
        <f>IFERROR(Serie_Historica!L381/Serie_Historica!L378,"")</f>
        <v>0.63923249245154379</v>
      </c>
      <c r="J118" s="31">
        <f>IFERROR(Serie_Historica!M381/Serie_Historica!M378,"")</f>
        <v>0.60071151616900509</v>
      </c>
      <c r="K118" s="31">
        <f>IFERROR(Serie_Historica!N381/Serie_Historica!N378,"")</f>
        <v>0.59781209781209776</v>
      </c>
      <c r="L118" s="31">
        <f>IFERROR(Serie_Historica!O381/Serie_Historica!O378,"")</f>
        <v>0.54761754297269971</v>
      </c>
      <c r="M118" s="31">
        <f>IFERROR(Serie_Historica!P381/Serie_Historica!P378,"")</f>
        <v>0.46195497292675974</v>
      </c>
      <c r="N118" s="31">
        <f>IFERROR(Serie_Historica!Q381/Serie_Historica!Q378,"")</f>
        <v>0.50069754794164245</v>
      </c>
      <c r="O118" s="31">
        <f>IFERROR(Serie_Historica!R381/Serie_Historica!R378,"")</f>
        <v>0.54397332957693567</v>
      </c>
      <c r="P118" s="31">
        <f>IFERROR(Serie_Historica!S381/Serie_Historica!S378,"")</f>
        <v>0.57532514019806702</v>
      </c>
      <c r="Q118" s="31">
        <f>IFERROR(Serie_Historica!T381/Serie_Historica!T378,"")</f>
        <v>0.45522592579904764</v>
      </c>
      <c r="R118" s="31">
        <f>IFERROR(Serie_Historica!U381/Serie_Historica!U378,"")</f>
        <v>0.46593834576539706</v>
      </c>
      <c r="S118" s="31">
        <f>IFERROR(Serie_Historica!V381/Serie_Historica!V378,"")</f>
        <v>0.50883027522935775</v>
      </c>
      <c r="T118" s="31">
        <f>IFERROR(Serie_Historica!W381/Serie_Historica!W378,"")</f>
        <v>0.49662541293249246</v>
      </c>
      <c r="U118" s="31">
        <f>IFERROR(Serie_Historica!X381/Serie_Historica!X378,"")</f>
        <v>0.52399693721286367</v>
      </c>
      <c r="V118" s="31">
        <f>IFERROR(Serie_Historica!Y381/Serie_Historica!Y378,"")</f>
        <v>0.53709216750034006</v>
      </c>
      <c r="W118" s="31">
        <f>IFERROR(Serie_Historica!Z381/Serie_Historica!Z378,"")</f>
        <v>0.53403533680391224</v>
      </c>
      <c r="X118" s="19">
        <f>IFERROR((W118-D118)*100,"")</f>
        <v>-11.888020968723456</v>
      </c>
    </row>
    <row r="119" spans="1:24">
      <c r="A119" s="28" t="s">
        <v>289</v>
      </c>
      <c r="B119" s="28" t="s">
        <v>290</v>
      </c>
      <c r="C119" s="28" t="s">
        <v>504</v>
      </c>
      <c r="D119" s="31">
        <f>IFERROR(Serie_Historica!G389/Serie_Historica!G388,"")</f>
        <v>5.9099780434252257E-2</v>
      </c>
      <c r="E119" s="31">
        <f>IFERROR(Serie_Historica!H389/Serie_Historica!H388,"")</f>
        <v>4.8225227128671035E-2</v>
      </c>
      <c r="F119" s="31">
        <f>IFERROR(Serie_Historica!I389/Serie_Historica!I388,"")</f>
        <v>5.0110054793237484E-2</v>
      </c>
      <c r="G119" s="31">
        <f>IFERROR(Serie_Historica!J389/Serie_Historica!J388,"")</f>
        <v>4.5618477593615717E-2</v>
      </c>
      <c r="H119" s="31">
        <f>IFERROR(Serie_Historica!K389/Serie_Historica!K388,"")</f>
        <v>3.9830845411501066E-2</v>
      </c>
      <c r="I119" s="31">
        <f>IFERROR(Serie_Historica!L389/Serie_Historica!L388,"")</f>
        <v>4.2315042315042316E-2</v>
      </c>
      <c r="J119" s="31">
        <f>IFERROR(Serie_Historica!M389/Serie_Historica!M388,"")</f>
        <v>3.9092055485498108E-2</v>
      </c>
      <c r="K119" s="31">
        <f>IFERROR(Serie_Historica!N389/Serie_Historica!N388,"")</f>
        <v>3.8410144144656412E-2</v>
      </c>
      <c r="L119" s="31">
        <f>IFERROR(Serie_Historica!O389/Serie_Historica!O388,"")</f>
        <v>3.0436955778286374E-2</v>
      </c>
      <c r="M119" s="31">
        <f>IFERROR(Serie_Historica!P389/Serie_Historica!P388,"")</f>
        <v>3.1892224642485083E-2</v>
      </c>
      <c r="N119" s="31">
        <f>IFERROR(Serie_Historica!Q389/Serie_Historica!Q388,"")</f>
        <v>3.644328034682081E-2</v>
      </c>
      <c r="O119" s="31">
        <f>IFERROR(Serie_Historica!R389/Serie_Historica!R388,"")</f>
        <v>3.1031050955414013E-2</v>
      </c>
      <c r="P119" s="31">
        <f>IFERROR(Serie_Historica!S389/Serie_Historica!S388,"")</f>
        <v>2.7752758387750508E-2</v>
      </c>
      <c r="Q119" s="31">
        <f>IFERROR(Serie_Historica!T389/Serie_Historica!T388,"")</f>
        <v>2.9810889792079541E-2</v>
      </c>
      <c r="R119" s="31">
        <f>IFERROR(Serie_Historica!U389/Serie_Historica!U388,"")</f>
        <v>3.4368278312914988E-2</v>
      </c>
      <c r="S119" s="31">
        <f>IFERROR(Serie_Historica!V389/Serie_Historica!V388,"")</f>
        <v>3.4840866236215073E-2</v>
      </c>
      <c r="T119" s="31">
        <f>IFERROR(Serie_Historica!W389/Serie_Historica!W388,"")</f>
        <v>3.3415777812129642E-2</v>
      </c>
      <c r="U119" s="31">
        <f>IFERROR(Serie_Historica!X389/Serie_Historica!X388,"")</f>
        <v>3.3395264637225475E-2</v>
      </c>
      <c r="V119" s="31">
        <f>IFERROR(Serie_Historica!Y389/Serie_Historica!Y388,"")</f>
        <v>3.0934620447564721E-2</v>
      </c>
      <c r="W119" s="31">
        <f>IFERROR(Serie_Historica!Z389/Serie_Historica!Z388,"")</f>
        <v>3.3885959667337068E-2</v>
      </c>
      <c r="X119" s="19">
        <f>IFERROR((W119-D119)*100,"")</f>
        <v>-2.5213820766915189</v>
      </c>
    </row>
    <row r="120" spans="1:24">
      <c r="A120" s="28" t="s">
        <v>289</v>
      </c>
      <c r="B120" s="28" t="s">
        <v>290</v>
      </c>
      <c r="C120" s="28" t="s">
        <v>505</v>
      </c>
      <c r="D120" s="31">
        <f>IFERROR(Serie_Historica!G390/Serie_Historica!G388,"")</f>
        <v>0.19840204928031227</v>
      </c>
      <c r="E120" s="31">
        <f>IFERROR(Serie_Historica!H390/Serie_Historica!H388,"")</f>
        <v>0.21239171772660045</v>
      </c>
      <c r="F120" s="31">
        <f>IFERROR(Serie_Historica!I390/Serie_Historica!I388,"")</f>
        <v>0.21069638926614528</v>
      </c>
      <c r="G120" s="31">
        <f>IFERROR(Serie_Historica!J390/Serie_Historica!J388,"")</f>
        <v>0.19924033149171272</v>
      </c>
      <c r="H120" s="31">
        <f>IFERROR(Serie_Historica!K390/Serie_Historica!K388,"")</f>
        <v>0.18729894820544329</v>
      </c>
      <c r="I120" s="31">
        <f>IFERROR(Serie_Historica!L390/Serie_Historica!L388,"")</f>
        <v>0.19608244608244607</v>
      </c>
      <c r="J120" s="31">
        <f>IFERROR(Serie_Historica!M390/Serie_Historica!M388,"")</f>
        <v>0.19073139974779318</v>
      </c>
      <c r="K120" s="31">
        <f>IFERROR(Serie_Historica!N390/Serie_Historica!N388,"")</f>
        <v>0.18861058198049641</v>
      </c>
      <c r="L120" s="31">
        <f>IFERROR(Serie_Historica!O390/Serie_Historica!O388,"")</f>
        <v>0.21729408360297792</v>
      </c>
      <c r="M120" s="31">
        <f>IFERROR(Serie_Historica!P390/Serie_Historica!P388,"")</f>
        <v>0.21611895065820627</v>
      </c>
      <c r="N120" s="31">
        <f>IFERROR(Serie_Historica!Q390/Serie_Historica!Q388,"")</f>
        <v>0.20407333815028902</v>
      </c>
      <c r="O120" s="31">
        <f>IFERROR(Serie_Historica!R390/Serie_Historica!R388,"")</f>
        <v>0.19486464968152867</v>
      </c>
      <c r="P120" s="31">
        <f>IFERROR(Serie_Historica!S390/Serie_Historica!S388,"")</f>
        <v>0.18659461082338813</v>
      </c>
      <c r="Q120" s="31">
        <f>IFERROR(Serie_Historica!T390/Serie_Historica!T388,"")</f>
        <v>0.20370494776796211</v>
      </c>
      <c r="R120" s="31">
        <f>IFERROR(Serie_Historica!U390/Serie_Historica!U388,"")</f>
        <v>0.22073630724149756</v>
      </c>
      <c r="S120" s="31">
        <f>IFERROR(Serie_Historica!V390/Serie_Historica!V388,"")</f>
        <v>0.208416661905034</v>
      </c>
      <c r="T120" s="31">
        <f>IFERROR(Serie_Historica!W390/Serie_Historica!W388,"")</f>
        <v>0.26279177616324007</v>
      </c>
      <c r="U120" s="31">
        <f>IFERROR(Serie_Historica!X390/Serie_Historica!X388,"")</f>
        <v>0.25668143490067169</v>
      </c>
      <c r="V120" s="31">
        <f>IFERROR(Serie_Historica!Y390/Serie_Historica!Y388,"")</f>
        <v>0.2487471420983349</v>
      </c>
      <c r="W120" s="31">
        <f>IFERROR(Serie_Historica!Z390/Serie_Historica!Z388,"")</f>
        <v>0.24440941457846388</v>
      </c>
      <c r="X120" s="19">
        <f>IFERROR((W120-D120)*100,"")</f>
        <v>4.600736529815161</v>
      </c>
    </row>
    <row r="121" spans="1:24">
      <c r="A121" s="28" t="s">
        <v>289</v>
      </c>
      <c r="B121" s="28" t="s">
        <v>290</v>
      </c>
      <c r="C121" s="28" t="s">
        <v>506</v>
      </c>
      <c r="D121" s="31">
        <f>IFERROR(Serie_Historica!G391/Serie_Historica!G388,"")</f>
        <v>0.65174432788484993</v>
      </c>
      <c r="E121" s="31">
        <f>IFERROR(Serie_Historica!H391/Serie_Historica!H388,"")</f>
        <v>0.62941052186773716</v>
      </c>
      <c r="F121" s="31">
        <f>IFERROR(Serie_Historica!I391/Serie_Historica!I388,"")</f>
        <v>0.64417177914110424</v>
      </c>
      <c r="G121" s="31">
        <f>IFERROR(Serie_Historica!J391/Serie_Historica!J388,"")</f>
        <v>0.65534837323511352</v>
      </c>
      <c r="H121" s="31">
        <f>IFERROR(Serie_Historica!K391/Serie_Historica!K388,"")</f>
        <v>0.644377778580981</v>
      </c>
      <c r="I121" s="31">
        <f>IFERROR(Serie_Historica!L391/Serie_Historica!L388,"")</f>
        <v>0.67011329511329509</v>
      </c>
      <c r="J121" s="31">
        <f>IFERROR(Serie_Historica!M391/Serie_Historica!M388,"")</f>
        <v>0.6744010088272383</v>
      </c>
      <c r="K121" s="31">
        <f>IFERROR(Serie_Historica!N391/Serie_Historica!N388,"")</f>
        <v>0.6580900122252864</v>
      </c>
      <c r="L121" s="31">
        <f>IFERROR(Serie_Historica!O391/Serie_Historica!O388,"")</f>
        <v>0.70912582537552937</v>
      </c>
      <c r="M121" s="31">
        <f>IFERROR(Serie_Historica!P391/Serie_Historica!P388,"")</f>
        <v>0.7066720333364902</v>
      </c>
      <c r="N121" s="31">
        <f>IFERROR(Serie_Historica!Q391/Serie_Historica!Q388,"")</f>
        <v>0.71827583092485547</v>
      </c>
      <c r="O121" s="31">
        <f>IFERROR(Serie_Historica!R391/Serie_Historica!R388,"")</f>
        <v>0.73503184713375791</v>
      </c>
      <c r="P121" s="31">
        <f>IFERROR(Serie_Historica!S391/Serie_Historica!S388,"")</f>
        <v>0.74731667041957517</v>
      </c>
      <c r="Q121" s="31">
        <f>IFERROR(Serie_Historica!T391/Serie_Historica!T388,"")</f>
        <v>0.71912263612240102</v>
      </c>
      <c r="R121" s="31">
        <f>IFERROR(Serie_Historica!U391/Serie_Historica!U388,"")</f>
        <v>0.6975435643255713</v>
      </c>
      <c r="S121" s="31">
        <f>IFERROR(Serie_Historica!V391/Serie_Historica!V388,"")</f>
        <v>0.70631678189817726</v>
      </c>
      <c r="T121" s="31">
        <f>IFERROR(Serie_Historica!W391/Serie_Historica!W388,"")</f>
        <v>0.65328232081207815</v>
      </c>
      <c r="U121" s="31">
        <f>IFERROR(Serie_Historica!X391/Serie_Historica!X388,"")</f>
        <v>0.66124767757610403</v>
      </c>
      <c r="V121" s="31">
        <f>IFERROR(Serie_Historica!Y391/Serie_Historica!Y388,"")</f>
        <v>0.64984642387011848</v>
      </c>
      <c r="W121" s="31">
        <f>IFERROR(Serie_Historica!Z391/Serie_Historica!Z388,"")</f>
        <v>0.66947871935641678</v>
      </c>
      <c r="X121" s="19">
        <f>IFERROR((W121-D121)*100,"")</f>
        <v>1.7734391471566857</v>
      </c>
    </row>
    <row r="122" spans="1:24">
      <c r="A122" s="28" t="s">
        <v>149</v>
      </c>
      <c r="B122" s="28" t="s">
        <v>150</v>
      </c>
      <c r="C122" s="28" t="s">
        <v>504</v>
      </c>
      <c r="D122" s="31">
        <f>IFERROR(Serie_Historica!G399/Serie_Historica!G398,"")</f>
        <v>0.3506211227000347</v>
      </c>
      <c r="E122" s="31">
        <f>IFERROR(Serie_Historica!H399/Serie_Historica!H398,"")</f>
        <v>0.3309536983306568</v>
      </c>
      <c r="F122" s="31">
        <f>IFERROR(Serie_Historica!I399/Serie_Historica!I398,"")</f>
        <v>0.34711711385499272</v>
      </c>
      <c r="G122" s="31">
        <f>IFERROR(Serie_Historica!J399/Serie_Historica!J398,"")</f>
        <v>0.22903108502927935</v>
      </c>
      <c r="H122" s="31">
        <f>IFERROR(Serie_Historica!K399/Serie_Historica!K398,"")</f>
        <v>0.23344955598433814</v>
      </c>
      <c r="I122" s="31">
        <f>IFERROR(Serie_Historica!L399/Serie_Historica!L398,"")</f>
        <v>0.25668585300912328</v>
      </c>
      <c r="J122" s="31">
        <f>IFERROR(Serie_Historica!M399/Serie_Historica!M398,"")</f>
        <v>0.24311745681154848</v>
      </c>
      <c r="K122" s="31">
        <f>IFERROR(Serie_Historica!N399/Serie_Historica!N398,"")</f>
        <v>0.22353230542189975</v>
      </c>
      <c r="L122" s="31">
        <f>IFERROR(Serie_Historica!O399/Serie_Historica!O398,"")</f>
        <v>0.21895052347180008</v>
      </c>
      <c r="M122" s="31">
        <f>IFERROR(Serie_Historica!P399/Serie_Historica!P398,"")</f>
        <v>0.21493862781732612</v>
      </c>
      <c r="N122" s="31">
        <f>IFERROR(Serie_Historica!Q399/Serie_Historica!Q398,"")</f>
        <v>0.2103036624942049</v>
      </c>
      <c r="O122" s="31">
        <f>IFERROR(Serie_Historica!R399/Serie_Historica!R398,"")</f>
        <v>0.20599799248716813</v>
      </c>
      <c r="P122" s="31">
        <f>IFERROR(Serie_Historica!S399/Serie_Historica!S398,"")</f>
        <v>0.16428633686543562</v>
      </c>
      <c r="Q122" s="31">
        <f>IFERROR(Serie_Historica!T399/Serie_Historica!T398,"")</f>
        <v>0.15257043265644726</v>
      </c>
      <c r="R122" s="31">
        <f>IFERROR(Serie_Historica!U399/Serie_Historica!U398,"")</f>
        <v>0.1737502030412455</v>
      </c>
      <c r="S122" s="31">
        <f>IFERROR(Serie_Historica!V399/Serie_Historica!V398,"")</f>
        <v>0.18874933562985133</v>
      </c>
      <c r="T122" s="31">
        <f>IFERROR(Serie_Historica!W399/Serie_Historica!W398,"")</f>
        <v>0.15192466068430002</v>
      </c>
      <c r="U122" s="31">
        <f>IFERROR(Serie_Historica!X399/Serie_Historica!X398,"")</f>
        <v>0.13172746349957584</v>
      </c>
      <c r="V122" s="31">
        <f>IFERROR(Serie_Historica!Y399/Serie_Historica!Y398,"")</f>
        <v>0.12892728628923189</v>
      </c>
      <c r="W122" s="31">
        <f>IFERROR(Serie_Historica!Z399/Serie_Historica!Z398,"")</f>
        <v>0.16423346937815825</v>
      </c>
      <c r="X122" s="19">
        <f>IFERROR((W122-D122)*100,"")</f>
        <v>-18.638765332187646</v>
      </c>
    </row>
    <row r="123" spans="1:24">
      <c r="A123" s="28" t="s">
        <v>149</v>
      </c>
      <c r="B123" s="28" t="s">
        <v>150</v>
      </c>
      <c r="C123" s="28" t="s">
        <v>505</v>
      </c>
      <c r="D123" s="31">
        <f>IFERROR(Serie_Historica!G400/Serie_Historica!G398,"")</f>
        <v>0.21414016392205401</v>
      </c>
      <c r="E123" s="31">
        <f>IFERROR(Serie_Historica!H400/Serie_Historica!H398,"")</f>
        <v>0.20573271615767669</v>
      </c>
      <c r="F123" s="31">
        <f>IFERROR(Serie_Historica!I400/Serie_Historica!I398,"")</f>
        <v>0.19428854208156812</v>
      </c>
      <c r="G123" s="31">
        <f>IFERROR(Serie_Historica!J400/Serie_Historica!J398,"")</f>
        <v>0.22158271577073066</v>
      </c>
      <c r="H123" s="31">
        <f>IFERROR(Serie_Historica!K400/Serie_Historica!K398,"")</f>
        <v>0.23162158807533034</v>
      </c>
      <c r="I123" s="31">
        <f>IFERROR(Serie_Historica!L400/Serie_Historica!L398,"")</f>
        <v>0.22871882219350798</v>
      </c>
      <c r="J123" s="31">
        <f>IFERROR(Serie_Historica!M400/Serie_Historica!M398,"")</f>
        <v>0.21307179230978238</v>
      </c>
      <c r="K123" s="31">
        <f>IFERROR(Serie_Historica!N400/Serie_Historica!N398,"")</f>
        <v>0.21885136277689812</v>
      </c>
      <c r="L123" s="31">
        <f>IFERROR(Serie_Historica!O400/Serie_Historica!O398,"")</f>
        <v>0.23678655859506922</v>
      </c>
      <c r="M123" s="31">
        <f>IFERROR(Serie_Historica!P400/Serie_Historica!P398,"")</f>
        <v>0.2649528179173663</v>
      </c>
      <c r="N123" s="31">
        <f>IFERROR(Serie_Historica!Q400/Serie_Historica!Q398,"")</f>
        <v>0.2741655076495132</v>
      </c>
      <c r="O123" s="31">
        <f>IFERROR(Serie_Historica!R400/Serie_Historica!R398,"")</f>
        <v>0.27723839872360756</v>
      </c>
      <c r="P123" s="31">
        <f>IFERROR(Serie_Historica!S400/Serie_Historica!S398,"")</f>
        <v>0.30185570262272082</v>
      </c>
      <c r="Q123" s="31">
        <f>IFERROR(Serie_Historica!T400/Serie_Historica!T398,"")</f>
        <v>0.34825369218846081</v>
      </c>
      <c r="R123" s="31">
        <f>IFERROR(Serie_Historica!U400/Serie_Historica!U398,"")</f>
        <v>0.36515874701685552</v>
      </c>
      <c r="S123" s="31">
        <f>IFERROR(Serie_Historica!V400/Serie_Historica!V398,"")</f>
        <v>0.35171116170272032</v>
      </c>
      <c r="T123" s="31">
        <f>IFERROR(Serie_Historica!W400/Serie_Historica!W398,"")</f>
        <v>0.40725370867514465</v>
      </c>
      <c r="U123" s="31">
        <f>IFERROR(Serie_Historica!X400/Serie_Historica!X398,"")</f>
        <v>0.46231861410010266</v>
      </c>
      <c r="V123" s="31">
        <f>IFERROR(Serie_Historica!Y400/Serie_Historica!Y398,"")</f>
        <v>0.46934810941073285</v>
      </c>
      <c r="W123" s="31">
        <f>IFERROR(Serie_Historica!Z400/Serie_Historica!Z398,"")</f>
        <v>0.43479547231327798</v>
      </c>
      <c r="X123" s="19">
        <f>IFERROR((W123-D123)*100,"")</f>
        <v>22.065530839122395</v>
      </c>
    </row>
    <row r="124" spans="1:24">
      <c r="A124" s="28" t="s">
        <v>149</v>
      </c>
      <c r="B124" s="28" t="s">
        <v>150</v>
      </c>
      <c r="C124" s="28" t="s">
        <v>506</v>
      </c>
      <c r="D124" s="31">
        <f>IFERROR(Serie_Historica!G401/Serie_Historica!G398,"")</f>
        <v>0.35359466272207213</v>
      </c>
      <c r="E124" s="31">
        <f>IFERROR(Serie_Historica!H401/Serie_Historica!H398,"")</f>
        <v>0.33644620180564366</v>
      </c>
      <c r="F124" s="31">
        <f>IFERROR(Serie_Historica!I401/Serie_Historica!I398,"")</f>
        <v>0.34371341323580884</v>
      </c>
      <c r="G124" s="31">
        <f>IFERROR(Serie_Historica!J401/Serie_Historica!J398,"")</f>
        <v>0.43021229106321085</v>
      </c>
      <c r="H124" s="31">
        <f>IFERROR(Serie_Historica!K401/Serie_Historica!K398,"")</f>
        <v>0.42201234442526209</v>
      </c>
      <c r="I124" s="31">
        <f>IFERROR(Serie_Historica!L401/Serie_Historica!L398,"")</f>
        <v>0.42857981910019971</v>
      </c>
      <c r="J124" s="31">
        <f>IFERROR(Serie_Historica!M401/Serie_Historica!M398,"")</f>
        <v>0.44922124933168556</v>
      </c>
      <c r="K124" s="31">
        <f>IFERROR(Serie_Historica!N401/Serie_Historica!N398,"")</f>
        <v>0.46350555717821401</v>
      </c>
      <c r="L124" s="31">
        <f>IFERROR(Serie_Historica!O401/Serie_Historica!O398,"")</f>
        <v>0.47724586288416077</v>
      </c>
      <c r="M124" s="31">
        <f>IFERROR(Serie_Historica!P401/Serie_Historica!P398,"")</f>
        <v>0.46790672374240239</v>
      </c>
      <c r="N124" s="31">
        <f>IFERROR(Serie_Historica!Q401/Serie_Historica!Q398,"")</f>
        <v>0.46465524507944533</v>
      </c>
      <c r="O124" s="31">
        <f>IFERROR(Serie_Historica!R401/Serie_Historica!R398,"")</f>
        <v>0.47091955484060438</v>
      </c>
      <c r="P124" s="31">
        <f>IFERROR(Serie_Historica!S401/Serie_Historica!S398,"")</f>
        <v>0.49142292670576465</v>
      </c>
      <c r="Q124" s="31">
        <f>IFERROR(Serie_Historica!T401/Serie_Historica!T398,"")</f>
        <v>0.45804240331541968</v>
      </c>
      <c r="R124" s="31">
        <f>IFERROR(Serie_Historica!U401/Serie_Historica!U398,"")</f>
        <v>0.4248497494783402</v>
      </c>
      <c r="S124" s="31">
        <f>IFERROR(Serie_Historica!V401/Serie_Historica!V398,"")</f>
        <v>0.42327555089430619</v>
      </c>
      <c r="T124" s="31">
        <f>IFERROR(Serie_Historica!W401/Serie_Historica!W398,"")</f>
        <v>0.40834465276960757</v>
      </c>
      <c r="U124" s="31">
        <f>IFERROR(Serie_Historica!X401/Serie_Historica!X398,"")</f>
        <v>0.37450551413135685</v>
      </c>
      <c r="V124" s="31">
        <f>IFERROR(Serie_Historica!Y401/Serie_Historica!Y398,"")</f>
        <v>0.36859318519004253</v>
      </c>
      <c r="W124" s="31">
        <f>IFERROR(Serie_Historica!Z401/Serie_Historica!Z398,"")</f>
        <v>0.37262305264209761</v>
      </c>
      <c r="X124" s="19">
        <f>IFERROR((W124-D124)*100,"")</f>
        <v>1.9028389920025479</v>
      </c>
    </row>
    <row r="125" spans="1:24">
      <c r="A125" s="28" t="s">
        <v>207</v>
      </c>
      <c r="B125" s="28" t="s">
        <v>208</v>
      </c>
      <c r="C125" s="28" t="s">
        <v>504</v>
      </c>
      <c r="D125" s="31">
        <f>IFERROR(Serie_Historica!G409/Serie_Historica!G408,"")</f>
        <v>0.64742608653402323</v>
      </c>
      <c r="E125" s="31">
        <f>IFERROR(Serie_Historica!H409/Serie_Historica!H408,"")</f>
        <v>0.60561752587679629</v>
      </c>
      <c r="F125" s="31">
        <f>IFERROR(Serie_Historica!I409/Serie_Historica!I408,"")</f>
        <v>0.55020310742891243</v>
      </c>
      <c r="G125" s="31">
        <f>IFERROR(Serie_Historica!J409/Serie_Historica!J408,"")</f>
        <v>0.65347725383062116</v>
      </c>
      <c r="H125" s="31">
        <f>IFERROR(Serie_Historica!K409/Serie_Historica!K408,"")</f>
        <v>0.67551935006733332</v>
      </c>
      <c r="I125" s="31">
        <f>IFERROR(Serie_Historica!L409/Serie_Historica!L408,"")</f>
        <v>0.68616865650512004</v>
      </c>
      <c r="J125" s="31">
        <f>IFERROR(Serie_Historica!M409/Serie_Historica!M408,"")</f>
        <v>0.64759617705266204</v>
      </c>
      <c r="K125" s="31">
        <f>IFERROR(Serie_Historica!N409/Serie_Historica!N408,"")</f>
        <v>0.50255921721860719</v>
      </c>
      <c r="L125" s="31">
        <f>IFERROR(Serie_Historica!O409/Serie_Historica!O408,"")</f>
        <v>0.51468827444101017</v>
      </c>
      <c r="M125" s="31">
        <f>IFERROR(Serie_Historica!P409/Serie_Historica!P408,"")</f>
        <v>0.52110828661303987</v>
      </c>
      <c r="N125" s="31">
        <f>IFERROR(Serie_Historica!Q409/Serie_Historica!Q408,"")</f>
        <v>0.56930860033726816</v>
      </c>
      <c r="O125" s="31">
        <f>IFERROR(Serie_Historica!R409/Serie_Historica!R408,"")</f>
        <v>0.53964033604879336</v>
      </c>
      <c r="P125" s="31">
        <f>IFERROR(Serie_Historica!S409/Serie_Historica!S408,"")</f>
        <v>0.53739758366893486</v>
      </c>
      <c r="Q125" s="31">
        <f>IFERROR(Serie_Historica!T409/Serie_Historica!T408,"")</f>
        <v>0.29231000413238661</v>
      </c>
      <c r="R125" s="31">
        <f>IFERROR(Serie_Historica!U409/Serie_Historica!U408,"")</f>
        <v>0.16186376376221373</v>
      </c>
      <c r="S125" s="31">
        <f>IFERROR(Serie_Historica!V409/Serie_Historica!V408,"")</f>
        <v>0.16873605388164109</v>
      </c>
      <c r="T125" s="31">
        <f>IFERROR(Serie_Historica!W409/Serie_Historica!W408,"")</f>
        <v>0.24813745030536222</v>
      </c>
      <c r="U125" s="31">
        <f>IFERROR(Serie_Historica!X409/Serie_Historica!X408,"")</f>
        <v>0.27696709876480352</v>
      </c>
      <c r="V125" s="31">
        <f>IFERROR(Serie_Historica!Y409/Serie_Historica!Y408,"")</f>
        <v>0.24287498580674463</v>
      </c>
      <c r="W125" s="31">
        <f>IFERROR(Serie_Historica!Z409/Serie_Historica!Z408,"")</f>
        <v>0.47879037719737344</v>
      </c>
      <c r="X125" s="19">
        <f>IFERROR((W125-D125)*100,"")</f>
        <v>-16.863570933664978</v>
      </c>
    </row>
    <row r="126" spans="1:24">
      <c r="A126" s="28" t="s">
        <v>207</v>
      </c>
      <c r="B126" s="28" t="s">
        <v>208</v>
      </c>
      <c r="C126" s="28" t="s">
        <v>505</v>
      </c>
      <c r="D126" s="31">
        <f>IFERROR(Serie_Historica!G410/Serie_Historica!G408,"")</f>
        <v>0.16488108252556907</v>
      </c>
      <c r="E126" s="31">
        <f>IFERROR(Serie_Historica!H410/Serie_Historica!H408,"")</f>
        <v>0.16832479147824339</v>
      </c>
      <c r="F126" s="31">
        <f>IFERROR(Serie_Historica!I410/Serie_Historica!I408,"")</f>
        <v>0.20831707708902303</v>
      </c>
      <c r="G126" s="31">
        <f>IFERROR(Serie_Historica!J410/Serie_Historica!J408,"")</f>
        <v>0.16793859128162489</v>
      </c>
      <c r="H126" s="31">
        <f>IFERROR(Serie_Historica!K410/Serie_Historica!K408,"")</f>
        <v>0.17179945691767667</v>
      </c>
      <c r="I126" s="31">
        <f>IFERROR(Serie_Historica!L410/Serie_Historica!L408,"")</f>
        <v>0.16538152989476665</v>
      </c>
      <c r="J126" s="31">
        <f>IFERROR(Serie_Historica!M410/Serie_Historica!M408,"")</f>
        <v>0.14416903991890717</v>
      </c>
      <c r="K126" s="31">
        <f>IFERROR(Serie_Historica!N410/Serie_Historica!N408,"")</f>
        <v>0.17735294592543555</v>
      </c>
      <c r="L126" s="31">
        <f>IFERROR(Serie_Historica!O410/Serie_Historica!O408,"")</f>
        <v>0.18564308189235096</v>
      </c>
      <c r="M126" s="31">
        <f>IFERROR(Serie_Historica!P410/Serie_Historica!P408,"")</f>
        <v>0.18893570591171316</v>
      </c>
      <c r="N126" s="31">
        <f>IFERROR(Serie_Historica!Q410/Serie_Historica!Q408,"")</f>
        <v>0.20062128339398241</v>
      </c>
      <c r="O126" s="31">
        <f>IFERROR(Serie_Historica!R410/Serie_Historica!R408,"")</f>
        <v>0.21834676905564854</v>
      </c>
      <c r="P126" s="31">
        <f>IFERROR(Serie_Historica!S410/Serie_Historica!S408,"")</f>
        <v>0.21794195250659631</v>
      </c>
      <c r="Q126" s="31">
        <f>IFERROR(Serie_Historica!T410/Serie_Historica!T408,"")</f>
        <v>0.26587525201297318</v>
      </c>
      <c r="R126" s="31">
        <f>IFERROR(Serie_Historica!U410/Serie_Historica!U408,"")</f>
        <v>0.27352544944951146</v>
      </c>
      <c r="S126" s="31">
        <f>IFERROR(Serie_Historica!V410/Serie_Historica!V408,"")</f>
        <v>0.29278977124943534</v>
      </c>
      <c r="T126" s="31">
        <f>IFERROR(Serie_Historica!W410/Serie_Historica!W408,"")</f>
        <v>0.25341334214425032</v>
      </c>
      <c r="U126" s="31">
        <f>IFERROR(Serie_Historica!X410/Serie_Historica!X408,"")</f>
        <v>0.27877967068215836</v>
      </c>
      <c r="V126" s="31">
        <f>IFERROR(Serie_Historica!Y410/Serie_Historica!Y408,"")</f>
        <v>0.28280190344457407</v>
      </c>
      <c r="W126" s="31">
        <f>IFERROR(Serie_Historica!Z410/Serie_Historica!Z408,"")</f>
        <v>0.24000471128647566</v>
      </c>
      <c r="X126" s="19">
        <f>IFERROR((W126-D126)*100,"")</f>
        <v>7.5123628760906582</v>
      </c>
    </row>
    <row r="127" spans="1:24">
      <c r="A127" s="28" t="s">
        <v>207</v>
      </c>
      <c r="B127" s="28" t="s">
        <v>208</v>
      </c>
      <c r="C127" s="28" t="s">
        <v>506</v>
      </c>
      <c r="D127" s="31">
        <f>IFERROR(Serie_Historica!G411/Serie_Historica!G408,"")</f>
        <v>0.1598765881981391</v>
      </c>
      <c r="E127" s="31">
        <f>IFERROR(Serie_Historica!H411/Serie_Historica!H408,"")</f>
        <v>0.17932871068234349</v>
      </c>
      <c r="F127" s="31">
        <f>IFERROR(Serie_Historica!I411/Serie_Historica!I408,"")</f>
        <v>0.20067472976384459</v>
      </c>
      <c r="G127" s="31">
        <f>IFERROR(Serie_Historica!J411/Serie_Historica!J408,"")</f>
        <v>0.15034445896187196</v>
      </c>
      <c r="H127" s="31">
        <f>IFERROR(Serie_Historica!K411/Serie_Historica!K408,"")</f>
        <v>0.12823145020641544</v>
      </c>
      <c r="I127" s="31">
        <f>IFERROR(Serie_Historica!L411/Serie_Historica!L408,"")</f>
        <v>0.1326600915482988</v>
      </c>
      <c r="J127" s="31">
        <f>IFERROR(Serie_Historica!M411/Serie_Historica!M408,"")</f>
        <v>0.18834773374523339</v>
      </c>
      <c r="K127" s="31">
        <f>IFERROR(Serie_Historica!N411/Serie_Historica!N408,"")</f>
        <v>0.28797248639658984</v>
      </c>
      <c r="L127" s="31">
        <f>IFERROR(Serie_Historica!O411/Serie_Historica!O408,"")</f>
        <v>0.27016679196948179</v>
      </c>
      <c r="M127" s="31">
        <f>IFERROR(Serie_Historica!P411/Serie_Historica!P408,"")</f>
        <v>0.25408875114624324</v>
      </c>
      <c r="N127" s="31">
        <f>IFERROR(Serie_Historica!Q411/Serie_Historica!Q408,"")</f>
        <v>0.21009141741368598</v>
      </c>
      <c r="O127" s="31">
        <f>IFERROR(Serie_Historica!R411/Serie_Historica!R408,"")</f>
        <v>0.22137086840920481</v>
      </c>
      <c r="P127" s="31">
        <f>IFERROR(Serie_Historica!S411/Serie_Historica!S408,"")</f>
        <v>0.21854372077952136</v>
      </c>
      <c r="Q127" s="31">
        <f>IFERROR(Serie_Historica!T411/Serie_Historica!T408,"")</f>
        <v>0.39723505766557721</v>
      </c>
      <c r="R127" s="31">
        <f>IFERROR(Serie_Historica!U411/Serie_Historica!U408,"")</f>
        <v>0.52250731661995387</v>
      </c>
      <c r="S127" s="31">
        <f>IFERROR(Serie_Historica!V411/Serie_Historica!V408,"")</f>
        <v>0.49473640980711575</v>
      </c>
      <c r="T127" s="31">
        <f>IFERROR(Serie_Historica!W411/Serie_Historica!W408,"")</f>
        <v>0.38235827036014625</v>
      </c>
      <c r="U127" s="31">
        <f>IFERROR(Serie_Historica!X411/Serie_Historica!X408,"")</f>
        <v>0.39679032208791992</v>
      </c>
      <c r="V127" s="31">
        <f>IFERROR(Serie_Historica!Y411/Serie_Historica!Y408,"")</f>
        <v>0.41757073402355566</v>
      </c>
      <c r="W127" s="31">
        <f>IFERROR(Serie_Historica!Z411/Serie_Historica!Z408,"")</f>
        <v>0.25124112953093253</v>
      </c>
      <c r="X127" s="19">
        <f>IFERROR((W127-D127)*100,"")</f>
        <v>9.1364541332793419</v>
      </c>
    </row>
    <row r="128" spans="1:24">
      <c r="A128" s="28" t="s">
        <v>411</v>
      </c>
      <c r="B128" s="28" t="s">
        <v>412</v>
      </c>
      <c r="C128" s="28" t="s">
        <v>504</v>
      </c>
      <c r="D128" s="31">
        <f>IFERROR(Serie_Historica!G419/Serie_Historica!G418,"")</f>
        <v>9.0696418931077924E-2</v>
      </c>
      <c r="E128" s="31">
        <f>IFERROR(Serie_Historica!H419/Serie_Historica!H418,"")</f>
        <v>5.6570313885440683E-2</v>
      </c>
      <c r="F128" s="31">
        <f>IFERROR(Serie_Historica!I419/Serie_Historica!I418,"")</f>
        <v>6.4102564102564097E-2</v>
      </c>
      <c r="G128" s="31">
        <f>IFERROR(Serie_Historica!J419/Serie_Historica!J418,"")</f>
        <v>5.7128412537917089E-2</v>
      </c>
      <c r="H128" s="31">
        <f>IFERROR(Serie_Historica!K419/Serie_Historica!K418,"")</f>
        <v>3.8694074969770252E-2</v>
      </c>
      <c r="I128" s="31">
        <f>IFERROR(Serie_Historica!L419/Serie_Historica!L418,"")</f>
        <v>5.0028752156411734E-2</v>
      </c>
      <c r="J128" s="31">
        <f>IFERROR(Serie_Historica!M419/Serie_Historica!M418,"")</f>
        <v>6.4246291824767154E-2</v>
      </c>
      <c r="K128" s="31">
        <f>IFERROR(Serie_Historica!N419/Serie_Historica!N418,"")</f>
        <v>7.6264119475399891E-2</v>
      </c>
      <c r="L128" s="31">
        <f>IFERROR(Serie_Historica!O419/Serie_Historica!O418,"")</f>
        <v>3.6709052376627312E-2</v>
      </c>
      <c r="M128" s="31">
        <f>IFERROR(Serie_Historica!P419/Serie_Historica!P418,"")</f>
        <v>3.1572038070233018E-2</v>
      </c>
      <c r="N128" s="31">
        <f>IFERROR(Serie_Historica!Q419/Serie_Historica!Q418,"")</f>
        <v>3.981423797927168E-2</v>
      </c>
      <c r="O128" s="31">
        <f>IFERROR(Serie_Historica!R419/Serie_Historica!R418,"")</f>
        <v>7.6666056389600876E-2</v>
      </c>
      <c r="P128" s="31">
        <f>IFERROR(Serie_Historica!S419/Serie_Historica!S418,"")</f>
        <v>0.11144483794324651</v>
      </c>
      <c r="Q128" s="31">
        <f>IFERROR(Serie_Historica!T419/Serie_Historica!T418,"")</f>
        <v>7.0045217984813585E-2</v>
      </c>
      <c r="R128" s="31">
        <f>IFERROR(Serie_Historica!U419/Serie_Historica!U418,"")</f>
        <v>7.7493979708657373E-2</v>
      </c>
      <c r="S128" s="31">
        <f>IFERROR(Serie_Historica!V419/Serie_Historica!V418,"")</f>
        <v>7.6066434125892035E-2</v>
      </c>
      <c r="T128" s="31">
        <f>IFERROR(Serie_Historica!W419/Serie_Historica!W418,"")</f>
        <v>4.9512747317649375E-2</v>
      </c>
      <c r="U128" s="31">
        <f>IFERROR(Serie_Historica!X419/Serie_Historica!X418,"")</f>
        <v>4.3870890829434031E-2</v>
      </c>
      <c r="V128" s="31">
        <f>IFERROR(Serie_Historica!Y419/Serie_Historica!Y418,"")</f>
        <v>4.9963652630990327E-2</v>
      </c>
      <c r="W128" s="31">
        <f>IFERROR(Serie_Historica!Z419/Serie_Historica!Z418,"")</f>
        <v>4.7275255361249262E-2</v>
      </c>
      <c r="X128" s="19">
        <f>IFERROR((W128-D128)*100,"")</f>
        <v>-4.3421163569828662</v>
      </c>
    </row>
    <row r="129" spans="1:24">
      <c r="A129" s="28" t="s">
        <v>411</v>
      </c>
      <c r="B129" s="28" t="s">
        <v>412</v>
      </c>
      <c r="C129" s="28" t="s">
        <v>505</v>
      </c>
      <c r="D129" s="31">
        <f>IFERROR(Serie_Historica!G420/Serie_Historica!G418,"")</f>
        <v>0.21432427568832105</v>
      </c>
      <c r="E129" s="31">
        <f>IFERROR(Serie_Historica!H420/Serie_Historica!H418,"")</f>
        <v>0.21759177159070758</v>
      </c>
      <c r="F129" s="31">
        <f>IFERROR(Serie_Historica!I420/Serie_Historica!I418,"")</f>
        <v>0.23091830649970185</v>
      </c>
      <c r="G129" s="31">
        <f>IFERROR(Serie_Historica!J420/Serie_Historica!J418,"")</f>
        <v>0.21890798786653184</v>
      </c>
      <c r="H129" s="31">
        <f>IFERROR(Serie_Historica!K420/Serie_Historica!K418,"")</f>
        <v>0.21776409805430361</v>
      </c>
      <c r="I129" s="31">
        <f>IFERROR(Serie_Historica!L420/Serie_Historica!L418,"")</f>
        <v>0.19848571976231549</v>
      </c>
      <c r="J129" s="31">
        <f>IFERROR(Serie_Historica!M420/Serie_Historica!M418,"")</f>
        <v>0.18109692997585375</v>
      </c>
      <c r="K129" s="31">
        <f>IFERROR(Serie_Historica!N420/Serie_Historica!N418,"")</f>
        <v>0.18656659843832915</v>
      </c>
      <c r="L129" s="31">
        <f>IFERROR(Serie_Historica!O420/Serie_Historica!O418,"")</f>
        <v>0.21049046321525886</v>
      </c>
      <c r="M129" s="31">
        <f>IFERROR(Serie_Historica!P420/Serie_Historica!P418,"")</f>
        <v>0.21122415490646537</v>
      </c>
      <c r="N129" s="31">
        <f>IFERROR(Serie_Historica!Q420/Serie_Historica!Q418,"")</f>
        <v>0.26170923712975025</v>
      </c>
      <c r="O129" s="31">
        <f>IFERROR(Serie_Historica!R420/Serie_Historica!R418,"")</f>
        <v>0.25283778835591358</v>
      </c>
      <c r="P129" s="31">
        <f>IFERROR(Serie_Historica!S420/Serie_Historica!S418,"")</f>
        <v>0.21235486618550231</v>
      </c>
      <c r="Q129" s="31">
        <f>IFERROR(Serie_Historica!T420/Serie_Historica!T418,"")</f>
        <v>0.22783892159372068</v>
      </c>
      <c r="R129" s="31">
        <f>IFERROR(Serie_Historica!U420/Serie_Historica!U418,"")</f>
        <v>0.22762622873159369</v>
      </c>
      <c r="S129" s="31">
        <f>IFERROR(Serie_Historica!V420/Serie_Historica!V418,"")</f>
        <v>0.22855131364203654</v>
      </c>
      <c r="T129" s="31">
        <f>IFERROR(Serie_Historica!W420/Serie_Historica!W418,"")</f>
        <v>0.26492108803359909</v>
      </c>
      <c r="U129" s="31">
        <f>IFERROR(Serie_Historica!X420/Serie_Historica!X418,"")</f>
        <v>0.2636425952969928</v>
      </c>
      <c r="V129" s="31">
        <f>IFERROR(Serie_Historica!Y420/Serie_Historica!Y418,"")</f>
        <v>0.26866297601073647</v>
      </c>
      <c r="W129" s="31">
        <f>IFERROR(Serie_Historica!Z420/Serie_Historica!Z418,"")</f>
        <v>0.28432001711321458</v>
      </c>
      <c r="X129" s="19">
        <f>IFERROR((W129-D129)*100,"")</f>
        <v>6.9995741424893536</v>
      </c>
    </row>
    <row r="130" spans="1:24">
      <c r="A130" s="28" t="s">
        <v>411</v>
      </c>
      <c r="B130" s="28" t="s">
        <v>412</v>
      </c>
      <c r="C130" s="28" t="s">
        <v>506</v>
      </c>
      <c r="D130" s="31">
        <f>IFERROR(Serie_Historica!G421/Serie_Historica!G418,"")</f>
        <v>0.66096814828144679</v>
      </c>
      <c r="E130" s="31">
        <f>IFERROR(Serie_Historica!H421/Serie_Historica!H418,"")</f>
        <v>0.66146479872317787</v>
      </c>
      <c r="F130" s="31">
        <f>IFERROR(Serie_Historica!I421/Serie_Historica!I418,"")</f>
        <v>0.66398330351818724</v>
      </c>
      <c r="G130" s="31">
        <f>IFERROR(Serie_Historica!J421/Serie_Historica!J418,"")</f>
        <v>0.6842770475227502</v>
      </c>
      <c r="H130" s="31">
        <f>IFERROR(Serie_Historica!K421/Serie_Historica!K418,"")</f>
        <v>0.7008904034297021</v>
      </c>
      <c r="I130" s="31">
        <f>IFERROR(Serie_Historica!L421/Serie_Historica!L418,"")</f>
        <v>0.72330841479777652</v>
      </c>
      <c r="J130" s="31">
        <f>IFERROR(Serie_Historica!M421/Serie_Historica!M418,"")</f>
        <v>0.72223180407036913</v>
      </c>
      <c r="K130" s="31">
        <f>IFERROR(Serie_Historica!N421/Serie_Historica!N418,"")</f>
        <v>0.70434387082101435</v>
      </c>
      <c r="L130" s="31">
        <f>IFERROR(Serie_Historica!O421/Serie_Historica!O418,"")</f>
        <v>0.72661217075386009</v>
      </c>
      <c r="M130" s="31">
        <f>IFERROR(Serie_Historica!P421/Serie_Historica!P418,"")</f>
        <v>0.72280932064325565</v>
      </c>
      <c r="N130" s="31">
        <f>IFERROR(Serie_Historica!Q421/Serie_Historica!Q418,"")</f>
        <v>0.67197145607974174</v>
      </c>
      <c r="O130" s="31">
        <f>IFERROR(Serie_Historica!R421/Serie_Historica!R418,"")</f>
        <v>0.64774807762724274</v>
      </c>
      <c r="P130" s="31">
        <f>IFERROR(Serie_Historica!S421/Serie_Historica!S418,"")</f>
        <v>0.65127538440848165</v>
      </c>
      <c r="Q130" s="31">
        <f>IFERROR(Serie_Historica!T421/Serie_Historica!T418,"")</f>
        <v>0.67720331029775616</v>
      </c>
      <c r="R130" s="31">
        <f>IFERROR(Serie_Historica!U421/Serie_Historica!U418,"")</f>
        <v>0.67135130867316728</v>
      </c>
      <c r="S130" s="31">
        <f>IFERROR(Serie_Historica!V421/Serie_Historica!V418,"")</f>
        <v>0.67282153028896929</v>
      </c>
      <c r="T130" s="31">
        <f>IFERROR(Serie_Historica!W421/Serie_Historica!W418,"")</f>
        <v>0.65718410604718314</v>
      </c>
      <c r="U130" s="31">
        <f>IFERROR(Serie_Historica!X421/Serie_Historica!X418,"")</f>
        <v>0.66801776294221082</v>
      </c>
      <c r="V130" s="31">
        <f>IFERROR(Serie_Historica!Y421/Serie_Historica!Y418,"")</f>
        <v>0.65176424537270028</v>
      </c>
      <c r="W130" s="31">
        <f>IFERROR(Serie_Historica!Z421/Serie_Historica!Z418,"")</f>
        <v>0.63342959516551689</v>
      </c>
      <c r="X130" s="19">
        <f>IFERROR((W130-D130)*100,"")</f>
        <v>-2.7538553115929898</v>
      </c>
    </row>
    <row r="131" spans="1:24">
      <c r="A131" s="28" t="s">
        <v>257</v>
      </c>
      <c r="B131" s="28" t="s">
        <v>258</v>
      </c>
      <c r="C131" s="28" t="s">
        <v>504</v>
      </c>
      <c r="D131" s="31">
        <f>IFERROR(Serie_Historica!G429/Serie_Historica!G428,"")</f>
        <v>0.13924243192535876</v>
      </c>
      <c r="E131" s="31">
        <f>IFERROR(Serie_Historica!H429/Serie_Historica!H428,"")</f>
        <v>4.7817836812144215E-2</v>
      </c>
      <c r="F131" s="31">
        <f>IFERROR(Serie_Historica!I429/Serie_Historica!I428,"")</f>
        <v>0.15220427760803143</v>
      </c>
      <c r="G131" s="31">
        <f>IFERROR(Serie_Historica!J429/Serie_Historica!J428,"")</f>
        <v>5.9400781589231434E-2</v>
      </c>
      <c r="H131" s="31">
        <f>IFERROR(Serie_Historica!K429/Serie_Historica!K428,"")</f>
        <v>4.7203129153533592E-2</v>
      </c>
      <c r="I131" s="31">
        <f>IFERROR(Serie_Historica!L429/Serie_Historica!L428,"")</f>
        <v>5.3611131033493506E-2</v>
      </c>
      <c r="J131" s="31">
        <f>IFERROR(Serie_Historica!M429/Serie_Historica!M428,"")</f>
        <v>5.2090680100755668E-2</v>
      </c>
      <c r="K131" s="31">
        <f>IFERROR(Serie_Historica!N429/Serie_Historica!N428,"")</f>
        <v>5.1964512040557666E-2</v>
      </c>
      <c r="L131" s="31">
        <f>IFERROR(Serie_Historica!O429/Serie_Historica!O428,"")</f>
        <v>4.085101861935244E-2</v>
      </c>
      <c r="M131" s="31">
        <f>IFERROR(Serie_Historica!P429/Serie_Historica!P428,"")</f>
        <v>5.2636038211433776E-2</v>
      </c>
      <c r="N131" s="31">
        <f>IFERROR(Serie_Historica!Q429/Serie_Historica!Q428,"")</f>
        <v>4.7175447111974016E-2</v>
      </c>
      <c r="O131" s="31">
        <f>IFERROR(Serie_Historica!R429/Serie_Historica!R428,"")</f>
        <v>4.7456405327474943E-2</v>
      </c>
      <c r="P131" s="31">
        <f>IFERROR(Serie_Historica!S429/Serie_Historica!S428,"")</f>
        <v>3.8496656946776238E-2</v>
      </c>
      <c r="Q131" s="31">
        <f>IFERROR(Serie_Historica!T429/Serie_Historica!T428,"")</f>
        <v>4.3962188789774995E-2</v>
      </c>
      <c r="R131" s="31">
        <f>IFERROR(Serie_Historica!U429/Serie_Historica!U428,"")</f>
        <v>5.4290897013361948E-2</v>
      </c>
      <c r="S131" s="31">
        <f>IFERROR(Serie_Historica!V429/Serie_Historica!V428,"")</f>
        <v>4.5101249017156265E-2</v>
      </c>
      <c r="T131" s="31">
        <f>IFERROR(Serie_Historica!W429/Serie_Historica!W428,"")</f>
        <v>8.9298809725277831E-2</v>
      </c>
      <c r="U131" s="31">
        <f>IFERROR(Serie_Historica!X429/Serie_Historica!X428,"")</f>
        <v>6.0543177126231452E-2</v>
      </c>
      <c r="V131" s="31">
        <f>IFERROR(Serie_Historica!Y429/Serie_Historica!Y428,"")</f>
        <v>6.1270970430602534E-2</v>
      </c>
      <c r="W131" s="31">
        <f>IFERROR(Serie_Historica!Z429/Serie_Historica!Z428,"")</f>
        <v>9.174516520373939E-2</v>
      </c>
      <c r="X131" s="19">
        <f>IFERROR((W131-D131)*100,"")</f>
        <v>-4.7497266721619376</v>
      </c>
    </row>
    <row r="132" spans="1:24">
      <c r="A132" s="28" t="s">
        <v>257</v>
      </c>
      <c r="B132" s="28" t="s">
        <v>258</v>
      </c>
      <c r="C132" s="28" t="s">
        <v>505</v>
      </c>
      <c r="D132" s="31">
        <f>IFERROR(Serie_Historica!G430/Serie_Historica!G428,"")</f>
        <v>0.22600273819786015</v>
      </c>
      <c r="E132" s="31">
        <f>IFERROR(Serie_Historica!H430/Serie_Historica!H428,"")</f>
        <v>0.24695039306045</v>
      </c>
      <c r="F132" s="31">
        <f>IFERROR(Serie_Historica!I430/Serie_Historica!I428,"")</f>
        <v>0.23408991706678306</v>
      </c>
      <c r="G132" s="31">
        <f>IFERROR(Serie_Historica!J430/Serie_Historica!J428,"")</f>
        <v>0.24785062961354754</v>
      </c>
      <c r="H132" s="31">
        <f>IFERROR(Serie_Historica!K430/Serie_Historica!K428,"")</f>
        <v>0.24292712565981847</v>
      </c>
      <c r="I132" s="31">
        <f>IFERROR(Serie_Historica!L430/Serie_Historica!L428,"")</f>
        <v>0.25837337732195365</v>
      </c>
      <c r="J132" s="31">
        <f>IFERROR(Serie_Historica!M430/Serie_Historica!M428,"")</f>
        <v>0.23099916036943743</v>
      </c>
      <c r="K132" s="31">
        <f>IFERROR(Serie_Historica!N430/Serie_Historica!N428,"")</f>
        <v>0.26445142447787512</v>
      </c>
      <c r="L132" s="31">
        <f>IFERROR(Serie_Historica!O430/Serie_Historica!O428,"")</f>
        <v>0.21745597492629287</v>
      </c>
      <c r="M132" s="31">
        <f>IFERROR(Serie_Historica!P430/Serie_Historica!P428,"")</f>
        <v>0.24521827540191904</v>
      </c>
      <c r="N132" s="31">
        <f>IFERROR(Serie_Historica!Q430/Serie_Historica!Q428,"")</f>
        <v>0.27590262479931299</v>
      </c>
      <c r="O132" s="31">
        <f>IFERROR(Serie_Historica!R430/Serie_Historica!R428,"")</f>
        <v>0.2810826582452286</v>
      </c>
      <c r="P132" s="31">
        <f>IFERROR(Serie_Historica!S430/Serie_Historica!S428,"")</f>
        <v>0.26301139878059554</v>
      </c>
      <c r="Q132" s="31">
        <f>IFERROR(Serie_Historica!T430/Serie_Historica!T428,"")</f>
        <v>0.28247903075489283</v>
      </c>
      <c r="R132" s="31">
        <f>IFERROR(Serie_Historica!U430/Serie_Historica!U428,"")</f>
        <v>0.28019212590378373</v>
      </c>
      <c r="S132" s="31">
        <f>IFERROR(Serie_Historica!V430/Serie_Historica!V428,"")</f>
        <v>0.27586651370825332</v>
      </c>
      <c r="T132" s="31">
        <f>IFERROR(Serie_Historica!W430/Serie_Historica!W428,"")</f>
        <v>0.29850510520674678</v>
      </c>
      <c r="U132" s="31">
        <f>IFERROR(Serie_Historica!X430/Serie_Historica!X428,"")</f>
        <v>0.30505845732561748</v>
      </c>
      <c r="V132" s="31">
        <f>IFERROR(Serie_Historica!Y430/Serie_Historica!Y428,"")</f>
        <v>0.29300937188048187</v>
      </c>
      <c r="W132" s="31">
        <f>IFERROR(Serie_Historica!Z430/Serie_Historica!Z428,"")</f>
        <v>0.28993613073574537</v>
      </c>
      <c r="X132" s="19">
        <f>IFERROR((W132-D132)*100,"")</f>
        <v>6.3933392537885219</v>
      </c>
    </row>
    <row r="133" spans="1:24">
      <c r="A133" s="28" t="s">
        <v>257</v>
      </c>
      <c r="B133" s="28" t="s">
        <v>258</v>
      </c>
      <c r="C133" s="28" t="s">
        <v>506</v>
      </c>
      <c r="D133" s="31">
        <f>IFERROR(Serie_Historica!G431/Serie_Historica!G428,"")</f>
        <v>0.49890979159271842</v>
      </c>
      <c r="E133" s="31">
        <f>IFERROR(Serie_Historica!H431/Serie_Historica!H428,"")</f>
        <v>0.57489834643534832</v>
      </c>
      <c r="F133" s="31">
        <f>IFERROR(Serie_Historica!I431/Serie_Historica!I428,"")</f>
        <v>0.49419467481449147</v>
      </c>
      <c r="G133" s="31">
        <f>IFERROR(Serie_Historica!J431/Serie_Historica!J428,"")</f>
        <v>0.57425097698653926</v>
      </c>
      <c r="H133" s="31">
        <f>IFERROR(Serie_Historica!K431/Serie_Historica!K428,"")</f>
        <v>0.55063988151748755</v>
      </c>
      <c r="I133" s="31">
        <f>IFERROR(Serie_Historica!L431/Serie_Historica!L428,"")</f>
        <v>0.60141289535967868</v>
      </c>
      <c r="J133" s="31">
        <f>IFERROR(Serie_Historica!M431/Serie_Historica!M428,"")</f>
        <v>0.59539882451721238</v>
      </c>
      <c r="K133" s="31">
        <f>IFERROR(Serie_Historica!N431/Serie_Historica!N428,"")</f>
        <v>0.57378630076596682</v>
      </c>
      <c r="L133" s="31">
        <f>IFERROR(Serie_Historica!O431/Serie_Historica!O428,"")</f>
        <v>0.63324391086084619</v>
      </c>
      <c r="M133" s="31">
        <f>IFERROR(Serie_Historica!P431/Serie_Historica!P428,"")</f>
        <v>0.55972125140327467</v>
      </c>
      <c r="N133" s="31">
        <f>IFERROR(Serie_Historica!Q431/Serie_Historica!Q428,"")</f>
        <v>0.56778553560094092</v>
      </c>
      <c r="O133" s="31">
        <f>IFERROR(Serie_Historica!R431/Serie_Historica!R428,"")</f>
        <v>0.56274886722504458</v>
      </c>
      <c r="P133" s="31">
        <f>IFERROR(Serie_Historica!S431/Serie_Historica!S428,"")</f>
        <v>0.58004182498306378</v>
      </c>
      <c r="Q133" s="31">
        <f>IFERROR(Serie_Historica!T431/Serie_Historica!T428,"")</f>
        <v>0.55855412062308618</v>
      </c>
      <c r="R133" s="31">
        <f>IFERROR(Serie_Historica!U431/Serie_Historica!U428,"")</f>
        <v>0.55716512097289284</v>
      </c>
      <c r="S133" s="31">
        <f>IFERROR(Serie_Historica!V431/Serie_Historica!V428,"")</f>
        <v>0.57055206816101878</v>
      </c>
      <c r="T133" s="31">
        <f>IFERROR(Serie_Historica!W431/Serie_Historica!W428,"")</f>
        <v>0.49601173351384892</v>
      </c>
      <c r="U133" s="31">
        <f>IFERROR(Serie_Historica!X431/Serie_Historica!X428,"")</f>
        <v>0.5213986971450576</v>
      </c>
      <c r="V133" s="31">
        <f>IFERROR(Serie_Historica!Y431/Serie_Historica!Y428,"")</f>
        <v>0.51935918434595518</v>
      </c>
      <c r="W133" s="31">
        <f>IFERROR(Serie_Historica!Z431/Serie_Historica!Z428,"")</f>
        <v>0.50045493470348956</v>
      </c>
      <c r="X133" s="19">
        <f>IFERROR((W133-D133)*100,"")</f>
        <v>0.15451431107711411</v>
      </c>
    </row>
    <row r="134" spans="1:24">
      <c r="A134" s="28" t="s">
        <v>425</v>
      </c>
      <c r="B134" s="28" t="s">
        <v>426</v>
      </c>
      <c r="C134" s="28" t="s">
        <v>504</v>
      </c>
      <c r="D134" s="31">
        <f>IFERROR(Serie_Historica!G439/Serie_Historica!G438,"")</f>
        <v>6.6536497446680679E-2</v>
      </c>
      <c r="E134" s="31">
        <f>IFERROR(Serie_Historica!H439/Serie_Historica!H438,"")</f>
        <v>3.5797240060117502E-2</v>
      </c>
      <c r="F134" s="31">
        <f>IFERROR(Serie_Historica!I439/Serie_Historica!I438,"")</f>
        <v>5.5091383812010446E-2</v>
      </c>
      <c r="G134" s="31">
        <f>IFERROR(Serie_Historica!J439/Serie_Historica!J438,"")</f>
        <v>5.5276929786306148E-2</v>
      </c>
      <c r="H134" s="31">
        <f>IFERROR(Serie_Historica!K439/Serie_Historica!K438,"")</f>
        <v>4.881521407505339E-2</v>
      </c>
      <c r="I134" s="31">
        <f>IFERROR(Serie_Historica!L439/Serie_Historica!L438,"")</f>
        <v>4.4374999999999998E-2</v>
      </c>
      <c r="J134" s="31">
        <f>IFERROR(Serie_Historica!M439/Serie_Historica!M438,"")</f>
        <v>3.7881716273676071E-2</v>
      </c>
      <c r="K134" s="31">
        <f>IFERROR(Serie_Historica!N439/Serie_Historica!N438,"")</f>
        <v>4.5254031031335566E-2</v>
      </c>
      <c r="L134" s="31">
        <f>IFERROR(Serie_Historica!O439/Serie_Historica!O438,"")</f>
        <v>3.5514437066328432E-2</v>
      </c>
      <c r="M134" s="31">
        <f>IFERROR(Serie_Historica!P439/Serie_Historica!P438,"")</f>
        <v>0.11431695316770941</v>
      </c>
      <c r="N134" s="31">
        <f>IFERROR(Serie_Historica!Q439/Serie_Historica!Q438,"")</f>
        <v>8.2505951344132841E-2</v>
      </c>
      <c r="O134" s="31">
        <f>IFERROR(Serie_Historica!R439/Serie_Historica!R438,"")</f>
        <v>0.24909341002876079</v>
      </c>
      <c r="P134" s="31">
        <f>IFERROR(Serie_Historica!S439/Serie_Historica!S438,"")</f>
        <v>0.22593787817668415</v>
      </c>
      <c r="Q134" s="31">
        <f>IFERROR(Serie_Historica!T439/Serie_Historica!T438,"")</f>
        <v>5.633483135866358E-2</v>
      </c>
      <c r="R134" s="31">
        <f>IFERROR(Serie_Historica!U439/Serie_Historica!U438,"")</f>
        <v>5.9584011257200649E-2</v>
      </c>
      <c r="S134" s="31">
        <f>IFERROR(Serie_Historica!V439/Serie_Historica!V438,"")</f>
        <v>2.4819921794607944E-2</v>
      </c>
      <c r="T134" s="31">
        <f>IFERROR(Serie_Historica!W439/Serie_Historica!W438,"")</f>
        <v>3.3227146255897413E-2</v>
      </c>
      <c r="U134" s="31">
        <f>IFERROR(Serie_Historica!X439/Serie_Historica!X438,"")</f>
        <v>3.9100028256569649E-2</v>
      </c>
      <c r="V134" s="31">
        <f>IFERROR(Serie_Historica!Y439/Serie_Historica!Y438,"")</f>
        <v>3.6353825919805752E-2</v>
      </c>
      <c r="W134" s="31">
        <f>IFERROR(Serie_Historica!Z439/Serie_Historica!Z438,"")</f>
        <v>3.4065864869970403E-2</v>
      </c>
      <c r="X134" s="19">
        <f>IFERROR((W134-D134)*100,"")</f>
        <v>-3.2470632576710274</v>
      </c>
    </row>
    <row r="135" spans="1:24">
      <c r="A135" s="28" t="s">
        <v>425</v>
      </c>
      <c r="B135" s="28" t="s">
        <v>426</v>
      </c>
      <c r="C135" s="28" t="s">
        <v>505</v>
      </c>
      <c r="D135" s="31">
        <f>IFERROR(Serie_Historica!G440/Serie_Historica!G438,"")</f>
        <v>0.18383899068789425</v>
      </c>
      <c r="E135" s="31">
        <f>IFERROR(Serie_Historica!H440/Serie_Historica!H438,"")</f>
        <v>0.18704741084847656</v>
      </c>
      <c r="F135" s="31">
        <f>IFERROR(Serie_Historica!I440/Serie_Historica!I438,"")</f>
        <v>0.18577023498694517</v>
      </c>
      <c r="G135" s="31">
        <f>IFERROR(Serie_Historica!J440/Serie_Historica!J438,"")</f>
        <v>0.19003488879197558</v>
      </c>
      <c r="H135" s="31">
        <f>IFERROR(Serie_Historica!K440/Serie_Historica!K438,"")</f>
        <v>0.18773517746364282</v>
      </c>
      <c r="I135" s="31">
        <f>IFERROR(Serie_Historica!L440/Serie_Historica!L438,"")</f>
        <v>0.19098214285714285</v>
      </c>
      <c r="J135" s="31">
        <f>IFERROR(Serie_Historica!M440/Serie_Historica!M438,"")</f>
        <v>0.16490143022806339</v>
      </c>
      <c r="K135" s="31">
        <f>IFERROR(Serie_Historica!N440/Serie_Historica!N438,"")</f>
        <v>0.16504411317310619</v>
      </c>
      <c r="L135" s="31">
        <f>IFERROR(Serie_Historica!O440/Serie_Historica!O438,"")</f>
        <v>0.1792136088935313</v>
      </c>
      <c r="M135" s="31">
        <f>IFERROR(Serie_Historica!P440/Serie_Historica!P438,"")</f>
        <v>0.16777015124825365</v>
      </c>
      <c r="N135" s="31">
        <f>IFERROR(Serie_Historica!Q440/Serie_Historica!Q438,"")</f>
        <v>0.1902688265691227</v>
      </c>
      <c r="O135" s="31">
        <f>IFERROR(Serie_Historica!R440/Serie_Historica!R438,"")</f>
        <v>0.16531199199699886</v>
      </c>
      <c r="P135" s="31">
        <f>IFERROR(Serie_Historica!S440/Serie_Historica!S438,"")</f>
        <v>0.15667607906413877</v>
      </c>
      <c r="Q135" s="31">
        <f>IFERROR(Serie_Historica!T440/Serie_Historica!T438,"")</f>
        <v>0.20264197194607109</v>
      </c>
      <c r="R135" s="31">
        <f>IFERROR(Serie_Historica!U440/Serie_Historica!U438,"")</f>
        <v>0.2101490699617431</v>
      </c>
      <c r="S135" s="31">
        <f>IFERROR(Serie_Historica!V440/Serie_Historica!V438,"")</f>
        <v>0.21049598682856555</v>
      </c>
      <c r="T135" s="31">
        <f>IFERROR(Serie_Historica!W440/Serie_Historica!W438,"")</f>
        <v>0.20988749546352675</v>
      </c>
      <c r="U135" s="31">
        <f>IFERROR(Serie_Historica!X440/Serie_Historica!X438,"")</f>
        <v>0.2157389092964114</v>
      </c>
      <c r="V135" s="31">
        <f>IFERROR(Serie_Historica!Y440/Serie_Historica!Y438,"")</f>
        <v>0.21903348733686304</v>
      </c>
      <c r="W135" s="31">
        <f>IFERROR(Serie_Historica!Z440/Serie_Historica!Z438,"")</f>
        <v>0.20905484541275737</v>
      </c>
      <c r="X135" s="19">
        <f>IFERROR((W135-D135)*100,"")</f>
        <v>2.5215854724863123</v>
      </c>
    </row>
    <row r="136" spans="1:24">
      <c r="A136" s="28" t="s">
        <v>425</v>
      </c>
      <c r="B136" s="28" t="s">
        <v>426</v>
      </c>
      <c r="C136" s="28" t="s">
        <v>506</v>
      </c>
      <c r="D136" s="31">
        <f>IFERROR(Serie_Historica!G441/Serie_Historica!G438,"")</f>
        <v>0.59867828176629623</v>
      </c>
      <c r="E136" s="31">
        <f>IFERROR(Serie_Historica!H441/Serie_Historica!H438,"")</f>
        <v>0.59215739855171468</v>
      </c>
      <c r="F136" s="31">
        <f>IFERROR(Serie_Historica!I441/Serie_Historica!I438,"")</f>
        <v>0.55065274151436028</v>
      </c>
      <c r="G136" s="31">
        <f>IFERROR(Serie_Historica!J441/Serie_Historica!J438,"")</f>
        <v>0.6057566506759704</v>
      </c>
      <c r="H136" s="31">
        <f>IFERROR(Serie_Historica!K441/Serie_Historica!K438,"")</f>
        <v>0.60195260856300215</v>
      </c>
      <c r="I136" s="31">
        <f>IFERROR(Serie_Historica!L441/Serie_Historica!L438,"")</f>
        <v>0.64651785714285714</v>
      </c>
      <c r="J136" s="31">
        <f>IFERROR(Serie_Historica!M441/Serie_Historica!M438,"")</f>
        <v>0.63277928102048708</v>
      </c>
      <c r="K136" s="31">
        <f>IFERROR(Serie_Historica!N441/Serie_Historica!N438,"")</f>
        <v>0.64024946759963497</v>
      </c>
      <c r="L136" s="31">
        <f>IFERROR(Serie_Historica!O441/Serie_Historica!O438,"")</f>
        <v>0.66962620308886067</v>
      </c>
      <c r="M136" s="31">
        <f>IFERROR(Serie_Historica!P441/Serie_Historica!P438,"")</f>
        <v>0.60754419000182225</v>
      </c>
      <c r="N136" s="31">
        <f>IFERROR(Serie_Historica!Q441/Serie_Historica!Q438,"")</f>
        <v>0.64448702316669571</v>
      </c>
      <c r="O136" s="31">
        <f>IFERROR(Serie_Historica!R441/Serie_Historica!R438,"")</f>
        <v>0.52219582343378768</v>
      </c>
      <c r="P136" s="31">
        <f>IFERROR(Serie_Historica!S441/Serie_Historica!S438,"")</f>
        <v>0.55046389673255347</v>
      </c>
      <c r="Q136" s="31">
        <f>IFERROR(Serie_Historica!T441/Serie_Historica!T438,"")</f>
        <v>0.67574560806209993</v>
      </c>
      <c r="R136" s="31">
        <f>IFERROR(Serie_Historica!U441/Serie_Historica!U438,"")</f>
        <v>0.66597774943933863</v>
      </c>
      <c r="S136" s="31">
        <f>IFERROR(Serie_Historica!V441/Serie_Historica!V438,"")</f>
        <v>0.7054126363449269</v>
      </c>
      <c r="T136" s="31">
        <f>IFERROR(Serie_Historica!W441/Serie_Historica!W438,"")</f>
        <v>0.69164079196741801</v>
      </c>
      <c r="U136" s="31">
        <f>IFERROR(Serie_Historica!X441/Serie_Historica!X438,"")</f>
        <v>0.66823255156823957</v>
      </c>
      <c r="V136" s="31">
        <f>IFERROR(Serie_Historica!Y441/Serie_Historica!Y438,"")</f>
        <v>0.65393046234782315</v>
      </c>
      <c r="W136" s="31">
        <f>IFERROR(Serie_Historica!Z441/Serie_Historica!Z438,"")</f>
        <v>0.65594106164599209</v>
      </c>
      <c r="X136" s="19">
        <f>IFERROR((W136-D136)*100,"")</f>
        <v>5.7262779879695858</v>
      </c>
    </row>
    <row r="137" spans="1:24">
      <c r="A137" s="28" t="s">
        <v>393</v>
      </c>
      <c r="B137" s="28" t="s">
        <v>394</v>
      </c>
      <c r="C137" s="28" t="s">
        <v>504</v>
      </c>
      <c r="D137" s="31">
        <f>IFERROR(Serie_Historica!G449/Serie_Historica!G448,"")</f>
        <v>7.7572873289708508E-2</v>
      </c>
      <c r="E137" s="31">
        <f>IFERROR(Serie_Historica!H449/Serie_Historica!H448,"")</f>
        <v>6.0099320968886184E-2</v>
      </c>
      <c r="F137" s="31">
        <f>IFERROR(Serie_Historica!I449/Serie_Historica!I448,"")</f>
        <v>4.387926215762996E-2</v>
      </c>
      <c r="G137" s="31">
        <f>IFERROR(Serie_Historica!J449/Serie_Historica!J448,"")</f>
        <v>4.0346061059811998E-2</v>
      </c>
      <c r="H137" s="31">
        <f>IFERROR(Serie_Historica!K449/Serie_Historica!K448,"")</f>
        <v>4.2334336295570638E-2</v>
      </c>
      <c r="I137" s="31">
        <f>IFERROR(Serie_Historica!L449/Serie_Historica!L448,"")</f>
        <v>3.8054435483870969E-2</v>
      </c>
      <c r="J137" s="31">
        <f>IFERROR(Serie_Historica!M449/Serie_Historica!M448,"")</f>
        <v>4.1893331837810556E-2</v>
      </c>
      <c r="K137" s="31">
        <f>IFERROR(Serie_Historica!N449/Serie_Historica!N448,"")</f>
        <v>3.4686883373143629E-2</v>
      </c>
      <c r="L137" s="31">
        <f>IFERROR(Serie_Historica!O449/Serie_Historica!O448,"")</f>
        <v>4.6027646969466811E-2</v>
      </c>
      <c r="M137" s="31">
        <f>IFERROR(Serie_Historica!P449/Serie_Historica!P448,"")</f>
        <v>3.3876555883485177E-2</v>
      </c>
      <c r="N137" s="31">
        <f>IFERROR(Serie_Historica!Q449/Serie_Historica!Q448,"")</f>
        <v>4.0382829221015222E-2</v>
      </c>
      <c r="O137" s="31">
        <f>IFERROR(Serie_Historica!R449/Serie_Historica!R448,"")</f>
        <v>3.8606782768102657E-2</v>
      </c>
      <c r="P137" s="31">
        <f>IFERROR(Serie_Historica!S449/Serie_Historica!S448,"")</f>
        <v>4.4424008771619568E-2</v>
      </c>
      <c r="Q137" s="31">
        <f>IFERROR(Serie_Historica!T449/Serie_Historica!T448,"")</f>
        <v>5.1751321606331342E-2</v>
      </c>
      <c r="R137" s="31">
        <f>IFERROR(Serie_Historica!U449/Serie_Historica!U448,"")</f>
        <v>2.284342308351912E-2</v>
      </c>
      <c r="S137" s="31">
        <f>IFERROR(Serie_Historica!V449/Serie_Historica!V448,"")</f>
        <v>5.2898593722185958E-2</v>
      </c>
      <c r="T137" s="31">
        <f>IFERROR(Serie_Historica!W449/Serie_Historica!W448,"")</f>
        <v>5.0856020207690152E-2</v>
      </c>
      <c r="U137" s="31">
        <f>IFERROR(Serie_Historica!X449/Serie_Historica!X448,"")</f>
        <v>5.5006613242044658E-2</v>
      </c>
      <c r="V137" s="31">
        <f>IFERROR(Serie_Historica!Y449/Serie_Historica!Y448,"")</f>
        <v>5.9376658830666562E-2</v>
      </c>
      <c r="W137" s="31">
        <f>IFERROR(Serie_Historica!Z449/Serie_Historica!Z448,"")</f>
        <v>5.4112964366944655E-2</v>
      </c>
      <c r="X137" s="19">
        <f>IFERROR((W137-D137)*100,"")</f>
        <v>-2.3459908922763852</v>
      </c>
    </row>
    <row r="138" spans="1:24">
      <c r="A138" s="28" t="s">
        <v>393</v>
      </c>
      <c r="B138" s="28" t="s">
        <v>394</v>
      </c>
      <c r="C138" s="28" t="s">
        <v>505</v>
      </c>
      <c r="D138" s="31">
        <f>IFERROR(Serie_Historica!G450/Serie_Historica!G448,"")</f>
        <v>0.20464009518143961</v>
      </c>
      <c r="E138" s="31">
        <f>IFERROR(Serie_Historica!H450/Serie_Historica!H448,"")</f>
        <v>0.21110773284686329</v>
      </c>
      <c r="F138" s="31">
        <f>IFERROR(Serie_Historica!I450/Serie_Historica!I448,"")</f>
        <v>0.21278181479411218</v>
      </c>
      <c r="G138" s="31">
        <f>IFERROR(Serie_Historica!J450/Serie_Historica!J448,"")</f>
        <v>0.21354296647533483</v>
      </c>
      <c r="H138" s="31">
        <f>IFERROR(Serie_Historica!K450/Serie_Historica!K448,"")</f>
        <v>0.20901266531383389</v>
      </c>
      <c r="I138" s="31">
        <f>IFERROR(Serie_Historica!L450/Serie_Historica!L448,"")</f>
        <v>0.21219758064516128</v>
      </c>
      <c r="J138" s="31">
        <f>IFERROR(Serie_Historica!M450/Serie_Historica!M448,"")</f>
        <v>0.18922101957265436</v>
      </c>
      <c r="K138" s="31">
        <f>IFERROR(Serie_Historica!N450/Serie_Historica!N448,"")</f>
        <v>0.19103749091286737</v>
      </c>
      <c r="L138" s="31">
        <f>IFERROR(Serie_Historica!O450/Serie_Historica!O448,"")</f>
        <v>0.20411160058737152</v>
      </c>
      <c r="M138" s="31">
        <f>IFERROR(Serie_Historica!P450/Serie_Historica!P448,"")</f>
        <v>0.27670131314427476</v>
      </c>
      <c r="N138" s="31">
        <f>IFERROR(Serie_Historica!Q450/Serie_Historica!Q448,"")</f>
        <v>0.28825263497960668</v>
      </c>
      <c r="O138" s="31">
        <f>IFERROR(Serie_Historica!R450/Serie_Historica!R448,"")</f>
        <v>0.26339138405132906</v>
      </c>
      <c r="P138" s="31">
        <f>IFERROR(Serie_Historica!S450/Serie_Historica!S448,"")</f>
        <v>0.25374031761751492</v>
      </c>
      <c r="Q138" s="31">
        <f>IFERROR(Serie_Historica!T450/Serie_Historica!T448,"")</f>
        <v>0.29733823847652024</v>
      </c>
      <c r="R138" s="31">
        <f>IFERROR(Serie_Historica!U450/Serie_Historica!U448,"")</f>
        <v>0.2720631109586692</v>
      </c>
      <c r="S138" s="31">
        <f>IFERROR(Serie_Historica!V450/Serie_Historica!V448,"")</f>
        <v>0.29668308313059988</v>
      </c>
      <c r="T138" s="31">
        <f>IFERROR(Serie_Historica!W450/Serie_Historica!W448,"")</f>
        <v>0.32121807465618862</v>
      </c>
      <c r="U138" s="31">
        <f>IFERROR(Serie_Historica!X450/Serie_Historica!X448,"")</f>
        <v>0.31437537280531136</v>
      </c>
      <c r="V138" s="31">
        <f>IFERROR(Serie_Historica!Y450/Serie_Historica!Y448,"")</f>
        <v>0.31328833952630114</v>
      </c>
      <c r="W138" s="31">
        <f>IFERROR(Serie_Historica!Z450/Serie_Historica!Z448,"")</f>
        <v>0.31143385140257773</v>
      </c>
      <c r="X138" s="19">
        <f>IFERROR((W138-D138)*100,"")</f>
        <v>10.679375622113813</v>
      </c>
    </row>
    <row r="139" spans="1:24">
      <c r="A139" s="28" t="s">
        <v>393</v>
      </c>
      <c r="B139" s="28" t="s">
        <v>394</v>
      </c>
      <c r="C139" s="28" t="s">
        <v>506</v>
      </c>
      <c r="D139" s="31">
        <f>IFERROR(Serie_Historica!G451/Serie_Historica!G448,"")</f>
        <v>0.63450327186198696</v>
      </c>
      <c r="E139" s="31">
        <f>IFERROR(Serie_Historica!H451/Serie_Historica!H448,"")</f>
        <v>0.61964122833688051</v>
      </c>
      <c r="F139" s="31">
        <f>IFERROR(Serie_Historica!I451/Serie_Historica!I448,"")</f>
        <v>0.59726103968697597</v>
      </c>
      <c r="G139" s="31">
        <f>IFERROR(Serie_Historica!J451/Serie_Historica!J448,"")</f>
        <v>0.65061142999750432</v>
      </c>
      <c r="H139" s="31">
        <f>IFERROR(Serie_Historica!K451/Serie_Historica!K448,"")</f>
        <v>0.64166258484360783</v>
      </c>
      <c r="I139" s="31">
        <f>IFERROR(Serie_Historica!L451/Serie_Historica!L448,"")</f>
        <v>0.67603326612903225</v>
      </c>
      <c r="J139" s="31">
        <f>IFERROR(Serie_Historica!M451/Serie_Historica!M448,"")</f>
        <v>0.65576804441702652</v>
      </c>
      <c r="K139" s="31">
        <f>IFERROR(Serie_Historica!N451/Serie_Historica!N448,"")</f>
        <v>0.65562363693010695</v>
      </c>
      <c r="L139" s="31">
        <f>IFERROR(Serie_Historica!O451/Serie_Historica!O448,"")</f>
        <v>0.65233682718112307</v>
      </c>
      <c r="M139" s="31">
        <f>IFERROR(Serie_Historica!P451/Serie_Historica!P448,"")</f>
        <v>0.60960691218614993</v>
      </c>
      <c r="N139" s="31">
        <f>IFERROR(Serie_Historica!Q451/Serie_Historica!Q448,"")</f>
        <v>0.61599967693736624</v>
      </c>
      <c r="O139" s="31">
        <f>IFERROR(Serie_Historica!R451/Serie_Historica!R448,"")</f>
        <v>0.64120989917506876</v>
      </c>
      <c r="P139" s="31">
        <f>IFERROR(Serie_Historica!S451/Serie_Historica!S448,"")</f>
        <v>0.64287482757401049</v>
      </c>
      <c r="Q139" s="31">
        <f>IFERROR(Serie_Historica!T451/Serie_Historica!T448,"")</f>
        <v>0.60005564658237243</v>
      </c>
      <c r="R139" s="31">
        <f>IFERROR(Serie_Historica!U451/Serie_Historica!U448,"")</f>
        <v>0.65731435431315388</v>
      </c>
      <c r="S139" s="31">
        <f>IFERROR(Serie_Historica!V451/Serie_Historica!V448,"")</f>
        <v>0.60544116774461521</v>
      </c>
      <c r="T139" s="31">
        <f>IFERROR(Serie_Historica!W451/Serie_Historica!W448,"")</f>
        <v>0.58083076059500416</v>
      </c>
      <c r="U139" s="31">
        <f>IFERROR(Serie_Historica!X451/Serie_Historica!X448,"")</f>
        <v>0.58927876760289422</v>
      </c>
      <c r="V139" s="31">
        <f>IFERROR(Serie_Historica!Y451/Serie_Historica!Y448,"")</f>
        <v>0.57614822678900934</v>
      </c>
      <c r="W139" s="31">
        <f>IFERROR(Serie_Historica!Z451/Serie_Historica!Z448,"")</f>
        <v>0.58687926459438966</v>
      </c>
      <c r="X139" s="19">
        <f>IFERROR((W139-D139)*100,"")</f>
        <v>-4.7624007267597301</v>
      </c>
    </row>
    <row r="140" spans="1:24">
      <c r="A140" s="28" t="s">
        <v>215</v>
      </c>
      <c r="B140" s="28" t="s">
        <v>216</v>
      </c>
      <c r="C140" s="28" t="s">
        <v>504</v>
      </c>
      <c r="D140" s="31">
        <f>IFERROR(Serie_Historica!G459/Serie_Historica!G458,"")</f>
        <v>0.53668025194516489</v>
      </c>
      <c r="E140" s="31">
        <f>IFERROR(Serie_Historica!H459/Serie_Historica!H458,"")</f>
        <v>0.46078136739293762</v>
      </c>
      <c r="F140" s="31">
        <f>IFERROR(Serie_Historica!I459/Serie_Historica!I458,"")</f>
        <v>0.47250841985691228</v>
      </c>
      <c r="G140" s="31">
        <f>IFERROR(Serie_Historica!J459/Serie_Historica!J458,"")</f>
        <v>0.40568757464684319</v>
      </c>
      <c r="H140" s="31">
        <f>IFERROR(Serie_Historica!K459/Serie_Historica!K458,"")</f>
        <v>0.58431972882097261</v>
      </c>
      <c r="I140" s="31">
        <f>IFERROR(Serie_Historica!L459/Serie_Historica!L458,"")</f>
        <v>0.50398518371531564</v>
      </c>
      <c r="J140" s="31">
        <f>IFERROR(Serie_Historica!M459/Serie_Historica!M458,"")</f>
        <v>0.63371520723815111</v>
      </c>
      <c r="K140" s="31">
        <f>IFERROR(Serie_Historica!N459/Serie_Historica!N458,"")</f>
        <v>0.62702625161382874</v>
      </c>
      <c r="L140" s="31">
        <f>IFERROR(Serie_Historica!O459/Serie_Historica!O458,"")</f>
        <v>0.588273125127449</v>
      </c>
      <c r="M140" s="31">
        <f>IFERROR(Serie_Historica!P459/Serie_Historica!P458,"")</f>
        <v>0.49110334340502004</v>
      </c>
      <c r="N140" s="31">
        <f>IFERROR(Serie_Historica!Q459/Serie_Historica!Q458,"")</f>
        <v>0.43837437617606151</v>
      </c>
      <c r="O140" s="31">
        <f>IFERROR(Serie_Historica!R459/Serie_Historica!R458,"")</f>
        <v>0.32319075440317285</v>
      </c>
      <c r="P140" s="31">
        <f>IFERROR(Serie_Historica!S459/Serie_Historica!S458,"")</f>
        <v>0.19042772110725112</v>
      </c>
      <c r="Q140" s="31">
        <f>IFERROR(Serie_Historica!T459/Serie_Historica!T458,"")</f>
        <v>0.31627053383472176</v>
      </c>
      <c r="R140" s="31">
        <f>IFERROR(Serie_Historica!U459/Serie_Historica!U458,"")</f>
        <v>0.32619723153641134</v>
      </c>
      <c r="S140" s="31">
        <f>IFERROR(Serie_Historica!V459/Serie_Historica!V458,"")</f>
        <v>0.23872071257987479</v>
      </c>
      <c r="T140" s="31">
        <f>IFERROR(Serie_Historica!W459/Serie_Historica!W458,"")</f>
        <v>0.23573241996785194</v>
      </c>
      <c r="U140" s="31">
        <f>IFERROR(Serie_Historica!X459/Serie_Historica!X458,"")</f>
        <v>0.21080476668702827</v>
      </c>
      <c r="V140" s="31">
        <f>IFERROR(Serie_Historica!Y459/Serie_Historica!Y458,"")</f>
        <v>0.20068039520828054</v>
      </c>
      <c r="W140" s="31">
        <f>IFERROR(Serie_Historica!Z459/Serie_Historica!Z458,"")</f>
        <v>0.512748059794781</v>
      </c>
      <c r="X140" s="19">
        <f>IFERROR((W140-D140)*100,"")</f>
        <v>-2.3932192150383891</v>
      </c>
    </row>
    <row r="141" spans="1:24">
      <c r="A141" s="28" t="s">
        <v>215</v>
      </c>
      <c r="B141" s="28" t="s">
        <v>216</v>
      </c>
      <c r="C141" s="28" t="s">
        <v>505</v>
      </c>
      <c r="D141" s="31">
        <f>IFERROR(Serie_Historica!G460/Serie_Historica!G458,"")</f>
        <v>0.28989131777201432</v>
      </c>
      <c r="E141" s="31">
        <f>IFERROR(Serie_Historica!H460/Serie_Historica!H458,"")</f>
        <v>0.35487102429251188</v>
      </c>
      <c r="F141" s="31">
        <f>IFERROR(Serie_Historica!I460/Serie_Historica!I458,"")</f>
        <v>0.37589429841168615</v>
      </c>
      <c r="G141" s="31">
        <f>IFERROR(Serie_Historica!J460/Serie_Historica!J458,"")</f>
        <v>0.43039825377867469</v>
      </c>
      <c r="H141" s="31">
        <f>IFERROR(Serie_Historica!K460/Serie_Historica!K458,"")</f>
        <v>0.1730679861130095</v>
      </c>
      <c r="I141" s="31">
        <f>IFERROR(Serie_Historica!L460/Serie_Historica!L458,"")</f>
        <v>0.17299996692793598</v>
      </c>
      <c r="J141" s="31">
        <f>IFERROR(Serie_Historica!M460/Serie_Historica!M458,"")</f>
        <v>0.14304563637506021</v>
      </c>
      <c r="K141" s="31">
        <f>IFERROR(Serie_Historica!N460/Serie_Historica!N458,"")</f>
        <v>0.16782224772470075</v>
      </c>
      <c r="L141" s="31">
        <f>IFERROR(Serie_Historica!O460/Serie_Historica!O458,"")</f>
        <v>0.17562077457608508</v>
      </c>
      <c r="M141" s="31">
        <f>IFERROR(Serie_Historica!P460/Serie_Historica!P458,"")</f>
        <v>0.18004621126844009</v>
      </c>
      <c r="N141" s="31">
        <f>IFERROR(Serie_Historica!Q460/Serie_Historica!Q458,"")</f>
        <v>0.18448825983801032</v>
      </c>
      <c r="O141" s="31">
        <f>IFERROR(Serie_Historica!R460/Serie_Historica!R458,"")</f>
        <v>0.19382489658407609</v>
      </c>
      <c r="P141" s="31">
        <f>IFERROR(Serie_Historica!S460/Serie_Historica!S458,"")</f>
        <v>0.18792733387914057</v>
      </c>
      <c r="Q141" s="31">
        <f>IFERROR(Serie_Historica!T460/Serie_Historica!T458,"")</f>
        <v>0.19708882851436693</v>
      </c>
      <c r="R141" s="31">
        <f>IFERROR(Serie_Historica!U460/Serie_Historica!U458,"")</f>
        <v>0.20679219327658843</v>
      </c>
      <c r="S141" s="31">
        <f>IFERROR(Serie_Historica!V460/Serie_Historica!V458,"")</f>
        <v>0.19723423481572322</v>
      </c>
      <c r="T141" s="31">
        <f>IFERROR(Serie_Historica!W460/Serie_Historica!W458,"")</f>
        <v>0.23501134195622456</v>
      </c>
      <c r="U141" s="31">
        <f>IFERROR(Serie_Historica!X460/Serie_Historica!X458,"")</f>
        <v>0.20309151335065795</v>
      </c>
      <c r="V141" s="31">
        <f>IFERROR(Serie_Historica!Y460/Serie_Historica!Y458,"")</f>
        <v>0.1911982917737324</v>
      </c>
      <c r="W141" s="31">
        <f>IFERROR(Serie_Historica!Z460/Serie_Historica!Z458,"")</f>
        <v>0.12960310432835043</v>
      </c>
      <c r="X141" s="19">
        <f>IFERROR((W141-D141)*100,"")</f>
        <v>-16.028821344366389</v>
      </c>
    </row>
    <row r="142" spans="1:24">
      <c r="A142" s="28" t="s">
        <v>215</v>
      </c>
      <c r="B142" s="28" t="s">
        <v>216</v>
      </c>
      <c r="C142" s="28" t="s">
        <v>506</v>
      </c>
      <c r="D142" s="31">
        <f>IFERROR(Serie_Historica!G461/Serie_Historica!G458,"")</f>
        <v>0.12297764604174385</v>
      </c>
      <c r="E142" s="31">
        <f>IFERROR(Serie_Historica!H461/Serie_Historica!H458,"")</f>
        <v>0.10929125970448285</v>
      </c>
      <c r="F142" s="31">
        <f>IFERROR(Serie_Historica!I461/Serie_Historica!I458,"")</f>
        <v>9.4780685147173124E-2</v>
      </c>
      <c r="G142" s="31">
        <f>IFERROR(Serie_Historica!J461/Serie_Historica!J458,"")</f>
        <v>0.10625592026687533</v>
      </c>
      <c r="H142" s="31">
        <f>IFERROR(Serie_Historica!K461/Serie_Historica!K458,"")</f>
        <v>0.15964571772231487</v>
      </c>
      <c r="I142" s="31">
        <f>IFERROR(Serie_Historica!L461/Serie_Historica!L458,"")</f>
        <v>0.2226080629692099</v>
      </c>
      <c r="J142" s="31">
        <f>IFERROR(Serie_Historica!M461/Serie_Historica!M458,"")</f>
        <v>0.15452279724380588</v>
      </c>
      <c r="K142" s="31">
        <f>IFERROR(Serie_Historica!N461/Serie_Historica!N458,"")</f>
        <v>0.13490811138207495</v>
      </c>
      <c r="L142" s="31">
        <f>IFERROR(Serie_Historica!O461/Serie_Historica!O458,"")</f>
        <v>0.14358990447208672</v>
      </c>
      <c r="M142" s="31">
        <f>IFERROR(Serie_Historica!P461/Serie_Historica!P458,"")</f>
        <v>0.20567964136895944</v>
      </c>
      <c r="N142" s="31">
        <f>IFERROR(Serie_Historica!Q461/Serie_Historica!Q458,"")</f>
        <v>0.2426981919332406</v>
      </c>
      <c r="O142" s="31">
        <f>IFERROR(Serie_Historica!R461/Serie_Historica!R458,"")</f>
        <v>0.30967205424538358</v>
      </c>
      <c r="P142" s="31">
        <f>IFERROR(Serie_Historica!S461/Serie_Historica!S458,"")</f>
        <v>0.42652623193857458</v>
      </c>
      <c r="Q142" s="31">
        <f>IFERROR(Serie_Historica!T461/Serie_Historica!T458,"")</f>
        <v>0.30184062325698557</v>
      </c>
      <c r="R142" s="31">
        <f>IFERROR(Serie_Historica!U461/Serie_Historica!U458,"")</f>
        <v>0.26718252944716703</v>
      </c>
      <c r="S142" s="31">
        <f>IFERROR(Serie_Historica!V461/Serie_Historica!V458,"")</f>
        <v>0.32295230103917899</v>
      </c>
      <c r="T142" s="31">
        <f>IFERROR(Serie_Historica!W461/Serie_Historica!W458,"")</f>
        <v>0.31526131566692206</v>
      </c>
      <c r="U142" s="31">
        <f>IFERROR(Serie_Historica!X461/Serie_Historica!X458,"")</f>
        <v>0.26853510306770062</v>
      </c>
      <c r="V142" s="31">
        <f>IFERROR(Serie_Historica!Y461/Serie_Historica!Y458,"")</f>
        <v>0.29307661684340053</v>
      </c>
      <c r="W142" s="31">
        <f>IFERROR(Serie_Historica!Z461/Serie_Historica!Z458,"")</f>
        <v>0.17118079066618053</v>
      </c>
      <c r="X142" s="19">
        <f>IFERROR((W142-D142)*100,"")</f>
        <v>4.8203144624436671</v>
      </c>
    </row>
    <row r="143" spans="1:24">
      <c r="A143" s="28" t="s">
        <v>155</v>
      </c>
      <c r="B143" s="28" t="s">
        <v>156</v>
      </c>
      <c r="C143" s="28" t="s">
        <v>504</v>
      </c>
      <c r="D143" s="31">
        <f>IFERROR(Serie_Historica!G469/Serie_Historica!G468,"")</f>
        <v>0.20621000659501273</v>
      </c>
      <c r="E143" s="31">
        <f>IFERROR(Serie_Historica!H469/Serie_Historica!H468,"")</f>
        <v>7.5800455024693417E-2</v>
      </c>
      <c r="F143" s="31">
        <f>IFERROR(Serie_Historica!I469/Serie_Historica!I468,"")</f>
        <v>8.923785952035504E-2</v>
      </c>
      <c r="G143" s="31">
        <f>IFERROR(Serie_Historica!J469/Serie_Historica!J468,"")</f>
        <v>8.0704939112018759E-2</v>
      </c>
      <c r="H143" s="31">
        <f>IFERROR(Serie_Historica!K469/Serie_Historica!K468,"")</f>
        <v>8.3418748533534218E-2</v>
      </c>
      <c r="I143" s="31">
        <f>IFERROR(Serie_Historica!L469/Serie_Historica!L468,"")</f>
        <v>0.17365496805259747</v>
      </c>
      <c r="J143" s="31">
        <f>IFERROR(Serie_Historica!M469/Serie_Historica!M468,"")</f>
        <v>0.13277813669873356</v>
      </c>
      <c r="K143" s="31">
        <f>IFERROR(Serie_Historica!N469/Serie_Historica!N468,"")</f>
        <v>0.16245413481076498</v>
      </c>
      <c r="L143" s="31">
        <f>IFERROR(Serie_Historica!O469/Serie_Historica!O468,"")</f>
        <v>0.1156852788247663</v>
      </c>
      <c r="M143" s="31">
        <f>IFERROR(Serie_Historica!P469/Serie_Historica!P468,"")</f>
        <v>9.3128454670005203E-2</v>
      </c>
      <c r="N143" s="31">
        <f>IFERROR(Serie_Historica!Q469/Serie_Historica!Q468,"")</f>
        <v>5.8234317382959914E-2</v>
      </c>
      <c r="O143" s="31">
        <f>IFERROR(Serie_Historica!R469/Serie_Historica!R468,"")</f>
        <v>5.6018690098094868E-2</v>
      </c>
      <c r="P143" s="31">
        <f>IFERROR(Serie_Historica!S469/Serie_Historica!S468,"")</f>
        <v>6.9219189954674951E-2</v>
      </c>
      <c r="Q143" s="31">
        <f>IFERROR(Serie_Historica!T469/Serie_Historica!T468,"")</f>
        <v>6.9087594814664172E-2</v>
      </c>
      <c r="R143" s="31">
        <f>IFERROR(Serie_Historica!U469/Serie_Historica!U468,"")</f>
        <v>7.0383981057573208E-2</v>
      </c>
      <c r="S143" s="31">
        <f>IFERROR(Serie_Historica!V469/Serie_Historica!V468,"")</f>
        <v>9.1367421868003937E-2</v>
      </c>
      <c r="T143" s="31">
        <f>IFERROR(Serie_Historica!W469/Serie_Historica!W468,"")</f>
        <v>0.11625716461581627</v>
      </c>
      <c r="U143" s="31">
        <f>IFERROR(Serie_Historica!X469/Serie_Historica!X468,"")</f>
        <v>0.11558829979330071</v>
      </c>
      <c r="V143" s="31">
        <f>IFERROR(Serie_Historica!Y469/Serie_Historica!Y468,"")</f>
        <v>0.13843867977821503</v>
      </c>
      <c r="W143" s="31">
        <f>IFERROR(Serie_Historica!Z469/Serie_Historica!Z468,"")</f>
        <v>0.15237671336806433</v>
      </c>
      <c r="X143" s="19">
        <f>IFERROR((W143-D143)*100,"")</f>
        <v>-5.3833293226948413</v>
      </c>
    </row>
    <row r="144" spans="1:24">
      <c r="A144" s="28" t="s">
        <v>155</v>
      </c>
      <c r="B144" s="28" t="s">
        <v>156</v>
      </c>
      <c r="C144" s="28" t="s">
        <v>505</v>
      </c>
      <c r="D144" s="31">
        <f>IFERROR(Serie_Historica!G470/Serie_Historica!G468,"")</f>
        <v>0.31292444254317953</v>
      </c>
      <c r="E144" s="31">
        <f>IFERROR(Serie_Historica!H470/Serie_Historica!H468,"")</f>
        <v>0.34408005475093872</v>
      </c>
      <c r="F144" s="31">
        <f>IFERROR(Serie_Historica!I470/Serie_Historica!I468,"")</f>
        <v>0.35229154220363573</v>
      </c>
      <c r="G144" s="31">
        <f>IFERROR(Serie_Historica!J470/Serie_Historica!J468,"")</f>
        <v>0.33865819529536345</v>
      </c>
      <c r="H144" s="31">
        <f>IFERROR(Serie_Historica!K470/Serie_Historica!K468,"")</f>
        <v>0.33765143188806696</v>
      </c>
      <c r="I144" s="31">
        <f>IFERROR(Serie_Historica!L470/Serie_Historica!L468,"")</f>
        <v>0.30753773497546066</v>
      </c>
      <c r="J144" s="31">
        <f>IFERROR(Serie_Historica!M470/Serie_Historica!M468,"")</f>
        <v>0.30671811528147763</v>
      </c>
      <c r="K144" s="31">
        <f>IFERROR(Serie_Historica!N470/Serie_Historica!N468,"")</f>
        <v>0.30395281184674083</v>
      </c>
      <c r="L144" s="31">
        <f>IFERROR(Serie_Historica!O470/Serie_Historica!O468,"")</f>
        <v>0.32411903961550292</v>
      </c>
      <c r="M144" s="31">
        <f>IFERROR(Serie_Historica!P470/Serie_Historica!P468,"")</f>
        <v>0.34522487834837245</v>
      </c>
      <c r="N144" s="31">
        <f>IFERROR(Serie_Historica!Q470/Serie_Historica!Q468,"")</f>
        <v>0.38146658616005003</v>
      </c>
      <c r="O144" s="31">
        <f>IFERROR(Serie_Historica!R470/Serie_Historica!R468,"")</f>
        <v>0.37418195636162338</v>
      </c>
      <c r="P144" s="31">
        <f>IFERROR(Serie_Historica!S470/Serie_Historica!S468,"")</f>
        <v>0.37287629537170275</v>
      </c>
      <c r="Q144" s="31">
        <f>IFERROR(Serie_Historica!T470/Serie_Historica!T468,"")</f>
        <v>0.38046761424837489</v>
      </c>
      <c r="R144" s="31">
        <f>IFERROR(Serie_Historica!U470/Serie_Historica!U468,"")</f>
        <v>0.38219836169907001</v>
      </c>
      <c r="S144" s="31">
        <f>IFERROR(Serie_Historica!V470/Serie_Historica!V468,"")</f>
        <v>0.39001223844064359</v>
      </c>
      <c r="T144" s="31">
        <f>IFERROR(Serie_Historica!W470/Serie_Historica!W468,"")</f>
        <v>0.42282506312878271</v>
      </c>
      <c r="U144" s="31">
        <f>IFERROR(Serie_Historica!X470/Serie_Historica!X468,"")</f>
        <v>0.43009551093919868</v>
      </c>
      <c r="V144" s="31">
        <f>IFERROR(Serie_Historica!Y470/Serie_Historica!Y468,"")</f>
        <v>0.41517960874264287</v>
      </c>
      <c r="W144" s="31">
        <f>IFERROR(Serie_Historica!Z470/Serie_Historica!Z468,"")</f>
        <v>0.40382175914217794</v>
      </c>
      <c r="X144" s="19">
        <f>IFERROR((W144-D144)*100,"")</f>
        <v>9.0897316598998419</v>
      </c>
    </row>
    <row r="145" spans="1:24">
      <c r="A145" s="28" t="s">
        <v>155</v>
      </c>
      <c r="B145" s="28" t="s">
        <v>156</v>
      </c>
      <c r="C145" s="28" t="s">
        <v>506</v>
      </c>
      <c r="D145" s="31">
        <f>IFERROR(Serie_Historica!G471/Serie_Historica!G468,"")</f>
        <v>0.38848189936367039</v>
      </c>
      <c r="E145" s="31">
        <f>IFERROR(Serie_Historica!H471/Serie_Historica!H468,"")</f>
        <v>0.44514732811719659</v>
      </c>
      <c r="F145" s="31">
        <f>IFERROR(Serie_Historica!I471/Serie_Historica!I468,"")</f>
        <v>0.44076128701886147</v>
      </c>
      <c r="G145" s="31">
        <f>IFERROR(Serie_Historica!J471/Serie_Historica!J468,"")</f>
        <v>0.44619922850011345</v>
      </c>
      <c r="H145" s="31">
        <f>IFERROR(Serie_Historica!K471/Serie_Historica!K468,"")</f>
        <v>0.4311841634044235</v>
      </c>
      <c r="I145" s="31">
        <f>IFERROR(Serie_Historica!L471/Serie_Historica!L468,"")</f>
        <v>0.44625428280396334</v>
      </c>
      <c r="J145" s="31">
        <f>IFERROR(Serie_Historica!M471/Serie_Historica!M468,"")</f>
        <v>0.48118025010398874</v>
      </c>
      <c r="K145" s="31">
        <f>IFERROR(Serie_Historica!N471/Serie_Historica!N468,"")</f>
        <v>0.4454953440437382</v>
      </c>
      <c r="L145" s="31">
        <f>IFERROR(Serie_Historica!O471/Serie_Historica!O468,"")</f>
        <v>0.47256810590835296</v>
      </c>
      <c r="M145" s="31">
        <f>IFERROR(Serie_Historica!P471/Serie_Historica!P468,"")</f>
        <v>0.47118155619596541</v>
      </c>
      <c r="N145" s="31">
        <f>IFERROR(Serie_Historica!Q471/Serie_Historica!Q468,"")</f>
        <v>0.47657580919931858</v>
      </c>
      <c r="O145" s="31">
        <f>IFERROR(Serie_Historica!R471/Serie_Historica!R468,"")</f>
        <v>0.48007374707380807</v>
      </c>
      <c r="P145" s="31">
        <f>IFERROR(Serie_Historica!S471/Serie_Historica!S468,"")</f>
        <v>0.4768419262939203</v>
      </c>
      <c r="Q145" s="31">
        <f>IFERROR(Serie_Historica!T471/Serie_Historica!T468,"")</f>
        <v>0.46494023004090118</v>
      </c>
      <c r="R145" s="31">
        <f>IFERROR(Serie_Historica!U471/Serie_Historica!U468,"")</f>
        <v>0.44710080956975784</v>
      </c>
      <c r="S145" s="31">
        <f>IFERROR(Serie_Historica!V471/Serie_Historica!V468,"")</f>
        <v>0.41897555296856809</v>
      </c>
      <c r="T145" s="31">
        <f>IFERROR(Serie_Historica!W471/Serie_Historica!W468,"")</f>
        <v>0.363398833620586</v>
      </c>
      <c r="U145" s="31">
        <f>IFERROR(Serie_Historica!X471/Serie_Historica!X468,"")</f>
        <v>0.37085726550361375</v>
      </c>
      <c r="V145" s="31">
        <f>IFERROR(Serie_Historica!Y471/Serie_Historica!Y468,"")</f>
        <v>0.35120431973361926</v>
      </c>
      <c r="W145" s="31">
        <f>IFERROR(Serie_Historica!Z471/Serie_Historica!Z468,"")</f>
        <v>0.35780081938192304</v>
      </c>
      <c r="X145" s="19">
        <f>IFERROR((W145-D145)*100,"")</f>
        <v>-3.0681079981747352</v>
      </c>
    </row>
    <row r="146" spans="1:24">
      <c r="A146" s="28" t="s">
        <v>165</v>
      </c>
      <c r="B146" s="28" t="s">
        <v>166</v>
      </c>
      <c r="C146" s="28" t="s">
        <v>504</v>
      </c>
      <c r="D146" s="31">
        <f>IFERROR(Serie_Historica!G479/Serie_Historica!G478,"")</f>
        <v>0.66098529317594823</v>
      </c>
      <c r="E146" s="31">
        <f>IFERROR(Serie_Historica!H479/Serie_Historica!H478,"")</f>
        <v>0.63362271351362154</v>
      </c>
      <c r="F146" s="31">
        <f>IFERROR(Serie_Historica!I479/Serie_Historica!I478,"")</f>
        <v>0.5846715067415329</v>
      </c>
      <c r="G146" s="31">
        <f>IFERROR(Serie_Historica!J479/Serie_Historica!J478,"")</f>
        <v>0.6447665012759678</v>
      </c>
      <c r="H146" s="31">
        <f>IFERROR(Serie_Historica!K479/Serie_Historica!K478,"")</f>
        <v>0.62984028786061486</v>
      </c>
      <c r="I146" s="31">
        <f>IFERROR(Serie_Historica!L479/Serie_Historica!L478,"")</f>
        <v>0.62678664508518289</v>
      </c>
      <c r="J146" s="31">
        <f>IFERROR(Serie_Historica!M479/Serie_Historica!M478,"")</f>
        <v>0.64330083823313478</v>
      </c>
      <c r="K146" s="31">
        <f>IFERROR(Serie_Historica!N479/Serie_Historica!N478,"")</f>
        <v>0.48894746300844666</v>
      </c>
      <c r="L146" s="31">
        <f>IFERROR(Serie_Historica!O479/Serie_Historica!O478,"")</f>
        <v>0.59303550973654062</v>
      </c>
      <c r="M146" s="31">
        <f>IFERROR(Serie_Historica!P479/Serie_Historica!P478,"")</f>
        <v>0.62562604830101931</v>
      </c>
      <c r="N146" s="31">
        <f>IFERROR(Serie_Historica!Q479/Serie_Historica!Q478,"")</f>
        <v>0.63416175461152091</v>
      </c>
      <c r="O146" s="31">
        <f>IFERROR(Serie_Historica!R479/Serie_Historica!R478,"")</f>
        <v>0.56267930207402528</v>
      </c>
      <c r="P146" s="31">
        <f>IFERROR(Serie_Historica!S479/Serie_Historica!S478,"")</f>
        <v>0.57186056214569247</v>
      </c>
      <c r="Q146" s="31">
        <f>IFERROR(Serie_Historica!T479/Serie_Historica!T478,"")</f>
        <v>0.43845724043216483</v>
      </c>
      <c r="R146" s="31">
        <f>IFERROR(Serie_Historica!U479/Serie_Historica!U478,"")</f>
        <v>0.23113969336838522</v>
      </c>
      <c r="S146" s="31">
        <f>IFERROR(Serie_Historica!V479/Serie_Historica!V478,"")</f>
        <v>0.34669196237708422</v>
      </c>
      <c r="T146" s="31">
        <f>IFERROR(Serie_Historica!W479/Serie_Historica!W478,"")</f>
        <v>0.36385523454488972</v>
      </c>
      <c r="U146" s="31">
        <f>IFERROR(Serie_Historica!X479/Serie_Historica!X478,"")</f>
        <v>0.30947070158498585</v>
      </c>
      <c r="V146" s="31">
        <f>IFERROR(Serie_Historica!Y479/Serie_Historica!Y478,"")</f>
        <v>0.26186972314723839</v>
      </c>
      <c r="W146" s="31">
        <f>IFERROR(Serie_Historica!Z479/Serie_Historica!Z478,"")</f>
        <v>0.46745669909986326</v>
      </c>
      <c r="X146" s="19">
        <f>IFERROR((W146-D146)*100,"")</f>
        <v>-19.352859407608499</v>
      </c>
    </row>
    <row r="147" spans="1:24">
      <c r="A147" s="28" t="s">
        <v>165</v>
      </c>
      <c r="B147" s="28" t="s">
        <v>166</v>
      </c>
      <c r="C147" s="28" t="s">
        <v>505</v>
      </c>
      <c r="D147" s="31">
        <f>IFERROR(Serie_Historica!G480/Serie_Historica!G478,"")</f>
        <v>0.15932036969839272</v>
      </c>
      <c r="E147" s="31">
        <f>IFERROR(Serie_Historica!H480/Serie_Historica!H478,"")</f>
        <v>0.1601214797350623</v>
      </c>
      <c r="F147" s="31">
        <f>IFERROR(Serie_Historica!I480/Serie_Historica!I478,"")</f>
        <v>0.20229963162977005</v>
      </c>
      <c r="G147" s="31">
        <f>IFERROR(Serie_Historica!J480/Serie_Historica!J478,"")</f>
        <v>0.16278235441444247</v>
      </c>
      <c r="H147" s="31">
        <f>IFERROR(Serie_Historica!K480/Serie_Historica!K478,"")</f>
        <v>0.17233129221640048</v>
      </c>
      <c r="I147" s="31">
        <f>IFERROR(Serie_Historica!L480/Serie_Historica!L478,"")</f>
        <v>0.17339716331513538</v>
      </c>
      <c r="J147" s="31">
        <f>IFERROR(Serie_Historica!M480/Serie_Historica!M478,"")</f>
        <v>0.14831555359776302</v>
      </c>
      <c r="K147" s="31">
        <f>IFERROR(Serie_Historica!N480/Serie_Historica!N478,"")</f>
        <v>0.1796304695723614</v>
      </c>
      <c r="L147" s="31">
        <f>IFERROR(Serie_Historica!O480/Serie_Historica!O478,"")</f>
        <v>0.18364833906071021</v>
      </c>
      <c r="M147" s="31">
        <f>IFERROR(Serie_Historica!P480/Serie_Historica!P478,"")</f>
        <v>0.19090514561854158</v>
      </c>
      <c r="N147" s="31">
        <f>IFERROR(Serie_Historica!Q480/Serie_Historica!Q478,"")</f>
        <v>0.19149932992667329</v>
      </c>
      <c r="O147" s="31">
        <f>IFERROR(Serie_Historica!R480/Serie_Historica!R478,"")</f>
        <v>0.21406120177460064</v>
      </c>
      <c r="P147" s="31">
        <f>IFERROR(Serie_Historica!S480/Serie_Historica!S478,"")</f>
        <v>0.19820937113634884</v>
      </c>
      <c r="Q147" s="31">
        <f>IFERROR(Serie_Historica!T480/Serie_Historica!T478,"")</f>
        <v>0.22206150359528148</v>
      </c>
      <c r="R147" s="31">
        <f>IFERROR(Serie_Historica!U480/Serie_Historica!U478,"")</f>
        <v>0.24983162057053468</v>
      </c>
      <c r="S147" s="31">
        <f>IFERROR(Serie_Historica!V480/Serie_Historica!V478,"")</f>
        <v>0.24387558785805899</v>
      </c>
      <c r="T147" s="31">
        <f>IFERROR(Serie_Historica!W480/Serie_Historica!W478,"")</f>
        <v>0.24308791550170861</v>
      </c>
      <c r="U147" s="31">
        <f>IFERROR(Serie_Historica!X480/Serie_Historica!X478,"")</f>
        <v>0.23385603993877629</v>
      </c>
      <c r="V147" s="31">
        <f>IFERROR(Serie_Historica!Y480/Serie_Historica!Y478,"")</f>
        <v>0.23954632960017072</v>
      </c>
      <c r="W147" s="31">
        <f>IFERROR(Serie_Historica!Z480/Serie_Historica!Z478,"")</f>
        <v>0.21769118050854599</v>
      </c>
      <c r="X147" s="19">
        <f>IFERROR((W147-D147)*100,"")</f>
        <v>5.8370810810153273</v>
      </c>
    </row>
    <row r="148" spans="1:24">
      <c r="A148" s="28" t="s">
        <v>165</v>
      </c>
      <c r="B148" s="28" t="s">
        <v>166</v>
      </c>
      <c r="C148" s="28" t="s">
        <v>506</v>
      </c>
      <c r="D148" s="31">
        <f>IFERROR(Serie_Historica!G481/Serie_Historica!G478,"")</f>
        <v>0.14799675553373604</v>
      </c>
      <c r="E148" s="31">
        <f>IFERROR(Serie_Historica!H481/Serie_Historica!H478,"")</f>
        <v>0.15523631604711335</v>
      </c>
      <c r="F148" s="31">
        <f>IFERROR(Serie_Historica!I481/Serie_Historica!I478,"")</f>
        <v>0.1561728836593827</v>
      </c>
      <c r="G148" s="31">
        <f>IFERROR(Serie_Historica!J481/Serie_Historica!J478,"")</f>
        <v>0.14049183989819333</v>
      </c>
      <c r="H148" s="31">
        <f>IFERROR(Serie_Historica!K481/Serie_Historica!K478,"")</f>
        <v>0.15386023609620605</v>
      </c>
      <c r="I148" s="31">
        <f>IFERROR(Serie_Historica!L481/Serie_Historica!L478,"")</f>
        <v>0.18692902801020547</v>
      </c>
      <c r="J148" s="31">
        <f>IFERROR(Serie_Historica!M481/Serie_Historica!M478,"")</f>
        <v>0.18752673344441678</v>
      </c>
      <c r="K148" s="31">
        <f>IFERROR(Serie_Historica!N481/Serie_Historica!N478,"")</f>
        <v>0.29149943089917929</v>
      </c>
      <c r="L148" s="31">
        <f>IFERROR(Serie_Historica!O481/Serie_Historica!O478,"")</f>
        <v>0.20919816723940435</v>
      </c>
      <c r="M148" s="31">
        <f>IFERROR(Serie_Historica!P481/Serie_Historica!P478,"")</f>
        <v>0.16271195718044656</v>
      </c>
      <c r="N148" s="31">
        <f>IFERROR(Serie_Historica!Q481/Serie_Historica!Q478,"")</f>
        <v>0.1634978917205086</v>
      </c>
      <c r="O148" s="31">
        <f>IFERROR(Serie_Historica!R481/Serie_Historica!R478,"")</f>
        <v>0.20612879963630093</v>
      </c>
      <c r="P148" s="31">
        <f>IFERROR(Serie_Historica!S481/Serie_Historica!S478,"")</f>
        <v>0.21557594478830541</v>
      </c>
      <c r="Q148" s="31">
        <f>IFERROR(Serie_Historica!T481/Serie_Historica!T478,"")</f>
        <v>0.3091524326243727</v>
      </c>
      <c r="R148" s="31">
        <f>IFERROR(Serie_Historica!U481/Serie_Historica!U478,"")</f>
        <v>0.45539936703818773</v>
      </c>
      <c r="S148" s="31">
        <f>IFERROR(Serie_Historica!V481/Serie_Historica!V478,"")</f>
        <v>0.35346301838392474</v>
      </c>
      <c r="T148" s="31">
        <f>IFERROR(Serie_Historica!W481/Serie_Historica!W478,"")</f>
        <v>0.32829974370922649</v>
      </c>
      <c r="U148" s="31">
        <f>IFERROR(Serie_Historica!X481/Serie_Historica!X478,"")</f>
        <v>0.32030291402959149</v>
      </c>
      <c r="V148" s="31">
        <f>IFERROR(Serie_Historica!Y481/Serie_Historica!Y478,"")</f>
        <v>0.35058976262776709</v>
      </c>
      <c r="W148" s="31">
        <f>IFERROR(Serie_Historica!Z481/Serie_Historica!Z478,"")</f>
        <v>0.2250885592102938</v>
      </c>
      <c r="X148" s="19">
        <f>IFERROR((W148-D148)*100,"")</f>
        <v>7.7091803676557769</v>
      </c>
    </row>
    <row r="149" spans="1:24">
      <c r="A149" s="28" t="s">
        <v>219</v>
      </c>
      <c r="B149" s="28" t="s">
        <v>220</v>
      </c>
      <c r="C149" s="28" t="s">
        <v>504</v>
      </c>
      <c r="D149" s="31">
        <f>IFERROR(Serie_Historica!G489/Serie_Historica!G488,"")</f>
        <v>0.64396337327605702</v>
      </c>
      <c r="E149" s="31">
        <f>IFERROR(Serie_Historica!H489/Serie_Historica!H488,"")</f>
        <v>0.63970243368596591</v>
      </c>
      <c r="F149" s="31">
        <f>IFERROR(Serie_Historica!I489/Serie_Historica!I488,"")</f>
        <v>0.62794458831117572</v>
      </c>
      <c r="G149" s="31">
        <f>IFERROR(Serie_Historica!J489/Serie_Historica!J488,"")</f>
        <v>0.64463426328781237</v>
      </c>
      <c r="H149" s="31">
        <f>IFERROR(Serie_Historica!K489/Serie_Historica!K488,"")</f>
        <v>0.64182277638228979</v>
      </c>
      <c r="I149" s="31">
        <f>IFERROR(Serie_Historica!L489/Serie_Historica!L488,"")</f>
        <v>0.61167002012072436</v>
      </c>
      <c r="J149" s="31">
        <f>IFERROR(Serie_Historica!M489/Serie_Historica!M488,"")</f>
        <v>0.64586639638318022</v>
      </c>
      <c r="K149" s="31">
        <f>IFERROR(Serie_Historica!N489/Serie_Historica!N488,"")</f>
        <v>0.52861285928006085</v>
      </c>
      <c r="L149" s="31">
        <f>IFERROR(Serie_Historica!O489/Serie_Historica!O488,"")</f>
        <v>0.57644774355277595</v>
      </c>
      <c r="M149" s="31">
        <f>IFERROR(Serie_Historica!P489/Serie_Historica!P488,"")</f>
        <v>0.64498675407480577</v>
      </c>
      <c r="N149" s="31">
        <f>IFERROR(Serie_Historica!Q489/Serie_Historica!Q488,"")</f>
        <v>0.53385013272554815</v>
      </c>
      <c r="O149" s="31">
        <f>IFERROR(Serie_Historica!R489/Serie_Historica!R488,"")</f>
        <v>0.46036273319049631</v>
      </c>
      <c r="P149" s="31">
        <f>IFERROR(Serie_Historica!S489/Serie_Historica!S488,"")</f>
        <v>0.39860500169183916</v>
      </c>
      <c r="Q149" s="31">
        <f>IFERROR(Serie_Historica!T489/Serie_Historica!T488,"")</f>
        <v>0.32268389007734077</v>
      </c>
      <c r="R149" s="31">
        <f>IFERROR(Serie_Historica!U489/Serie_Historica!U488,"")</f>
        <v>0.2149084986107119</v>
      </c>
      <c r="S149" s="31">
        <f>IFERROR(Serie_Historica!V489/Serie_Historica!V488,"")</f>
        <v>0.24390243902439024</v>
      </c>
      <c r="T149" s="31">
        <f>IFERROR(Serie_Historica!W489/Serie_Historica!W488,"")</f>
        <v>0.30198573199731715</v>
      </c>
      <c r="U149" s="31">
        <f>IFERROR(Serie_Historica!X489/Serie_Historica!X488,"")</f>
        <v>0.30759433112352358</v>
      </c>
      <c r="V149" s="31">
        <f>IFERROR(Serie_Historica!Y489/Serie_Historica!Y488,"")</f>
        <v>0.18438290903677237</v>
      </c>
      <c r="W149" s="31">
        <f>IFERROR(Serie_Historica!Z489/Serie_Historica!Z488,"")</f>
        <v>0.19660472427972239</v>
      </c>
      <c r="X149" s="19">
        <f>IFERROR((W149-D149)*100,"")</f>
        <v>-44.735864899633462</v>
      </c>
    </row>
    <row r="150" spans="1:24">
      <c r="A150" s="28" t="s">
        <v>219</v>
      </c>
      <c r="B150" s="28" t="s">
        <v>220</v>
      </c>
      <c r="C150" s="28" t="s">
        <v>505</v>
      </c>
      <c r="D150" s="31">
        <f>IFERROR(Serie_Historica!G490/Serie_Historica!G488,"")</f>
        <v>0.19873389102419173</v>
      </c>
      <c r="E150" s="31">
        <f>IFERROR(Serie_Historica!H490/Serie_Historica!H488,"")</f>
        <v>0.19892907394861639</v>
      </c>
      <c r="F150" s="31">
        <f>IFERROR(Serie_Historica!I490/Serie_Historica!I488,"")</f>
        <v>0.24147790174918413</v>
      </c>
      <c r="G150" s="31">
        <f>IFERROR(Serie_Historica!J490/Serie_Historica!J488,"")</f>
        <v>0.20972811706416153</v>
      </c>
      <c r="H150" s="31">
        <f>IFERROR(Serie_Historica!K490/Serie_Historica!K488,"")</f>
        <v>0.20738129104500197</v>
      </c>
      <c r="I150" s="31">
        <f>IFERROR(Serie_Historica!L490/Serie_Historica!L488,"")</f>
        <v>0.21334111539465803</v>
      </c>
      <c r="J150" s="31">
        <f>IFERROR(Serie_Historica!M490/Serie_Historica!M488,"")</f>
        <v>0.18842270914740675</v>
      </c>
      <c r="K150" s="31">
        <f>IFERROR(Serie_Historica!N490/Serie_Historica!N488,"")</f>
        <v>0.24100493944788506</v>
      </c>
      <c r="L150" s="31">
        <f>IFERROR(Serie_Historica!O490/Serie_Historica!O488,"")</f>
        <v>0.24510166838765821</v>
      </c>
      <c r="M150" s="31">
        <f>IFERROR(Serie_Historica!P490/Serie_Historica!P488,"")</f>
        <v>0.2104126442458803</v>
      </c>
      <c r="N150" s="31">
        <f>IFERROR(Serie_Historica!Q490/Serie_Historica!Q488,"")</f>
        <v>0.23660632032918666</v>
      </c>
      <c r="O150" s="31">
        <f>IFERROR(Serie_Historica!R490/Serie_Historica!R488,"")</f>
        <v>0.26435989464634196</v>
      </c>
      <c r="P150" s="31">
        <f>IFERROR(Serie_Historica!S490/Serie_Historica!S488,"")</f>
        <v>0.26491894552277828</v>
      </c>
      <c r="Q150" s="31">
        <f>IFERROR(Serie_Historica!T490/Serie_Historica!T488,"")</f>
        <v>0.27703636662827053</v>
      </c>
      <c r="R150" s="31">
        <f>IFERROR(Serie_Historica!U490/Serie_Historica!U488,"")</f>
        <v>0.28798505317620005</v>
      </c>
      <c r="S150" s="31">
        <f>IFERROR(Serie_Historica!V490/Serie_Historica!V488,"")</f>
        <v>0.29760677888469028</v>
      </c>
      <c r="T150" s="31">
        <f>IFERROR(Serie_Historica!W490/Serie_Historica!W488,"")</f>
        <v>0.29550212394057029</v>
      </c>
      <c r="U150" s="31">
        <f>IFERROR(Serie_Historica!X490/Serie_Historica!X488,"")</f>
        <v>0.29130966952264381</v>
      </c>
      <c r="V150" s="31">
        <f>IFERROR(Serie_Historica!Y490/Serie_Historica!Y488,"")</f>
        <v>0.3210436206639869</v>
      </c>
      <c r="W150" s="31">
        <f>IFERROR(Serie_Historica!Z490/Serie_Historica!Z488,"")</f>
        <v>0.31390854859857353</v>
      </c>
      <c r="X150" s="19">
        <f>IFERROR((W150-D150)*100,"")</f>
        <v>11.517465757438181</v>
      </c>
    </row>
    <row r="151" spans="1:24">
      <c r="A151" s="28" t="s">
        <v>219</v>
      </c>
      <c r="B151" s="28" t="s">
        <v>220</v>
      </c>
      <c r="C151" s="28" t="s">
        <v>506</v>
      </c>
      <c r="D151" s="31">
        <f>IFERROR(Serie_Historica!G491/Serie_Historica!G488,"")</f>
        <v>0.1381274022156907</v>
      </c>
      <c r="E151" s="31">
        <f>IFERROR(Serie_Historica!H491/Serie_Historica!H488,"")</f>
        <v>0.13324039814477043</v>
      </c>
      <c r="F151" s="31">
        <f>IFERROR(Serie_Historica!I491/Serie_Historica!I488,"")</f>
        <v>0.11429864166273573</v>
      </c>
      <c r="G151" s="31">
        <f>IFERROR(Serie_Historica!J491/Serie_Historica!J488,"")</f>
        <v>0.12897124895668696</v>
      </c>
      <c r="H151" s="31">
        <f>IFERROR(Serie_Historica!K491/Serie_Historica!K488,"")</f>
        <v>0.13378779166540569</v>
      </c>
      <c r="I151" s="31">
        <f>IFERROR(Serie_Historica!L491/Serie_Historica!L488,"")</f>
        <v>0.15933770562305127</v>
      </c>
      <c r="J151" s="31">
        <f>IFERROR(Serie_Historica!M491/Serie_Historica!M488,"")</f>
        <v>0.15608871344171346</v>
      </c>
      <c r="K151" s="31">
        <f>IFERROR(Serie_Historica!N491/Serie_Historica!N488,"")</f>
        <v>0.2154384909192722</v>
      </c>
      <c r="L151" s="31">
        <f>IFERROR(Serie_Historica!O491/Serie_Historica!O488,"")</f>
        <v>0.16726089582480955</v>
      </c>
      <c r="M151" s="31">
        <f>IFERROR(Serie_Historica!P491/Serie_Historica!P488,"")</f>
        <v>0.13314175385029858</v>
      </c>
      <c r="N151" s="31">
        <f>IFERROR(Serie_Historica!Q491/Serie_Historica!Q488,"")</f>
        <v>0.21485161351958129</v>
      </c>
      <c r="O151" s="31">
        <f>IFERROR(Serie_Historica!R491/Serie_Historica!R488,"")</f>
        <v>0.25741364957626539</v>
      </c>
      <c r="P151" s="31">
        <f>IFERROR(Serie_Historica!S491/Serie_Historica!S488,"")</f>
        <v>0.3162739549047956</v>
      </c>
      <c r="Q151" s="31">
        <f>IFERROR(Serie_Historica!T491/Serie_Historica!T488,"")</f>
        <v>0.37406615106137897</v>
      </c>
      <c r="R151" s="31">
        <f>IFERROR(Serie_Historica!U491/Serie_Historica!U488,"")</f>
        <v>0.47080578710357385</v>
      </c>
      <c r="S151" s="31">
        <f>IFERROR(Serie_Historica!V491/Serie_Historica!V488,"")</f>
        <v>0.43271826078421749</v>
      </c>
      <c r="T151" s="31">
        <f>IFERROR(Serie_Historica!W491/Serie_Historica!W488,"")</f>
        <v>0.37531079991599087</v>
      </c>
      <c r="U151" s="31">
        <f>IFERROR(Serie_Historica!X491/Serie_Historica!X488,"")</f>
        <v>0.37450993793064885</v>
      </c>
      <c r="V151" s="31">
        <f>IFERROR(Serie_Historica!Y491/Serie_Historica!Y488,"")</f>
        <v>0.46281822242072351</v>
      </c>
      <c r="W151" s="31">
        <f>IFERROR(Serie_Historica!Z491/Serie_Historica!Z488,"")</f>
        <v>0.46352446918783852</v>
      </c>
      <c r="X151" s="19">
        <f>IFERROR((W151-D151)*100,"")</f>
        <v>32.539706697214783</v>
      </c>
    </row>
    <row r="152" spans="1:24">
      <c r="A152" s="28" t="s">
        <v>107</v>
      </c>
      <c r="B152" s="28" t="s">
        <v>108</v>
      </c>
      <c r="C152" s="28" t="s">
        <v>504</v>
      </c>
      <c r="D152" s="31">
        <f>IFERROR(Serie_Historica!G499/Serie_Historica!G498,"")</f>
        <v>0.50342635500342248</v>
      </c>
      <c r="E152" s="31">
        <f>IFERROR(Serie_Historica!H499/Serie_Historica!H498,"")</f>
        <v>0.47581707771189596</v>
      </c>
      <c r="F152" s="31">
        <f>IFERROR(Serie_Historica!I499/Serie_Historica!I498,"")</f>
        <v>0.54160178699225781</v>
      </c>
      <c r="G152" s="31">
        <f>IFERROR(Serie_Historica!J499/Serie_Historica!J498,"")</f>
        <v>0.47911425312804001</v>
      </c>
      <c r="H152" s="31">
        <f>IFERROR(Serie_Historica!K499/Serie_Historica!K498,"")</f>
        <v>0.57808467244626005</v>
      </c>
      <c r="I152" s="31">
        <f>IFERROR(Serie_Historica!L499/Serie_Historica!L498,"")</f>
        <v>0.61450735099588039</v>
      </c>
      <c r="J152" s="31">
        <f>IFERROR(Serie_Historica!M499/Serie_Historica!M498,"")</f>
        <v>0.66550349968431555</v>
      </c>
      <c r="K152" s="31">
        <f>IFERROR(Serie_Historica!N499/Serie_Historica!N498,"")</f>
        <v>0.51920798683080338</v>
      </c>
      <c r="L152" s="31">
        <f>IFERROR(Serie_Historica!O499/Serie_Historica!O498,"")</f>
        <v>0.53268633900032425</v>
      </c>
      <c r="M152" s="31">
        <f>IFERROR(Serie_Historica!P499/Serie_Historica!P498,"")</f>
        <v>-0.52375738785001458</v>
      </c>
      <c r="N152" s="31">
        <f>IFERROR(Serie_Historica!Q499/Serie_Historica!Q498,"")</f>
        <v>4.5322769825582654</v>
      </c>
      <c r="O152" s="31">
        <f>IFERROR(Serie_Historica!R499/Serie_Historica!R498,"")</f>
        <v>6.5007864201560972</v>
      </c>
      <c r="P152" s="31">
        <f>IFERROR(Serie_Historica!S499/Serie_Historica!S498,"")</f>
        <v>-1.2063946965833758</v>
      </c>
      <c r="Q152" s="31">
        <f>IFERROR(Serie_Historica!T499/Serie_Historica!T498,"")</f>
        <v>0.57811991778341332</v>
      </c>
      <c r="R152" s="31">
        <f>IFERROR(Serie_Historica!U499/Serie_Historica!U498,"")</f>
        <v>0.71835295916721498</v>
      </c>
      <c r="S152" s="31">
        <f>IFERROR(Serie_Historica!V499/Serie_Historica!V498,"")</f>
        <v>0.71491659718842948</v>
      </c>
      <c r="T152" s="31">
        <f>IFERROR(Serie_Historica!W499/Serie_Historica!W498,"")</f>
        <v>0.65829944636951421</v>
      </c>
      <c r="U152" s="31">
        <f>IFERROR(Serie_Historica!X499/Serie_Historica!X498,"")</f>
        <v>0.69697209344322009</v>
      </c>
      <c r="V152" s="31">
        <f>IFERROR(Serie_Historica!Y499/Serie_Historica!Y498,"")</f>
        <v>0.70518838886300372</v>
      </c>
      <c r="W152" s="31">
        <f>IFERROR(Serie_Historica!Z499/Serie_Historica!Z498,"")</f>
        <v>0.74999923522531786</v>
      </c>
      <c r="X152" s="19">
        <f>IFERROR((W152-D152)*100,"")</f>
        <v>24.65728802218954</v>
      </c>
    </row>
    <row r="153" spans="1:24">
      <c r="A153" s="28" t="s">
        <v>107</v>
      </c>
      <c r="B153" s="28" t="s">
        <v>108</v>
      </c>
      <c r="C153" s="28" t="s">
        <v>505</v>
      </c>
      <c r="D153" s="31">
        <f>IFERROR(Serie_Historica!G500/Serie_Historica!G498,"")</f>
        <v>0.34874078503261136</v>
      </c>
      <c r="E153" s="31">
        <f>IFERROR(Serie_Historica!H500/Serie_Historica!H498,"")</f>
        <v>0.33245252212769616</v>
      </c>
      <c r="F153" s="31">
        <f>IFERROR(Serie_Historica!I500/Serie_Historica!I498,"")</f>
        <v>0.32307692307692309</v>
      </c>
      <c r="G153" s="31">
        <f>IFERROR(Serie_Historica!J500/Serie_Historica!J498,"")</f>
        <v>0.34644510415618396</v>
      </c>
      <c r="H153" s="31">
        <f>IFERROR(Serie_Historica!K500/Serie_Historica!K498,"")</f>
        <v>0.2697467768038167</v>
      </c>
      <c r="I153" s="31">
        <f>IFERROR(Serie_Historica!L500/Serie_Historica!L498,"")</f>
        <v>0.24053015986998752</v>
      </c>
      <c r="J153" s="31">
        <f>IFERROR(Serie_Historica!M500/Serie_Historica!M498,"")</f>
        <v>0.21803780066395562</v>
      </c>
      <c r="K153" s="31">
        <f>IFERROR(Serie_Historica!N500/Serie_Historica!N498,"")</f>
        <v>0.31915524799854195</v>
      </c>
      <c r="L153" s="31">
        <f>IFERROR(Serie_Historica!O500/Serie_Historica!O498,"")</f>
        <v>0.3175522305091027</v>
      </c>
      <c r="M153" s="31">
        <f>IFERROR(Serie_Historica!P500/Serie_Historica!P498,"")</f>
        <v>0.96655847301618059</v>
      </c>
      <c r="N153" s="31">
        <f>IFERROR(Serie_Historica!Q500/Serie_Historica!Q498,"")</f>
        <v>-2.1343100414865659</v>
      </c>
      <c r="O153" s="31">
        <f>IFERROR(Serie_Historica!R500/Serie_Historica!R498,"")</f>
        <v>-3.2691485888951539</v>
      </c>
      <c r="P153" s="31">
        <f>IFERROR(Serie_Historica!S500/Serie_Historica!S498,"")</f>
        <v>1.3057317695053543</v>
      </c>
      <c r="Q153" s="31">
        <f>IFERROR(Serie_Historica!T500/Serie_Historica!T498,"")</f>
        <v>0.25376346854443171</v>
      </c>
      <c r="R153" s="31">
        <f>IFERROR(Serie_Historica!U500/Serie_Historica!U498,"")</f>
        <v>0.16798519453657862</v>
      </c>
      <c r="S153" s="31">
        <f>IFERROR(Serie_Historica!V500/Serie_Historica!V498,"")</f>
        <v>0.16594424299148328</v>
      </c>
      <c r="T153" s="31">
        <f>IFERROR(Serie_Historica!W500/Serie_Historica!W498,"")</f>
        <v>0.18344969797832247</v>
      </c>
      <c r="U153" s="31">
        <f>IFERROR(Serie_Historica!X500/Serie_Historica!X498,"")</f>
        <v>0.1748763150766395</v>
      </c>
      <c r="V153" s="31">
        <f>IFERROR(Serie_Historica!Y500/Serie_Historica!Y498,"")</f>
        <v>0.16105877751838985</v>
      </c>
      <c r="W153" s="31">
        <f>IFERROR(Serie_Historica!Z500/Serie_Historica!Z498,"")</f>
        <v>0.13168757220747623</v>
      </c>
      <c r="X153" s="19">
        <f>IFERROR((W153-D153)*100,"")</f>
        <v>-21.705321282513513</v>
      </c>
    </row>
    <row r="154" spans="1:24">
      <c r="A154" s="28" t="s">
        <v>107</v>
      </c>
      <c r="B154" s="28" t="s">
        <v>108</v>
      </c>
      <c r="C154" s="28" t="s">
        <v>506</v>
      </c>
      <c r="D154" s="31">
        <f>IFERROR(Serie_Historica!G501/Serie_Historica!G498,"")</f>
        <v>0.10674807046253826</v>
      </c>
      <c r="E154" s="31">
        <f>IFERROR(Serie_Historica!H501/Serie_Historica!H498,"")</f>
        <v>0.12080003437312022</v>
      </c>
      <c r="F154" s="31">
        <f>IFERROR(Serie_Historica!I501/Serie_Historica!I498,"")</f>
        <v>9.459348094814686E-2</v>
      </c>
      <c r="G154" s="31">
        <f>IFERROR(Serie_Historica!J501/Serie_Historica!J498,"")</f>
        <v>0.13560850021804033</v>
      </c>
      <c r="H154" s="31">
        <f>IFERROR(Serie_Historica!K501/Serie_Historica!K498,"")</f>
        <v>0.12210844859430744</v>
      </c>
      <c r="I154" s="31">
        <f>IFERROR(Serie_Historica!L501/Serie_Historica!L498,"")</f>
        <v>0.12179456895574285</v>
      </c>
      <c r="J154" s="31">
        <f>IFERROR(Serie_Historica!M501/Serie_Historica!M498,"")</f>
        <v>9.7779007325236422E-2</v>
      </c>
      <c r="K154" s="31">
        <f>IFERROR(Serie_Historica!N501/Serie_Historica!N498,"")</f>
        <v>0.13255672817591502</v>
      </c>
      <c r="L154" s="31">
        <f>IFERROR(Serie_Historica!O501/Serie_Historica!O498,"")</f>
        <v>0.12665801948703695</v>
      </c>
      <c r="M154" s="31">
        <f>IFERROR(Serie_Historica!P501/Serie_Historica!P498,"")</f>
        <v>0.48374188547621355</v>
      </c>
      <c r="N154" s="31">
        <f>IFERROR(Serie_Historica!Q501/Serie_Historica!Q498,"")</f>
        <v>-1.2112665348943288</v>
      </c>
      <c r="O154" s="31">
        <f>IFERROR(Serie_Historica!R501/Serie_Historica!R498,"")</f>
        <v>-1.9089681574027362</v>
      </c>
      <c r="P154" s="31">
        <f>IFERROR(Serie_Historica!S501/Serie_Historica!S498,"")</f>
        <v>0.77069352371239164</v>
      </c>
      <c r="Q154" s="31">
        <f>IFERROR(Serie_Historica!T501/Serie_Historica!T498,"")</f>
        <v>0.14238059070643616</v>
      </c>
      <c r="R154" s="31">
        <f>IFERROR(Serie_Historica!U501/Serie_Historica!U498,"")</f>
        <v>9.2397410160115323E-2</v>
      </c>
      <c r="S154" s="31">
        <f>IFERROR(Serie_Historica!V501/Serie_Historica!V498,"")</f>
        <v>8.9889518353503992E-2</v>
      </c>
      <c r="T154" s="31">
        <f>IFERROR(Serie_Historica!W501/Serie_Historica!W498,"")</f>
        <v>0.1210706053492306</v>
      </c>
      <c r="U154" s="31">
        <f>IFERROR(Serie_Historica!X501/Serie_Historica!X498,"")</f>
        <v>0.10558100000311353</v>
      </c>
      <c r="V154" s="31">
        <f>IFERROR(Serie_Historica!Y501/Serie_Historica!Y498,"")</f>
        <v>0.11177191995615889</v>
      </c>
      <c r="W154" s="31">
        <f>IFERROR(Serie_Historica!Z501/Serie_Historica!Z498,"")</f>
        <v>9.7260475118820494E-2</v>
      </c>
      <c r="X154" s="19">
        <f>IFERROR((W154-D154)*100,"")</f>
        <v>-0.9487595343717764</v>
      </c>
    </row>
    <row r="155" spans="1:24">
      <c r="A155" s="28" t="s">
        <v>235</v>
      </c>
      <c r="B155" s="28" t="s">
        <v>236</v>
      </c>
      <c r="C155" s="28" t="s">
        <v>504</v>
      </c>
      <c r="D155" s="31">
        <f>IFERROR(Serie_Historica!G509/Serie_Historica!G508,"")</f>
        <v>6.7529869993157535E-2</v>
      </c>
      <c r="E155" s="31">
        <f>IFERROR(Serie_Historica!H509/Serie_Historica!H508,"")</f>
        <v>6.2338684981845228E-2</v>
      </c>
      <c r="F155" s="31">
        <f>IFERROR(Serie_Historica!I509/Serie_Historica!I508,"")</f>
        <v>6.0083750841247292E-2</v>
      </c>
      <c r="G155" s="31">
        <f>IFERROR(Serie_Historica!J509/Serie_Historica!J508,"")</f>
        <v>7.2711234326759494E-2</v>
      </c>
      <c r="H155" s="31">
        <f>IFERROR(Serie_Historica!K509/Serie_Historica!K508,"")</f>
        <v>6.3732685686834448E-2</v>
      </c>
      <c r="I155" s="31">
        <f>IFERROR(Serie_Historica!L509/Serie_Historica!L508,"")</f>
        <v>6.2126413327892073E-2</v>
      </c>
      <c r="J155" s="31">
        <f>IFERROR(Serie_Historica!M509/Serie_Historica!M508,"")</f>
        <v>6.0389101671309189E-2</v>
      </c>
      <c r="K155" s="31">
        <f>IFERROR(Serie_Historica!N509/Serie_Historica!N508,"")</f>
        <v>6.4536267509461939E-2</v>
      </c>
      <c r="L155" s="31">
        <f>IFERROR(Serie_Historica!O509/Serie_Historica!O508,"")</f>
        <v>0.15138749582079572</v>
      </c>
      <c r="M155" s="31">
        <f>IFERROR(Serie_Historica!P509/Serie_Historica!P508,"")</f>
        <v>5.8957816377171214E-2</v>
      </c>
      <c r="N155" s="31">
        <f>IFERROR(Serie_Historica!Q509/Serie_Historica!Q508,"")</f>
        <v>0.10692252979344181</v>
      </c>
      <c r="O155" s="31">
        <f>IFERROR(Serie_Historica!R509/Serie_Historica!R508,"")</f>
        <v>5.520479835845632E-2</v>
      </c>
      <c r="P155" s="31">
        <f>IFERROR(Serie_Historica!S509/Serie_Historica!S508,"")</f>
        <v>4.9289625224204665E-2</v>
      </c>
      <c r="Q155" s="31">
        <f>IFERROR(Serie_Historica!T509/Serie_Historica!T508,"")</f>
        <v>3.9625552449337062E-2</v>
      </c>
      <c r="R155" s="31">
        <f>IFERROR(Serie_Historica!U509/Serie_Historica!U508,"")</f>
        <v>4.5441301837723512E-2</v>
      </c>
      <c r="S155" s="31">
        <f>IFERROR(Serie_Historica!V509/Serie_Historica!V508,"")</f>
        <v>4.5339875253267652E-2</v>
      </c>
      <c r="T155" s="31">
        <f>IFERROR(Serie_Historica!W509/Serie_Historica!W508,"")</f>
        <v>3.9350091268634015E-2</v>
      </c>
      <c r="U155" s="31">
        <f>IFERROR(Serie_Historica!X509/Serie_Historica!X508,"")</f>
        <v>3.6131885736176289E-2</v>
      </c>
      <c r="V155" s="31">
        <f>IFERROR(Serie_Historica!Y509/Serie_Historica!Y508,"")</f>
        <v>2.0973618294785466E-2</v>
      </c>
      <c r="W155" s="31">
        <f>IFERROR(Serie_Historica!Z509/Serie_Historica!Z508,"")</f>
        <v>2.2153386825900356E-2</v>
      </c>
      <c r="X155" s="19">
        <f>IFERROR((W155-D155)*100,"")</f>
        <v>-4.5376483167257176</v>
      </c>
    </row>
    <row r="156" spans="1:24">
      <c r="A156" s="28" t="s">
        <v>235</v>
      </c>
      <c r="B156" s="28" t="s">
        <v>236</v>
      </c>
      <c r="C156" s="28" t="s">
        <v>505</v>
      </c>
      <c r="D156" s="31">
        <f>IFERROR(Serie_Historica!G510/Serie_Historica!G508,"")</f>
        <v>0.1560082109584715</v>
      </c>
      <c r="E156" s="31">
        <f>IFERROR(Serie_Historica!H510/Serie_Historica!H508,"")</f>
        <v>0.15446869941817226</v>
      </c>
      <c r="F156" s="31">
        <f>IFERROR(Serie_Historica!I510/Serie_Historica!I508,"")</f>
        <v>0.16436102594780527</v>
      </c>
      <c r="G156" s="31">
        <f>IFERROR(Serie_Historica!J510/Serie_Historica!J508,"")</f>
        <v>0.15956776510616849</v>
      </c>
      <c r="H156" s="31">
        <f>IFERROR(Serie_Historica!K510/Serie_Historica!K508,"")</f>
        <v>0.16285462649123275</v>
      </c>
      <c r="I156" s="31">
        <f>IFERROR(Serie_Historica!L510/Serie_Historica!L508,"")</f>
        <v>0.16110137551912043</v>
      </c>
      <c r="J156" s="31">
        <f>IFERROR(Serie_Historica!M510/Serie_Historica!M508,"")</f>
        <v>0.1411908077994429</v>
      </c>
      <c r="K156" s="31">
        <f>IFERROR(Serie_Historica!N510/Serie_Historica!N508,"")</f>
        <v>0.13687619493542472</v>
      </c>
      <c r="L156" s="31">
        <f>IFERROR(Serie_Historica!O510/Serie_Historica!O508,"")</f>
        <v>0.14558676028084253</v>
      </c>
      <c r="M156" s="31">
        <f>IFERROR(Serie_Historica!P510/Serie_Historica!P508,"")</f>
        <v>0.14244830438378825</v>
      </c>
      <c r="N156" s="31">
        <f>IFERROR(Serie_Historica!Q510/Serie_Historica!Q508,"")</f>
        <v>0.1457519850198139</v>
      </c>
      <c r="O156" s="31">
        <f>IFERROR(Serie_Historica!R510/Serie_Historica!R508,"")</f>
        <v>0.14589745613342803</v>
      </c>
      <c r="P156" s="31">
        <f>IFERROR(Serie_Historica!S510/Serie_Historica!S508,"")</f>
        <v>0.14659444916454262</v>
      </c>
      <c r="Q156" s="31">
        <f>IFERROR(Serie_Historica!T510/Serie_Historica!T508,"")</f>
        <v>0.14816662220005336</v>
      </c>
      <c r="R156" s="31">
        <f>IFERROR(Serie_Historica!U510/Serie_Historica!U508,"")</f>
        <v>0.15361124000474807</v>
      </c>
      <c r="S156" s="31">
        <f>IFERROR(Serie_Historica!V510/Serie_Historica!V508,"")</f>
        <v>0.15288427158237655</v>
      </c>
      <c r="T156" s="31">
        <f>IFERROR(Serie_Historica!W510/Serie_Historica!W508,"")</f>
        <v>0.18251825372680255</v>
      </c>
      <c r="U156" s="31">
        <f>IFERROR(Serie_Historica!X510/Serie_Historica!X508,"")</f>
        <v>0.18876516015567182</v>
      </c>
      <c r="V156" s="31">
        <f>IFERROR(Serie_Historica!Y510/Serie_Historica!Y508,"")</f>
        <v>0.19459353957255782</v>
      </c>
      <c r="W156" s="31">
        <f>IFERROR(Serie_Historica!Z510/Serie_Historica!Z508,"")</f>
        <v>0.20916588915842507</v>
      </c>
      <c r="X156" s="19">
        <f>IFERROR((W156-D156)*100,"")</f>
        <v>5.3157678199953571</v>
      </c>
    </row>
    <row r="157" spans="1:24">
      <c r="A157" s="28" t="s">
        <v>235</v>
      </c>
      <c r="B157" s="28" t="s">
        <v>236</v>
      </c>
      <c r="C157" s="28" t="s">
        <v>506</v>
      </c>
      <c r="D157" s="31">
        <f>IFERROR(Serie_Historica!G511/Serie_Historica!G508,"")</f>
        <v>0.63134901836938784</v>
      </c>
      <c r="E157" s="31">
        <f>IFERROR(Serie_Historica!H511/Serie_Historica!H508,"")</f>
        <v>0.5705848899776893</v>
      </c>
      <c r="F157" s="31">
        <f>IFERROR(Serie_Historica!I511/Serie_Historica!I508,"")</f>
        <v>0.57253421072309874</v>
      </c>
      <c r="G157" s="31">
        <f>IFERROR(Serie_Historica!J511/Serie_Historica!J508,"")</f>
        <v>0.60881481948207428</v>
      </c>
      <c r="H157" s="31">
        <f>IFERROR(Serie_Historica!K511/Serie_Historica!K508,"")</f>
        <v>0.61207931890362699</v>
      </c>
      <c r="I157" s="31">
        <f>IFERROR(Serie_Historica!L511/Serie_Historica!L508,"")</f>
        <v>0.64877451568763955</v>
      </c>
      <c r="J157" s="31">
        <f>IFERROR(Serie_Historica!M511/Serie_Historica!M508,"")</f>
        <v>0.65842618384401119</v>
      </c>
      <c r="K157" s="31">
        <f>IFERROR(Serie_Historica!N511/Serie_Historica!N508,"")</f>
        <v>0.65172265792656758</v>
      </c>
      <c r="L157" s="31">
        <f>IFERROR(Serie_Historica!O511/Serie_Historica!O508,"")</f>
        <v>0.60250752256770312</v>
      </c>
      <c r="M157" s="31">
        <f>IFERROR(Serie_Historica!P511/Serie_Historica!P508,"")</f>
        <v>0.68198511166253106</v>
      </c>
      <c r="N157" s="31">
        <f>IFERROR(Serie_Historica!Q511/Serie_Historica!Q508,"")</f>
        <v>0.66386030105529026</v>
      </c>
      <c r="O157" s="31">
        <f>IFERROR(Serie_Historica!R511/Serie_Historica!R508,"")</f>
        <v>0.70560071554468207</v>
      </c>
      <c r="P157" s="31">
        <f>IFERROR(Serie_Historica!S511/Serie_Historica!S508,"")</f>
        <v>0.69766591145095813</v>
      </c>
      <c r="Q157" s="31">
        <f>IFERROR(Serie_Historica!T511/Serie_Historica!T508,"")</f>
        <v>0.69701996357604368</v>
      </c>
      <c r="R157" s="31">
        <f>IFERROR(Serie_Historica!U511/Serie_Historica!U508,"")</f>
        <v>0.68949702705327565</v>
      </c>
      <c r="S157" s="31">
        <f>IFERROR(Serie_Historica!V511/Serie_Historica!V508,"")</f>
        <v>0.70180962218425968</v>
      </c>
      <c r="T157" s="31">
        <f>IFERROR(Serie_Historica!W511/Serie_Historica!W508,"")</f>
        <v>0.68567462731974449</v>
      </c>
      <c r="U157" s="31">
        <f>IFERROR(Serie_Historica!X511/Serie_Historica!X508,"")</f>
        <v>0.66884909060832165</v>
      </c>
      <c r="V157" s="31">
        <f>IFERROR(Serie_Historica!Y511/Serie_Historica!Y508,"")</f>
        <v>0.65780228359519854</v>
      </c>
      <c r="W157" s="31">
        <f>IFERROR(Serie_Historica!Z511/Serie_Historica!Z508,"")</f>
        <v>0.64541892144056723</v>
      </c>
      <c r="X157" s="19">
        <f>IFERROR((W157-D157)*100,"")</f>
        <v>1.406990307117939</v>
      </c>
    </row>
    <row r="158" spans="1:24">
      <c r="A158" s="28" t="s">
        <v>199</v>
      </c>
      <c r="B158" s="28" t="s">
        <v>200</v>
      </c>
      <c r="C158" s="28" t="s">
        <v>504</v>
      </c>
      <c r="D158" s="31">
        <f>IFERROR(Serie_Historica!G519/Serie_Historica!G518,"")</f>
        <v>0.1206680470793374</v>
      </c>
      <c r="E158" s="31">
        <f>IFERROR(Serie_Historica!H519/Serie_Historica!H518,"")</f>
        <v>8.366900175131349E-2</v>
      </c>
      <c r="F158" s="31">
        <f>IFERROR(Serie_Historica!I519/Serie_Historica!I518,"")</f>
        <v>9.1114071948344783E-2</v>
      </c>
      <c r="G158" s="31">
        <f>IFERROR(Serie_Historica!J519/Serie_Historica!J518,"")</f>
        <v>9.6628713572107505E-2</v>
      </c>
      <c r="H158" s="31">
        <f>IFERROR(Serie_Historica!K519/Serie_Historica!K518,"")</f>
        <v>8.8205626330929876E-2</v>
      </c>
      <c r="I158" s="31">
        <f>IFERROR(Serie_Historica!L519/Serie_Historica!L518,"")</f>
        <v>8.1053374563054587E-2</v>
      </c>
      <c r="J158" s="31">
        <f>IFERROR(Serie_Historica!M519/Serie_Historica!M518,"")</f>
        <v>6.759207359293086E-2</v>
      </c>
      <c r="K158" s="31">
        <f>IFERROR(Serie_Historica!N519/Serie_Historica!N518,"")</f>
        <v>7.9608083282302511E-2</v>
      </c>
      <c r="L158" s="31">
        <f>IFERROR(Serie_Historica!O519/Serie_Historica!O518,"")</f>
        <v>6.3730057885076949E-2</v>
      </c>
      <c r="M158" s="31">
        <f>IFERROR(Serie_Historica!P519/Serie_Historica!P518,"")</f>
        <v>7.8395635433137392E-2</v>
      </c>
      <c r="N158" s="31">
        <f>IFERROR(Serie_Historica!Q519/Serie_Historica!Q518,"")</f>
        <v>7.5642355110035725E-2</v>
      </c>
      <c r="O158" s="31">
        <f>IFERROR(Serie_Historica!R519/Serie_Historica!R518,"")</f>
        <v>6.601871993932984E-2</v>
      </c>
      <c r="P158" s="31">
        <f>IFERROR(Serie_Historica!S519/Serie_Historica!S518,"")</f>
        <v>0.11076566802210025</v>
      </c>
      <c r="Q158" s="31">
        <f>IFERROR(Serie_Historica!T519/Serie_Historica!T518,"")</f>
        <v>4.8133899757507245E-2</v>
      </c>
      <c r="R158" s="31">
        <f>IFERROR(Serie_Historica!U519/Serie_Historica!U518,"")</f>
        <v>5.6874170746657772E-2</v>
      </c>
      <c r="S158" s="31">
        <f>IFERROR(Serie_Historica!V519/Serie_Historica!V518,"")</f>
        <v>4.6013424502854276E-2</v>
      </c>
      <c r="T158" s="31">
        <f>IFERROR(Serie_Historica!W519/Serie_Historica!W518,"")</f>
        <v>4.3997556105266296E-2</v>
      </c>
      <c r="U158" s="31">
        <f>IFERROR(Serie_Historica!X519/Serie_Historica!X518,"")</f>
        <v>4.0816463874232801E-2</v>
      </c>
      <c r="V158" s="31">
        <f>IFERROR(Serie_Historica!Y519/Serie_Historica!Y518,"")</f>
        <v>3.4004395382958762E-2</v>
      </c>
      <c r="W158" s="31">
        <f>IFERROR(Serie_Historica!Z519/Serie_Historica!Z518,"")</f>
        <v>4.3331531265870478E-2</v>
      </c>
      <c r="X158" s="19">
        <f>IFERROR((W158-D158)*100,"")</f>
        <v>-7.7336515813466926</v>
      </c>
    </row>
    <row r="159" spans="1:24">
      <c r="A159" s="28" t="s">
        <v>199</v>
      </c>
      <c r="B159" s="28" t="s">
        <v>200</v>
      </c>
      <c r="C159" s="28" t="s">
        <v>505</v>
      </c>
      <c r="D159" s="31">
        <f>IFERROR(Serie_Historica!G520/Serie_Historica!G518,"")</f>
        <v>0.16769289450741065</v>
      </c>
      <c r="E159" s="31">
        <f>IFERROR(Serie_Historica!H520/Serie_Historica!H518,"")</f>
        <v>0.16843257443082313</v>
      </c>
      <c r="F159" s="31">
        <f>IFERROR(Serie_Historica!I520/Serie_Historica!I518,"")</f>
        <v>0.16357486932458748</v>
      </c>
      <c r="G159" s="31">
        <f>IFERROR(Serie_Historica!J520/Serie_Historica!J518,"")</f>
        <v>0.16553077031973629</v>
      </c>
      <c r="H159" s="31">
        <f>IFERROR(Serie_Historica!K520/Serie_Historica!K518,"")</f>
        <v>0.16903276422460492</v>
      </c>
      <c r="I159" s="31">
        <f>IFERROR(Serie_Historica!L520/Serie_Historica!L518,"")</f>
        <v>0.15605673568163486</v>
      </c>
      <c r="J159" s="31">
        <f>IFERROR(Serie_Historica!M520/Serie_Historica!M518,"")</f>
        <v>0.15590688779715783</v>
      </c>
      <c r="K159" s="31">
        <f>IFERROR(Serie_Historica!N520/Serie_Historica!N518,"")</f>
        <v>0.15962441314553991</v>
      </c>
      <c r="L159" s="31">
        <f>IFERROR(Serie_Historica!O520/Serie_Historica!O518,"")</f>
        <v>0.20221657489764225</v>
      </c>
      <c r="M159" s="31">
        <f>IFERROR(Serie_Historica!P520/Serie_Historica!P518,"")</f>
        <v>0.23242284155511836</v>
      </c>
      <c r="N159" s="31">
        <f>IFERROR(Serie_Historica!Q520/Serie_Historica!Q518,"")</f>
        <v>0.24359949302915082</v>
      </c>
      <c r="O159" s="31">
        <f>IFERROR(Serie_Historica!R520/Serie_Historica!R518,"")</f>
        <v>0.23392939110303951</v>
      </c>
      <c r="P159" s="31">
        <f>IFERROR(Serie_Historica!S520/Serie_Historica!S518,"")</f>
        <v>0.22164986050582594</v>
      </c>
      <c r="Q159" s="31">
        <f>IFERROR(Serie_Historica!T520/Serie_Historica!T518,"")</f>
        <v>0.24888325706055026</v>
      </c>
      <c r="R159" s="31">
        <f>IFERROR(Serie_Historica!U520/Serie_Historica!U518,"")</f>
        <v>0.24923766885731799</v>
      </c>
      <c r="S159" s="31">
        <f>IFERROR(Serie_Historica!V520/Serie_Historica!V518,"")</f>
        <v>0.25336396712878739</v>
      </c>
      <c r="T159" s="31">
        <f>IFERROR(Serie_Historica!W520/Serie_Historica!W518,"")</f>
        <v>0.28676273358567045</v>
      </c>
      <c r="U159" s="31">
        <f>IFERROR(Serie_Historica!X520/Serie_Historica!X518,"")</f>
        <v>0.28418757402821149</v>
      </c>
      <c r="V159" s="31">
        <f>IFERROR(Serie_Historica!Y520/Serie_Historica!Y518,"")</f>
        <v>0.24401931953426573</v>
      </c>
      <c r="W159" s="31">
        <f>IFERROR(Serie_Historica!Z520/Serie_Historica!Z518,"")</f>
        <v>0.22294304920736335</v>
      </c>
      <c r="X159" s="19">
        <f>IFERROR((W159-D159)*100,"")</f>
        <v>5.52501546999527</v>
      </c>
    </row>
    <row r="160" spans="1:24">
      <c r="A160" s="28" t="s">
        <v>199</v>
      </c>
      <c r="B160" s="28" t="s">
        <v>200</v>
      </c>
      <c r="C160" s="28" t="s">
        <v>506</v>
      </c>
      <c r="D160" s="31">
        <f>IFERROR(Serie_Historica!G521/Serie_Historica!G518,"")</f>
        <v>0.37412816041848301</v>
      </c>
      <c r="E160" s="31">
        <f>IFERROR(Serie_Historica!H521/Serie_Historica!H518,"")</f>
        <v>0.3313047285464098</v>
      </c>
      <c r="F160" s="31">
        <f>IFERROR(Serie_Historica!I521/Serie_Historica!I518,"")</f>
        <v>0.33575894229783743</v>
      </c>
      <c r="G160" s="31">
        <f>IFERROR(Serie_Historica!J521/Serie_Historica!J518,"")</f>
        <v>0.38360264525653731</v>
      </c>
      <c r="H160" s="31">
        <f>IFERROR(Serie_Historica!K521/Serie_Historica!K518,"")</f>
        <v>0.40153920872716403</v>
      </c>
      <c r="I160" s="31">
        <f>IFERROR(Serie_Historica!L521/Serie_Historica!L518,"")</f>
        <v>0.44435668190373756</v>
      </c>
      <c r="J160" s="31">
        <f>IFERROR(Serie_Historica!M521/Serie_Historica!M518,"")</f>
        <v>0.5127930363678328</v>
      </c>
      <c r="K160" s="31">
        <f>IFERROR(Serie_Historica!N521/Serie_Historica!N518,"")</f>
        <v>0.51013326334820519</v>
      </c>
      <c r="L160" s="31">
        <f>IFERROR(Serie_Historica!O521/Serie_Historica!O518,"")</f>
        <v>0.52796837498235216</v>
      </c>
      <c r="M160" s="31">
        <f>IFERROR(Serie_Historica!P521/Serie_Historica!P518,"")</f>
        <v>0.51219688831488608</v>
      </c>
      <c r="N160" s="31">
        <f>IFERROR(Serie_Historica!Q521/Serie_Historica!Q518,"")</f>
        <v>0.52314782809079385</v>
      </c>
      <c r="O160" s="31">
        <f>IFERROR(Serie_Historica!R521/Serie_Historica!R518,"")</f>
        <v>0.5311034386413076</v>
      </c>
      <c r="P160" s="31">
        <f>IFERROR(Serie_Historica!S521/Serie_Historica!S518,"")</f>
        <v>0.52828175999708249</v>
      </c>
      <c r="Q160" s="31">
        <f>IFERROR(Serie_Historica!T521/Serie_Historica!T518,"")</f>
        <v>0.56404178897660762</v>
      </c>
      <c r="R160" s="31">
        <f>IFERROR(Serie_Historica!U521/Serie_Historica!U518,"")</f>
        <v>0.52694345947036414</v>
      </c>
      <c r="S160" s="31">
        <f>IFERROR(Serie_Historica!V521/Serie_Historica!V518,"")</f>
        <v>0.57591274073144716</v>
      </c>
      <c r="T160" s="31">
        <f>IFERROR(Serie_Historica!W521/Serie_Historica!W518,"")</f>
        <v>0.56040443477483382</v>
      </c>
      <c r="U160" s="31">
        <f>IFERROR(Serie_Historica!X521/Serie_Historica!X518,"")</f>
        <v>0.5633008506514483</v>
      </c>
      <c r="V160" s="31">
        <f>IFERROR(Serie_Historica!Y521/Serie_Historica!Y518,"")</f>
        <v>0.52558201041542041</v>
      </c>
      <c r="W160" s="31">
        <f>IFERROR(Serie_Historica!Z521/Serie_Historica!Z518,"")</f>
        <v>0.46974984027129307</v>
      </c>
      <c r="X160" s="19">
        <f>IFERROR((W160-D160)*100,"")</f>
        <v>9.5621679852810058</v>
      </c>
    </row>
    <row r="161" spans="1:24">
      <c r="A161" s="28" t="s">
        <v>421</v>
      </c>
      <c r="B161" s="28" t="s">
        <v>422</v>
      </c>
      <c r="C161" s="28" t="s">
        <v>504</v>
      </c>
      <c r="D161" s="31">
        <f>IFERROR(Serie_Historica!G529/Serie_Historica!G528,"")</f>
        <v>5.3147144643601499E-2</v>
      </c>
      <c r="E161" s="31">
        <f>IFERROR(Serie_Historica!H529/Serie_Historica!H528,"")</f>
        <v>3.1795269484296236E-2</v>
      </c>
      <c r="F161" s="31">
        <f>IFERROR(Serie_Historica!I529/Serie_Historica!I528,"")</f>
        <v>3.5361153008211833E-2</v>
      </c>
      <c r="G161" s="31">
        <f>IFERROR(Serie_Historica!J529/Serie_Historica!J528,"")</f>
        <v>3.5421225382932166E-2</v>
      </c>
      <c r="H161" s="31">
        <f>IFERROR(Serie_Historica!K529/Serie_Historica!K528,"")</f>
        <v>3.551556765715639E-2</v>
      </c>
      <c r="I161" s="31">
        <f>IFERROR(Serie_Historica!L529/Serie_Historica!L528,"")</f>
        <v>3.7855216760008296E-2</v>
      </c>
      <c r="J161" s="31">
        <f>IFERROR(Serie_Historica!M529/Serie_Historica!M528,"")</f>
        <v>3.3369319854745311E-2</v>
      </c>
      <c r="K161" s="31">
        <f>IFERROR(Serie_Historica!N529/Serie_Historica!N528,"")</f>
        <v>3.683951427633738E-2</v>
      </c>
      <c r="L161" s="31">
        <f>IFERROR(Serie_Historica!O529/Serie_Historica!O528,"")</f>
        <v>3.30151153540175E-2</v>
      </c>
      <c r="M161" s="31">
        <f>IFERROR(Serie_Historica!P529/Serie_Historica!P528,"")</f>
        <v>5.910199397503945E-2</v>
      </c>
      <c r="N161" s="31">
        <f>IFERROR(Serie_Historica!Q529/Serie_Historica!Q528,"")</f>
        <v>3.6641836118381316E-2</v>
      </c>
      <c r="O161" s="31">
        <f>IFERROR(Serie_Historica!R529/Serie_Historica!R528,"")</f>
        <v>3.722334004024145E-2</v>
      </c>
      <c r="P161" s="31">
        <f>IFERROR(Serie_Historica!S529/Serie_Historica!S528,"")</f>
        <v>2.7969813710486041E-2</v>
      </c>
      <c r="Q161" s="31">
        <f>IFERROR(Serie_Historica!T529/Serie_Historica!T528,"")</f>
        <v>3.1652413250761818E-2</v>
      </c>
      <c r="R161" s="31">
        <f>IFERROR(Serie_Historica!U529/Serie_Historica!U528,"")</f>
        <v>3.6514709184819222E-2</v>
      </c>
      <c r="S161" s="31">
        <f>IFERROR(Serie_Historica!V529/Serie_Historica!V528,"")</f>
        <v>3.3334649867688297E-2</v>
      </c>
      <c r="T161" s="31">
        <f>IFERROR(Serie_Historica!W529/Serie_Historica!W528,"")</f>
        <v>3.2132272656371863E-2</v>
      </c>
      <c r="U161" s="31">
        <f>IFERROR(Serie_Historica!X529/Serie_Historica!X528,"")</f>
        <v>3.272425847839406E-2</v>
      </c>
      <c r="V161" s="31">
        <f>IFERROR(Serie_Historica!Y529/Serie_Historica!Y528,"")</f>
        <v>3.1669997932317874E-2</v>
      </c>
      <c r="W161" s="31">
        <f>IFERROR(Serie_Historica!Z529/Serie_Historica!Z528,"")</f>
        <v>4.4870444491257634E-2</v>
      </c>
      <c r="X161" s="19">
        <f>IFERROR((W161-D161)*100,"")</f>
        <v>-0.82767001523438644</v>
      </c>
    </row>
    <row r="162" spans="1:24">
      <c r="A162" s="28" t="s">
        <v>421</v>
      </c>
      <c r="B162" s="28" t="s">
        <v>422</v>
      </c>
      <c r="C162" s="28" t="s">
        <v>505</v>
      </c>
      <c r="D162" s="31">
        <f>IFERROR(Serie_Historica!G530/Serie_Historica!G528,"")</f>
        <v>0.22530220925385577</v>
      </c>
      <c r="E162" s="31">
        <f>IFERROR(Serie_Historica!H530/Serie_Historica!H528,"")</f>
        <v>0.22489336952307096</v>
      </c>
      <c r="F162" s="31">
        <f>IFERROR(Serie_Historica!I530/Serie_Historica!I528,"")</f>
        <v>0.24082453494218201</v>
      </c>
      <c r="G162" s="31">
        <f>IFERROR(Serie_Historica!J530/Serie_Historica!J528,"")</f>
        <v>0.22948577680525165</v>
      </c>
      <c r="H162" s="31">
        <f>IFERROR(Serie_Historica!K530/Serie_Historica!K528,"")</f>
        <v>0.22694447732922932</v>
      </c>
      <c r="I162" s="31">
        <f>IFERROR(Serie_Historica!L530/Serie_Historica!L528,"")</f>
        <v>0.22433105164903547</v>
      </c>
      <c r="J162" s="31">
        <f>IFERROR(Serie_Historica!M530/Serie_Historica!M528,"")</f>
        <v>0.1933457650407302</v>
      </c>
      <c r="K162" s="31">
        <f>IFERROR(Serie_Historica!N530/Serie_Historica!N528,"")</f>
        <v>0.19806366918280277</v>
      </c>
      <c r="L162" s="31">
        <f>IFERROR(Serie_Historica!O530/Serie_Historica!O528,"")</f>
        <v>0.21105807478122515</v>
      </c>
      <c r="M162" s="31">
        <f>IFERROR(Serie_Historica!P530/Serie_Historica!P528,"")</f>
        <v>0.20628317314589012</v>
      </c>
      <c r="N162" s="31">
        <f>IFERROR(Serie_Historica!Q530/Serie_Historica!Q528,"")</f>
        <v>0.22085766055969397</v>
      </c>
      <c r="O162" s="31">
        <f>IFERROR(Serie_Historica!R530/Serie_Historica!R528,"")</f>
        <v>0.2155284649070896</v>
      </c>
      <c r="P162" s="31">
        <f>IFERROR(Serie_Historica!S530/Serie_Historica!S528,"")</f>
        <v>0.20227980368357168</v>
      </c>
      <c r="Q162" s="31">
        <f>IFERROR(Serie_Historica!T530/Serie_Historica!T528,"")</f>
        <v>0.20809987221075396</v>
      </c>
      <c r="R162" s="31">
        <f>IFERROR(Serie_Historica!U530/Serie_Historica!U528,"")</f>
        <v>0.21944756344037727</v>
      </c>
      <c r="S162" s="31">
        <f>IFERROR(Serie_Historica!V530/Serie_Historica!V528,"")</f>
        <v>0.21308108535092224</v>
      </c>
      <c r="T162" s="31">
        <f>IFERROR(Serie_Historica!W530/Serie_Historica!W528,"")</f>
        <v>0.23330993604741851</v>
      </c>
      <c r="U162" s="31">
        <f>IFERROR(Serie_Historica!X530/Serie_Historica!X528,"")</f>
        <v>0.2282408909071251</v>
      </c>
      <c r="V162" s="31">
        <f>IFERROR(Serie_Historica!Y530/Serie_Historica!Y528,"")</f>
        <v>0.23516438072920257</v>
      </c>
      <c r="W162" s="31">
        <f>IFERROR(Serie_Historica!Z530/Serie_Historica!Z528,"")</f>
        <v>0.2299196484998044</v>
      </c>
      <c r="X162" s="19">
        <f>IFERROR((W162-D162)*100,"")</f>
        <v>0.46174392459486235</v>
      </c>
    </row>
    <row r="163" spans="1:24">
      <c r="A163" s="28" t="s">
        <v>421</v>
      </c>
      <c r="B163" s="28" t="s">
        <v>422</v>
      </c>
      <c r="C163" s="28" t="s">
        <v>506</v>
      </c>
      <c r="D163" s="31">
        <f>IFERROR(Serie_Historica!G531/Serie_Historica!G528,"")</f>
        <v>0.59795748228428514</v>
      </c>
      <c r="E163" s="31">
        <f>IFERROR(Serie_Historica!H531/Serie_Historica!H528,"")</f>
        <v>0.60992632803412172</v>
      </c>
      <c r="F163" s="31">
        <f>IFERROR(Serie_Historica!I531/Serie_Historica!I528,"")</f>
        <v>0.59343053460700523</v>
      </c>
      <c r="G163" s="31">
        <f>IFERROR(Serie_Historica!J531/Serie_Historica!J528,"")</f>
        <v>0.61036652078774623</v>
      </c>
      <c r="H163" s="31">
        <f>IFERROR(Serie_Historica!K531/Serie_Historica!K528,"")</f>
        <v>0.61145968983070909</v>
      </c>
      <c r="I163" s="31">
        <f>IFERROR(Serie_Historica!L531/Serie_Historica!L528,"")</f>
        <v>0.66148102053515867</v>
      </c>
      <c r="J163" s="31">
        <f>IFERROR(Serie_Historica!M531/Serie_Historica!M528,"")</f>
        <v>0.66984002355481398</v>
      </c>
      <c r="K163" s="31">
        <f>IFERROR(Serie_Historica!N531/Serie_Historica!N528,"")</f>
        <v>0.65113226124056445</v>
      </c>
      <c r="L163" s="31">
        <f>IFERROR(Serie_Historica!O531/Serie_Historica!O528,"")</f>
        <v>0.66698488464598249</v>
      </c>
      <c r="M163" s="31">
        <f>IFERROR(Serie_Historica!P531/Serie_Historica!P528,"")</f>
        <v>0.63692440109023096</v>
      </c>
      <c r="N163" s="31">
        <f>IFERROR(Serie_Historica!Q531/Serie_Historica!Q528,"")</f>
        <v>0.66968659821488485</v>
      </c>
      <c r="O163" s="31">
        <f>IFERROR(Serie_Historica!R531/Serie_Historica!R528,"")</f>
        <v>0.67303822937625757</v>
      </c>
      <c r="P163" s="31">
        <f>IFERROR(Serie_Historica!S531/Serie_Historica!S528,"")</f>
        <v>0.68626312734181227</v>
      </c>
      <c r="Q163" s="31">
        <f>IFERROR(Serie_Historica!T531/Serie_Historica!T528,"")</f>
        <v>0.66676496608670011</v>
      </c>
      <c r="R163" s="31">
        <f>IFERROR(Serie_Historica!U531/Serie_Historica!U528,"")</f>
        <v>0.66058836739276894</v>
      </c>
      <c r="S163" s="31">
        <f>IFERROR(Serie_Historica!V531/Serie_Historica!V528,"")</f>
        <v>0.6634938188712034</v>
      </c>
      <c r="T163" s="31">
        <f>IFERROR(Serie_Historica!W531/Serie_Historica!W528,"")</f>
        <v>0.62739822180627047</v>
      </c>
      <c r="U163" s="31">
        <f>IFERROR(Serie_Historica!X531/Serie_Historica!X528,"")</f>
        <v>0.61430064511478721</v>
      </c>
      <c r="V163" s="31">
        <f>IFERROR(Serie_Historica!Y531/Serie_Historica!Y528,"")</f>
        <v>0.61813357226549037</v>
      </c>
      <c r="W163" s="31">
        <f>IFERROR(Serie_Historica!Z531/Serie_Historica!Z528,"")</f>
        <v>0.58024617051370786</v>
      </c>
      <c r="X163" s="19">
        <f>IFERROR((W163-D163)*100,"")</f>
        <v>-1.7711311770577276</v>
      </c>
    </row>
    <row r="164" spans="1:24">
      <c r="A164" s="28" t="s">
        <v>287</v>
      </c>
      <c r="B164" s="28" t="s">
        <v>288</v>
      </c>
      <c r="C164" s="28" t="s">
        <v>504</v>
      </c>
      <c r="D164" s="31">
        <f>IFERROR(Serie_Historica!G539/Serie_Historica!G538,"")</f>
        <v>0.22990629536755972</v>
      </c>
      <c r="E164" s="31">
        <f>IFERROR(Serie_Historica!H539/Serie_Historica!H538,"")</f>
        <v>0.17829506134004403</v>
      </c>
      <c r="F164" s="31">
        <f>IFERROR(Serie_Historica!I539/Serie_Historica!I538,"")</f>
        <v>0.16583261432269197</v>
      </c>
      <c r="G164" s="31">
        <f>IFERROR(Serie_Historica!J539/Serie_Historica!J538,"")</f>
        <v>0.22099138934140097</v>
      </c>
      <c r="H164" s="31">
        <f>IFERROR(Serie_Historica!K539/Serie_Historica!K538,"")</f>
        <v>0.16790728772008023</v>
      </c>
      <c r="I164" s="31">
        <f>IFERROR(Serie_Historica!L539/Serie_Historica!L538,"")</f>
        <v>0.19649342028193215</v>
      </c>
      <c r="J164" s="31">
        <f>IFERROR(Serie_Historica!M539/Serie_Historica!M538,"")</f>
        <v>0.20658057668494606</v>
      </c>
      <c r="K164" s="31">
        <f>IFERROR(Serie_Historica!N539/Serie_Historica!N538,"")</f>
        <v>0.16711939745647611</v>
      </c>
      <c r="L164" s="31">
        <f>IFERROR(Serie_Historica!O539/Serie_Historica!O538,"")</f>
        <v>0.18206435170436444</v>
      </c>
      <c r="M164" s="31">
        <f>IFERROR(Serie_Historica!P539/Serie_Historica!P538,"")</f>
        <v>0.14984032361081542</v>
      </c>
      <c r="N164" s="31">
        <f>IFERROR(Serie_Historica!Q539/Serie_Historica!Q538,"")</f>
        <v>0.19907362167021714</v>
      </c>
      <c r="O164" s="31">
        <f>IFERROR(Serie_Historica!R539/Serie_Historica!R538,"")</f>
        <v>0.18303211911227643</v>
      </c>
      <c r="P164" s="31">
        <f>IFERROR(Serie_Historica!S539/Serie_Historica!S538,"")</f>
        <v>0.23826254122404336</v>
      </c>
      <c r="Q164" s="31">
        <f>IFERROR(Serie_Historica!T539/Serie_Historica!T538,"")</f>
        <v>0.17685435145905642</v>
      </c>
      <c r="R164" s="31">
        <f>IFERROR(Serie_Historica!U539/Serie_Historica!U538,"")</f>
        <v>0.13692471444230861</v>
      </c>
      <c r="S164" s="31">
        <f>IFERROR(Serie_Historica!V539/Serie_Historica!V538,"")</f>
        <v>0.10054005512802923</v>
      </c>
      <c r="T164" s="31">
        <f>IFERROR(Serie_Historica!W539/Serie_Historica!W538,"")</f>
        <v>9.9493280458250719E-2</v>
      </c>
      <c r="U164" s="31">
        <f>IFERROR(Serie_Historica!X539/Serie_Historica!X538,"")</f>
        <v>8.8502483076053462E-2</v>
      </c>
      <c r="V164" s="31">
        <f>IFERROR(Serie_Historica!Y539/Serie_Historica!Y538,"")</f>
        <v>8.1151451870844951E-2</v>
      </c>
      <c r="W164" s="31">
        <f>IFERROR(Serie_Historica!Z539/Serie_Historica!Z538,"")</f>
        <v>0.11258058818334364</v>
      </c>
      <c r="X164" s="19">
        <f>IFERROR((W164-D164)*100,"")</f>
        <v>-11.732570718421607</v>
      </c>
    </row>
    <row r="165" spans="1:24">
      <c r="A165" s="28" t="s">
        <v>287</v>
      </c>
      <c r="B165" s="28" t="s">
        <v>288</v>
      </c>
      <c r="C165" s="28" t="s">
        <v>505</v>
      </c>
      <c r="D165" s="31">
        <f>IFERROR(Serie_Historica!G540/Serie_Historica!G538,"")</f>
        <v>0.19585587963573975</v>
      </c>
      <c r="E165" s="31">
        <f>IFERROR(Serie_Historica!H540/Serie_Historica!H538,"")</f>
        <v>0.20572507077697388</v>
      </c>
      <c r="F165" s="31">
        <f>IFERROR(Serie_Historica!I540/Serie_Historica!I538,"")</f>
        <v>0.20736266896750072</v>
      </c>
      <c r="G165" s="31">
        <f>IFERROR(Serie_Historica!J540/Serie_Historica!J538,"")</f>
        <v>0.1973935303700256</v>
      </c>
      <c r="H165" s="31">
        <f>IFERROR(Serie_Historica!K540/Serie_Historica!K538,"")</f>
        <v>0.19995542678850012</v>
      </c>
      <c r="I165" s="31">
        <f>IFERROR(Serie_Historica!L540/Serie_Historica!L538,"")</f>
        <v>0.2051622476473115</v>
      </c>
      <c r="J165" s="31">
        <f>IFERROR(Serie_Historica!M540/Serie_Historica!M538,"")</f>
        <v>0.19257031664602867</v>
      </c>
      <c r="K165" s="31">
        <f>IFERROR(Serie_Historica!N540/Serie_Historica!N538,"")</f>
        <v>0.21376095814298063</v>
      </c>
      <c r="L165" s="31">
        <f>IFERROR(Serie_Historica!O540/Serie_Historica!O538,"")</f>
        <v>0.23431028990124245</v>
      </c>
      <c r="M165" s="31">
        <f>IFERROR(Serie_Historica!P540/Serie_Historica!P538,"")</f>
        <v>0.31513732169469877</v>
      </c>
      <c r="N165" s="31">
        <f>IFERROR(Serie_Historica!Q540/Serie_Historica!Q538,"")</f>
        <v>0.28750952762522719</v>
      </c>
      <c r="O165" s="31">
        <f>IFERROR(Serie_Historica!R540/Serie_Historica!R538,"")</f>
        <v>0.27740425133439461</v>
      </c>
      <c r="P165" s="31">
        <f>IFERROR(Serie_Historica!S540/Serie_Historica!S538,"")</f>
        <v>0.23849455594040536</v>
      </c>
      <c r="Q165" s="31">
        <f>IFERROR(Serie_Historica!T540/Serie_Historica!T538,"")</f>
        <v>0.27092171230235251</v>
      </c>
      <c r="R165" s="31">
        <f>IFERROR(Serie_Historica!U540/Serie_Historica!U538,"")</f>
        <v>0.28462039493542185</v>
      </c>
      <c r="S165" s="31">
        <f>IFERROR(Serie_Historica!V540/Serie_Historica!V538,"")</f>
        <v>0.39109719745064048</v>
      </c>
      <c r="T165" s="31">
        <f>IFERROR(Serie_Historica!W540/Serie_Historica!W538,"")</f>
        <v>0.31252111331423954</v>
      </c>
      <c r="U165" s="31">
        <f>IFERROR(Serie_Historica!X540/Serie_Historica!X538,"")</f>
        <v>0.33890959988156599</v>
      </c>
      <c r="V165" s="31">
        <f>IFERROR(Serie_Historica!Y540/Serie_Historica!Y538,"")</f>
        <v>0.33430697453113228</v>
      </c>
      <c r="W165" s="31">
        <f>IFERROR(Serie_Historica!Z540/Serie_Historica!Z538,"")</f>
        <v>0.35562571756601608</v>
      </c>
      <c r="X165" s="19">
        <f>IFERROR((W165-D165)*100,"")</f>
        <v>15.976983793027632</v>
      </c>
    </row>
    <row r="166" spans="1:24">
      <c r="A166" s="28" t="s">
        <v>287</v>
      </c>
      <c r="B166" s="28" t="s">
        <v>288</v>
      </c>
      <c r="C166" s="28" t="s">
        <v>506</v>
      </c>
      <c r="D166" s="31">
        <f>IFERROR(Serie_Historica!G541/Serie_Historica!G538,"")</f>
        <v>0.52494390919889133</v>
      </c>
      <c r="E166" s="31">
        <f>IFERROR(Serie_Historica!H541/Serie_Historica!H538,"")</f>
        <v>0.54507706826045932</v>
      </c>
      <c r="F166" s="31">
        <f>IFERROR(Serie_Historica!I541/Serie_Historica!I538,"")</f>
        <v>0.5666379062410124</v>
      </c>
      <c r="G166" s="31">
        <f>IFERROR(Serie_Historica!J541/Serie_Historica!J538,"")</f>
        <v>0.53390737723993487</v>
      </c>
      <c r="H166" s="31">
        <f>IFERROR(Serie_Historica!K541/Serie_Historica!K538,"")</f>
        <v>0.58845553822152885</v>
      </c>
      <c r="I166" s="31">
        <f>IFERROR(Serie_Historica!L541/Serie_Historica!L538,"")</f>
        <v>0.55972509664571046</v>
      </c>
      <c r="J166" s="31">
        <f>IFERROR(Serie_Historica!M541/Serie_Historica!M538,"")</f>
        <v>0.56504510879179193</v>
      </c>
      <c r="K166" s="31">
        <f>IFERROR(Serie_Historica!N541/Serie_Historica!N538,"")</f>
        <v>0.58272626250154336</v>
      </c>
      <c r="L166" s="31">
        <f>IFERROR(Serie_Historica!O541/Serie_Historica!O538,"")</f>
        <v>0.55248486779229056</v>
      </c>
      <c r="M166" s="31">
        <f>IFERROR(Serie_Historica!P541/Serie_Historica!P538,"")</f>
        <v>0.50566318926974663</v>
      </c>
      <c r="N166" s="31">
        <f>IFERROR(Serie_Historica!Q541/Serie_Historica!Q538,"")</f>
        <v>0.49037465553970333</v>
      </c>
      <c r="O166" s="31">
        <f>IFERROR(Serie_Historica!R541/Serie_Historica!R538,"")</f>
        <v>0.51223897368667481</v>
      </c>
      <c r="P166" s="31">
        <f>IFERROR(Serie_Historica!S541/Serie_Historica!S538,"")</f>
        <v>0.49859962546195785</v>
      </c>
      <c r="Q166" s="31">
        <f>IFERROR(Serie_Historica!T541/Serie_Historica!T538,"")</f>
        <v>0.52579059005013495</v>
      </c>
      <c r="R166" s="31">
        <f>IFERROR(Serie_Historica!U541/Serie_Historica!U538,"")</f>
        <v>0.5498435191510318</v>
      </c>
      <c r="S166" s="31">
        <f>IFERROR(Serie_Historica!V541/Serie_Historica!V538,"")</f>
        <v>0.48336804819337215</v>
      </c>
      <c r="T166" s="31">
        <f>IFERROR(Serie_Historica!W541/Serie_Historica!W538,"")</f>
        <v>0.55655430711610487</v>
      </c>
      <c r="U166" s="31">
        <f>IFERROR(Serie_Historica!X541/Serie_Historica!X538,"")</f>
        <v>0.53590030012247147</v>
      </c>
      <c r="V166" s="31">
        <f>IFERROR(Serie_Historica!Y541/Serie_Historica!Y538,"")</f>
        <v>0.54754761369794214</v>
      </c>
      <c r="W166" s="31">
        <f>IFERROR(Serie_Historica!Z541/Serie_Historica!Z538,"")</f>
        <v>0.49550693279166297</v>
      </c>
      <c r="X166" s="19">
        <f>IFERROR((W166-D166)*100,"")</f>
        <v>-2.9436976407228368</v>
      </c>
    </row>
    <row r="167" spans="1:24">
      <c r="A167" s="28" t="s">
        <v>325</v>
      </c>
      <c r="B167" s="28" t="s">
        <v>326</v>
      </c>
      <c r="C167" s="28" t="s">
        <v>504</v>
      </c>
      <c r="D167" s="31">
        <f>IFERROR(Serie_Historica!G549/Serie_Historica!G548,"")</f>
        <v>5.9028960817717205E-2</v>
      </c>
      <c r="E167" s="31">
        <f>IFERROR(Serie_Historica!H549/Serie_Historica!H548,"")</f>
        <v>3.7467700258397935E-2</v>
      </c>
      <c r="F167" s="31">
        <f>IFERROR(Serie_Historica!I549/Serie_Historica!I548,"")</f>
        <v>3.6319954776710003E-2</v>
      </c>
      <c r="G167" s="31">
        <f>IFERROR(Serie_Historica!J549/Serie_Historica!J548,"")</f>
        <v>3.8043840362449198E-2</v>
      </c>
      <c r="H167" s="31">
        <f>IFERROR(Serie_Historica!K549/Serie_Historica!K548,"")</f>
        <v>3.8030095759233926E-2</v>
      </c>
      <c r="I167" s="31">
        <f>IFERROR(Serie_Historica!L549/Serie_Historica!L548,"")</f>
        <v>4.1674935503076008E-2</v>
      </c>
      <c r="J167" s="31">
        <f>IFERROR(Serie_Historica!M549/Serie_Historica!M548,"")</f>
        <v>3.4888928699390899E-2</v>
      </c>
      <c r="K167" s="31">
        <f>IFERROR(Serie_Historica!N549/Serie_Historica!N548,"")</f>
        <v>0.14634486607142858</v>
      </c>
      <c r="L167" s="31">
        <f>IFERROR(Serie_Historica!O549/Serie_Historica!O548,"")</f>
        <v>6.3798563373754544E-2</v>
      </c>
      <c r="M167" s="31">
        <f>IFERROR(Serie_Historica!P549/Serie_Historica!P548,"")</f>
        <v>8.6822619749688745E-2</v>
      </c>
      <c r="N167" s="31">
        <f>IFERROR(Serie_Historica!Q549/Serie_Historica!Q548,"")</f>
        <v>0.15587397305745346</v>
      </c>
      <c r="O167" s="31">
        <f>IFERROR(Serie_Historica!R549/Serie_Historica!R548,"")</f>
        <v>0.15382587016971905</v>
      </c>
      <c r="P167" s="31">
        <f>IFERROR(Serie_Historica!S549/Serie_Historica!S548,"")</f>
        <v>0.10757507844016136</v>
      </c>
      <c r="Q167" s="31">
        <f>IFERROR(Serie_Historica!T549/Serie_Historica!T548,"")</f>
        <v>5.7361656464161158E-2</v>
      </c>
      <c r="R167" s="31">
        <f>IFERROR(Serie_Historica!U549/Serie_Historica!U548,"")</f>
        <v>5.5735129068462404E-2</v>
      </c>
      <c r="S167" s="31">
        <f>IFERROR(Serie_Historica!V549/Serie_Historica!V548,"")</f>
        <v>5.7382000172577441E-2</v>
      </c>
      <c r="T167" s="31">
        <f>IFERROR(Serie_Historica!W549/Serie_Historica!W548,"")</f>
        <v>3.9015244150974161E-2</v>
      </c>
      <c r="U167" s="31">
        <f>IFERROR(Serie_Historica!X549/Serie_Historica!X548,"")</f>
        <v>3.9071927171638487E-2</v>
      </c>
      <c r="V167" s="31">
        <f>IFERROR(Serie_Historica!Y549/Serie_Historica!Y548,"")</f>
        <v>3.8109822795887115E-2</v>
      </c>
      <c r="W167" s="31">
        <f>IFERROR(Serie_Historica!Z549/Serie_Historica!Z548,"")</f>
        <v>4.2834138486312401E-2</v>
      </c>
      <c r="X167" s="19">
        <f>IFERROR((W167-D167)*100,"")</f>
        <v>-1.6194822331404803</v>
      </c>
    </row>
    <row r="168" spans="1:24">
      <c r="A168" s="28" t="s">
        <v>325</v>
      </c>
      <c r="B168" s="28" t="s">
        <v>326</v>
      </c>
      <c r="C168" s="28" t="s">
        <v>505</v>
      </c>
      <c r="D168" s="31">
        <f>IFERROR(Serie_Historica!G550/Serie_Historica!G548,"")</f>
        <v>0.21379897785349233</v>
      </c>
      <c r="E168" s="31">
        <f>IFERROR(Serie_Historica!H550/Serie_Historica!H548,"")</f>
        <v>0.21872625018999847</v>
      </c>
      <c r="F168" s="31">
        <f>IFERROR(Serie_Historica!I550/Serie_Historica!I548,"")</f>
        <v>0.22703504804974561</v>
      </c>
      <c r="G168" s="31">
        <f>IFERROR(Serie_Historica!J550/Serie_Historica!J548,"")</f>
        <v>0.22613098807382237</v>
      </c>
      <c r="H168" s="31">
        <f>IFERROR(Serie_Historica!K550/Serie_Historica!K548,"")</f>
        <v>0.21554035567715457</v>
      </c>
      <c r="I168" s="31">
        <f>IFERROR(Serie_Historica!L550/Serie_Historica!L548,"")</f>
        <v>0.21532050009922604</v>
      </c>
      <c r="J168" s="31">
        <f>IFERROR(Serie_Historica!M550/Serie_Historica!M548,"")</f>
        <v>0.19992834109638122</v>
      </c>
      <c r="K168" s="31">
        <f>IFERROR(Serie_Historica!N550/Serie_Historica!N548,"")</f>
        <v>0.18258231026785715</v>
      </c>
      <c r="L168" s="31">
        <f>IFERROR(Serie_Historica!O550/Serie_Historica!O548,"")</f>
        <v>0.21286784583301152</v>
      </c>
      <c r="M168" s="31">
        <f>IFERROR(Serie_Historica!P550/Serie_Historica!P548,"")</f>
        <v>0.2075552060808597</v>
      </c>
      <c r="N168" s="31">
        <f>IFERROR(Serie_Historica!Q550/Serie_Historica!Q548,"")</f>
        <v>0.22848607230781998</v>
      </c>
      <c r="O168" s="31">
        <f>IFERROR(Serie_Historica!R550/Serie_Historica!R548,"")</f>
        <v>0.22710710518745805</v>
      </c>
      <c r="P168" s="31">
        <f>IFERROR(Serie_Historica!S550/Serie_Historica!S548,"")</f>
        <v>0.23494695950993574</v>
      </c>
      <c r="Q168" s="31">
        <f>IFERROR(Serie_Historica!T550/Serie_Historica!T548,"")</f>
        <v>0.25751774260419968</v>
      </c>
      <c r="R168" s="31">
        <f>IFERROR(Serie_Historica!U550/Serie_Historica!U548,"")</f>
        <v>0.25887766554433222</v>
      </c>
      <c r="S168" s="31">
        <f>IFERROR(Serie_Historica!V550/Serie_Historica!V548,"")</f>
        <v>0.25390456467339717</v>
      </c>
      <c r="T168" s="31">
        <f>IFERROR(Serie_Historica!W550/Serie_Historica!W548,"")</f>
        <v>0.37414200701067907</v>
      </c>
      <c r="U168" s="31">
        <f>IFERROR(Serie_Historica!X550/Serie_Historica!X548,"")</f>
        <v>0.36608165696741968</v>
      </c>
      <c r="V168" s="31">
        <f>IFERROR(Serie_Historica!Y550/Serie_Historica!Y548,"")</f>
        <v>0.33145190694960985</v>
      </c>
      <c r="W168" s="31">
        <f>IFERROR(Serie_Historica!Z550/Serie_Historica!Z548,"")</f>
        <v>0.3318840579710145</v>
      </c>
      <c r="X168" s="19">
        <f>IFERROR((W168-D168)*100,"")</f>
        <v>11.808508011752217</v>
      </c>
    </row>
    <row r="169" spans="1:24">
      <c r="A169" s="28" t="s">
        <v>325</v>
      </c>
      <c r="B169" s="28" t="s">
        <v>326</v>
      </c>
      <c r="C169" s="28" t="s">
        <v>506</v>
      </c>
      <c r="D169" s="31">
        <f>IFERROR(Serie_Historica!G551/Serie_Historica!G548,"")</f>
        <v>0.57027257240204432</v>
      </c>
      <c r="E169" s="31">
        <f>IFERROR(Serie_Historica!H551/Serie_Historica!H548,"")</f>
        <v>0.53184374525003797</v>
      </c>
      <c r="F169" s="31">
        <f>IFERROR(Serie_Historica!I551/Serie_Historica!I548,"")</f>
        <v>0.55857829282080274</v>
      </c>
      <c r="G169" s="31">
        <f>IFERROR(Serie_Historica!J551/Serie_Historica!J548,"")</f>
        <v>0.58744753148111128</v>
      </c>
      <c r="H169" s="31">
        <f>IFERROR(Serie_Historica!K551/Serie_Historica!K548,"")</f>
        <v>0.57285909712722294</v>
      </c>
      <c r="I169" s="31">
        <f>IFERROR(Serie_Historica!L551/Serie_Historica!L548,"")</f>
        <v>0.6260170668783489</v>
      </c>
      <c r="J169" s="31">
        <f>IFERROR(Serie_Historica!M551/Serie_Historica!M548,"")</f>
        <v>0.64255643138659979</v>
      </c>
      <c r="K169" s="31">
        <f>IFERROR(Serie_Historica!N551/Serie_Historica!N548,"")</f>
        <v>0.5678013392857143</v>
      </c>
      <c r="L169" s="31">
        <f>IFERROR(Serie_Historica!O551/Serie_Historica!O548,"")</f>
        <v>0.65354908473005324</v>
      </c>
      <c r="M169" s="31">
        <f>IFERROR(Serie_Historica!P551/Serie_Historica!P548,"")</f>
        <v>0.61041216171941548</v>
      </c>
      <c r="N169" s="31">
        <f>IFERROR(Serie_Historica!Q551/Serie_Historica!Q548,"")</f>
        <v>0.55378827694946198</v>
      </c>
      <c r="O169" s="31">
        <f>IFERROR(Serie_Historica!R551/Serie_Historica!R548,"")</f>
        <v>0.54813500815034999</v>
      </c>
      <c r="P169" s="31">
        <f>IFERROR(Serie_Historica!S551/Serie_Historica!S548,"")</f>
        <v>0.580282882613676</v>
      </c>
      <c r="Q169" s="31">
        <f>IFERROR(Serie_Historica!T551/Serie_Historica!T548,"")</f>
        <v>0.60468746189303224</v>
      </c>
      <c r="R169" s="31">
        <f>IFERROR(Serie_Historica!U551/Serie_Historica!U548,"")</f>
        <v>0.62570145903479235</v>
      </c>
      <c r="S169" s="31">
        <f>IFERROR(Serie_Historica!V551/Serie_Historica!V548,"")</f>
        <v>0.61474242816463887</v>
      </c>
      <c r="T169" s="31">
        <f>IFERROR(Serie_Historica!W551/Serie_Historica!W548,"")</f>
        <v>0.51375234368631284</v>
      </c>
      <c r="U169" s="31">
        <f>IFERROR(Serie_Historica!X551/Serie_Historica!X548,"")</f>
        <v>0.52817363943240314</v>
      </c>
      <c r="V169" s="31">
        <f>IFERROR(Serie_Historica!Y551/Serie_Historica!Y548,"")</f>
        <v>0.51367315685845549</v>
      </c>
      <c r="W169" s="31">
        <f>IFERROR(Serie_Historica!Z551/Serie_Historica!Z548,"")</f>
        <v>0.52946859903381638</v>
      </c>
      <c r="X169" s="19">
        <f>IFERROR((W169-D169)*100,"")</f>
        <v>-4.0803973368227942</v>
      </c>
    </row>
    <row r="170" spans="1:24">
      <c r="A170" s="28" t="s">
        <v>299</v>
      </c>
      <c r="B170" s="28" t="s">
        <v>300</v>
      </c>
      <c r="C170" s="28" t="s">
        <v>504</v>
      </c>
      <c r="D170" s="31">
        <f>IFERROR(Serie_Historica!G559/Serie_Historica!G558,"")</f>
        <v>0.11286509040333798</v>
      </c>
      <c r="E170" s="31">
        <f>IFERROR(Serie_Historica!H559/Serie_Historica!H558,"")</f>
        <v>8.4573261795453283E-2</v>
      </c>
      <c r="F170" s="31">
        <f>IFERROR(Serie_Historica!I559/Serie_Historica!I558,"")</f>
        <v>7.8787878787878782E-2</v>
      </c>
      <c r="G170" s="31">
        <f>IFERROR(Serie_Historica!J559/Serie_Historica!J558,"")</f>
        <v>7.8271728271728278E-2</v>
      </c>
      <c r="H170" s="31">
        <f>IFERROR(Serie_Historica!K559/Serie_Historica!K558,"")</f>
        <v>8.9944590009020234E-2</v>
      </c>
      <c r="I170" s="31">
        <f>IFERROR(Serie_Historica!L559/Serie_Historica!L558,"")</f>
        <v>0.12488433208720436</v>
      </c>
      <c r="J170" s="31">
        <f>IFERROR(Serie_Historica!M559/Serie_Historica!M558,"")</f>
        <v>0.13830388927704029</v>
      </c>
      <c r="K170" s="31">
        <f>IFERROR(Serie_Historica!N559/Serie_Historica!N558,"")</f>
        <v>9.7228388406164781E-2</v>
      </c>
      <c r="L170" s="31">
        <f>IFERROR(Serie_Historica!O559/Serie_Historica!O558,"")</f>
        <v>0.12761506276150628</v>
      </c>
      <c r="M170" s="31">
        <f>IFERROR(Serie_Historica!P559/Serie_Historica!P558,"")</f>
        <v>0.13823362666075081</v>
      </c>
      <c r="N170" s="31">
        <f>IFERROR(Serie_Historica!Q559/Serie_Historica!Q558,"")</f>
        <v>0.12523917202991824</v>
      </c>
      <c r="O170" s="31">
        <f>IFERROR(Serie_Historica!R559/Serie_Historica!R558,"")</f>
        <v>0.13002253669827218</v>
      </c>
      <c r="P170" s="31">
        <f>IFERROR(Serie_Historica!S559/Serie_Historica!S558,"")</f>
        <v>9.2619218787443086E-2</v>
      </c>
      <c r="Q170" s="31">
        <f>IFERROR(Serie_Historica!T559/Serie_Historica!T558,"")</f>
        <v>7.7358210616120776E-2</v>
      </c>
      <c r="R170" s="31">
        <f>IFERROR(Serie_Historica!U559/Serie_Historica!U558,"")</f>
        <v>4.2322780264102987E-2</v>
      </c>
      <c r="S170" s="31">
        <f>IFERROR(Serie_Historica!V559/Serie_Historica!V558,"")</f>
        <v>4.0521862252637965E-2</v>
      </c>
      <c r="T170" s="31">
        <f>IFERROR(Serie_Historica!W559/Serie_Historica!W558,"")</f>
        <v>4.9585749148959322E-2</v>
      </c>
      <c r="U170" s="31">
        <f>IFERROR(Serie_Historica!X559/Serie_Historica!X558,"")</f>
        <v>4.0577464788732392E-2</v>
      </c>
      <c r="V170" s="31">
        <f>IFERROR(Serie_Historica!Y559/Serie_Historica!Y558,"")</f>
        <v>3.7252153014219906E-2</v>
      </c>
      <c r="W170" s="31">
        <f>IFERROR(Serie_Historica!Z559/Serie_Historica!Z558,"")</f>
        <v>4.4599684121005956E-2</v>
      </c>
      <c r="X170" s="19">
        <f>IFERROR((W170-D170)*100,"")</f>
        <v>-6.826540628233202</v>
      </c>
    </row>
    <row r="171" spans="1:24">
      <c r="A171" s="28" t="s">
        <v>299</v>
      </c>
      <c r="B171" s="28" t="s">
        <v>300</v>
      </c>
      <c r="C171" s="28" t="s">
        <v>505</v>
      </c>
      <c r="D171" s="31">
        <f>IFERROR(Serie_Historica!G560/Serie_Historica!G558,"")</f>
        <v>0.16947148817802504</v>
      </c>
      <c r="E171" s="31">
        <f>IFERROR(Serie_Historica!H560/Serie_Historica!H558,"")</f>
        <v>0.17539686929586815</v>
      </c>
      <c r="F171" s="31">
        <f>IFERROR(Serie_Historica!I560/Serie_Historica!I558,"")</f>
        <v>0.19103641456582632</v>
      </c>
      <c r="G171" s="31">
        <f>IFERROR(Serie_Historica!J560/Serie_Historica!J558,"")</f>
        <v>0.18116883116883117</v>
      </c>
      <c r="H171" s="31">
        <f>IFERROR(Serie_Historica!K560/Serie_Historica!K558,"")</f>
        <v>0.18083415660839311</v>
      </c>
      <c r="I171" s="31">
        <f>IFERROR(Serie_Historica!L560/Serie_Historica!L558,"")</f>
        <v>0.18758559425546878</v>
      </c>
      <c r="J171" s="31">
        <f>IFERROR(Serie_Historica!M560/Serie_Historica!M558,"")</f>
        <v>0.170609175899125</v>
      </c>
      <c r="K171" s="31">
        <f>IFERROR(Serie_Historica!N560/Serie_Historica!N558,"")</f>
        <v>0.18205746178727722</v>
      </c>
      <c r="L171" s="31">
        <f>IFERROR(Serie_Historica!O560/Serie_Historica!O558,"")</f>
        <v>0.18725322647180151</v>
      </c>
      <c r="M171" s="31">
        <f>IFERROR(Serie_Historica!P560/Serie_Historica!P558,"")</f>
        <v>0.17459143681135841</v>
      </c>
      <c r="N171" s="31">
        <f>IFERROR(Serie_Historica!Q560/Serie_Historica!Q558,"")</f>
        <v>0.1894739457793902</v>
      </c>
      <c r="O171" s="31">
        <f>IFERROR(Serie_Historica!R560/Serie_Historica!R558,"")</f>
        <v>0.20790611739386433</v>
      </c>
      <c r="P171" s="31">
        <f>IFERROR(Serie_Historica!S560/Serie_Historica!S558,"")</f>
        <v>0.18174374950075883</v>
      </c>
      <c r="Q171" s="31">
        <f>IFERROR(Serie_Historica!T560/Serie_Historica!T558,"")</f>
        <v>0.20150969991468526</v>
      </c>
      <c r="R171" s="31">
        <f>IFERROR(Serie_Historica!U560/Serie_Historica!U558,"")</f>
        <v>0.20190802438440431</v>
      </c>
      <c r="S171" s="31">
        <f>IFERROR(Serie_Historica!V560/Serie_Historica!V558,"")</f>
        <v>0.19756936250547821</v>
      </c>
      <c r="T171" s="31">
        <f>IFERROR(Serie_Historica!W560/Serie_Historica!W558,"")</f>
        <v>0.24433805356504437</v>
      </c>
      <c r="U171" s="31">
        <f>IFERROR(Serie_Historica!X560/Serie_Historica!X558,"")</f>
        <v>0.24383098591549296</v>
      </c>
      <c r="V171" s="31">
        <f>IFERROR(Serie_Historica!Y560/Serie_Historica!Y558,"")</f>
        <v>0.23416783496895655</v>
      </c>
      <c r="W171" s="31">
        <f>IFERROR(Serie_Historica!Z560/Serie_Historica!Z558,"")</f>
        <v>0.2396306645608067</v>
      </c>
      <c r="X171" s="19">
        <f>IFERROR((W171-D171)*100,"")</f>
        <v>7.0159176382781654</v>
      </c>
    </row>
    <row r="172" spans="1:24">
      <c r="A172" s="28" t="s">
        <v>299</v>
      </c>
      <c r="B172" s="28" t="s">
        <v>300</v>
      </c>
      <c r="C172" s="28" t="s">
        <v>506</v>
      </c>
      <c r="D172" s="31">
        <f>IFERROR(Serie_Historica!G561/Serie_Historica!G558,"")</f>
        <v>0.63977746870653684</v>
      </c>
      <c r="E172" s="31">
        <f>IFERROR(Serie_Historica!H561/Serie_Historica!H558,"")</f>
        <v>0.56297361579733396</v>
      </c>
      <c r="F172" s="31">
        <f>IFERROR(Serie_Historica!I561/Serie_Historica!I558,"")</f>
        <v>0.59821746880570414</v>
      </c>
      <c r="G172" s="31">
        <f>IFERROR(Serie_Historica!J561/Serie_Historica!J558,"")</f>
        <v>0.66713286713286712</v>
      </c>
      <c r="H172" s="31">
        <f>IFERROR(Serie_Historica!K561/Serie_Historica!K558,"")</f>
        <v>0.64739487135432328</v>
      </c>
      <c r="I172" s="31">
        <f>IFERROR(Serie_Historica!L561/Serie_Historica!L558,"")</f>
        <v>0.64037457896879746</v>
      </c>
      <c r="J172" s="31">
        <f>IFERROR(Serie_Historica!M561/Serie_Historica!M558,"")</f>
        <v>0.63955151878098282</v>
      </c>
      <c r="K172" s="31">
        <f>IFERROR(Serie_Historica!N561/Serie_Historica!N558,"")</f>
        <v>0.67720555590790887</v>
      </c>
      <c r="L172" s="31">
        <f>IFERROR(Serie_Historica!O561/Serie_Historica!O558,"")</f>
        <v>0.64685603158701166</v>
      </c>
      <c r="M172" s="31">
        <f>IFERROR(Serie_Historica!P561/Serie_Historica!P558,"")</f>
        <v>0.63247800044368852</v>
      </c>
      <c r="N172" s="31">
        <f>IFERROR(Serie_Historica!Q561/Serie_Historica!Q558,"")</f>
        <v>0.66013965161643018</v>
      </c>
      <c r="O172" s="31">
        <f>IFERROR(Serie_Historica!R561/Serie_Historica!R558,"")</f>
        <v>0.64032647757497008</v>
      </c>
      <c r="P172" s="31">
        <f>IFERROR(Serie_Historica!S561/Serie_Historica!S558,"")</f>
        <v>0.69506350347471846</v>
      </c>
      <c r="Q172" s="31">
        <f>IFERROR(Serie_Historica!T561/Serie_Historica!T558,"")</f>
        <v>0.68861975592566493</v>
      </c>
      <c r="R172" s="31">
        <f>IFERROR(Serie_Historica!U561/Serie_Historica!U558,"")</f>
        <v>0.7242389082269739</v>
      </c>
      <c r="S172" s="31">
        <f>IFERROR(Serie_Historica!V561/Serie_Historica!V558,"")</f>
        <v>0.72974749688163709</v>
      </c>
      <c r="T172" s="31">
        <f>IFERROR(Serie_Historica!W561/Serie_Historica!W558,"")</f>
        <v>0.67918486624283025</v>
      </c>
      <c r="U172" s="31">
        <f>IFERROR(Serie_Historica!X561/Serie_Historica!X558,"")</f>
        <v>0.67381690140845074</v>
      </c>
      <c r="V172" s="31">
        <f>IFERROR(Serie_Historica!Y561/Serie_Historica!Y558,"")</f>
        <v>0.65510381200347156</v>
      </c>
      <c r="W172" s="31">
        <f>IFERROR(Serie_Historica!Z561/Serie_Historica!Z558,"")</f>
        <v>0.64162313206171795</v>
      </c>
      <c r="X172" s="19">
        <f>IFERROR((W172-D172)*100,"")</f>
        <v>0.18456633551811041</v>
      </c>
    </row>
    <row r="173" spans="1:24">
      <c r="A173" s="28" t="s">
        <v>285</v>
      </c>
      <c r="B173" s="28" t="s">
        <v>286</v>
      </c>
      <c r="C173" s="28" t="s">
        <v>504</v>
      </c>
      <c r="D173" s="31">
        <f>IFERROR(Serie_Historica!G569/Serie_Historica!G568,"")</f>
        <v>6.3973868706182282E-2</v>
      </c>
      <c r="E173" s="31">
        <f>IFERROR(Serie_Historica!H569/Serie_Historica!H568,"")</f>
        <v>5.1198558958015797E-2</v>
      </c>
      <c r="F173" s="31">
        <f>IFERROR(Serie_Historica!I569/Serie_Historica!I568,"")</f>
        <v>5.3223097790983075E-2</v>
      </c>
      <c r="G173" s="31">
        <f>IFERROR(Serie_Historica!J569/Serie_Historica!J568,"")</f>
        <v>7.7171717171717169E-2</v>
      </c>
      <c r="H173" s="31">
        <f>IFERROR(Serie_Historica!K569/Serie_Historica!K568,"")</f>
        <v>4.9753377653870896E-2</v>
      </c>
      <c r="I173" s="31">
        <f>IFERROR(Serie_Historica!L569/Serie_Historica!L568,"")</f>
        <v>5.2440538733403382E-2</v>
      </c>
      <c r="J173" s="31">
        <f>IFERROR(Serie_Historica!M569/Serie_Historica!M568,"")</f>
        <v>4.0942983435281508E-2</v>
      </c>
      <c r="K173" s="31">
        <f>IFERROR(Serie_Historica!N569/Serie_Historica!N568,"")</f>
        <v>3.9712320200125079E-2</v>
      </c>
      <c r="L173" s="31">
        <f>IFERROR(Serie_Historica!O569/Serie_Historica!O568,"")</f>
        <v>4.1397618022671834E-2</v>
      </c>
      <c r="M173" s="31">
        <f>IFERROR(Serie_Historica!P569/Serie_Historica!P568,"")</f>
        <v>5.7424270581676269E-2</v>
      </c>
      <c r="N173" s="31">
        <f>IFERROR(Serie_Historica!Q569/Serie_Historica!Q568,"")</f>
        <v>6.7576982025916124E-2</v>
      </c>
      <c r="O173" s="31">
        <f>IFERROR(Serie_Historica!R569/Serie_Historica!R568,"")</f>
        <v>7.2096630164026884E-2</v>
      </c>
      <c r="P173" s="31">
        <f>IFERROR(Serie_Historica!S569/Serie_Historica!S568,"")</f>
        <v>8.582106152956355E-2</v>
      </c>
      <c r="Q173" s="31">
        <f>IFERROR(Serie_Historica!T569/Serie_Historica!T568,"")</f>
        <v>0.1496661754807255</v>
      </c>
      <c r="R173" s="31">
        <f>IFERROR(Serie_Historica!U569/Serie_Historica!U568,"")</f>
        <v>0.51018700451860433</v>
      </c>
      <c r="S173" s="31">
        <f>IFERROR(Serie_Historica!V569/Serie_Historica!V568,"")</f>
        <v>0.16163367816779287</v>
      </c>
      <c r="T173" s="31">
        <f>IFERROR(Serie_Historica!W569/Serie_Historica!W568,"")</f>
        <v>8.3192149090560372E-2</v>
      </c>
      <c r="U173" s="31">
        <f>IFERROR(Serie_Historica!X569/Serie_Historica!X568,"")</f>
        <v>5.0697972379065301E-2</v>
      </c>
      <c r="V173" s="31">
        <f>IFERROR(Serie_Historica!Y569/Serie_Historica!Y568,"")</f>
        <v>3.9686069701708827E-2</v>
      </c>
      <c r="W173" s="31">
        <f>IFERROR(Serie_Historica!Z569/Serie_Historica!Z568,"")</f>
        <v>4.6912236133793021E-2</v>
      </c>
      <c r="X173" s="19">
        <f>IFERROR((W173-D173)*100,"")</f>
        <v>-1.706163257238926</v>
      </c>
    </row>
    <row r="174" spans="1:24">
      <c r="A174" s="28" t="s">
        <v>285</v>
      </c>
      <c r="B174" s="28" t="s">
        <v>286</v>
      </c>
      <c r="C174" s="28" t="s">
        <v>505</v>
      </c>
      <c r="D174" s="31">
        <f>IFERROR(Serie_Historica!G570/Serie_Historica!G568,"")</f>
        <v>0.17558954748247291</v>
      </c>
      <c r="E174" s="31">
        <f>IFERROR(Serie_Historica!H570/Serie_Historica!H568,"")</f>
        <v>0.18241651655812666</v>
      </c>
      <c r="F174" s="31">
        <f>IFERROR(Serie_Historica!I570/Serie_Historica!I568,"")</f>
        <v>0.18718511820178271</v>
      </c>
      <c r="G174" s="31">
        <f>IFERROR(Serie_Historica!J570/Serie_Historica!J568,"")</f>
        <v>0.17529581529581528</v>
      </c>
      <c r="H174" s="31">
        <f>IFERROR(Serie_Historica!K570/Serie_Historica!K568,"")</f>
        <v>0.17542354707269997</v>
      </c>
      <c r="I174" s="31">
        <f>IFERROR(Serie_Historica!L570/Serie_Historica!L568,"")</f>
        <v>0.17179291240806191</v>
      </c>
      <c r="J174" s="31">
        <f>IFERROR(Serie_Historica!M570/Serie_Historica!M568,"")</f>
        <v>0.16042327097379114</v>
      </c>
      <c r="K174" s="31">
        <f>IFERROR(Serie_Historica!N570/Serie_Historica!N568,"")</f>
        <v>0.16901188242651657</v>
      </c>
      <c r="L174" s="31">
        <f>IFERROR(Serie_Historica!O570/Serie_Historica!O568,"")</f>
        <v>0.17857655330750466</v>
      </c>
      <c r="M174" s="31">
        <f>IFERROR(Serie_Historica!P570/Serie_Historica!P568,"")</f>
        <v>0.19996283218732577</v>
      </c>
      <c r="N174" s="31">
        <f>IFERROR(Serie_Historica!Q570/Serie_Historica!Q568,"")</f>
        <v>0.22254423853977987</v>
      </c>
      <c r="O174" s="31">
        <f>IFERROR(Serie_Historica!R570/Serie_Historica!R568,"")</f>
        <v>0.22385674672181227</v>
      </c>
      <c r="P174" s="31">
        <f>IFERROR(Serie_Historica!S570/Serie_Historica!S568,"")</f>
        <v>0.21003692663611692</v>
      </c>
      <c r="Q174" s="31">
        <f>IFERROR(Serie_Historica!T570/Serie_Historica!T568,"")</f>
        <v>0.22672779202823409</v>
      </c>
      <c r="R174" s="31">
        <f>IFERROR(Serie_Historica!U570/Serie_Historica!U568,"")</f>
        <v>0.26020714918832477</v>
      </c>
      <c r="S174" s="31">
        <f>IFERROR(Serie_Historica!V570/Serie_Historica!V568,"")</f>
        <v>0.2326735633558572</v>
      </c>
      <c r="T174" s="31">
        <f>IFERROR(Serie_Historica!W570/Serie_Historica!W568,"")</f>
        <v>0.24570853179042931</v>
      </c>
      <c r="U174" s="31">
        <f>IFERROR(Serie_Historica!X570/Serie_Historica!X568,"")</f>
        <v>0.25146373076292777</v>
      </c>
      <c r="V174" s="31">
        <f>IFERROR(Serie_Historica!Y570/Serie_Historica!Y568,"")</f>
        <v>0.2646168414709385</v>
      </c>
      <c r="W174" s="31">
        <f>IFERROR(Serie_Historica!Z570/Serie_Historica!Z568,"")</f>
        <v>0.26877154781346396</v>
      </c>
      <c r="X174" s="19">
        <f>IFERROR((W174-D174)*100,"")</f>
        <v>9.3182000330991048</v>
      </c>
    </row>
    <row r="175" spans="1:24">
      <c r="A175" s="28" t="s">
        <v>285</v>
      </c>
      <c r="B175" s="28" t="s">
        <v>286</v>
      </c>
      <c r="C175" s="28" t="s">
        <v>506</v>
      </c>
      <c r="D175" s="31">
        <f>IFERROR(Serie_Historica!G571/Serie_Historica!G568,"")</f>
        <v>0.61018164435946465</v>
      </c>
      <c r="E175" s="31">
        <f>IFERROR(Serie_Historica!H571/Serie_Historica!H568,"")</f>
        <v>0.64064015518913675</v>
      </c>
      <c r="F175" s="31">
        <f>IFERROR(Serie_Historica!I571/Serie_Historica!I568,"")</f>
        <v>0.62330448262498384</v>
      </c>
      <c r="G175" s="31">
        <f>IFERROR(Serie_Historica!J571/Serie_Historica!J568,"")</f>
        <v>0.62245310245310248</v>
      </c>
      <c r="H175" s="31">
        <f>IFERROR(Serie_Historica!K571/Serie_Historica!K568,"")</f>
        <v>0.65810636929015653</v>
      </c>
      <c r="I175" s="31">
        <f>IFERROR(Serie_Historica!L571/Serie_Historica!L568,"")</f>
        <v>0.68406724615531567</v>
      </c>
      <c r="J175" s="31">
        <f>IFERROR(Serie_Historica!M571/Serie_Historica!M568,"")</f>
        <v>0.7236683484395231</v>
      </c>
      <c r="K175" s="31">
        <f>IFERROR(Serie_Historica!N571/Serie_Historica!N568,"")</f>
        <v>0.69418386491557227</v>
      </c>
      <c r="L175" s="31">
        <f>IFERROR(Serie_Historica!O571/Serie_Historica!O568,"")</f>
        <v>0.70533792509685755</v>
      </c>
      <c r="M175" s="31">
        <f>IFERROR(Serie_Historica!P571/Serie_Historica!P568,"")</f>
        <v>0.66737904974292261</v>
      </c>
      <c r="N175" s="31">
        <f>IFERROR(Serie_Historica!Q571/Serie_Historica!Q568,"")</f>
        <v>0.6638706980632576</v>
      </c>
      <c r="O175" s="31">
        <f>IFERROR(Serie_Historica!R571/Serie_Historica!R568,"")</f>
        <v>0.66839780044179165</v>
      </c>
      <c r="P175" s="31">
        <f>IFERROR(Serie_Historica!S571/Serie_Historica!S568,"")</f>
        <v>0.66915068736931083</v>
      </c>
      <c r="Q175" s="31">
        <f>IFERROR(Serie_Historica!T571/Serie_Historica!T568,"")</f>
        <v>0.58669431861594712</v>
      </c>
      <c r="R175" s="31">
        <f>IFERROR(Serie_Historica!U571/Serie_Historica!U568,"")</f>
        <v>0.21446325302325006</v>
      </c>
      <c r="S175" s="31">
        <f>IFERROR(Serie_Historica!V571/Serie_Historica!V568,"")</f>
        <v>0.56749686061113436</v>
      </c>
      <c r="T175" s="31">
        <f>IFERROR(Serie_Historica!W571/Serie_Historica!W568,"")</f>
        <v>0.6239650928619378</v>
      </c>
      <c r="U175" s="31">
        <f>IFERROR(Serie_Historica!X571/Serie_Historica!X568,"")</f>
        <v>0.63900600390328199</v>
      </c>
      <c r="V175" s="31">
        <f>IFERROR(Serie_Historica!Y571/Serie_Historica!Y568,"")</f>
        <v>0.62661233625550594</v>
      </c>
      <c r="W175" s="31">
        <f>IFERROR(Serie_Historica!Z571/Serie_Historica!Z568,"")</f>
        <v>0.58386257787455387</v>
      </c>
      <c r="X175" s="19">
        <f>IFERROR((W175-D175)*100,"")</f>
        <v>-2.631906648491078</v>
      </c>
    </row>
    <row r="176" spans="1:24">
      <c r="A176" s="28" t="s">
        <v>305</v>
      </c>
      <c r="B176" s="28" t="s">
        <v>306</v>
      </c>
      <c r="C176" s="28" t="s">
        <v>504</v>
      </c>
      <c r="D176" s="31">
        <f>IFERROR(Serie_Historica!G579/Serie_Historica!G578,"")</f>
        <v>9.2839707078925957E-2</v>
      </c>
      <c r="E176" s="31">
        <f>IFERROR(Serie_Historica!H579/Serie_Historica!H578,"")</f>
        <v>7.1645965287488692E-2</v>
      </c>
      <c r="F176" s="31">
        <f>IFERROR(Serie_Historica!I579/Serie_Historica!I578,"")</f>
        <v>6.665182216284421E-2</v>
      </c>
      <c r="G176" s="31">
        <f>IFERROR(Serie_Historica!J579/Serie_Historica!J578,"")</f>
        <v>7.4095989480604862E-2</v>
      </c>
      <c r="H176" s="31">
        <f>IFERROR(Serie_Historica!K579/Serie_Historica!K578,"")</f>
        <v>6.646223167907879E-2</v>
      </c>
      <c r="I176" s="31">
        <f>IFERROR(Serie_Historica!L579/Serie_Historica!L578,"")</f>
        <v>9.8271528953172288E-2</v>
      </c>
      <c r="J176" s="31">
        <f>IFERROR(Serie_Historica!M579/Serie_Historica!M578,"")</f>
        <v>0.11904332129963899</v>
      </c>
      <c r="K176" s="31">
        <f>IFERROR(Serie_Historica!N579/Serie_Historica!N578,"")</f>
        <v>0.12999309974699072</v>
      </c>
      <c r="L176" s="31">
        <f>IFERROR(Serie_Historica!O579/Serie_Historica!O578,"")</f>
        <v>0.12095400340715502</v>
      </c>
      <c r="M176" s="31">
        <f>IFERROR(Serie_Historica!P579/Serie_Historica!P578,"")</f>
        <v>0.10709419565809793</v>
      </c>
      <c r="N176" s="31">
        <f>IFERROR(Serie_Historica!Q579/Serie_Historica!Q578,"")</f>
        <v>0.1274963739819257</v>
      </c>
      <c r="O176" s="31">
        <f>IFERROR(Serie_Historica!R579/Serie_Historica!R578,"")</f>
        <v>8.0795817744852699E-2</v>
      </c>
      <c r="P176" s="31">
        <f>IFERROR(Serie_Historica!S579/Serie_Historica!S578,"")</f>
        <v>0.10027677240791995</v>
      </c>
      <c r="Q176" s="31">
        <f>IFERROR(Serie_Historica!T579/Serie_Historica!T578,"")</f>
        <v>0.18215041738227422</v>
      </c>
      <c r="R176" s="31">
        <f>IFERROR(Serie_Historica!U579/Serie_Historica!U578,"")</f>
        <v>0.22596737729115673</v>
      </c>
      <c r="S176" s="31">
        <f>IFERROR(Serie_Historica!V579/Serie_Historica!V578,"")</f>
        <v>0.24204935003224384</v>
      </c>
      <c r="T176" s="31">
        <f>IFERROR(Serie_Historica!W579/Serie_Historica!W578,"")</f>
        <v>0.24572746818160418</v>
      </c>
      <c r="U176" s="31">
        <f>IFERROR(Serie_Historica!X579/Serie_Historica!X578,"")</f>
        <v>0.35932377784690483</v>
      </c>
      <c r="V176" s="31">
        <f>IFERROR(Serie_Historica!Y579/Serie_Historica!Y578,"")</f>
        <v>0.34902166901593523</v>
      </c>
      <c r="W176" s="31">
        <f>IFERROR(Serie_Historica!Z579/Serie_Historica!Z578,"")</f>
        <v>0.29977226564904291</v>
      </c>
      <c r="X176" s="19">
        <f>IFERROR((W176-D176)*100,"")</f>
        <v>20.693255857011692</v>
      </c>
    </row>
    <row r="177" spans="1:24">
      <c r="A177" s="28" t="s">
        <v>305</v>
      </c>
      <c r="B177" s="28" t="s">
        <v>306</v>
      </c>
      <c r="C177" s="28" t="s">
        <v>505</v>
      </c>
      <c r="D177" s="31">
        <f>IFERROR(Serie_Historica!G580/Serie_Historica!G578,"")</f>
        <v>0.19983726606997559</v>
      </c>
      <c r="E177" s="31">
        <f>IFERROR(Serie_Historica!H580/Serie_Historica!H578,"")</f>
        <v>0.19741712593567493</v>
      </c>
      <c r="F177" s="31">
        <f>IFERROR(Serie_Historica!I580/Serie_Historica!I578,"")</f>
        <v>0.21309285237140949</v>
      </c>
      <c r="G177" s="31">
        <f>IFERROR(Serie_Historica!J580/Serie_Historica!J578,"")</f>
        <v>0.20565417488494411</v>
      </c>
      <c r="H177" s="31">
        <f>IFERROR(Serie_Historica!K580/Serie_Historica!K578,"")</f>
        <v>0.20332936979785968</v>
      </c>
      <c r="I177" s="31">
        <f>IFERROR(Serie_Historica!L580/Serie_Historica!L578,"")</f>
        <v>0.20069754321177616</v>
      </c>
      <c r="J177" s="31">
        <f>IFERROR(Serie_Historica!M580/Serie_Historica!M578,"")</f>
        <v>0.18334837545126353</v>
      </c>
      <c r="K177" s="31">
        <f>IFERROR(Serie_Historica!N580/Serie_Historica!N578,"")</f>
        <v>0.18726519972398989</v>
      </c>
      <c r="L177" s="31">
        <f>IFERROR(Serie_Historica!O580/Serie_Historica!O578,"")</f>
        <v>0.20957552526973311</v>
      </c>
      <c r="M177" s="31">
        <f>IFERROR(Serie_Historica!P580/Serie_Historica!P578,"")</f>
        <v>0.20831440942259363</v>
      </c>
      <c r="N177" s="31">
        <f>IFERROR(Serie_Historica!Q580/Serie_Historica!Q578,"")</f>
        <v>0.23532857302242552</v>
      </c>
      <c r="O177" s="31">
        <f>IFERROR(Serie_Historica!R580/Serie_Historica!R578,"")</f>
        <v>0.24808602363667898</v>
      </c>
      <c r="P177" s="31">
        <f>IFERROR(Serie_Historica!S580/Serie_Historica!S578,"")</f>
        <v>0.23679417122040072</v>
      </c>
      <c r="Q177" s="31">
        <f>IFERROR(Serie_Historica!T580/Serie_Historica!T578,"")</f>
        <v>0.23880656628190278</v>
      </c>
      <c r="R177" s="31">
        <f>IFERROR(Serie_Historica!U580/Serie_Historica!U578,"")</f>
        <v>0.2284336989219185</v>
      </c>
      <c r="S177" s="31">
        <f>IFERROR(Serie_Historica!V580/Serie_Historica!V578,"")</f>
        <v>0.21221532091097309</v>
      </c>
      <c r="T177" s="31">
        <f>IFERROR(Serie_Historica!W580/Serie_Historica!W578,"")</f>
        <v>0.20919320161328289</v>
      </c>
      <c r="U177" s="31">
        <f>IFERROR(Serie_Historica!X580/Serie_Historica!X578,"")</f>
        <v>0.19593931707783974</v>
      </c>
      <c r="V177" s="31">
        <f>IFERROR(Serie_Historica!Y580/Serie_Historica!Y578,"")</f>
        <v>0.19531977924839333</v>
      </c>
      <c r="W177" s="31">
        <f>IFERROR(Serie_Historica!Z580/Serie_Historica!Z578,"")</f>
        <v>0.20049239859666401</v>
      </c>
      <c r="X177" s="19">
        <f>IFERROR((W177-D177)*100,"")</f>
        <v>6.5513252668841782E-2</v>
      </c>
    </row>
    <row r="178" spans="1:24">
      <c r="A178" s="28" t="s">
        <v>305</v>
      </c>
      <c r="B178" s="28" t="s">
        <v>306</v>
      </c>
      <c r="C178" s="28" t="s">
        <v>506</v>
      </c>
      <c r="D178" s="31">
        <f>IFERROR(Serie_Historica!G581/Serie_Historica!G578,"")</f>
        <v>0.6395443449959316</v>
      </c>
      <c r="E178" s="31">
        <f>IFERROR(Serie_Historica!H581/Serie_Historica!H578,"")</f>
        <v>0.63214608867319244</v>
      </c>
      <c r="F178" s="31">
        <f>IFERROR(Serie_Historica!I581/Serie_Historica!I578,"")</f>
        <v>0.6321531952794478</v>
      </c>
      <c r="G178" s="31">
        <f>IFERROR(Serie_Historica!J581/Serie_Historica!J578,"")</f>
        <v>0.64128862590401048</v>
      </c>
      <c r="H178" s="31">
        <f>IFERROR(Serie_Historica!K581/Serie_Historica!K578,"")</f>
        <v>0.64221791100819825</v>
      </c>
      <c r="I178" s="31">
        <f>IFERROR(Serie_Historica!L581/Serie_Historica!L578,"")</f>
        <v>0.63814945889111141</v>
      </c>
      <c r="J178" s="31">
        <f>IFERROR(Serie_Historica!M581/Serie_Historica!M578,"")</f>
        <v>0.62874548736462099</v>
      </c>
      <c r="K178" s="31">
        <f>IFERROR(Serie_Historica!N581/Serie_Historica!N578,"")</f>
        <v>0.60936901019704059</v>
      </c>
      <c r="L178" s="31">
        <f>IFERROR(Serie_Historica!O581/Serie_Historica!O578,"")</f>
        <v>0.60264054514480414</v>
      </c>
      <c r="M178" s="31">
        <f>IFERROR(Serie_Historica!P581/Serie_Historica!P578,"")</f>
        <v>0.60429345686862268</v>
      </c>
      <c r="N178" s="31">
        <f>IFERROR(Serie_Historica!Q581/Serie_Historica!Q578,"")</f>
        <v>0.57862880731897803</v>
      </c>
      <c r="O178" s="31">
        <f>IFERROR(Serie_Historica!R581/Serie_Historica!R578,"")</f>
        <v>0.60892941205619289</v>
      </c>
      <c r="P178" s="31">
        <f>IFERROR(Serie_Historica!S581/Serie_Historica!S578,"")</f>
        <v>0.60149504411799493</v>
      </c>
      <c r="Q178" s="31">
        <f>IFERROR(Serie_Historica!T581/Serie_Historica!T578,"")</f>
        <v>0.52032991173063869</v>
      </c>
      <c r="R178" s="31">
        <f>IFERROR(Serie_Historica!U581/Serie_Historica!U578,"")</f>
        <v>0.4943853814390613</v>
      </c>
      <c r="S178" s="31">
        <f>IFERROR(Serie_Historica!V581/Serie_Historica!V578,"")</f>
        <v>0.49669076468791368</v>
      </c>
      <c r="T178" s="31">
        <f>IFERROR(Serie_Historica!W581/Serie_Historica!W578,"")</f>
        <v>0.49495456756799172</v>
      </c>
      <c r="U178" s="31">
        <f>IFERROR(Serie_Historica!X581/Serie_Historica!X578,"")</f>
        <v>0.40099542963796031</v>
      </c>
      <c r="V178" s="31">
        <f>IFERROR(Serie_Historica!Y581/Serie_Historica!Y578,"")</f>
        <v>0.40719592899634471</v>
      </c>
      <c r="W178" s="31">
        <f>IFERROR(Serie_Historica!Z581/Serie_Historica!Z578,"")</f>
        <v>0.44541146057733738</v>
      </c>
      <c r="X178" s="19">
        <f>IFERROR((W178-D178)*100,"")</f>
        <v>-19.413288441859422</v>
      </c>
    </row>
    <row r="179" spans="1:24">
      <c r="A179" s="28" t="s">
        <v>301</v>
      </c>
      <c r="B179" s="28" t="s">
        <v>302</v>
      </c>
      <c r="C179" s="28" t="s">
        <v>504</v>
      </c>
      <c r="D179" s="31">
        <f>IFERROR(Serie_Historica!G589/Serie_Historica!G588,"")</f>
        <v>6.7939064962353357E-2</v>
      </c>
      <c r="E179" s="31">
        <f>IFERROR(Serie_Historica!H589/Serie_Historica!H588,"")</f>
        <v>4.5564002077529628E-2</v>
      </c>
      <c r="F179" s="31">
        <f>IFERROR(Serie_Historica!I589/Serie_Historica!I588,"")</f>
        <v>4.6872678651017678E-2</v>
      </c>
      <c r="G179" s="31">
        <f>IFERROR(Serie_Historica!J589/Serie_Historica!J588,"")</f>
        <v>4.6864665679821109E-2</v>
      </c>
      <c r="H179" s="31">
        <f>IFERROR(Serie_Historica!K589/Serie_Historica!K588,"")</f>
        <v>4.5689067722361032E-2</v>
      </c>
      <c r="I179" s="31">
        <f>IFERROR(Serie_Historica!L589/Serie_Historica!L588,"")</f>
        <v>4.8591410836165493E-2</v>
      </c>
      <c r="J179" s="31">
        <f>IFERROR(Serie_Historica!M589/Serie_Historica!M588,"")</f>
        <v>4.7144606478904595E-2</v>
      </c>
      <c r="K179" s="31">
        <f>IFERROR(Serie_Historica!N589/Serie_Historica!N588,"")</f>
        <v>5.2289695695533815E-2</v>
      </c>
      <c r="L179" s="31">
        <f>IFERROR(Serie_Historica!O589/Serie_Historica!O588,"")</f>
        <v>4.5680883308075342E-2</v>
      </c>
      <c r="M179" s="31">
        <f>IFERROR(Serie_Historica!P589/Serie_Historica!P588,"")</f>
        <v>4.3078744819419777E-2</v>
      </c>
      <c r="N179" s="31">
        <f>IFERROR(Serie_Historica!Q589/Serie_Historica!Q588,"")</f>
        <v>4.7805448696317296E-2</v>
      </c>
      <c r="O179" s="31">
        <f>IFERROR(Serie_Historica!R589/Serie_Historica!R588,"")</f>
        <v>4.5525419556029706E-2</v>
      </c>
      <c r="P179" s="31">
        <f>IFERROR(Serie_Historica!S589/Serie_Historica!S588,"")</f>
        <v>3.3537909545840808E-2</v>
      </c>
      <c r="Q179" s="31">
        <f>IFERROR(Serie_Historica!T589/Serie_Historica!T588,"")</f>
        <v>3.5836608140750618E-2</v>
      </c>
      <c r="R179" s="31">
        <f>IFERROR(Serie_Historica!U589/Serie_Historica!U588,"")</f>
        <v>4.270557470977198E-2</v>
      </c>
      <c r="S179" s="31">
        <f>IFERROR(Serie_Historica!V589/Serie_Historica!V588,"")</f>
        <v>4.4341786870305773E-2</v>
      </c>
      <c r="T179" s="31">
        <f>IFERROR(Serie_Historica!W589/Serie_Historica!W588,"")</f>
        <v>4.4542997506308891E-2</v>
      </c>
      <c r="U179" s="31">
        <f>IFERROR(Serie_Historica!X589/Serie_Historica!X588,"")</f>
        <v>4.1107918263090674E-2</v>
      </c>
      <c r="V179" s="31">
        <f>IFERROR(Serie_Historica!Y589/Serie_Historica!Y588,"")</f>
        <v>3.8422995446069537E-2</v>
      </c>
      <c r="W179" s="31">
        <f>IFERROR(Serie_Historica!Z589/Serie_Historica!Z588,"")</f>
        <v>4.7835990888382689E-2</v>
      </c>
      <c r="X179" s="19">
        <f>IFERROR((W179-D179)*100,"")</f>
        <v>-2.0103074073970668</v>
      </c>
    </row>
    <row r="180" spans="1:24">
      <c r="A180" s="28" t="s">
        <v>301</v>
      </c>
      <c r="B180" s="28" t="s">
        <v>302</v>
      </c>
      <c r="C180" s="28" t="s">
        <v>505</v>
      </c>
      <c r="D180" s="31">
        <f>IFERROR(Serie_Historica!G590/Serie_Historica!G588,"")</f>
        <v>0.2902001984474406</v>
      </c>
      <c r="E180" s="31">
        <f>IFERROR(Serie_Historica!H590/Serie_Historica!H588,"")</f>
        <v>0.31913688087256242</v>
      </c>
      <c r="F180" s="31">
        <f>IFERROR(Serie_Historica!I590/Serie_Historica!I588,"")</f>
        <v>0.257725449413163</v>
      </c>
      <c r="G180" s="31">
        <f>IFERROR(Serie_Historica!J590/Serie_Historica!J588,"")</f>
        <v>0.419167900223615</v>
      </c>
      <c r="H180" s="31">
        <f>IFERROR(Serie_Historica!K590/Serie_Historica!K588,"")</f>
        <v>0.34318720186909824</v>
      </c>
      <c r="I180" s="31">
        <f>IFERROR(Serie_Historica!L590/Serie_Historica!L588,"")</f>
        <v>0.31163104232789374</v>
      </c>
      <c r="J180" s="31">
        <f>IFERROR(Serie_Historica!M590/Serie_Historica!M588,"")</f>
        <v>0.25667928309028165</v>
      </c>
      <c r="K180" s="31">
        <f>IFERROR(Serie_Historica!N590/Serie_Historica!N588,"")</f>
        <v>0.21568151801838226</v>
      </c>
      <c r="L180" s="31">
        <f>IFERROR(Serie_Historica!O590/Serie_Historica!O588,"")</f>
        <v>0.15268456375838926</v>
      </c>
      <c r="M180" s="31">
        <f>IFERROR(Serie_Historica!P590/Serie_Historica!P588,"")</f>
        <v>0.15637655417406748</v>
      </c>
      <c r="N180" s="31">
        <f>IFERROR(Serie_Historica!Q590/Serie_Historica!Q588,"")</f>
        <v>0.16469820701446536</v>
      </c>
      <c r="O180" s="31">
        <f>IFERROR(Serie_Historica!R590/Serie_Historica!R588,"")</f>
        <v>0.17311558819908909</v>
      </c>
      <c r="P180" s="31">
        <f>IFERROR(Serie_Historica!S590/Serie_Historica!S588,"")</f>
        <v>0.16023038428854688</v>
      </c>
      <c r="Q180" s="31">
        <f>IFERROR(Serie_Historica!T590/Serie_Historica!T588,"")</f>
        <v>0.17352273136965066</v>
      </c>
      <c r="R180" s="31">
        <f>IFERROR(Serie_Historica!U590/Serie_Historica!U588,"")</f>
        <v>0.16948983160945386</v>
      </c>
      <c r="S180" s="31">
        <f>IFERROR(Serie_Historica!V590/Serie_Historica!V588,"")</f>
        <v>0.17962980421734076</v>
      </c>
      <c r="T180" s="31">
        <f>IFERROR(Serie_Historica!W590/Serie_Historica!W588,"")</f>
        <v>0.21136645313503263</v>
      </c>
      <c r="U180" s="31">
        <f>IFERROR(Serie_Historica!X590/Serie_Historica!X588,"")</f>
        <v>0.21917571306939124</v>
      </c>
      <c r="V180" s="31">
        <f>IFERROR(Serie_Historica!Y590/Serie_Historica!Y588,"")</f>
        <v>0.22170918270267528</v>
      </c>
      <c r="W180" s="31">
        <f>IFERROR(Serie_Historica!Z590/Serie_Historica!Z588,"")</f>
        <v>0.21951280232022605</v>
      </c>
      <c r="X180" s="19">
        <f>IFERROR((W180-D180)*100,"")</f>
        <v>-7.0687396127214557</v>
      </c>
    </row>
    <row r="181" spans="1:24">
      <c r="A181" s="28" t="s">
        <v>301</v>
      </c>
      <c r="B181" s="28" t="s">
        <v>302</v>
      </c>
      <c r="C181" s="28" t="s">
        <v>506</v>
      </c>
      <c r="D181" s="31">
        <f>IFERROR(Serie_Historica!G591/Serie_Historica!G588,"")</f>
        <v>0.50971808790054285</v>
      </c>
      <c r="E181" s="31">
        <f>IFERROR(Serie_Historica!H591/Serie_Historica!H588,"")</f>
        <v>0.47240190754993155</v>
      </c>
      <c r="F181" s="31">
        <f>IFERROR(Serie_Historica!I591/Serie_Historica!I588,"")</f>
        <v>0.42371118704501559</v>
      </c>
      <c r="G181" s="31">
        <f>IFERROR(Serie_Historica!J591/Serie_Historica!J588,"")</f>
        <v>0.42631728134546942</v>
      </c>
      <c r="H181" s="31">
        <f>IFERROR(Serie_Historica!K591/Serie_Historica!K588,"")</f>
        <v>0.49459713794334298</v>
      </c>
      <c r="I181" s="31">
        <f>IFERROR(Serie_Historica!L591/Serie_Historica!L588,"")</f>
        <v>0.51006937617616488</v>
      </c>
      <c r="J181" s="31">
        <f>IFERROR(Serie_Historica!M591/Serie_Historica!M588,"")</f>
        <v>0.54516865189802965</v>
      </c>
      <c r="K181" s="31">
        <f>IFERROR(Serie_Historica!N591/Serie_Historica!N588,"")</f>
        <v>0.59885178297080943</v>
      </c>
      <c r="L181" s="31">
        <f>IFERROR(Serie_Historica!O591/Serie_Historica!O588,"")</f>
        <v>0.70716064083134877</v>
      </c>
      <c r="M181" s="31">
        <f>IFERROR(Serie_Historica!P591/Serie_Historica!P588,"")</f>
        <v>0.70271166370633509</v>
      </c>
      <c r="N181" s="31">
        <f>IFERROR(Serie_Historica!Q591/Serie_Historica!Q588,"")</f>
        <v>0.71892645834739377</v>
      </c>
      <c r="O181" s="31">
        <f>IFERROR(Serie_Historica!R591/Serie_Historica!R588,"")</f>
        <v>0.74410159615936977</v>
      </c>
      <c r="P181" s="31">
        <f>IFERROR(Serie_Historica!S591/Serie_Historica!S588,"")</f>
        <v>0.75586818997261829</v>
      </c>
      <c r="Q181" s="31">
        <f>IFERROR(Serie_Historica!T591/Serie_Historica!T588,"")</f>
        <v>0.75356022641237341</v>
      </c>
      <c r="R181" s="31">
        <f>IFERROR(Serie_Historica!U591/Serie_Historica!U588,"")</f>
        <v>0.75084528389879912</v>
      </c>
      <c r="S181" s="31">
        <f>IFERROR(Serie_Historica!V591/Serie_Historica!V588,"")</f>
        <v>0.74523113667075203</v>
      </c>
      <c r="T181" s="31">
        <f>IFERROR(Serie_Historica!W591/Serie_Historica!W588,"")</f>
        <v>0.70904448326837788</v>
      </c>
      <c r="U181" s="31">
        <f>IFERROR(Serie_Historica!X591/Serie_Historica!X588,"")</f>
        <v>0.70595200085142618</v>
      </c>
      <c r="V181" s="31">
        <f>IFERROR(Serie_Historica!Y591/Serie_Historica!Y588,"")</f>
        <v>0.67285273933505008</v>
      </c>
      <c r="W181" s="31">
        <f>IFERROR(Serie_Historica!Z591/Serie_Historica!Z588,"")</f>
        <v>0.6923708876358341</v>
      </c>
      <c r="X181" s="19">
        <f>IFERROR((W181-D181)*100,"")</f>
        <v>18.265279973529125</v>
      </c>
    </row>
    <row r="182" spans="1:24">
      <c r="A182" s="28" t="s">
        <v>371</v>
      </c>
      <c r="B182" s="28" t="s">
        <v>372</v>
      </c>
      <c r="C182" s="28" t="s">
        <v>504</v>
      </c>
      <c r="D182" s="31">
        <f>IFERROR(Serie_Historica!G599/Serie_Historica!G598,"")</f>
        <v>9.4143735510533219E-2</v>
      </c>
      <c r="E182" s="31">
        <f>IFERROR(Serie_Historica!H599/Serie_Historica!H598,"")</f>
        <v>3.1981623818358514E-2</v>
      </c>
      <c r="F182" s="31">
        <f>IFERROR(Serie_Historica!I599/Serie_Historica!I598,"")</f>
        <v>4.8400969583235594E-2</v>
      </c>
      <c r="G182" s="31">
        <f>IFERROR(Serie_Historica!J599/Serie_Historica!J598,"")</f>
        <v>3.2649114978432245E-2</v>
      </c>
      <c r="H182" s="31">
        <f>IFERROR(Serie_Historica!K599/Serie_Historica!K598,"")</f>
        <v>2.7831465017394665E-2</v>
      </c>
      <c r="I182" s="31">
        <f>IFERROR(Serie_Historica!L599/Serie_Historica!L598,"")</f>
        <v>3.982523945555369E-2</v>
      </c>
      <c r="J182" s="31">
        <f>IFERROR(Serie_Historica!M599/Serie_Historica!M598,"")</f>
        <v>3.6572879551132406E-2</v>
      </c>
      <c r="K182" s="31">
        <f>IFERROR(Serie_Historica!N599/Serie_Historica!N598,"")</f>
        <v>5.8939448226442134E-2</v>
      </c>
      <c r="L182" s="31">
        <f>IFERROR(Serie_Historica!O599/Serie_Historica!O598,"")</f>
        <v>5.7260063242457908E-2</v>
      </c>
      <c r="M182" s="31">
        <f>IFERROR(Serie_Historica!P599/Serie_Historica!P598,"")</f>
        <v>4.0807820551682326E-2</v>
      </c>
      <c r="N182" s="31">
        <f>IFERROR(Serie_Historica!Q599/Serie_Historica!Q598,"")</f>
        <v>3.7400727671061382E-2</v>
      </c>
      <c r="O182" s="31">
        <f>IFERROR(Serie_Historica!R599/Serie_Historica!R598,"")</f>
        <v>3.044734940550483E-2</v>
      </c>
      <c r="P182" s="31">
        <f>IFERROR(Serie_Historica!S599/Serie_Historica!S598,"")</f>
        <v>2.6114481667106306E-2</v>
      </c>
      <c r="Q182" s="31">
        <f>IFERROR(Serie_Historica!T599/Serie_Historica!T598,"")</f>
        <v>2.9459169054441261E-2</v>
      </c>
      <c r="R182" s="31">
        <f>IFERROR(Serie_Historica!U599/Serie_Historica!U598,"")</f>
        <v>3.4863146253801491E-2</v>
      </c>
      <c r="S182" s="31">
        <f>IFERROR(Serie_Historica!V599/Serie_Historica!V598,"")</f>
        <v>3.2575640430905627E-2</v>
      </c>
      <c r="T182" s="31">
        <f>IFERROR(Serie_Historica!W599/Serie_Historica!W598,"")</f>
        <v>3.3525169008067152E-2</v>
      </c>
      <c r="U182" s="31">
        <f>IFERROR(Serie_Historica!X599/Serie_Historica!X598,"")</f>
        <v>3.5384861870865855E-2</v>
      </c>
      <c r="V182" s="31">
        <f>IFERROR(Serie_Historica!Y599/Serie_Historica!Y598,"")</f>
        <v>3.4737701661848114E-2</v>
      </c>
      <c r="W182" s="31">
        <f>IFERROR(Serie_Historica!Z599/Serie_Historica!Z598,"")</f>
        <v>3.7957198054093012E-2</v>
      </c>
      <c r="X182" s="19">
        <f>IFERROR((W182-D182)*100,"")</f>
        <v>-5.6186537456440204</v>
      </c>
    </row>
    <row r="183" spans="1:24">
      <c r="A183" s="28" t="s">
        <v>371</v>
      </c>
      <c r="B183" s="28" t="s">
        <v>372</v>
      </c>
      <c r="C183" s="28" t="s">
        <v>505</v>
      </c>
      <c r="D183" s="31">
        <f>IFERROR(Serie_Historica!G600/Serie_Historica!G598,"")</f>
        <v>0.13698215905654673</v>
      </c>
      <c r="E183" s="31">
        <f>IFERROR(Serie_Historica!H600/Serie_Historica!H598,"")</f>
        <v>0.13985334393497659</v>
      </c>
      <c r="F183" s="31">
        <f>IFERROR(Serie_Historica!I600/Serie_Historica!I598,"")</f>
        <v>0.13691453592931427</v>
      </c>
      <c r="G183" s="31">
        <f>IFERROR(Serie_Historica!J600/Serie_Historica!J598,"")</f>
        <v>0.12762159750111557</v>
      </c>
      <c r="H183" s="31">
        <f>IFERROR(Serie_Historica!K600/Serie_Historica!K598,"")</f>
        <v>0.14669501352918438</v>
      </c>
      <c r="I183" s="31">
        <f>IFERROR(Serie_Historica!L600/Serie_Historica!L598,"")</f>
        <v>0.16417408838850614</v>
      </c>
      <c r="J183" s="31">
        <f>IFERROR(Serie_Historica!M600/Serie_Historica!M598,"")</f>
        <v>0.13916533562681738</v>
      </c>
      <c r="K183" s="31">
        <f>IFERROR(Serie_Historica!N600/Serie_Historica!N598,"")</f>
        <v>0.15406664278036547</v>
      </c>
      <c r="L183" s="31">
        <f>IFERROR(Serie_Historica!O600/Serie_Historica!O598,"")</f>
        <v>0.16165285018374498</v>
      </c>
      <c r="M183" s="31">
        <f>IFERROR(Serie_Historica!P600/Serie_Historica!P598,"")</f>
        <v>0.15777508335859353</v>
      </c>
      <c r="N183" s="31">
        <f>IFERROR(Serie_Historica!Q600/Serie_Historica!Q598,"")</f>
        <v>0.17557998513360198</v>
      </c>
      <c r="O183" s="31">
        <f>IFERROR(Serie_Historica!R600/Serie_Historica!R598,"")</f>
        <v>0.17493266767391447</v>
      </c>
      <c r="P183" s="31">
        <f>IFERROR(Serie_Historica!S600/Serie_Historica!S598,"")</f>
        <v>0.16905170139804801</v>
      </c>
      <c r="Q183" s="31">
        <f>IFERROR(Serie_Historica!T600/Serie_Historica!T598,"")</f>
        <v>0.18705229226361031</v>
      </c>
      <c r="R183" s="31">
        <f>IFERROR(Serie_Historica!U600/Serie_Historica!U598,"")</f>
        <v>0.19247995576444568</v>
      </c>
      <c r="S183" s="31">
        <f>IFERROR(Serie_Historica!V600/Serie_Historica!V598,"")</f>
        <v>0.1889335601257667</v>
      </c>
      <c r="T183" s="31">
        <f>IFERROR(Serie_Historica!W600/Serie_Historica!W598,"")</f>
        <v>0.23196200145761606</v>
      </c>
      <c r="U183" s="31">
        <f>IFERROR(Serie_Historica!X600/Serie_Historica!X598,"")</f>
        <v>0.23547183630495983</v>
      </c>
      <c r="V183" s="31">
        <f>IFERROR(Serie_Historica!Y600/Serie_Historica!Y598,"")</f>
        <v>0.2340932665357198</v>
      </c>
      <c r="W183" s="31">
        <f>IFERROR(Serie_Historica!Z600/Serie_Historica!Z598,"")</f>
        <v>0.22736281555924806</v>
      </c>
      <c r="X183" s="19">
        <f>IFERROR((W183-D183)*100,"")</f>
        <v>9.0380656502701324</v>
      </c>
    </row>
    <row r="184" spans="1:24">
      <c r="A184" s="28" t="s">
        <v>371</v>
      </c>
      <c r="B184" s="28" t="s">
        <v>372</v>
      </c>
      <c r="C184" s="28" t="s">
        <v>506</v>
      </c>
      <c r="D184" s="31">
        <f>IFERROR(Serie_Historica!G601/Serie_Historica!G598,"")</f>
        <v>0.7003326277592985</v>
      </c>
      <c r="E184" s="31">
        <f>IFERROR(Serie_Historica!H601/Serie_Historica!H598,"")</f>
        <v>0.68937185263715872</v>
      </c>
      <c r="F184" s="31">
        <f>IFERROR(Serie_Historica!I601/Serie_Historica!I598,"")</f>
        <v>0.63460786613495979</v>
      </c>
      <c r="G184" s="31">
        <f>IFERROR(Serie_Historica!J601/Serie_Historica!J598,"")</f>
        <v>0.66763349695076601</v>
      </c>
      <c r="H184" s="31">
        <f>IFERROR(Serie_Historica!K601/Serie_Historica!K598,"")</f>
        <v>0.73489241077180778</v>
      </c>
      <c r="I184" s="31">
        <f>IFERROR(Serie_Historica!L601/Serie_Historica!L598,"")</f>
        <v>0.72469612950204443</v>
      </c>
      <c r="J184" s="31">
        <f>IFERROR(Serie_Historica!M601/Serie_Historica!M598,"")</f>
        <v>0.58475652209526152</v>
      </c>
      <c r="K184" s="31">
        <f>IFERROR(Serie_Historica!N601/Serie_Historica!N598,"")</f>
        <v>0.67860981726979575</v>
      </c>
      <c r="L184" s="31">
        <f>IFERROR(Serie_Historica!O601/Serie_Historica!O598,"")</f>
        <v>0.68763353559524831</v>
      </c>
      <c r="M184" s="31">
        <f>IFERROR(Serie_Historica!P601/Serie_Historica!P598,"")</f>
        <v>0.67008942103667779</v>
      </c>
      <c r="N184" s="31">
        <f>IFERROR(Serie_Historica!Q601/Serie_Historica!Q598,"")</f>
        <v>0.73573021399788741</v>
      </c>
      <c r="O184" s="31">
        <f>IFERROR(Serie_Historica!R601/Serie_Historica!R598,"")</f>
        <v>0.73316691847861792</v>
      </c>
      <c r="P184" s="31">
        <f>IFERROR(Serie_Historica!S601/Serie_Historica!S598,"")</f>
        <v>0.75527565286204168</v>
      </c>
      <c r="Q184" s="31">
        <f>IFERROR(Serie_Historica!T601/Serie_Historica!T598,"")</f>
        <v>0.73385267430754542</v>
      </c>
      <c r="R184" s="31">
        <f>IFERROR(Serie_Historica!U601/Serie_Historica!U598,"")</f>
        <v>0.72175836328448995</v>
      </c>
      <c r="S184" s="31">
        <f>IFERROR(Serie_Historica!V601/Serie_Historica!V598,"")</f>
        <v>0.73339003144167825</v>
      </c>
      <c r="T184" s="31">
        <f>IFERROR(Serie_Historica!W601/Serie_Historica!W598,"")</f>
        <v>0.70395315523610869</v>
      </c>
      <c r="U184" s="31">
        <f>IFERROR(Serie_Historica!X601/Serie_Historica!X598,"")</f>
        <v>0.69254537547778716</v>
      </c>
      <c r="V184" s="31">
        <f>IFERROR(Serie_Historica!Y601/Serie_Historica!Y598,"")</f>
        <v>0.69100218489991394</v>
      </c>
      <c r="W184" s="31">
        <f>IFERROR(Serie_Historica!Z601/Serie_Historica!Z598,"")</f>
        <v>0.68811435206502369</v>
      </c>
      <c r="X184" s="19">
        <f>IFERROR((W184-D184)*100,"")</f>
        <v>-1.2218275694274805</v>
      </c>
    </row>
    <row r="185" spans="1:24">
      <c r="A185" s="28" t="s">
        <v>335</v>
      </c>
      <c r="B185" s="28" t="s">
        <v>336</v>
      </c>
      <c r="C185" s="28" t="s">
        <v>504</v>
      </c>
      <c r="D185" s="31">
        <f>IFERROR(Serie_Historica!G609/Serie_Historica!G608,"")</f>
        <v>4.6886184681460275E-2</v>
      </c>
      <c r="E185" s="31">
        <f>IFERROR(Serie_Historica!H609/Serie_Historica!H608,"")</f>
        <v>2.9695833933977223E-2</v>
      </c>
      <c r="F185" s="31">
        <f>IFERROR(Serie_Historica!I609/Serie_Historica!I608,"")</f>
        <v>3.332354668232531E-2</v>
      </c>
      <c r="G185" s="31">
        <f>IFERROR(Serie_Historica!J609/Serie_Historica!J608,"")</f>
        <v>3.4626038781163437E-2</v>
      </c>
      <c r="H185" s="31">
        <f>IFERROR(Serie_Historica!K609/Serie_Historica!K608,"")</f>
        <v>3.0801044841097084E-2</v>
      </c>
      <c r="I185" s="31">
        <f>IFERROR(Serie_Historica!L609/Serie_Historica!L608,"")</f>
        <v>3.3615221987315008E-2</v>
      </c>
      <c r="J185" s="31">
        <f>IFERROR(Serie_Historica!M609/Serie_Historica!M608,"")</f>
        <v>2.9964145466962609E-2</v>
      </c>
      <c r="K185" s="31">
        <f>IFERROR(Serie_Historica!N609/Serie_Historica!N608,"")</f>
        <v>3.2176896683187191E-2</v>
      </c>
      <c r="L185" s="31">
        <f>IFERROR(Serie_Historica!O609/Serie_Historica!O608,"")</f>
        <v>2.7686941356006103E-2</v>
      </c>
      <c r="M185" s="31">
        <f>IFERROR(Serie_Historica!P609/Serie_Historica!P608,"")</f>
        <v>2.7383038089676206E-2</v>
      </c>
      <c r="N185" s="31">
        <f>IFERROR(Serie_Historica!Q609/Serie_Historica!Q608,"")</f>
        <v>3.1758658670909316E-2</v>
      </c>
      <c r="O185" s="31">
        <f>IFERROR(Serie_Historica!R609/Serie_Historica!R608,"")</f>
        <v>2.7826901071465723E-2</v>
      </c>
      <c r="P185" s="31">
        <f>IFERROR(Serie_Historica!S609/Serie_Historica!S608,"")</f>
        <v>2.587117212249208E-2</v>
      </c>
      <c r="Q185" s="31">
        <f>IFERROR(Serie_Historica!T609/Serie_Historica!T608,"")</f>
        <v>2.5478571751821513E-2</v>
      </c>
      <c r="R185" s="31">
        <f>IFERROR(Serie_Historica!U609/Serie_Historica!U608,"")</f>
        <v>2.7212419333002391E-2</v>
      </c>
      <c r="S185" s="31">
        <f>IFERROR(Serie_Historica!V609/Serie_Historica!V608,"")</f>
        <v>2.5716119714354488E-2</v>
      </c>
      <c r="T185" s="31">
        <f>IFERROR(Serie_Historica!W609/Serie_Historica!W608,"")</f>
        <v>2.4858450321880089E-2</v>
      </c>
      <c r="U185" s="31">
        <f>IFERROR(Serie_Historica!X609/Serie_Historica!X608,"")</f>
        <v>2.586019558131112E-2</v>
      </c>
      <c r="V185" s="31">
        <f>IFERROR(Serie_Historica!Y609/Serie_Historica!Y608,"")</f>
        <v>0.4634907734082051</v>
      </c>
      <c r="W185" s="31">
        <f>IFERROR(Serie_Historica!Z609/Serie_Historica!Z608,"")</f>
        <v>0.4501178191273259</v>
      </c>
      <c r="X185" s="19">
        <f>IFERROR((W185-D185)*100,"")</f>
        <v>40.323163444586562</v>
      </c>
    </row>
    <row r="186" spans="1:24">
      <c r="A186" s="28" t="s">
        <v>335</v>
      </c>
      <c r="B186" s="28" t="s">
        <v>336</v>
      </c>
      <c r="C186" s="28" t="s">
        <v>505</v>
      </c>
      <c r="D186" s="31">
        <f>IFERROR(Serie_Historica!G610/Serie_Historica!G608,"")</f>
        <v>0.16141732283464566</v>
      </c>
      <c r="E186" s="31">
        <f>IFERROR(Serie_Historica!H610/Serie_Historica!H608,"")</f>
        <v>0.15972322329537264</v>
      </c>
      <c r="F186" s="31">
        <f>IFERROR(Serie_Historica!I610/Serie_Historica!I608,"")</f>
        <v>0.17337052260716382</v>
      </c>
      <c r="G186" s="31">
        <f>IFERROR(Serie_Historica!J610/Serie_Historica!J608,"")</f>
        <v>0.17136741374968523</v>
      </c>
      <c r="H186" s="31">
        <f>IFERROR(Serie_Historica!K610/Serie_Historica!K608,"")</f>
        <v>0.173704832390074</v>
      </c>
      <c r="I186" s="31">
        <f>IFERROR(Serie_Historica!L610/Serie_Historica!L608,"")</f>
        <v>0.17473572938689219</v>
      </c>
      <c r="J186" s="31">
        <f>IFERROR(Serie_Historica!M610/Serie_Historica!M608,"")</f>
        <v>0.16211371009049</v>
      </c>
      <c r="K186" s="31">
        <f>IFERROR(Serie_Historica!N610/Serie_Historica!N608,"")</f>
        <v>0.16568814334731224</v>
      </c>
      <c r="L186" s="31">
        <f>IFERROR(Serie_Historica!O610/Serie_Historica!O608,"")</f>
        <v>0.17040912724365961</v>
      </c>
      <c r="M186" s="31">
        <f>IFERROR(Serie_Historica!P610/Serie_Historica!P608,"")</f>
        <v>0.16747777561482058</v>
      </c>
      <c r="N186" s="31">
        <f>IFERROR(Serie_Historica!Q610/Serie_Historica!Q608,"")</f>
        <v>0.16901236078815324</v>
      </c>
      <c r="O186" s="31">
        <f>IFERROR(Serie_Historica!R610/Serie_Historica!R608,"")</f>
        <v>0.16846978050556538</v>
      </c>
      <c r="P186" s="31">
        <f>IFERROR(Serie_Historica!S610/Serie_Historica!S608,"")</f>
        <v>0.15760295670538543</v>
      </c>
      <c r="Q186" s="31">
        <f>IFERROR(Serie_Historica!T610/Serie_Historica!T608,"")</f>
        <v>0.1654975788568584</v>
      </c>
      <c r="R186" s="31">
        <f>IFERROR(Serie_Historica!U610/Serie_Historica!U608,"")</f>
        <v>0.16963761902612934</v>
      </c>
      <c r="S186" s="31">
        <f>IFERROR(Serie_Historica!V610/Serie_Historica!V608,"")</f>
        <v>0.17371419401428229</v>
      </c>
      <c r="T186" s="31">
        <f>IFERROR(Serie_Historica!W610/Serie_Historica!W608,"")</f>
        <v>0.18447995036066081</v>
      </c>
      <c r="U186" s="31">
        <f>IFERROR(Serie_Historica!X610/Serie_Historica!X608,"")</f>
        <v>0.19137993480622964</v>
      </c>
      <c r="V186" s="31">
        <f>IFERROR(Serie_Historica!Y610/Serie_Historica!Y608,"")</f>
        <v>0.10652603579806787</v>
      </c>
      <c r="W186" s="31">
        <f>IFERROR(Serie_Historica!Z610/Serie_Historica!Z608,"")</f>
        <v>9.9423092548955885E-2</v>
      </c>
      <c r="X186" s="19">
        <f>IFERROR((W186-D186)*100,"")</f>
        <v>-6.1994230285689778</v>
      </c>
    </row>
    <row r="187" spans="1:24">
      <c r="A187" s="28" t="s">
        <v>335</v>
      </c>
      <c r="B187" s="28" t="s">
        <v>336</v>
      </c>
      <c r="C187" s="28" t="s">
        <v>506</v>
      </c>
      <c r="D187" s="31">
        <f>IFERROR(Serie_Historica!G611/Serie_Historica!G608,"")</f>
        <v>0.68181818181818177</v>
      </c>
      <c r="E187" s="31">
        <f>IFERROR(Serie_Historica!H611/Serie_Historica!H608,"")</f>
        <v>0.62865792129162457</v>
      </c>
      <c r="F187" s="31">
        <f>IFERROR(Serie_Historica!I611/Serie_Historica!I608,"")</f>
        <v>0.68071051086318257</v>
      </c>
      <c r="G187" s="31">
        <f>IFERROR(Serie_Historica!J611/Serie_Historica!J608,"")</f>
        <v>0.70385293376983127</v>
      </c>
      <c r="H187" s="31">
        <f>IFERROR(Serie_Historica!K611/Serie_Historica!K608,"")</f>
        <v>0.70189377448846324</v>
      </c>
      <c r="I187" s="31">
        <f>IFERROR(Serie_Historica!L611/Serie_Historica!L608,"")</f>
        <v>0.72758985200845661</v>
      </c>
      <c r="J187" s="31">
        <f>IFERROR(Serie_Historica!M611/Serie_Historica!M608,"")</f>
        <v>0.73920095612088099</v>
      </c>
      <c r="K187" s="31">
        <f>IFERROR(Serie_Historica!N611/Serie_Historica!N608,"")</f>
        <v>0.7370186808997331</v>
      </c>
      <c r="L187" s="31">
        <f>IFERROR(Serie_Historica!O611/Serie_Historica!O608,"")</f>
        <v>0.75408763897972531</v>
      </c>
      <c r="M187" s="31">
        <f>IFERROR(Serie_Historica!P611/Serie_Historica!P608,"")</f>
        <v>0.75335799104535717</v>
      </c>
      <c r="N187" s="31">
        <f>IFERROR(Serie_Historica!Q611/Serie_Historica!Q608,"")</f>
        <v>0.75547668584016647</v>
      </c>
      <c r="O187" s="31">
        <f>IFERROR(Serie_Historica!R611/Serie_Historica!R608,"")</f>
        <v>0.73119733693956102</v>
      </c>
      <c r="P187" s="31">
        <f>IFERROR(Serie_Historica!S611/Serie_Historica!S608,"")</f>
        <v>0.74292502639915525</v>
      </c>
      <c r="Q187" s="31">
        <f>IFERROR(Serie_Historica!T611/Serie_Historica!T608,"")</f>
        <v>0.70778838756392271</v>
      </c>
      <c r="R187" s="31">
        <f>IFERROR(Serie_Historica!U611/Serie_Historica!U608,"")</f>
        <v>0.70734238909698088</v>
      </c>
      <c r="S187" s="31">
        <f>IFERROR(Serie_Historica!V611/Serie_Historica!V608,"")</f>
        <v>0.74303939661397733</v>
      </c>
      <c r="T187" s="31">
        <f>IFERROR(Serie_Historica!W611/Serie_Historica!W608,"")</f>
        <v>0.72818583727604125</v>
      </c>
      <c r="U187" s="31">
        <f>IFERROR(Serie_Historica!X611/Serie_Historica!X608,"")</f>
        <v>0.71973922491850784</v>
      </c>
      <c r="V187" s="31">
        <f>IFERROR(Serie_Historica!Y611/Serie_Historica!Y608,"")</f>
        <v>0.38917930435746345</v>
      </c>
      <c r="W187" s="31">
        <f>IFERROR(Serie_Historica!Z611/Serie_Historica!Z608,"")</f>
        <v>0.36868448850247826</v>
      </c>
      <c r="X187" s="19">
        <f>IFERROR((W187-D187)*100,"")</f>
        <v>-31.31336933157035</v>
      </c>
    </row>
    <row r="188" spans="1:24">
      <c r="A188" s="28" t="s">
        <v>191</v>
      </c>
      <c r="B188" s="28" t="s">
        <v>192</v>
      </c>
      <c r="C188" s="28" t="s">
        <v>504</v>
      </c>
      <c r="D188" s="31">
        <f>IFERROR(Serie_Historica!G619/Serie_Historica!G618,"")</f>
        <v>0.23245417970496202</v>
      </c>
      <c r="E188" s="31">
        <f>IFERROR(Serie_Historica!H619/Serie_Historica!H618,"")</f>
        <v>0.20646055497411819</v>
      </c>
      <c r="F188" s="31">
        <f>IFERROR(Serie_Historica!I619/Serie_Historica!I618,"")</f>
        <v>0.1759893562814924</v>
      </c>
      <c r="G188" s="31">
        <f>IFERROR(Serie_Historica!J619/Serie_Historica!J618,"")</f>
        <v>0.23340814363578069</v>
      </c>
      <c r="H188" s="31">
        <f>IFERROR(Serie_Historica!K619/Serie_Historica!K618,"")</f>
        <v>0.25729058945191313</v>
      </c>
      <c r="I188" s="31">
        <f>IFERROR(Serie_Historica!L619/Serie_Historica!L618,"")</f>
        <v>0.28728524477811873</v>
      </c>
      <c r="J188" s="31">
        <f>IFERROR(Serie_Historica!M619/Serie_Historica!M618,"")</f>
        <v>0.26516136659179573</v>
      </c>
      <c r="K188" s="31">
        <f>IFERROR(Serie_Historica!N619/Serie_Historica!N618,"")</f>
        <v>0.17791120707503918</v>
      </c>
      <c r="L188" s="31">
        <f>IFERROR(Serie_Historica!O619/Serie_Historica!O618,"")</f>
        <v>0.1995585951336476</v>
      </c>
      <c r="M188" s="31">
        <f>IFERROR(Serie_Historica!P619/Serie_Historica!P618,"")</f>
        <v>0.19511365954264215</v>
      </c>
      <c r="N188" s="31">
        <f>IFERROR(Serie_Historica!Q619/Serie_Historica!Q618,"")</f>
        <v>0.21858036928250424</v>
      </c>
      <c r="O188" s="31">
        <f>IFERROR(Serie_Historica!R619/Serie_Historica!R618,"")</f>
        <v>0.24199861094088329</v>
      </c>
      <c r="P188" s="31">
        <f>IFERROR(Serie_Historica!S619/Serie_Historica!S618,"")</f>
        <v>0.24276865152828878</v>
      </c>
      <c r="Q188" s="31">
        <f>IFERROR(Serie_Historica!T619/Serie_Historica!T618,"")</f>
        <v>0.17648606194523986</v>
      </c>
      <c r="R188" s="31">
        <f>IFERROR(Serie_Historica!U619/Serie_Historica!U618,"")</f>
        <v>4.2418251482758018E-2</v>
      </c>
      <c r="S188" s="31">
        <f>IFERROR(Serie_Historica!V619/Serie_Historica!V618,"")</f>
        <v>4.2734765133368519E-2</v>
      </c>
      <c r="T188" s="31">
        <f>IFERROR(Serie_Historica!W619/Serie_Historica!W618,"")</f>
        <v>5.3826297662445982E-2</v>
      </c>
      <c r="U188" s="31">
        <f>IFERROR(Serie_Historica!X619/Serie_Historica!X618,"")</f>
        <v>0.10957909575465705</v>
      </c>
      <c r="V188" s="31">
        <f>IFERROR(Serie_Historica!Y619/Serie_Historica!Y618,"")</f>
        <v>9.0179497035561607E-2</v>
      </c>
      <c r="W188" s="31">
        <f>IFERROR(Serie_Historica!Z619/Serie_Historica!Z618,"")</f>
        <v>0.1083496727865346</v>
      </c>
      <c r="X188" s="19">
        <f>IFERROR((W188-D188)*100,"")</f>
        <v>-12.410450691842742</v>
      </c>
    </row>
    <row r="189" spans="1:24">
      <c r="A189" s="28" t="s">
        <v>191</v>
      </c>
      <c r="B189" s="28" t="s">
        <v>192</v>
      </c>
      <c r="C189" s="28" t="s">
        <v>505</v>
      </c>
      <c r="D189" s="31">
        <f>IFERROR(Serie_Historica!G620/Serie_Historica!G618,"")</f>
        <v>0.22641931157800627</v>
      </c>
      <c r="E189" s="31">
        <f>IFERROR(Serie_Historica!H620/Serie_Historica!H618,"")</f>
        <v>0.22102791842276467</v>
      </c>
      <c r="F189" s="31">
        <f>IFERROR(Serie_Historica!I620/Serie_Historica!I618,"")</f>
        <v>0.23809658608390422</v>
      </c>
      <c r="G189" s="31">
        <f>IFERROR(Serie_Historica!J620/Serie_Historica!J618,"")</f>
        <v>0.22690422754545872</v>
      </c>
      <c r="H189" s="31">
        <f>IFERROR(Serie_Historica!K620/Serie_Historica!K618,"")</f>
        <v>0.22427376139889066</v>
      </c>
      <c r="I189" s="31">
        <f>IFERROR(Serie_Historica!L620/Serie_Historica!L618,"")</f>
        <v>0.22423326739458888</v>
      </c>
      <c r="J189" s="31">
        <f>IFERROR(Serie_Historica!M620/Serie_Historica!M618,"")</f>
        <v>0.20662903416479489</v>
      </c>
      <c r="K189" s="31">
        <f>IFERROR(Serie_Historica!N620/Serie_Historica!N618,"")</f>
        <v>0.22495489366736668</v>
      </c>
      <c r="L189" s="31">
        <f>IFERROR(Serie_Historica!O620/Serie_Historica!O618,"")</f>
        <v>0.23149232990926677</v>
      </c>
      <c r="M189" s="31">
        <f>IFERROR(Serie_Historica!P620/Serie_Historica!P618,"")</f>
        <v>0.25776805747569292</v>
      </c>
      <c r="N189" s="31">
        <f>IFERROR(Serie_Historica!Q620/Serie_Historica!Q618,"")</f>
        <v>0.26928146633592459</v>
      </c>
      <c r="O189" s="31">
        <f>IFERROR(Serie_Historica!R620/Serie_Historica!R618,"")</f>
        <v>0.25028394002532989</v>
      </c>
      <c r="P189" s="31">
        <f>IFERROR(Serie_Historica!S620/Serie_Historica!S618,"")</f>
        <v>0.24004249369234254</v>
      </c>
      <c r="Q189" s="31">
        <f>IFERROR(Serie_Historica!T620/Serie_Historica!T618,"")</f>
        <v>0.29188368544865578</v>
      </c>
      <c r="R189" s="31">
        <f>IFERROR(Serie_Historica!U620/Serie_Historica!U618,"")</f>
        <v>0.31338243784663294</v>
      </c>
      <c r="S189" s="31">
        <f>IFERROR(Serie_Historica!V620/Serie_Historica!V618,"")</f>
        <v>0.30991027566887258</v>
      </c>
      <c r="T189" s="31">
        <f>IFERROR(Serie_Historica!W620/Serie_Historica!W618,"")</f>
        <v>0.35337259216117689</v>
      </c>
      <c r="U189" s="31">
        <f>IFERROR(Serie_Historica!X620/Serie_Historica!X618,"")</f>
        <v>0.35184860273342733</v>
      </c>
      <c r="V189" s="31">
        <f>IFERROR(Serie_Historica!Y620/Serie_Historica!Y618,"")</f>
        <v>0.34321673597279007</v>
      </c>
      <c r="W189" s="31">
        <f>IFERROR(Serie_Historica!Z620/Serie_Historica!Z618,"")</f>
        <v>0.33155763795166915</v>
      </c>
      <c r="X189" s="19">
        <f>IFERROR((W189-D189)*100,"")</f>
        <v>10.513832637366288</v>
      </c>
    </row>
    <row r="190" spans="1:24">
      <c r="A190" s="28" t="s">
        <v>191</v>
      </c>
      <c r="B190" s="28" t="s">
        <v>192</v>
      </c>
      <c r="C190" s="28" t="s">
        <v>506</v>
      </c>
      <c r="D190" s="31">
        <f>IFERROR(Serie_Historica!G621/Serie_Historica!G618,"")</f>
        <v>0.45679800753560251</v>
      </c>
      <c r="E190" s="31">
        <f>IFERROR(Serie_Historica!H621/Serie_Historica!H618,"")</f>
        <v>0.4846547676293384</v>
      </c>
      <c r="F190" s="31">
        <f>IFERROR(Serie_Historica!I621/Serie_Historica!I618,"")</f>
        <v>0.4920738266432656</v>
      </c>
      <c r="G190" s="31">
        <f>IFERROR(Serie_Historica!J621/Serie_Historica!J618,"")</f>
        <v>0.46580863829982139</v>
      </c>
      <c r="H190" s="31">
        <f>IFERROR(Serie_Historica!K621/Serie_Historica!K618,"")</f>
        <v>0.44322647362978285</v>
      </c>
      <c r="I190" s="31">
        <f>IFERROR(Serie_Historica!L621/Serie_Historica!L618,"")</f>
        <v>0.44351334091369293</v>
      </c>
      <c r="J190" s="31">
        <f>IFERROR(Serie_Historica!M621/Serie_Historica!M618,"")</f>
        <v>0.47743527603735664</v>
      </c>
      <c r="K190" s="31">
        <f>IFERROR(Serie_Historica!N621/Serie_Historica!N618,"")</f>
        <v>0.53182584518915077</v>
      </c>
      <c r="L190" s="31">
        <f>IFERROR(Serie_Historica!O621/Serie_Historica!O618,"")</f>
        <v>0.5143592817634397</v>
      </c>
      <c r="M190" s="31">
        <f>IFERROR(Serie_Historica!P621/Serie_Historica!P618,"")</f>
        <v>0.48336468508487634</v>
      </c>
      <c r="N190" s="31">
        <f>IFERROR(Serie_Historica!Q621/Serie_Historica!Q618,"")</f>
        <v>0.45745155632129031</v>
      </c>
      <c r="O190" s="31">
        <f>IFERROR(Serie_Historica!R621/Serie_Historica!R618,"")</f>
        <v>0.43815010009396577</v>
      </c>
      <c r="P190" s="31">
        <f>IFERROR(Serie_Historica!S621/Serie_Historica!S618,"")</f>
        <v>0.44839437895937323</v>
      </c>
      <c r="Q190" s="31">
        <f>IFERROR(Serie_Historica!T621/Serie_Historica!T618,"")</f>
        <v>0.45124123469594823</v>
      </c>
      <c r="R190" s="31">
        <f>IFERROR(Serie_Historica!U621/Serie_Historica!U618,"")</f>
        <v>0.55990517346956625</v>
      </c>
      <c r="S190" s="31">
        <f>IFERROR(Serie_Historica!V621/Serie_Historica!V618,"")</f>
        <v>0.56638382526085018</v>
      </c>
      <c r="T190" s="31">
        <f>IFERROR(Serie_Historica!W621/Serie_Historica!W618,"")</f>
        <v>0.51372261409147446</v>
      </c>
      <c r="U190" s="31">
        <f>IFERROR(Serie_Historica!X621/Serie_Historica!X618,"")</f>
        <v>0.46608021199489374</v>
      </c>
      <c r="V190" s="31">
        <f>IFERROR(Serie_Historica!Y621/Serie_Historica!Y618,"")</f>
        <v>0.48464782006033708</v>
      </c>
      <c r="W190" s="31">
        <f>IFERROR(Serie_Historica!Z621/Serie_Historica!Z618,"")</f>
        <v>0.45357133762827534</v>
      </c>
      <c r="X190" s="19">
        <f>IFERROR((W190-D190)*100,"")</f>
        <v>-0.32266699073271732</v>
      </c>
    </row>
    <row r="191" spans="1:24">
      <c r="A191" s="28" t="s">
        <v>195</v>
      </c>
      <c r="B191" s="28" t="s">
        <v>196</v>
      </c>
      <c r="C191" s="28" t="s">
        <v>504</v>
      </c>
      <c r="D191" s="31">
        <f>IFERROR(Serie_Historica!G629/Serie_Historica!G628,"")</f>
        <v>0.16283507496592459</v>
      </c>
      <c r="E191" s="31">
        <f>IFERROR(Serie_Historica!H629/Serie_Historica!H628,"")</f>
        <v>0.14336917562724014</v>
      </c>
      <c r="F191" s="31">
        <f>IFERROR(Serie_Historica!I629/Serie_Historica!I628,"")</f>
        <v>0.12851906730094362</v>
      </c>
      <c r="G191" s="31">
        <f>IFERROR(Serie_Historica!J629/Serie_Historica!J628,"")</f>
        <v>0.18819936834619649</v>
      </c>
      <c r="H191" s="31">
        <f>IFERROR(Serie_Historica!K629/Serie_Historica!K628,"")</f>
        <v>0.14254412174813752</v>
      </c>
      <c r="I191" s="31">
        <f>IFERROR(Serie_Historica!L629/Serie_Historica!L628,"")</f>
        <v>0.17365857017438158</v>
      </c>
      <c r="J191" s="31">
        <f>IFERROR(Serie_Historica!M629/Serie_Historica!M628,"")</f>
        <v>0.12678438886299692</v>
      </c>
      <c r="K191" s="31">
        <f>IFERROR(Serie_Historica!N629/Serie_Historica!N628,"")</f>
        <v>0.10701964275777642</v>
      </c>
      <c r="L191" s="31">
        <f>IFERROR(Serie_Historica!O629/Serie_Historica!O628,"")</f>
        <v>0.12282268323710735</v>
      </c>
      <c r="M191" s="31">
        <f>IFERROR(Serie_Historica!P629/Serie_Historica!P628,"")</f>
        <v>0.15937624668528383</v>
      </c>
      <c r="N191" s="31">
        <f>IFERROR(Serie_Historica!Q629/Serie_Historica!Q628,"")</f>
        <v>0.16224516184647214</v>
      </c>
      <c r="O191" s="31">
        <f>IFERROR(Serie_Historica!R629/Serie_Historica!R628,"")</f>
        <v>0.15977329799799503</v>
      </c>
      <c r="P191" s="31">
        <f>IFERROR(Serie_Historica!S629/Serie_Historica!S628,"")</f>
        <v>0.16129724284595007</v>
      </c>
      <c r="Q191" s="31">
        <f>IFERROR(Serie_Historica!T629/Serie_Historica!T628,"")</f>
        <v>0.13922333532737369</v>
      </c>
      <c r="R191" s="31">
        <f>IFERROR(Serie_Historica!U629/Serie_Historica!U628,"")</f>
        <v>0.17872698740766257</v>
      </c>
      <c r="S191" s="31">
        <f>IFERROR(Serie_Historica!V629/Serie_Historica!V628,"")</f>
        <v>0.1877676010475412</v>
      </c>
      <c r="T191" s="31">
        <f>IFERROR(Serie_Historica!W629/Serie_Historica!W628,"")</f>
        <v>0.18585737915824296</v>
      </c>
      <c r="U191" s="31">
        <f>IFERROR(Serie_Historica!X629/Serie_Historica!X628,"")</f>
        <v>0.15769418015494743</v>
      </c>
      <c r="V191" s="31">
        <f>IFERROR(Serie_Historica!Y629/Serie_Historica!Y628,"")</f>
        <v>0.17098103301402967</v>
      </c>
      <c r="W191" s="31">
        <f>IFERROR(Serie_Historica!Z629/Serie_Historica!Z628,"")</f>
        <v>0.16188898979646349</v>
      </c>
      <c r="X191" s="19">
        <f>IFERROR((W191-D191)*100,"")</f>
        <v>-9.4608516946109722E-2</v>
      </c>
    </row>
    <row r="192" spans="1:24">
      <c r="A192" s="28" t="s">
        <v>195</v>
      </c>
      <c r="B192" s="28" t="s">
        <v>196</v>
      </c>
      <c r="C192" s="28" t="s">
        <v>505</v>
      </c>
      <c r="D192" s="31">
        <f>IFERROR(Serie_Historica!G630/Serie_Historica!G628,"")</f>
        <v>0.35383916401635618</v>
      </c>
      <c r="E192" s="31">
        <f>IFERROR(Serie_Historica!H630/Serie_Historica!H628,"")</f>
        <v>0.35001156203029254</v>
      </c>
      <c r="F192" s="31">
        <f>IFERROR(Serie_Historica!I630/Serie_Historica!I628,"")</f>
        <v>0.36494320101900229</v>
      </c>
      <c r="G192" s="31">
        <f>IFERROR(Serie_Historica!J630/Serie_Historica!J628,"")</f>
        <v>0.34697036246888791</v>
      </c>
      <c r="H192" s="31">
        <f>IFERROR(Serie_Historica!K630/Serie_Historica!K628,"")</f>
        <v>0.36956694952392333</v>
      </c>
      <c r="I192" s="31">
        <f>IFERROR(Serie_Historica!L630/Serie_Historica!L628,"")</f>
        <v>0.3555628238453461</v>
      </c>
      <c r="J192" s="31">
        <f>IFERROR(Serie_Historica!M630/Serie_Historica!M628,"")</f>
        <v>0.34063487131686604</v>
      </c>
      <c r="K192" s="31">
        <f>IFERROR(Serie_Historica!N630/Serie_Historica!N628,"")</f>
        <v>0.39360636581158531</v>
      </c>
      <c r="L192" s="31">
        <f>IFERROR(Serie_Historica!O630/Serie_Historica!O628,"")</f>
        <v>0.4168093746941971</v>
      </c>
      <c r="M192" s="31">
        <f>IFERROR(Serie_Historica!P630/Serie_Historica!P628,"")</f>
        <v>0.3420787083753784</v>
      </c>
      <c r="N192" s="31">
        <f>IFERROR(Serie_Historica!Q630/Serie_Historica!Q628,"")</f>
        <v>0.34834705400629284</v>
      </c>
      <c r="O192" s="31">
        <f>IFERROR(Serie_Historica!R630/Serie_Historica!R628,"")</f>
        <v>0.33541772126770492</v>
      </c>
      <c r="P192" s="31">
        <f>IFERROR(Serie_Historica!S630/Serie_Historica!S628,"")</f>
        <v>0.32186695519158304</v>
      </c>
      <c r="Q192" s="31">
        <f>IFERROR(Serie_Historica!T630/Serie_Historica!T628,"")</f>
        <v>0.34965918761111159</v>
      </c>
      <c r="R192" s="31">
        <f>IFERROR(Serie_Historica!U630/Serie_Historica!U628,"")</f>
        <v>0.34121789719447315</v>
      </c>
      <c r="S192" s="31">
        <f>IFERROR(Serie_Historica!V630/Serie_Historica!V628,"")</f>
        <v>0.35569288752788591</v>
      </c>
      <c r="T192" s="31">
        <f>IFERROR(Serie_Historica!W630/Serie_Historica!W628,"")</f>
        <v>0.37196418725549402</v>
      </c>
      <c r="U192" s="31">
        <f>IFERROR(Serie_Historica!X630/Serie_Historica!X628,"")</f>
        <v>0.38173086747726576</v>
      </c>
      <c r="V192" s="31">
        <f>IFERROR(Serie_Historica!Y630/Serie_Historica!Y628,"")</f>
        <v>0.37876601588984893</v>
      </c>
      <c r="W192" s="31">
        <f>IFERROR(Serie_Historica!Z630/Serie_Historica!Z628,"")</f>
        <v>0.36608793204765211</v>
      </c>
      <c r="X192" s="19">
        <f>IFERROR((W192-D192)*100,"")</f>
        <v>1.2248768031295931</v>
      </c>
    </row>
    <row r="193" spans="1:24">
      <c r="A193" s="28" t="s">
        <v>195</v>
      </c>
      <c r="B193" s="28" t="s">
        <v>196</v>
      </c>
      <c r="C193" s="28" t="s">
        <v>506</v>
      </c>
      <c r="D193" s="31">
        <f>IFERROR(Serie_Historica!G631/Serie_Historica!G628,"")</f>
        <v>0.41935483870967744</v>
      </c>
      <c r="E193" s="31">
        <f>IFERROR(Serie_Historica!H631/Serie_Historica!H628,"")</f>
        <v>0.43114810960804717</v>
      </c>
      <c r="F193" s="31">
        <f>IFERROR(Serie_Historica!I631/Serie_Historica!I628,"")</f>
        <v>0.4258233902622891</v>
      </c>
      <c r="G193" s="31">
        <f>IFERROR(Serie_Historica!J631/Serie_Historica!J628,"")</f>
        <v>0.39321495053439587</v>
      </c>
      <c r="H193" s="31">
        <f>IFERROR(Serie_Historica!K631/Serie_Historica!K628,"")</f>
        <v>0.41044181506712879</v>
      </c>
      <c r="I193" s="31">
        <f>IFERROR(Serie_Historica!L631/Serie_Historica!L628,"")</f>
        <v>0.41352360950921829</v>
      </c>
      <c r="J193" s="31">
        <f>IFERROR(Serie_Historica!M631/Serie_Historica!M628,"")</f>
        <v>0.46020402879188027</v>
      </c>
      <c r="K193" s="31">
        <f>IFERROR(Serie_Historica!N631/Serie_Historica!N628,"")</f>
        <v>0.41957876578932723</v>
      </c>
      <c r="L193" s="31">
        <f>IFERROR(Serie_Historica!O631/Serie_Historica!O628,"")</f>
        <v>0.39828995009296408</v>
      </c>
      <c r="M193" s="31">
        <f>IFERROR(Serie_Historica!P631/Serie_Historica!P628,"")</f>
        <v>0.42878933658742635</v>
      </c>
      <c r="N193" s="31">
        <f>IFERROR(Serie_Historica!Q631/Serie_Historica!Q628,"")</f>
        <v>0.42431360717210465</v>
      </c>
      <c r="O193" s="31">
        <f>IFERROR(Serie_Historica!R631/Serie_Historica!R628,"")</f>
        <v>0.43980585415239853</v>
      </c>
      <c r="P193" s="31">
        <f>IFERROR(Serie_Historica!S631/Serie_Historica!S628,"")</f>
        <v>0.45163787635712421</v>
      </c>
      <c r="Q193" s="31">
        <f>IFERROR(Serie_Historica!T631/Serie_Historica!T628,"")</f>
        <v>0.44450529544094974</v>
      </c>
      <c r="R193" s="31">
        <f>IFERROR(Serie_Historica!U631/Serie_Historica!U628,"")</f>
        <v>0.42518467485742717</v>
      </c>
      <c r="S193" s="31">
        <f>IFERROR(Serie_Historica!V631/Serie_Historica!V628,"")</f>
        <v>0.40447422023306406</v>
      </c>
      <c r="T193" s="31">
        <f>IFERROR(Serie_Historica!W631/Serie_Historica!W628,"")</f>
        <v>0.39473442381915091</v>
      </c>
      <c r="U193" s="31">
        <f>IFERROR(Serie_Historica!X631/Serie_Historica!X628,"")</f>
        <v>0.3959934847546866</v>
      </c>
      <c r="V193" s="31">
        <f>IFERROR(Serie_Historica!Y631/Serie_Historica!Y628,"")</f>
        <v>0.38331507913052043</v>
      </c>
      <c r="W193" s="31">
        <f>IFERROR(Serie_Historica!Z631/Serie_Historica!Z628,"")</f>
        <v>0.37960895346973661</v>
      </c>
      <c r="X193" s="19">
        <f>IFERROR((W193-D193)*100,"")</f>
        <v>-3.9745885239940826</v>
      </c>
    </row>
    <row r="194" spans="1:24">
      <c r="A194" s="28" t="s">
        <v>117</v>
      </c>
      <c r="B194" s="28" t="s">
        <v>118</v>
      </c>
      <c r="C194" s="28" t="s">
        <v>504</v>
      </c>
      <c r="D194" s="31">
        <f>IFERROR(Serie_Historica!G639/Serie_Historica!G638,"")</f>
        <v>8.5994073745424587E-2</v>
      </c>
      <c r="E194" s="31">
        <f>IFERROR(Serie_Historica!H639/Serie_Historica!H638,"")</f>
        <v>6.9973787863921166E-2</v>
      </c>
      <c r="F194" s="31">
        <f>IFERROR(Serie_Historica!I639/Serie_Historica!I638,"")</f>
        <v>6.671129503407984E-2</v>
      </c>
      <c r="G194" s="31">
        <f>IFERROR(Serie_Historica!J639/Serie_Historica!J638,"")</f>
        <v>7.3302090617791651E-2</v>
      </c>
      <c r="H194" s="31">
        <f>IFERROR(Serie_Historica!K639/Serie_Historica!K638,"")</f>
        <v>5.9496205242817901E-2</v>
      </c>
      <c r="I194" s="31">
        <f>IFERROR(Serie_Historica!L639/Serie_Historica!L638,"")</f>
        <v>6.8988995328952571E-2</v>
      </c>
      <c r="J194" s="31">
        <f>IFERROR(Serie_Historica!M639/Serie_Historica!M638,"")</f>
        <v>7.0551789489029806E-2</v>
      </c>
      <c r="K194" s="31">
        <f>IFERROR(Serie_Historica!N639/Serie_Historica!N638,"")</f>
        <v>6.4211301569200435E-2</v>
      </c>
      <c r="L194" s="31">
        <f>IFERROR(Serie_Historica!O639/Serie_Historica!O638,"")</f>
        <v>8.7176326811995358E-2</v>
      </c>
      <c r="M194" s="31">
        <f>IFERROR(Serie_Historica!P639/Serie_Historica!P638,"")</f>
        <v>7.7753981688441651E-2</v>
      </c>
      <c r="N194" s="31">
        <f>IFERROR(Serie_Historica!Q639/Serie_Historica!Q638,"")</f>
        <v>7.8814974490609924E-2</v>
      </c>
      <c r="O194" s="31">
        <f>IFERROR(Serie_Historica!R639/Serie_Historica!R638,"")</f>
        <v>0.25052904963447481</v>
      </c>
      <c r="P194" s="31">
        <f>IFERROR(Serie_Historica!S639/Serie_Historica!S638,"")</f>
        <v>0.30821803126474573</v>
      </c>
      <c r="Q194" s="31">
        <f>IFERROR(Serie_Historica!T639/Serie_Historica!T638,"")</f>
        <v>0.55871636289599702</v>
      </c>
      <c r="R194" s="31">
        <f>IFERROR(Serie_Historica!U639/Serie_Historica!U638,"")</f>
        <v>0.59616682398398013</v>
      </c>
      <c r="S194" s="31">
        <f>IFERROR(Serie_Historica!V639/Serie_Historica!V638,"")</f>
        <v>0.58222438066825899</v>
      </c>
      <c r="T194" s="31">
        <f>IFERROR(Serie_Historica!W639/Serie_Historica!W638,"")</f>
        <v>0.56985172455502531</v>
      </c>
      <c r="U194" s="31">
        <f>IFERROR(Serie_Historica!X639/Serie_Historica!X638,"")</f>
        <v>0.50702414596601575</v>
      </c>
      <c r="V194" s="31">
        <f>IFERROR(Serie_Historica!Y639/Serie_Historica!Y638,"")</f>
        <v>0.53955565361796598</v>
      </c>
      <c r="W194" s="31">
        <f>IFERROR(Serie_Historica!Z639/Serie_Historica!Z638,"")</f>
        <v>0.59439616059197276</v>
      </c>
      <c r="X194" s="19">
        <f>IFERROR((W194-D194)*100,"")</f>
        <v>50.840208684654819</v>
      </c>
    </row>
    <row r="195" spans="1:24">
      <c r="A195" s="28" t="s">
        <v>117</v>
      </c>
      <c r="B195" s="28" t="s">
        <v>118</v>
      </c>
      <c r="C195" s="28" t="s">
        <v>505</v>
      </c>
      <c r="D195" s="31">
        <f>IFERROR(Serie_Historica!G640/Serie_Historica!G638,"")</f>
        <v>0.33939691644614872</v>
      </c>
      <c r="E195" s="31">
        <f>IFERROR(Serie_Historica!H640/Serie_Historica!H638,"")</f>
        <v>0.34483676987987272</v>
      </c>
      <c r="F195" s="31">
        <f>IFERROR(Serie_Historica!I640/Serie_Historica!I638,"")</f>
        <v>0.35121713729308668</v>
      </c>
      <c r="G195" s="31">
        <f>IFERROR(Serie_Historica!J640/Serie_Historica!J638,"")</f>
        <v>0.35612520744397708</v>
      </c>
      <c r="H195" s="31">
        <f>IFERROR(Serie_Historica!K640/Serie_Historica!K638,"")</f>
        <v>0.35286120035386692</v>
      </c>
      <c r="I195" s="31">
        <f>IFERROR(Serie_Historica!L640/Serie_Historica!L638,"")</f>
        <v>0.35088274879265302</v>
      </c>
      <c r="J195" s="31">
        <f>IFERROR(Serie_Historica!M640/Serie_Historica!M638,"")</f>
        <v>0.33979152999489759</v>
      </c>
      <c r="K195" s="31">
        <f>IFERROR(Serie_Historica!N640/Serie_Historica!N638,"")</f>
        <v>0.41212596367437604</v>
      </c>
      <c r="L195" s="31">
        <f>IFERROR(Serie_Historica!O640/Serie_Historica!O638,"")</f>
        <v>0.4224960046794865</v>
      </c>
      <c r="M195" s="31">
        <f>IFERROR(Serie_Historica!P640/Serie_Historica!P638,"")</f>
        <v>0.40883499957915215</v>
      </c>
      <c r="N195" s="31">
        <f>IFERROR(Serie_Historica!Q640/Serie_Historica!Q638,"")</f>
        <v>0.51223351639585468</v>
      </c>
      <c r="O195" s="31">
        <f>IFERROR(Serie_Historica!R640/Serie_Historica!R638,"")</f>
        <v>0.42621440938822625</v>
      </c>
      <c r="P195" s="31">
        <f>IFERROR(Serie_Historica!S640/Serie_Historica!S638,"")</f>
        <v>0.38954594578139035</v>
      </c>
      <c r="Q195" s="31">
        <f>IFERROR(Serie_Historica!T640/Serie_Historica!T638,"")</f>
        <v>0.2298441792639169</v>
      </c>
      <c r="R195" s="31">
        <f>IFERROR(Serie_Historica!U640/Serie_Historica!U638,"")</f>
        <v>0.21292200001764305</v>
      </c>
      <c r="S195" s="31">
        <f>IFERROR(Serie_Historica!V640/Serie_Historica!V638,"")</f>
        <v>0.22177999018496544</v>
      </c>
      <c r="T195" s="31">
        <f>IFERROR(Serie_Historica!W640/Serie_Historica!W638,"")</f>
        <v>0.21331740347946349</v>
      </c>
      <c r="U195" s="31">
        <f>IFERROR(Serie_Historica!X640/Serie_Historica!X638,"")</f>
        <v>0.24227675352235808</v>
      </c>
      <c r="V195" s="31">
        <f>IFERROR(Serie_Historica!Y640/Serie_Historica!Y638,"")</f>
        <v>0.22919170431059144</v>
      </c>
      <c r="W195" s="31">
        <f>IFERROR(Serie_Historica!Z640/Serie_Historica!Z638,"")</f>
        <v>0.20189616267897048</v>
      </c>
      <c r="X195" s="19">
        <f>IFERROR((W195-D195)*100,"")</f>
        <v>-13.750075376717824</v>
      </c>
    </row>
    <row r="196" spans="1:24">
      <c r="A196" s="28" t="s">
        <v>117</v>
      </c>
      <c r="B196" s="28" t="s">
        <v>118</v>
      </c>
      <c r="C196" s="28" t="s">
        <v>506</v>
      </c>
      <c r="D196" s="31">
        <f>IFERROR(Serie_Historica!G641/Serie_Historica!G638,"")</f>
        <v>0.5023689172701199</v>
      </c>
      <c r="E196" s="31">
        <f>IFERROR(Serie_Historica!H641/Serie_Historica!H638,"")</f>
        <v>0.48526092990005748</v>
      </c>
      <c r="F196" s="31">
        <f>IFERROR(Serie_Historica!I641/Serie_Historica!I638,"")</f>
        <v>0.47273612463485881</v>
      </c>
      <c r="G196" s="31">
        <f>IFERROR(Serie_Historica!J641/Serie_Historica!J638,"")</f>
        <v>0.47691761734283833</v>
      </c>
      <c r="H196" s="31">
        <f>IFERROR(Serie_Historica!K641/Serie_Historica!K638,"")</f>
        <v>0.49291800530800389</v>
      </c>
      <c r="I196" s="31">
        <f>IFERROR(Serie_Historica!L641/Serie_Historica!L638,"")</f>
        <v>0.50138548016784101</v>
      </c>
      <c r="J196" s="31">
        <f>IFERROR(Serie_Historica!M641/Serie_Historica!M638,"")</f>
        <v>0.49875355346599609</v>
      </c>
      <c r="K196" s="31">
        <f>IFERROR(Serie_Historica!N641/Serie_Historica!N638,"")</f>
        <v>0.44732309373626505</v>
      </c>
      <c r="L196" s="31">
        <f>IFERROR(Serie_Historica!O641/Serie_Historica!O638,"")</f>
        <v>0.44564275045175844</v>
      </c>
      <c r="M196" s="31">
        <f>IFERROR(Serie_Historica!P641/Serie_Historica!P638,"")</f>
        <v>0.45433800630336585</v>
      </c>
      <c r="N196" s="31">
        <f>IFERROR(Serie_Historica!Q641/Serie_Historica!Q638,"")</f>
        <v>0.36963974855789516</v>
      </c>
      <c r="O196" s="31">
        <f>IFERROR(Serie_Historica!R641/Serie_Historica!R638,"")</f>
        <v>0.29254761446710276</v>
      </c>
      <c r="P196" s="31">
        <f>IFERROR(Serie_Historica!S641/Serie_Historica!S638,"")</f>
        <v>0.27620743717369134</v>
      </c>
      <c r="Q196" s="31">
        <f>IFERROR(Serie_Historica!T641/Serie_Historica!T638,"")</f>
        <v>0.19081892482898852</v>
      </c>
      <c r="R196" s="31">
        <f>IFERROR(Serie_Historica!U641/Serie_Historica!U638,"")</f>
        <v>0.17398045148598701</v>
      </c>
      <c r="S196" s="31">
        <f>IFERROR(Serie_Historica!V641/Serie_Historica!V638,"")</f>
        <v>0.1801232286770415</v>
      </c>
      <c r="T196" s="31">
        <f>IFERROR(Serie_Historica!W641/Serie_Historica!W638,"")</f>
        <v>0.19814182134372196</v>
      </c>
      <c r="U196" s="31">
        <f>IFERROR(Serie_Historica!X641/Serie_Historica!X638,"")</f>
        <v>0.22946495812253659</v>
      </c>
      <c r="V196" s="31">
        <f>IFERROR(Serie_Historica!Y641/Serie_Historica!Y638,"")</f>
        <v>0.21198077499460602</v>
      </c>
      <c r="W196" s="31">
        <f>IFERROR(Serie_Historica!Z641/Serie_Historica!Z638,"")</f>
        <v>0.18585967194064912</v>
      </c>
      <c r="X196" s="19">
        <f>IFERROR((W196-D196)*100,"")</f>
        <v>-31.650924532947077</v>
      </c>
    </row>
    <row r="197" spans="1:24">
      <c r="A197" s="28" t="s">
        <v>431</v>
      </c>
      <c r="B197" s="28" t="s">
        <v>432</v>
      </c>
      <c r="C197" s="28" t="s">
        <v>504</v>
      </c>
      <c r="D197" s="31">
        <f>IFERROR(Serie_Historica!G649/Serie_Historica!G648,"")</f>
        <v>4.8925129725722757E-2</v>
      </c>
      <c r="E197" s="31">
        <f>IFERROR(Serie_Historica!H649/Serie_Historica!H648,"")</f>
        <v>3.0782608695652174E-2</v>
      </c>
      <c r="F197" s="31">
        <f>IFERROR(Serie_Historica!I649/Serie_Historica!I648,"")</f>
        <v>3.3454987834549879E-2</v>
      </c>
      <c r="G197" s="31">
        <f>IFERROR(Serie_Historica!J649/Serie_Historica!J648,"")</f>
        <v>3.3519553072625698E-2</v>
      </c>
      <c r="H197" s="31">
        <f>IFERROR(Serie_Historica!K649/Serie_Historica!K648,"")</f>
        <v>3.1666247800955012E-2</v>
      </c>
      <c r="I197" s="31">
        <f>IFERROR(Serie_Historica!L649/Serie_Historica!L648,"")</f>
        <v>3.2683913552645584E-2</v>
      </c>
      <c r="J197" s="31">
        <f>IFERROR(Serie_Historica!M649/Serie_Historica!M648,"")</f>
        <v>2.8307450363672104E-2</v>
      </c>
      <c r="K197" s="31">
        <f>IFERROR(Serie_Historica!N649/Serie_Historica!N648,"")</f>
        <v>3.0493750554028899E-2</v>
      </c>
      <c r="L197" s="31">
        <f>IFERROR(Serie_Historica!O649/Serie_Historica!O648,"")</f>
        <v>2.7664700506770789E-2</v>
      </c>
      <c r="M197" s="31">
        <f>IFERROR(Serie_Historica!P649/Serie_Historica!P648,"")</f>
        <v>2.6840148698884757E-2</v>
      </c>
      <c r="N197" s="31">
        <f>IFERROR(Serie_Historica!Q649/Serie_Historica!Q648,"")</f>
        <v>2.8390723822909348E-2</v>
      </c>
      <c r="O197" s="31">
        <f>IFERROR(Serie_Historica!R649/Serie_Historica!R648,"")</f>
        <v>2.2675879396984924E-2</v>
      </c>
      <c r="P197" s="31">
        <f>IFERROR(Serie_Historica!S649/Serie_Historica!S648,"")</f>
        <v>2.1413276231263382E-2</v>
      </c>
      <c r="Q197" s="31">
        <f>IFERROR(Serie_Historica!T649/Serie_Historica!T648,"")</f>
        <v>1.8678160919540231E-2</v>
      </c>
      <c r="R197" s="31">
        <f>IFERROR(Serie_Historica!U649/Serie_Historica!U648,"")</f>
        <v>1.9782501776053337E-2</v>
      </c>
      <c r="S197" s="31">
        <f>IFERROR(Serie_Historica!V649/Serie_Historica!V648,"")</f>
        <v>1.8767150137201098E-2</v>
      </c>
      <c r="T197" s="31">
        <f>IFERROR(Serie_Historica!W649/Serie_Historica!W648,"")</f>
        <v>1.6573803003116443E-2</v>
      </c>
      <c r="U197" s="31">
        <f>IFERROR(Serie_Historica!X649/Serie_Historica!X648,"")</f>
        <v>1.9552710126746552E-2</v>
      </c>
      <c r="V197" s="31">
        <f>IFERROR(Serie_Historica!Y649/Serie_Historica!Y648,"")</f>
        <v>1.7725496515328527E-2</v>
      </c>
      <c r="W197" s="31">
        <f>IFERROR(Serie_Historica!Z649/Serie_Historica!Z648,"")</f>
        <v>2.0520337119824112E-2</v>
      </c>
      <c r="X197" s="19">
        <f>IFERROR((W197-D197)*100,"")</f>
        <v>-2.8404792605898646</v>
      </c>
    </row>
    <row r="198" spans="1:24">
      <c r="A198" s="28" t="s">
        <v>431</v>
      </c>
      <c r="B198" s="28" t="s">
        <v>432</v>
      </c>
      <c r="C198" s="28" t="s">
        <v>505</v>
      </c>
      <c r="D198" s="31">
        <f>IFERROR(Serie_Historica!G650/Serie_Historica!G648,"")</f>
        <v>0.18068939955522609</v>
      </c>
      <c r="E198" s="31">
        <f>IFERROR(Serie_Historica!H650/Serie_Historica!H648,"")</f>
        <v>0.19217391304347825</v>
      </c>
      <c r="F198" s="31">
        <f>IFERROR(Serie_Historica!I650/Serie_Historica!I648,"")</f>
        <v>0.21167883211678831</v>
      </c>
      <c r="G198" s="31">
        <f>IFERROR(Serie_Historica!J650/Serie_Historica!J648,"")</f>
        <v>0.23268156424581005</v>
      </c>
      <c r="H198" s="31">
        <f>IFERROR(Serie_Historica!K650/Serie_Historica!K648,"")</f>
        <v>0.18283488313646645</v>
      </c>
      <c r="I198" s="31">
        <f>IFERROR(Serie_Historica!L650/Serie_Historica!L648,"")</f>
        <v>0.18503140636644311</v>
      </c>
      <c r="J198" s="31">
        <f>IFERROR(Serie_Historica!M650/Serie_Historica!M648,"")</f>
        <v>0.15913111853744841</v>
      </c>
      <c r="K198" s="31">
        <f>IFERROR(Serie_Historica!N650/Serie_Historica!N648,"")</f>
        <v>0.1659427355730875</v>
      </c>
      <c r="L198" s="31">
        <f>IFERROR(Serie_Historica!O650/Serie_Historica!O648,"")</f>
        <v>0.19930215169892831</v>
      </c>
      <c r="M198" s="31">
        <f>IFERROR(Serie_Historica!P650/Serie_Historica!P648,"")</f>
        <v>0.21234200743494425</v>
      </c>
      <c r="N198" s="31">
        <f>IFERROR(Serie_Historica!Q650/Serie_Historica!Q648,"")</f>
        <v>0.21433591004919184</v>
      </c>
      <c r="O198" s="31">
        <f>IFERROR(Serie_Historica!R650/Serie_Historica!R648,"")</f>
        <v>0.21469849246231157</v>
      </c>
      <c r="P198" s="31">
        <f>IFERROR(Serie_Historica!S650/Serie_Historica!S648,"")</f>
        <v>0.20041669078071647</v>
      </c>
      <c r="Q198" s="31">
        <f>IFERROR(Serie_Historica!T650/Serie_Historica!T648,"")</f>
        <v>0.20120468611847922</v>
      </c>
      <c r="R198" s="31">
        <f>IFERROR(Serie_Historica!U650/Serie_Historica!U648,"")</f>
        <v>0.20214219356248975</v>
      </c>
      <c r="S198" s="31">
        <f>IFERROR(Serie_Historica!V650/Serie_Historica!V648,"")</f>
        <v>0.19859858878871031</v>
      </c>
      <c r="T198" s="31">
        <f>IFERROR(Serie_Historica!W650/Serie_Historica!W648,"")</f>
        <v>0.20214373406365096</v>
      </c>
      <c r="U198" s="31">
        <f>IFERROR(Serie_Historica!X650/Serie_Historica!X648,"")</f>
        <v>0.21464722931176192</v>
      </c>
      <c r="V198" s="31">
        <f>IFERROR(Serie_Historica!Y650/Serie_Historica!Y648,"")</f>
        <v>0.21463964871288724</v>
      </c>
      <c r="W198" s="31">
        <f>IFERROR(Serie_Historica!Z650/Serie_Historica!Z648,"")</f>
        <v>0.19479662880175888</v>
      </c>
      <c r="X198" s="19">
        <f>IFERROR((W198-D198)*100,"")</f>
        <v>1.4107229246532793</v>
      </c>
    </row>
    <row r="199" spans="1:24">
      <c r="A199" s="28" t="s">
        <v>431</v>
      </c>
      <c r="B199" s="28" t="s">
        <v>432</v>
      </c>
      <c r="C199" s="28" t="s">
        <v>506</v>
      </c>
      <c r="D199" s="31">
        <f>IFERROR(Serie_Historica!G651/Serie_Historica!G648,"")</f>
        <v>0.62620459599703482</v>
      </c>
      <c r="E199" s="31">
        <f>IFERROR(Serie_Historica!H651/Serie_Historica!H648,"")</f>
        <v>0.6156521739130435</v>
      </c>
      <c r="F199" s="31">
        <f>IFERROR(Serie_Historica!I651/Serie_Historica!I648,"")</f>
        <v>0.63275547445255476</v>
      </c>
      <c r="G199" s="31">
        <f>IFERROR(Serie_Historica!J651/Serie_Historica!J648,"")</f>
        <v>0.66256983240223466</v>
      </c>
      <c r="H199" s="31">
        <f>IFERROR(Serie_Historica!K651/Serie_Historica!K648,"")</f>
        <v>0.69891932646393562</v>
      </c>
      <c r="I199" s="31">
        <f>IFERROR(Serie_Historica!L651/Serie_Historica!L648,"")</f>
        <v>0.7223464281912062</v>
      </c>
      <c r="J199" s="31">
        <f>IFERROR(Serie_Historica!M651/Serie_Historica!M648,"")</f>
        <v>0.72292117161391778</v>
      </c>
      <c r="K199" s="31">
        <f>IFERROR(Serie_Historica!N651/Serie_Historica!N648,"")</f>
        <v>0.7197056998493041</v>
      </c>
      <c r="L199" s="31">
        <f>IFERROR(Serie_Historica!O651/Serie_Historica!O648,"")</f>
        <v>0.69510675417462819</v>
      </c>
      <c r="M199" s="31">
        <f>IFERROR(Serie_Historica!P651/Serie_Historica!P648,"")</f>
        <v>0.68587360594795543</v>
      </c>
      <c r="N199" s="31">
        <f>IFERROR(Serie_Historica!Q651/Serie_Historica!Q648,"")</f>
        <v>0.70365425158116657</v>
      </c>
      <c r="O199" s="31">
        <f>IFERROR(Serie_Historica!R651/Serie_Historica!R648,"")</f>
        <v>0.71187185929648245</v>
      </c>
      <c r="P199" s="31">
        <f>IFERROR(Serie_Historica!S651/Serie_Historica!S648,"")</f>
        <v>0.69523699288153251</v>
      </c>
      <c r="Q199" s="31">
        <f>IFERROR(Serie_Historica!T651/Serie_Historica!T648,"")</f>
        <v>0.72131962864721488</v>
      </c>
      <c r="R199" s="31">
        <f>IFERROR(Serie_Historica!U651/Serie_Historica!U648,"")</f>
        <v>0.72681567298759497</v>
      </c>
      <c r="S199" s="31">
        <f>IFERROR(Serie_Historica!V651/Serie_Historica!V648,"")</f>
        <v>0.73451587612700897</v>
      </c>
      <c r="T199" s="31">
        <f>IFERROR(Serie_Historica!W651/Serie_Historica!W648,"")</f>
        <v>0.71659269052790631</v>
      </c>
      <c r="U199" s="31">
        <f>IFERROR(Serie_Historica!X651/Serie_Historica!X648,"")</f>
        <v>0.72016265086300124</v>
      </c>
      <c r="V199" s="31">
        <f>IFERROR(Serie_Historica!Y651/Serie_Historica!Y648,"")</f>
        <v>0.71111469201949806</v>
      </c>
      <c r="W199" s="31">
        <f>IFERROR(Serie_Historica!Z651/Serie_Historica!Z648,"")</f>
        <v>0.7265298644192012</v>
      </c>
      <c r="X199" s="19">
        <f>IFERROR((W199-D199)*100,"")</f>
        <v>10.032526842216638</v>
      </c>
    </row>
    <row r="200" spans="1:24">
      <c r="A200" s="28" t="s">
        <v>331</v>
      </c>
      <c r="B200" s="28" t="s">
        <v>332</v>
      </c>
      <c r="C200" s="28" t="s">
        <v>504</v>
      </c>
      <c r="D200" s="31">
        <f>IFERROR(Serie_Historica!G659/Serie_Historica!G658,"")</f>
        <v>4.5441950678858409E-2</v>
      </c>
      <c r="E200" s="31">
        <f>IFERROR(Serie_Historica!H659/Serie_Historica!H658,"")</f>
        <v>3.2385661310259578E-2</v>
      </c>
      <c r="F200" s="31">
        <f>IFERROR(Serie_Historica!I659/Serie_Historica!I658,"")</f>
        <v>3.5470476458582589E-2</v>
      </c>
      <c r="G200" s="31">
        <f>IFERROR(Serie_Historica!J659/Serie_Historica!J658,"")</f>
        <v>3.4125213282583014E-2</v>
      </c>
      <c r="H200" s="31">
        <f>IFERROR(Serie_Historica!K659/Serie_Historica!K658,"")</f>
        <v>3.3523787313432835E-2</v>
      </c>
      <c r="I200" s="31">
        <f>IFERROR(Serie_Historica!L659/Serie_Historica!L658,"")</f>
        <v>3.3695873144948159E-2</v>
      </c>
      <c r="J200" s="31">
        <f>IFERROR(Serie_Historica!M659/Serie_Historica!M658,"")</f>
        <v>3.1066822977725676E-2</v>
      </c>
      <c r="K200" s="31">
        <f>IFERROR(Serie_Historica!N659/Serie_Historica!N658,"")</f>
        <v>3.1783191810173798E-2</v>
      </c>
      <c r="L200" s="31">
        <f>IFERROR(Serie_Historica!O659/Serie_Historica!O658,"")</f>
        <v>3.1912477286493032E-2</v>
      </c>
      <c r="M200" s="31">
        <f>IFERROR(Serie_Historica!P659/Serie_Historica!P658,"")</f>
        <v>3.0618983074410036E-2</v>
      </c>
      <c r="N200" s="31">
        <f>IFERROR(Serie_Historica!Q659/Serie_Historica!Q658,"")</f>
        <v>3.4901163372112402E-2</v>
      </c>
      <c r="O200" s="31">
        <f>IFERROR(Serie_Historica!R659/Serie_Historica!R658,"")</f>
        <v>2.9207761421171236E-2</v>
      </c>
      <c r="P200" s="31">
        <f>IFERROR(Serie_Historica!S659/Serie_Historica!S658,"")</f>
        <v>2.7063494122836606E-2</v>
      </c>
      <c r="Q200" s="31">
        <f>IFERROR(Serie_Historica!T659/Serie_Historica!T658,"")</f>
        <v>2.9000357440724413E-2</v>
      </c>
      <c r="R200" s="31">
        <f>IFERROR(Serie_Historica!U659/Serie_Historica!U658,"")</f>
        <v>3.39520900935293E-2</v>
      </c>
      <c r="S200" s="31">
        <f>IFERROR(Serie_Historica!V659/Serie_Historica!V658,"")</f>
        <v>2.187932318825157E-2</v>
      </c>
      <c r="T200" s="31">
        <f>IFERROR(Serie_Historica!W659/Serie_Historica!W658,"")</f>
        <v>2.5123802604156708E-2</v>
      </c>
      <c r="U200" s="31">
        <f>IFERROR(Serie_Historica!X659/Serie_Historica!X658,"")</f>
        <v>3.2193337594999642E-2</v>
      </c>
      <c r="V200" s="31">
        <f>IFERROR(Serie_Historica!Y659/Serie_Historica!Y658,"")</f>
        <v>3.0807900681034631E-2</v>
      </c>
      <c r="W200" s="31">
        <f>IFERROR(Serie_Historica!Z659/Serie_Historica!Z658,"")</f>
        <v>3.3381826145447151E-2</v>
      </c>
      <c r="X200" s="19">
        <f>IFERROR((W200-D200)*100,"")</f>
        <v>-1.2060124533411258</v>
      </c>
    </row>
    <row r="201" spans="1:24">
      <c r="A201" s="28" t="s">
        <v>331</v>
      </c>
      <c r="B201" s="28" t="s">
        <v>332</v>
      </c>
      <c r="C201" s="28" t="s">
        <v>505</v>
      </c>
      <c r="D201" s="31">
        <f>IFERROR(Serie_Historica!G660/Serie_Historica!G658,"")</f>
        <v>0.2020873741571996</v>
      </c>
      <c r="E201" s="31">
        <f>IFERROR(Serie_Historica!H660/Serie_Historica!H658,"")</f>
        <v>0.20362587556654305</v>
      </c>
      <c r="F201" s="31">
        <f>IFERROR(Serie_Historica!I660/Serie_Historica!I658,"")</f>
        <v>0.20606657752128932</v>
      </c>
      <c r="G201" s="31">
        <f>IFERROR(Serie_Historica!J660/Serie_Historica!J658,"")</f>
        <v>0.20114188213676334</v>
      </c>
      <c r="H201" s="31">
        <f>IFERROR(Serie_Historica!K660/Serie_Historica!K658,"")</f>
        <v>0.20271688432835822</v>
      </c>
      <c r="I201" s="31">
        <f>IFERROR(Serie_Historica!L660/Serie_Historica!L658,"")</f>
        <v>0.21157755641390527</v>
      </c>
      <c r="J201" s="31">
        <f>IFERROR(Serie_Historica!M660/Serie_Historica!M658,"")</f>
        <v>0.19095500045089728</v>
      </c>
      <c r="K201" s="31">
        <f>IFERROR(Serie_Historica!N660/Serie_Historica!N658,"")</f>
        <v>0.1976033648123165</v>
      </c>
      <c r="L201" s="31">
        <f>IFERROR(Serie_Historica!O660/Serie_Historica!O658,"")</f>
        <v>0.21642186553603876</v>
      </c>
      <c r="M201" s="31">
        <f>IFERROR(Serie_Historica!P660/Serie_Historica!P658,"")</f>
        <v>0.21610537656831058</v>
      </c>
      <c r="N201" s="31">
        <f>IFERROR(Serie_Historica!Q660/Serie_Historica!Q658,"")</f>
        <v>0.28250941698056603</v>
      </c>
      <c r="O201" s="31">
        <f>IFERROR(Serie_Historica!R660/Serie_Historica!R658,"")</f>
        <v>0.25186572624308584</v>
      </c>
      <c r="P201" s="31">
        <f>IFERROR(Serie_Historica!S660/Serie_Historica!S658,"")</f>
        <v>0.2630582007836218</v>
      </c>
      <c r="Q201" s="31">
        <f>IFERROR(Serie_Historica!T660/Serie_Historica!T658,"")</f>
        <v>0.25747646848564282</v>
      </c>
      <c r="R201" s="31">
        <f>IFERROR(Serie_Historica!U660/Serie_Historica!U658,"")</f>
        <v>0.25417541515556402</v>
      </c>
      <c r="S201" s="31">
        <f>IFERROR(Serie_Historica!V660/Serie_Historica!V658,"")</f>
        <v>0.26450994998403748</v>
      </c>
      <c r="T201" s="31">
        <f>IFERROR(Serie_Historica!W660/Serie_Historica!W658,"")</f>
        <v>0.29049157759889871</v>
      </c>
      <c r="U201" s="31">
        <f>IFERROR(Serie_Historica!X660/Serie_Historica!X658,"")</f>
        <v>0.29526244761701825</v>
      </c>
      <c r="V201" s="31">
        <f>IFERROR(Serie_Historica!Y660/Serie_Historica!Y658,"")</f>
        <v>0.28178869244747884</v>
      </c>
      <c r="W201" s="31">
        <f>IFERROR(Serie_Historica!Z660/Serie_Historica!Z658,"")</f>
        <v>0.27518888732460461</v>
      </c>
      <c r="X201" s="19">
        <f>IFERROR((W201-D201)*100,"")</f>
        <v>7.3101513167405017</v>
      </c>
    </row>
    <row r="202" spans="1:24">
      <c r="A202" s="28" t="s">
        <v>331</v>
      </c>
      <c r="B202" s="28" t="s">
        <v>332</v>
      </c>
      <c r="C202" s="28" t="s">
        <v>506</v>
      </c>
      <c r="D202" s="31">
        <f>IFERROR(Serie_Historica!G661/Serie_Historica!G658,"")</f>
        <v>0.62639697053662136</v>
      </c>
      <c r="E202" s="31">
        <f>IFERROR(Serie_Historica!H661/Serie_Historica!H658,"")</f>
        <v>0.61145447053976099</v>
      </c>
      <c r="F202" s="31">
        <f>IFERROR(Serie_Historica!I661/Serie_Historica!I658,"")</f>
        <v>0.576606376240411</v>
      </c>
      <c r="G202" s="31">
        <f>IFERROR(Serie_Historica!J661/Serie_Historica!J658,"")</f>
        <v>0.61582884893030576</v>
      </c>
      <c r="H202" s="31">
        <f>IFERROR(Serie_Historica!K661/Serie_Historica!K658,"")</f>
        <v>0.61672108208955223</v>
      </c>
      <c r="I202" s="31">
        <f>IFERROR(Serie_Historica!L661/Serie_Historica!L658,"")</f>
        <v>0.65053872738361451</v>
      </c>
      <c r="J202" s="31">
        <f>IFERROR(Serie_Historica!M661/Serie_Historica!M658,"")</f>
        <v>0.64108576066372081</v>
      </c>
      <c r="K202" s="31">
        <f>IFERROR(Serie_Historica!N661/Serie_Historica!N658,"")</f>
        <v>0.63153717958892153</v>
      </c>
      <c r="L202" s="31">
        <f>IFERROR(Serie_Historica!O661/Serie_Historica!O658,"")</f>
        <v>0.64354936402180496</v>
      </c>
      <c r="M202" s="31">
        <f>IFERROR(Serie_Historica!P661/Serie_Historica!P658,"")</f>
        <v>0.64407604351301573</v>
      </c>
      <c r="N202" s="31">
        <f>IFERROR(Serie_Historica!Q661/Serie_Historica!Q658,"")</f>
        <v>0.60658688622954093</v>
      </c>
      <c r="O202" s="31">
        <f>IFERROR(Serie_Historica!R661/Serie_Historica!R658,"")</f>
        <v>0.64374140302613481</v>
      </c>
      <c r="P202" s="31">
        <f>IFERROR(Serie_Historica!S661/Serie_Historica!S658,"")</f>
        <v>0.61472793793300295</v>
      </c>
      <c r="Q202" s="31">
        <f>IFERROR(Serie_Historica!T661/Serie_Historica!T658,"")</f>
        <v>0.6397235791731205</v>
      </c>
      <c r="R202" s="31">
        <f>IFERROR(Serie_Historica!U661/Serie_Historica!U658,"")</f>
        <v>0.64294235541133804</v>
      </c>
      <c r="S202" s="31">
        <f>IFERROR(Serie_Historica!V661/Serie_Historica!V658,"")</f>
        <v>0.65112269873363837</v>
      </c>
      <c r="T202" s="31">
        <f>IFERROR(Serie_Historica!W661/Serie_Historica!W658,"")</f>
        <v>0.60683352134758417</v>
      </c>
      <c r="U202" s="31">
        <f>IFERROR(Serie_Historica!X661/Serie_Historica!X658,"")</f>
        <v>0.61069678244193482</v>
      </c>
      <c r="V202" s="31">
        <f>IFERROR(Serie_Historica!Y661/Serie_Historica!Y658,"")</f>
        <v>0.61556359436830221</v>
      </c>
      <c r="W202" s="31">
        <f>IFERROR(Serie_Historica!Z661/Serie_Historica!Z658,"")</f>
        <v>0.59819794453048003</v>
      </c>
      <c r="X202" s="19">
        <f>IFERROR((W202-D202)*100,"")</f>
        <v>-2.8199026006141326</v>
      </c>
    </row>
    <row r="203" spans="1:24">
      <c r="A203" s="28" t="s">
        <v>175</v>
      </c>
      <c r="B203" s="28" t="s">
        <v>176</v>
      </c>
      <c r="C203" s="28" t="s">
        <v>504</v>
      </c>
      <c r="D203" s="31">
        <f>IFERROR(Serie_Historica!G669/Serie_Historica!G668,"")</f>
        <v>6.8900873878810595E-2</v>
      </c>
      <c r="E203" s="31">
        <f>IFERROR(Serie_Historica!H669/Serie_Historica!H668,"")</f>
        <v>6.2921689030399519E-2</v>
      </c>
      <c r="F203" s="31">
        <f>IFERROR(Serie_Historica!I669/Serie_Historica!I668,"")</f>
        <v>7.5696658810481071E-2</v>
      </c>
      <c r="G203" s="31">
        <f>IFERROR(Serie_Historica!J669/Serie_Historica!J668,"")</f>
        <v>0.1854187294804315</v>
      </c>
      <c r="H203" s="31">
        <f>IFERROR(Serie_Historica!K669/Serie_Historica!K668,"")</f>
        <v>0.10797523670793882</v>
      </c>
      <c r="I203" s="31">
        <f>IFERROR(Serie_Historica!L669/Serie_Historica!L668,"")</f>
        <v>0.14857309341139582</v>
      </c>
      <c r="J203" s="31">
        <f>IFERROR(Serie_Historica!M669/Serie_Historica!M668,"")</f>
        <v>6.3132523327601275E-2</v>
      </c>
      <c r="K203" s="31">
        <f>IFERROR(Serie_Historica!N669/Serie_Historica!N668,"")</f>
        <v>5.2967753914711889E-2</v>
      </c>
      <c r="L203" s="31">
        <f>IFERROR(Serie_Historica!O669/Serie_Historica!O668,"")</f>
        <v>5.5388340725988958E-2</v>
      </c>
      <c r="M203" s="31">
        <f>IFERROR(Serie_Historica!P669/Serie_Historica!P668,"")</f>
        <v>6.6805310519520197E-2</v>
      </c>
      <c r="N203" s="31">
        <f>IFERROR(Serie_Historica!Q669/Serie_Historica!Q668,"")</f>
        <v>7.2870931456148633E-2</v>
      </c>
      <c r="O203" s="31">
        <f>IFERROR(Serie_Historica!R669/Serie_Historica!R668,"")</f>
        <v>6.3989158556116796E-2</v>
      </c>
      <c r="P203" s="31">
        <f>IFERROR(Serie_Historica!S669/Serie_Historica!S668,"")</f>
        <v>6.4467306158345769E-2</v>
      </c>
      <c r="Q203" s="31">
        <f>IFERROR(Serie_Historica!T669/Serie_Historica!T668,"")</f>
        <v>7.7458565643337127E-2</v>
      </c>
      <c r="R203" s="31">
        <f>IFERROR(Serie_Historica!U669/Serie_Historica!U668,"")</f>
        <v>0.10499359049061881</v>
      </c>
      <c r="S203" s="31">
        <f>IFERROR(Serie_Historica!V669/Serie_Historica!V668,"")</f>
        <v>0.11477607259557507</v>
      </c>
      <c r="T203" s="31">
        <f>IFERROR(Serie_Historica!W669/Serie_Historica!W668,"")</f>
        <v>0.14360026240171486</v>
      </c>
      <c r="U203" s="31">
        <f>IFERROR(Serie_Historica!X669/Serie_Historica!X668,"")</f>
        <v>0.14509844134536506</v>
      </c>
      <c r="V203" s="31">
        <f>IFERROR(Serie_Historica!Y669/Serie_Historica!Y668,"")</f>
        <v>0.29764485549726133</v>
      </c>
      <c r="W203" s="31">
        <f>IFERROR(Serie_Historica!Z669/Serie_Historica!Z668,"")</f>
        <v>0.19150811983143196</v>
      </c>
      <c r="X203" s="19">
        <f>IFERROR((W203-D203)*100,"")</f>
        <v>12.260724595262136</v>
      </c>
    </row>
    <row r="204" spans="1:24">
      <c r="A204" s="28" t="s">
        <v>175</v>
      </c>
      <c r="B204" s="28" t="s">
        <v>176</v>
      </c>
      <c r="C204" s="28" t="s">
        <v>505</v>
      </c>
      <c r="D204" s="31">
        <f>IFERROR(Serie_Historica!G670/Serie_Historica!G668,"")</f>
        <v>0.22948692065872581</v>
      </c>
      <c r="E204" s="31">
        <f>IFERROR(Serie_Historica!H670/Serie_Historica!H668,"")</f>
        <v>0.23738407500063174</v>
      </c>
      <c r="F204" s="31">
        <f>IFERROR(Serie_Historica!I670/Serie_Historica!I668,"")</f>
        <v>0.24053791764868987</v>
      </c>
      <c r="G204" s="31">
        <f>IFERROR(Serie_Historica!J670/Serie_Historica!J668,"")</f>
        <v>0.22684871540987023</v>
      </c>
      <c r="H204" s="31">
        <f>IFERROR(Serie_Historica!K670/Serie_Historica!K668,"")</f>
        <v>0.24102827252863671</v>
      </c>
      <c r="I204" s="31">
        <f>IFERROR(Serie_Historica!L670/Serie_Historica!L668,"")</f>
        <v>0.24137404791964373</v>
      </c>
      <c r="J204" s="31">
        <f>IFERROR(Serie_Historica!M670/Serie_Historica!M668,"")</f>
        <v>0.23274039410255687</v>
      </c>
      <c r="K204" s="31">
        <f>IFERROR(Serie_Historica!N670/Serie_Historica!N668,"")</f>
        <v>0.24452559262239276</v>
      </c>
      <c r="L204" s="31">
        <f>IFERROR(Serie_Historica!O670/Serie_Historica!O668,"")</f>
        <v>0.26030822847831991</v>
      </c>
      <c r="M204" s="31">
        <f>IFERROR(Serie_Historica!P670/Serie_Historica!P668,"")</f>
        <v>0.27394316916192746</v>
      </c>
      <c r="N204" s="31">
        <f>IFERROR(Serie_Historica!Q670/Serie_Historica!Q668,"")</f>
        <v>0.2810424906564099</v>
      </c>
      <c r="O204" s="31">
        <f>IFERROR(Serie_Historica!R670/Serie_Historica!R668,"")</f>
        <v>0.28628803745226067</v>
      </c>
      <c r="P204" s="31">
        <f>IFERROR(Serie_Historica!S670/Serie_Historica!S668,"")</f>
        <v>0.33047675536375348</v>
      </c>
      <c r="Q204" s="31">
        <f>IFERROR(Serie_Historica!T670/Serie_Historica!T668,"")</f>
        <v>0.32055919693319007</v>
      </c>
      <c r="R204" s="31">
        <f>IFERROR(Serie_Historica!U670/Serie_Historica!U668,"")</f>
        <v>0.29661461368138914</v>
      </c>
      <c r="S204" s="31">
        <f>IFERROR(Serie_Historica!V670/Serie_Historica!V668,"")</f>
        <v>0.31422674989124827</v>
      </c>
      <c r="T204" s="31">
        <f>IFERROR(Serie_Historica!W670/Serie_Historica!W668,"")</f>
        <v>0.32599717271391743</v>
      </c>
      <c r="U204" s="31">
        <f>IFERROR(Serie_Historica!X670/Serie_Historica!X668,"")</f>
        <v>0.32524952146568226</v>
      </c>
      <c r="V204" s="31">
        <f>IFERROR(Serie_Historica!Y670/Serie_Historica!Y668,"")</f>
        <v>0.27451672075631439</v>
      </c>
      <c r="W204" s="31">
        <f>IFERROR(Serie_Historica!Z670/Serie_Historica!Z668,"")</f>
        <v>0.3094140673214254</v>
      </c>
      <c r="X204" s="19">
        <f>IFERROR((W204-D204)*100,"")</f>
        <v>7.9927146662699595</v>
      </c>
    </row>
    <row r="205" spans="1:24">
      <c r="A205" s="28" t="s">
        <v>175</v>
      </c>
      <c r="B205" s="28" t="s">
        <v>176</v>
      </c>
      <c r="C205" s="28" t="s">
        <v>506</v>
      </c>
      <c r="D205" s="31">
        <f>IFERROR(Serie_Historica!G671/Serie_Historica!G668,"")</f>
        <v>0.57849046808756088</v>
      </c>
      <c r="E205" s="31">
        <f>IFERROR(Serie_Historica!H671/Serie_Historica!H668,"")</f>
        <v>0.5603568089353852</v>
      </c>
      <c r="F205" s="31">
        <f>IFERROR(Serie_Historica!I671/Serie_Historica!I668,"")</f>
        <v>0.55289061416886176</v>
      </c>
      <c r="G205" s="31">
        <f>IFERROR(Serie_Historica!J671/Serie_Historica!J668,"")</f>
        <v>0.49577014609064218</v>
      </c>
      <c r="H205" s="31">
        <f>IFERROR(Serie_Historica!K671/Serie_Historica!K668,"")</f>
        <v>0.55599880818380454</v>
      </c>
      <c r="I205" s="31">
        <f>IFERROR(Serie_Historica!L671/Serie_Historica!L668,"")</f>
        <v>0.52646401864620762</v>
      </c>
      <c r="J205" s="31">
        <f>IFERROR(Serie_Historica!M671/Serie_Historica!M668,"")</f>
        <v>0.60137287514447613</v>
      </c>
      <c r="K205" s="31">
        <f>IFERROR(Serie_Historica!N671/Serie_Historica!N668,"")</f>
        <v>0.58583895525159368</v>
      </c>
      <c r="L205" s="31">
        <f>IFERROR(Serie_Historica!O671/Serie_Historica!O668,"")</f>
        <v>0.58704851996017016</v>
      </c>
      <c r="M205" s="31">
        <f>IFERROR(Serie_Historica!P671/Serie_Historica!P668,"")</f>
        <v>0.5721424417745099</v>
      </c>
      <c r="N205" s="31">
        <f>IFERROR(Serie_Historica!Q671/Serie_Historica!Q668,"")</f>
        <v>0.56703799121883958</v>
      </c>
      <c r="O205" s="31">
        <f>IFERROR(Serie_Historica!R671/Serie_Historica!R668,"")</f>
        <v>0.57001355180485402</v>
      </c>
      <c r="P205" s="31">
        <f>IFERROR(Serie_Historica!S671/Serie_Historica!S668,"")</f>
        <v>0.50962987203348808</v>
      </c>
      <c r="Q205" s="31">
        <f>IFERROR(Serie_Historica!T671/Serie_Historica!T668,"")</f>
        <v>0.49711056154917133</v>
      </c>
      <c r="R205" s="31">
        <f>IFERROR(Serie_Historica!U671/Serie_Historica!U668,"")</f>
        <v>0.50048945344365459</v>
      </c>
      <c r="S205" s="31">
        <f>IFERROR(Serie_Historica!V671/Serie_Historica!V668,"")</f>
        <v>0.47733917389149105</v>
      </c>
      <c r="T205" s="31">
        <f>IFERROR(Serie_Historica!W671/Serie_Historica!W668,"")</f>
        <v>0.43037115059456166</v>
      </c>
      <c r="U205" s="31">
        <f>IFERROR(Serie_Historica!X671/Serie_Historica!X668,"")</f>
        <v>0.41718365463494667</v>
      </c>
      <c r="V205" s="31">
        <f>IFERROR(Serie_Historica!Y671/Serie_Historica!Y668,"")</f>
        <v>0.33352040227304797</v>
      </c>
      <c r="W205" s="31">
        <f>IFERROR(Serie_Historica!Z671/Serie_Historica!Z668,"")</f>
        <v>0.3690511875584081</v>
      </c>
      <c r="X205" s="19">
        <f>IFERROR((W205-D205)*100,"")</f>
        <v>-20.943928052915279</v>
      </c>
    </row>
    <row r="206" spans="1:24">
      <c r="A206" s="28" t="s">
        <v>407</v>
      </c>
      <c r="B206" s="28" t="s">
        <v>408</v>
      </c>
      <c r="C206" s="28" t="s">
        <v>504</v>
      </c>
      <c r="D206" s="31">
        <f>IFERROR(Serie_Historica!G679/Serie_Historica!G678,"")</f>
        <v>4.5648396777760225E-2</v>
      </c>
      <c r="E206" s="31">
        <f>IFERROR(Serie_Historica!H679/Serie_Historica!H678,"")</f>
        <v>2.6611393420700721E-2</v>
      </c>
      <c r="F206" s="31">
        <f>IFERROR(Serie_Historica!I679/Serie_Historica!I678,"")</f>
        <v>3.2126644162495638E-2</v>
      </c>
      <c r="G206" s="31">
        <f>IFERROR(Serie_Historica!J679/Serie_Historica!J678,"")</f>
        <v>3.2104882832662329E-2</v>
      </c>
      <c r="H206" s="31">
        <f>IFERROR(Serie_Historica!K679/Serie_Historica!K678,"")</f>
        <v>3.13874450219912E-2</v>
      </c>
      <c r="I206" s="31">
        <f>IFERROR(Serie_Historica!L679/Serie_Historica!L678,"")</f>
        <v>2.9730432521452719E-2</v>
      </c>
      <c r="J206" s="31">
        <f>IFERROR(Serie_Historica!M679/Serie_Historica!M678,"")</f>
        <v>2.6561527287819051E-2</v>
      </c>
      <c r="K206" s="31">
        <f>IFERROR(Serie_Historica!N679/Serie_Historica!N678,"")</f>
        <v>2.9538197003193319E-2</v>
      </c>
      <c r="L206" s="31">
        <f>IFERROR(Serie_Historica!O679/Serie_Historica!O678,"")</f>
        <v>2.5685339690107271E-2</v>
      </c>
      <c r="M206" s="31">
        <f>IFERROR(Serie_Historica!P679/Serie_Historica!P678,"")</f>
        <v>2.5202423722451607E-2</v>
      </c>
      <c r="N206" s="31">
        <f>IFERROR(Serie_Historica!Q679/Serie_Historica!Q678,"")</f>
        <v>2.8326539144977528E-2</v>
      </c>
      <c r="O206" s="31">
        <f>IFERROR(Serie_Historica!R679/Serie_Historica!R678,"")</f>
        <v>3.0417029866495391E-2</v>
      </c>
      <c r="P206" s="31">
        <f>IFERROR(Serie_Historica!S679/Serie_Historica!S678,"")</f>
        <v>2.3474178403755867E-2</v>
      </c>
      <c r="Q206" s="31">
        <f>IFERROR(Serie_Historica!T679/Serie_Historica!T678,"")</f>
        <v>3.7377379706099029E-2</v>
      </c>
      <c r="R206" s="31">
        <f>IFERROR(Serie_Historica!U679/Serie_Historica!U678,"")</f>
        <v>3.5893574297188757E-2</v>
      </c>
      <c r="S206" s="31">
        <f>IFERROR(Serie_Historica!V679/Serie_Historica!V678,"")</f>
        <v>4.9202168861347789E-2</v>
      </c>
      <c r="T206" s="31">
        <f>IFERROR(Serie_Historica!W679/Serie_Historica!W678,"")</f>
        <v>3.4518572825024435E-2</v>
      </c>
      <c r="U206" s="31">
        <f>IFERROR(Serie_Historica!X679/Serie_Historica!X678,"")</f>
        <v>6.6393915264010547E-2</v>
      </c>
      <c r="V206" s="31">
        <f>IFERROR(Serie_Historica!Y679/Serie_Historica!Y678,"")</f>
        <v>4.1769106031281061E-2</v>
      </c>
      <c r="W206" s="31">
        <f>IFERROR(Serie_Historica!Z679/Serie_Historica!Z678,"")</f>
        <v>2.8832116788321167E-2</v>
      </c>
      <c r="X206" s="19">
        <f>IFERROR((W206-D206)*100,"")</f>
        <v>-1.6816279989439058</v>
      </c>
    </row>
    <row r="207" spans="1:24">
      <c r="A207" s="28" t="s">
        <v>407</v>
      </c>
      <c r="B207" s="28" t="s">
        <v>408</v>
      </c>
      <c r="C207" s="28" t="s">
        <v>505</v>
      </c>
      <c r="D207" s="31">
        <f>IFERROR(Serie_Historica!G680/Serie_Historica!G678,"")</f>
        <v>0.22208181961775392</v>
      </c>
      <c r="E207" s="31">
        <f>IFERROR(Serie_Historica!H680/Serie_Historica!H678,"")</f>
        <v>0.25274137469911739</v>
      </c>
      <c r="F207" s="31">
        <f>IFERROR(Serie_Historica!I680/Serie_Historica!I678,"")</f>
        <v>0.27377488068909323</v>
      </c>
      <c r="G207" s="31">
        <f>IFERROR(Serie_Historica!J680/Serie_Historica!J678,"")</f>
        <v>0.27975637452255603</v>
      </c>
      <c r="H207" s="31">
        <f>IFERROR(Serie_Historica!K680/Serie_Historica!K678,"")</f>
        <v>0.17123150739704118</v>
      </c>
      <c r="I207" s="31">
        <f>IFERROR(Serie_Historica!L680/Serie_Historica!L678,"")</f>
        <v>0.1581867036491289</v>
      </c>
      <c r="J207" s="31">
        <f>IFERROR(Serie_Historica!M680/Serie_Historica!M678,"")</f>
        <v>0.14498166977934565</v>
      </c>
      <c r="K207" s="31">
        <f>IFERROR(Serie_Historica!N680/Serie_Historica!N678,"")</f>
        <v>0.15020879390813069</v>
      </c>
      <c r="L207" s="31">
        <f>IFERROR(Serie_Historica!O680/Serie_Historica!O678,"")</f>
        <v>0.15935637663885577</v>
      </c>
      <c r="M207" s="31">
        <f>IFERROR(Serie_Historica!P680/Serie_Historica!P678,"")</f>
        <v>0.15620140490106707</v>
      </c>
      <c r="N207" s="31">
        <f>IFERROR(Serie_Historica!Q680/Serie_Historica!Q678,"")</f>
        <v>0.15846137765234661</v>
      </c>
      <c r="O207" s="31">
        <f>IFERROR(Serie_Historica!R680/Serie_Historica!R678,"")</f>
        <v>0.15497545533789053</v>
      </c>
      <c r="P207" s="31">
        <f>IFERROR(Serie_Historica!S680/Serie_Historica!S678,"")</f>
        <v>0.15358819584171696</v>
      </c>
      <c r="Q207" s="31">
        <f>IFERROR(Serie_Historica!T680/Serie_Historica!T678,"")</f>
        <v>0.16261486565080843</v>
      </c>
      <c r="R207" s="31">
        <f>IFERROR(Serie_Historica!U680/Serie_Historica!U678,"")</f>
        <v>0.17347963281698223</v>
      </c>
      <c r="S207" s="31">
        <f>IFERROR(Serie_Historica!V680/Serie_Historica!V678,"")</f>
        <v>0.1720836560805577</v>
      </c>
      <c r="T207" s="31">
        <f>IFERROR(Serie_Historica!W680/Serie_Historica!W678,"")</f>
        <v>0.17836632453567938</v>
      </c>
      <c r="U207" s="31">
        <f>IFERROR(Serie_Historica!X680/Serie_Historica!X678,"")</f>
        <v>0.17861555781322935</v>
      </c>
      <c r="V207" s="31">
        <f>IFERROR(Serie_Historica!Y680/Serie_Historica!Y678,"")</f>
        <v>0.18342313124444212</v>
      </c>
      <c r="W207" s="31">
        <f>IFERROR(Serie_Historica!Z680/Serie_Historica!Z678,"")</f>
        <v>0.1824574209245742</v>
      </c>
      <c r="X207" s="19">
        <f>IFERROR((W207-D207)*100,"")</f>
        <v>-3.9624398693179712</v>
      </c>
    </row>
    <row r="208" spans="1:24">
      <c r="A208" s="28" t="s">
        <v>407</v>
      </c>
      <c r="B208" s="28" t="s">
        <v>408</v>
      </c>
      <c r="C208" s="28" t="s">
        <v>506</v>
      </c>
      <c r="D208" s="31">
        <f>IFERROR(Serie_Historica!G681/Serie_Historica!G678,"")</f>
        <v>0.62154477965566257</v>
      </c>
      <c r="E208" s="31">
        <f>IFERROR(Serie_Historica!H681/Serie_Historica!H678,"")</f>
        <v>0.58999732548809847</v>
      </c>
      <c r="F208" s="31">
        <f>IFERROR(Serie_Historica!I681/Serie_Historica!I678,"")</f>
        <v>0.56757071353742283</v>
      </c>
      <c r="G208" s="31">
        <f>IFERROR(Serie_Historica!J681/Serie_Historica!J678,"")</f>
        <v>0.59481779704758952</v>
      </c>
      <c r="H208" s="31">
        <f>IFERROR(Serie_Historica!K681/Serie_Historica!K678,"")</f>
        <v>0.67083166733306676</v>
      </c>
      <c r="I208" s="31">
        <f>IFERROR(Serie_Historica!L681/Serie_Historica!L678,"")</f>
        <v>0.72141804628586292</v>
      </c>
      <c r="J208" s="31">
        <f>IFERROR(Serie_Historica!M681/Serie_Historica!M678,"")</f>
        <v>0.68389015701736178</v>
      </c>
      <c r="K208" s="31">
        <f>IFERROR(Serie_Historica!N681/Serie_Historica!N678,"")</f>
        <v>0.67016703512650455</v>
      </c>
      <c r="L208" s="31">
        <f>IFERROR(Serie_Historica!O681/Serie_Historica!O678,"")</f>
        <v>0.72753277711561382</v>
      </c>
      <c r="M208" s="31">
        <f>IFERROR(Serie_Historica!P681/Serie_Historica!P678,"")</f>
        <v>0.73188910933562124</v>
      </c>
      <c r="N208" s="31">
        <f>IFERROR(Serie_Historica!Q681/Serie_Historica!Q678,"")</f>
        <v>0.74657677432842062</v>
      </c>
      <c r="O208" s="31">
        <f>IFERROR(Serie_Historica!R681/Serie_Historica!R678,"")</f>
        <v>0.73455062623296785</v>
      </c>
      <c r="P208" s="31">
        <f>IFERROR(Serie_Historica!S681/Serie_Historica!S678,"")</f>
        <v>0.74731723675385642</v>
      </c>
      <c r="Q208" s="31">
        <f>IFERROR(Serie_Historica!T681/Serie_Historica!T678,"")</f>
        <v>0.72242255050211313</v>
      </c>
      <c r="R208" s="31">
        <f>IFERROR(Serie_Historica!U681/Serie_Historica!U678,"")</f>
        <v>0.72256884681583478</v>
      </c>
      <c r="S208" s="31">
        <f>IFERROR(Serie_Historica!V681/Serie_Historica!V678,"")</f>
        <v>0.71925639039504263</v>
      </c>
      <c r="T208" s="31">
        <f>IFERROR(Serie_Historica!W681/Serie_Historica!W678,"")</f>
        <v>0.72479838709677424</v>
      </c>
      <c r="U208" s="31">
        <f>IFERROR(Serie_Historica!X681/Serie_Historica!X678,"")</f>
        <v>0.68782778220159801</v>
      </c>
      <c r="V208" s="31">
        <f>IFERROR(Serie_Historica!Y681/Serie_Historica!Y678,"")</f>
        <v>0.68603860438353303</v>
      </c>
      <c r="W208" s="31">
        <f>IFERROR(Serie_Historica!Z681/Serie_Historica!Z678,"")</f>
        <v>0.70778588807785892</v>
      </c>
      <c r="X208" s="19">
        <f>IFERROR((W208-D208)*100,"")</f>
        <v>8.6241108422196344</v>
      </c>
    </row>
    <row r="209" spans="1:24">
      <c r="A209" s="28" t="s">
        <v>329</v>
      </c>
      <c r="B209" s="28" t="s">
        <v>330</v>
      </c>
      <c r="C209" s="28" t="s">
        <v>504</v>
      </c>
      <c r="D209" s="31">
        <f>IFERROR(Serie_Historica!G689/Serie_Historica!G688,"")</f>
        <v>5.5288461538461536E-2</v>
      </c>
      <c r="E209" s="31">
        <f>IFERROR(Serie_Historica!H689/Serie_Historica!H688,"")</f>
        <v>3.0174627632254751E-2</v>
      </c>
      <c r="F209" s="31">
        <f>IFERROR(Serie_Historica!I689/Serie_Historica!I688,"")</f>
        <v>3.4977402240125764E-2</v>
      </c>
      <c r="G209" s="31">
        <f>IFERROR(Serie_Historica!J689/Serie_Historica!J688,"")</f>
        <v>3.6365340456441256E-2</v>
      </c>
      <c r="H209" s="31">
        <f>IFERROR(Serie_Historica!K689/Serie_Historica!K688,"")</f>
        <v>3.4882517337749712E-2</v>
      </c>
      <c r="I209" s="31">
        <f>IFERROR(Serie_Historica!L689/Serie_Historica!L688,"")</f>
        <v>3.238923163208076E-2</v>
      </c>
      <c r="J209" s="31">
        <f>IFERROR(Serie_Historica!M689/Serie_Historica!M688,"")</f>
        <v>2.961568090387743E-2</v>
      </c>
      <c r="K209" s="31">
        <f>IFERROR(Serie_Historica!N689/Serie_Historica!N688,"")</f>
        <v>3.8732658417697789E-2</v>
      </c>
      <c r="L209" s="31">
        <f>IFERROR(Serie_Historica!O689/Serie_Historica!O688,"")</f>
        <v>2.7459373186302961E-2</v>
      </c>
      <c r="M209" s="31">
        <f>IFERROR(Serie_Historica!P689/Serie_Historica!P688,"")</f>
        <v>3.0906898521292123E-2</v>
      </c>
      <c r="N209" s="31">
        <f>IFERROR(Serie_Historica!Q689/Serie_Historica!Q688,"")</f>
        <v>3.1867932514966439E-2</v>
      </c>
      <c r="O209" s="31">
        <f>IFERROR(Serie_Historica!R689/Serie_Historica!R688,"")</f>
        <v>2.8858118662465914E-2</v>
      </c>
      <c r="P209" s="31">
        <f>IFERROR(Serie_Historica!S689/Serie_Historica!S688,"")</f>
        <v>2.8023071818692256E-2</v>
      </c>
      <c r="Q209" s="31">
        <f>IFERROR(Serie_Historica!T689/Serie_Historica!T688,"")</f>
        <v>3.2203466329662395E-2</v>
      </c>
      <c r="R209" s="31">
        <f>IFERROR(Serie_Historica!U689/Serie_Historica!U688,"")</f>
        <v>3.2779178597375953E-2</v>
      </c>
      <c r="S209" s="31">
        <f>IFERROR(Serie_Historica!V689/Serie_Historica!V688,"")</f>
        <v>3.0032235687762681E-2</v>
      </c>
      <c r="T209" s="31">
        <f>IFERROR(Serie_Historica!W689/Serie_Historica!W688,"")</f>
        <v>2.8670540282716157E-2</v>
      </c>
      <c r="U209" s="31">
        <f>IFERROR(Serie_Historica!X689/Serie_Historica!X688,"")</f>
        <v>3.1731421373897881E-2</v>
      </c>
      <c r="V209" s="31">
        <f>IFERROR(Serie_Historica!Y689/Serie_Historica!Y688,"")</f>
        <v>3.1348010109314574E-2</v>
      </c>
      <c r="W209" s="31">
        <f>IFERROR(Serie_Historica!Z689/Serie_Historica!Z688,"")</f>
        <v>3.7364564600270496E-2</v>
      </c>
      <c r="X209" s="19">
        <f>IFERROR((W209-D209)*100,"")</f>
        <v>-1.792389693819104</v>
      </c>
    </row>
    <row r="210" spans="1:24">
      <c r="A210" s="28" t="s">
        <v>329</v>
      </c>
      <c r="B210" s="28" t="s">
        <v>330</v>
      </c>
      <c r="C210" s="28" t="s">
        <v>505</v>
      </c>
      <c r="D210" s="31">
        <f>IFERROR(Serie_Historica!G690/Serie_Historica!G688,"")</f>
        <v>0.21670227920227919</v>
      </c>
      <c r="E210" s="31">
        <f>IFERROR(Serie_Historica!H690/Serie_Historica!H688,"")</f>
        <v>0.21757832562917309</v>
      </c>
      <c r="F210" s="31">
        <f>IFERROR(Serie_Historica!I690/Serie_Historica!I688,"")</f>
        <v>0.20514835920613086</v>
      </c>
      <c r="G210" s="31">
        <f>IFERROR(Serie_Historica!J690/Serie_Historica!J688,"")</f>
        <v>0.22100379586672289</v>
      </c>
      <c r="H210" s="31">
        <f>IFERROR(Serie_Historica!K690/Serie_Historica!K688,"")</f>
        <v>0.24459165717834594</v>
      </c>
      <c r="I210" s="31">
        <f>IFERROR(Serie_Historica!L690/Serie_Historica!L688,"")</f>
        <v>0.23237988409048421</v>
      </c>
      <c r="J210" s="31">
        <f>IFERROR(Serie_Historica!M690/Serie_Historica!M688,"")</f>
        <v>0.19113241461953265</v>
      </c>
      <c r="K210" s="31">
        <f>IFERROR(Serie_Historica!N690/Serie_Historica!N688,"")</f>
        <v>0.2161604799400075</v>
      </c>
      <c r="L210" s="31">
        <f>IFERROR(Serie_Historica!O690/Serie_Historica!O688,"")</f>
        <v>0.23102872896111434</v>
      </c>
      <c r="M210" s="31">
        <f>IFERROR(Serie_Historica!P690/Serie_Historica!P688,"")</f>
        <v>0.22164752173637114</v>
      </c>
      <c r="N210" s="31">
        <f>IFERROR(Serie_Historica!Q690/Serie_Historica!Q688,"")</f>
        <v>0.20378545080728064</v>
      </c>
      <c r="O210" s="31">
        <f>IFERROR(Serie_Historica!R690/Serie_Historica!R688,"")</f>
        <v>0.21948055386407561</v>
      </c>
      <c r="P210" s="31">
        <f>IFERROR(Serie_Historica!S690/Serie_Historica!S688,"")</f>
        <v>0.22165790413965597</v>
      </c>
      <c r="Q210" s="31">
        <f>IFERROR(Serie_Historica!T690/Serie_Historica!T688,"")</f>
        <v>0.23763314677739664</v>
      </c>
      <c r="R210" s="31">
        <f>IFERROR(Serie_Historica!U690/Serie_Historica!U688,"")</f>
        <v>0.24879268344801059</v>
      </c>
      <c r="S210" s="31">
        <f>IFERROR(Serie_Historica!V690/Serie_Historica!V688,"")</f>
        <v>0.24325702860407231</v>
      </c>
      <c r="T210" s="31">
        <f>IFERROR(Serie_Historica!W690/Serie_Historica!W688,"")</f>
        <v>0.30618333188795421</v>
      </c>
      <c r="U210" s="31">
        <f>IFERROR(Serie_Historica!X690/Serie_Historica!X688,"")</f>
        <v>0.29462584374899076</v>
      </c>
      <c r="V210" s="31">
        <f>IFERROR(Serie_Historica!Y690/Serie_Historica!Y688,"")</f>
        <v>0.28960750281660119</v>
      </c>
      <c r="W210" s="31">
        <f>IFERROR(Serie_Historica!Z690/Serie_Historica!Z688,"")</f>
        <v>0.28784388329890165</v>
      </c>
      <c r="X210" s="19">
        <f>IFERROR((W210-D210)*100,"")</f>
        <v>7.1141604096622455</v>
      </c>
    </row>
    <row r="211" spans="1:24">
      <c r="A211" s="28" t="s">
        <v>329</v>
      </c>
      <c r="B211" s="28" t="s">
        <v>330</v>
      </c>
      <c r="C211" s="28" t="s">
        <v>506</v>
      </c>
      <c r="D211" s="31">
        <f>IFERROR(Serie_Historica!G691/Serie_Historica!G688,"")</f>
        <v>0.63577279202279202</v>
      </c>
      <c r="E211" s="31">
        <f>IFERROR(Serie_Historica!H691/Serie_Historica!H688,"")</f>
        <v>0.51592193117616847</v>
      </c>
      <c r="F211" s="31">
        <f>IFERROR(Serie_Historica!I691/Serie_Historica!I688,"")</f>
        <v>0.42916093535075656</v>
      </c>
      <c r="G211" s="31">
        <f>IFERROR(Serie_Historica!J691/Serie_Historica!J688,"")</f>
        <v>0.48933876938938092</v>
      </c>
      <c r="H211" s="31">
        <f>IFERROR(Serie_Historica!K691/Serie_Historica!K688,"")</f>
        <v>0.61489493841217269</v>
      </c>
      <c r="I211" s="31">
        <f>IFERROR(Serie_Historica!L691/Serie_Historica!L688,"")</f>
        <v>0.63684800897363991</v>
      </c>
      <c r="J211" s="31">
        <f>IFERROR(Serie_Historica!M691/Serie_Historica!M688,"")</f>
        <v>0.6614739364889155</v>
      </c>
      <c r="K211" s="31">
        <f>IFERROR(Serie_Historica!N691/Serie_Historica!N688,"")</f>
        <v>0.64240719910011246</v>
      </c>
      <c r="L211" s="31">
        <f>IFERROR(Serie_Historica!O691/Serie_Historica!O688,"")</f>
        <v>0.67295414973882761</v>
      </c>
      <c r="M211" s="31">
        <f>IFERROR(Serie_Historica!P691/Serie_Historica!P688,"")</f>
        <v>0.63771657041314966</v>
      </c>
      <c r="N211" s="31">
        <f>IFERROR(Serie_Historica!Q691/Serie_Historica!Q688,"")</f>
        <v>0.6646308278405999</v>
      </c>
      <c r="O211" s="31">
        <f>IFERROR(Serie_Historica!R691/Serie_Historica!R688,"")</f>
        <v>0.72187657197320698</v>
      </c>
      <c r="P211" s="31">
        <f>IFERROR(Serie_Historica!S691/Serie_Historica!S688,"")</f>
        <v>0.72632841610943799</v>
      </c>
      <c r="Q211" s="31">
        <f>IFERROR(Serie_Historica!T691/Serie_Historica!T688,"")</f>
        <v>0.69240837696335078</v>
      </c>
      <c r="R211" s="31">
        <f>IFERROR(Serie_Historica!U691/Serie_Historica!U688,"")</f>
        <v>0.68705927603743755</v>
      </c>
      <c r="S211" s="31">
        <f>IFERROR(Serie_Historica!V691/Serie_Historica!V688,"")</f>
        <v>0.69716815603705062</v>
      </c>
      <c r="T211" s="31">
        <f>IFERROR(Serie_Historica!W691/Serie_Historica!W688,"")</f>
        <v>0.63533084728124189</v>
      </c>
      <c r="U211" s="31">
        <f>IFERROR(Serie_Historica!X691/Serie_Historica!X688,"")</f>
        <v>0.63685689371184961</v>
      </c>
      <c r="V211" s="31">
        <f>IFERROR(Serie_Historica!Y691/Serie_Historica!Y688,"")</f>
        <v>0.62071800493285834</v>
      </c>
      <c r="W211" s="31">
        <f>IFERROR(Serie_Historica!Z691/Serie_Historica!Z688,"")</f>
        <v>0.64239109433289243</v>
      </c>
      <c r="X211" s="19">
        <f>IFERROR((W211-D211)*100,"")</f>
        <v>0.66183023101004101</v>
      </c>
    </row>
    <row r="212" spans="1:24">
      <c r="A212" s="28" t="s">
        <v>313</v>
      </c>
      <c r="B212" s="28" t="s">
        <v>314</v>
      </c>
      <c r="C212" s="28" t="s">
        <v>504</v>
      </c>
      <c r="D212" s="31">
        <f>IFERROR(Serie_Historica!G699/Serie_Historica!G698,"")</f>
        <v>5.9421798670617441E-2</v>
      </c>
      <c r="E212" s="31">
        <f>IFERROR(Serie_Historica!H699/Serie_Historica!H698,"")</f>
        <v>3.8304054946506405E-2</v>
      </c>
      <c r="F212" s="31">
        <f>IFERROR(Serie_Historica!I699/Serie_Historica!I698,"")</f>
        <v>4.3012093255205087E-2</v>
      </c>
      <c r="G212" s="31">
        <f>IFERROR(Serie_Historica!J699/Serie_Historica!J698,"")</f>
        <v>4.1255511232416546E-2</v>
      </c>
      <c r="H212" s="31">
        <f>IFERROR(Serie_Historica!K699/Serie_Historica!K698,"")</f>
        <v>3.4590316573556795E-2</v>
      </c>
      <c r="I212" s="31">
        <f>IFERROR(Serie_Historica!L699/Serie_Historica!L698,"")</f>
        <v>5.3735584155106132E-2</v>
      </c>
      <c r="J212" s="31">
        <f>IFERROR(Serie_Historica!M699/Serie_Historica!M698,"")</f>
        <v>4.6057528129241278E-2</v>
      </c>
      <c r="K212" s="31">
        <f>IFERROR(Serie_Historica!N699/Serie_Historica!N698,"")</f>
        <v>5.5469727065401313E-2</v>
      </c>
      <c r="L212" s="31">
        <f>IFERROR(Serie_Historica!O699/Serie_Historica!O698,"")</f>
        <v>6.7406398458522976E-2</v>
      </c>
      <c r="M212" s="31">
        <f>IFERROR(Serie_Historica!P699/Serie_Historica!P698,"")</f>
        <v>3.7363048974623093E-2</v>
      </c>
      <c r="N212" s="31">
        <f>IFERROR(Serie_Historica!Q699/Serie_Historica!Q698,"")</f>
        <v>3.5445851490071068E-2</v>
      </c>
      <c r="O212" s="31">
        <f>IFERROR(Serie_Historica!R699/Serie_Historica!R698,"")</f>
        <v>3.4849408608706257E-2</v>
      </c>
      <c r="P212" s="31">
        <f>IFERROR(Serie_Historica!S699/Serie_Historica!S698,"")</f>
        <v>3.2489897134459954E-2</v>
      </c>
      <c r="Q212" s="31">
        <f>IFERROR(Serie_Historica!T699/Serie_Historica!T698,"")</f>
        <v>5.9221658206429779E-2</v>
      </c>
      <c r="R212" s="31">
        <f>IFERROR(Serie_Historica!U699/Serie_Historica!U698,"")</f>
        <v>5.6043789537482479E-2</v>
      </c>
      <c r="S212" s="31">
        <f>IFERROR(Serie_Historica!V699/Serie_Historica!V698,"")</f>
        <v>4.316975314049442E-2</v>
      </c>
      <c r="T212" s="31">
        <f>IFERROR(Serie_Historica!W699/Serie_Historica!W698,"")</f>
        <v>2.7262400605831124E-2</v>
      </c>
      <c r="U212" s="31">
        <f>IFERROR(Serie_Historica!X699/Serie_Historica!X698,"")</f>
        <v>2.9857417422786393E-2</v>
      </c>
      <c r="V212" s="31">
        <f>IFERROR(Serie_Historica!Y699/Serie_Historica!Y698,"")</f>
        <v>4.6563192904656318E-2</v>
      </c>
      <c r="W212" s="31">
        <f>IFERROR(Serie_Historica!Z699/Serie_Historica!Z698,"")</f>
        <v>3.5950572789290772E-2</v>
      </c>
      <c r="X212" s="19">
        <f>IFERROR((W212-D212)*100,"")</f>
        <v>-2.3471225881326672</v>
      </c>
    </row>
    <row r="213" spans="1:24">
      <c r="A213" s="28" t="s">
        <v>313</v>
      </c>
      <c r="B213" s="28" t="s">
        <v>314</v>
      </c>
      <c r="C213" s="28" t="s">
        <v>505</v>
      </c>
      <c r="D213" s="31">
        <f>IFERROR(Serie_Historica!G700/Serie_Historica!G698,"")</f>
        <v>0.14983582926243294</v>
      </c>
      <c r="E213" s="31">
        <f>IFERROR(Serie_Historica!H700/Serie_Historica!H698,"")</f>
        <v>0.15671641791044777</v>
      </c>
      <c r="F213" s="31">
        <f>IFERROR(Serie_Historica!I700/Serie_Historica!I698,"")</f>
        <v>0.1689315546689939</v>
      </c>
      <c r="G213" s="31">
        <f>IFERROR(Serie_Historica!J700/Serie_Historica!J698,"")</f>
        <v>0.15672895234096157</v>
      </c>
      <c r="H213" s="31">
        <f>IFERROR(Serie_Historica!K700/Serie_Historica!K698,"")</f>
        <v>0.16177839851024209</v>
      </c>
      <c r="I213" s="31">
        <f>IFERROR(Serie_Historica!L700/Serie_Historica!L698,"")</f>
        <v>0.15661039612234665</v>
      </c>
      <c r="J213" s="31">
        <f>IFERROR(Serie_Historica!M700/Serie_Historica!M698,"")</f>
        <v>0.13121141806400771</v>
      </c>
      <c r="K213" s="31">
        <f>IFERROR(Serie_Historica!N700/Serie_Historica!N698,"")</f>
        <v>0.13606267932023836</v>
      </c>
      <c r="L213" s="31">
        <f>IFERROR(Serie_Historica!O700/Serie_Historica!O698,"")</f>
        <v>0.14989535231387663</v>
      </c>
      <c r="M213" s="31">
        <f>IFERROR(Serie_Historica!P700/Serie_Historica!P698,"")</f>
        <v>0.14954583762524581</v>
      </c>
      <c r="N213" s="31">
        <f>IFERROR(Serie_Historica!Q700/Serie_Historica!Q698,"")</f>
        <v>0.15854122188752084</v>
      </c>
      <c r="O213" s="31">
        <f>IFERROR(Serie_Historica!R700/Serie_Historica!R698,"")</f>
        <v>0.1588586757712474</v>
      </c>
      <c r="P213" s="31">
        <f>IFERROR(Serie_Historica!S700/Serie_Historica!S698,"")</f>
        <v>0.14837435709037472</v>
      </c>
      <c r="Q213" s="31">
        <f>IFERROR(Serie_Historica!T700/Serie_Historica!T698,"")</f>
        <v>0.16098622189992748</v>
      </c>
      <c r="R213" s="31">
        <f>IFERROR(Serie_Historica!U700/Serie_Historica!U698,"")</f>
        <v>0.17574529338232509</v>
      </c>
      <c r="S213" s="31">
        <f>IFERROR(Serie_Historica!V700/Serie_Historica!V698,"")</f>
        <v>0.16975314049441981</v>
      </c>
      <c r="T213" s="31">
        <f>IFERROR(Serie_Historica!W700/Serie_Historica!W698,"")</f>
        <v>0.2267449198535908</v>
      </c>
      <c r="U213" s="31">
        <f>IFERROR(Serie_Historica!X700/Serie_Historica!X698,"")</f>
        <v>0.23021797106631506</v>
      </c>
      <c r="V213" s="31">
        <f>IFERROR(Serie_Historica!Y700/Serie_Historica!Y698,"")</f>
        <v>0.21465067276307997</v>
      </c>
      <c r="W213" s="31">
        <f>IFERROR(Serie_Historica!Z700/Serie_Historica!Z698,"")</f>
        <v>0.22144420131291029</v>
      </c>
      <c r="X213" s="19">
        <f>IFERROR((W213-D213)*100,"")</f>
        <v>7.1608372050477351</v>
      </c>
    </row>
    <row r="214" spans="1:24">
      <c r="A214" s="28" t="s">
        <v>313</v>
      </c>
      <c r="B214" s="28" t="s">
        <v>314</v>
      </c>
      <c r="C214" s="28" t="s">
        <v>506</v>
      </c>
      <c r="D214" s="31">
        <f>IFERROR(Serie_Historica!G701/Serie_Historica!G698,"")</f>
        <v>0.58957315608232563</v>
      </c>
      <c r="E214" s="31">
        <f>IFERROR(Serie_Historica!H701/Serie_Historica!H698,"")</f>
        <v>0.56102232201822744</v>
      </c>
      <c r="F214" s="31">
        <f>IFERROR(Serie_Historica!I701/Serie_Historica!I698,"")</f>
        <v>0.60160827826954244</v>
      </c>
      <c r="G214" s="31">
        <f>IFERROR(Serie_Historica!J701/Serie_Historica!J698,"")</f>
        <v>0.61122191895863953</v>
      </c>
      <c r="H214" s="31">
        <f>IFERROR(Serie_Historica!K701/Serie_Historica!K698,"")</f>
        <v>0.61638733705772808</v>
      </c>
      <c r="I214" s="31">
        <f>IFERROR(Serie_Historica!L701/Serie_Historica!L698,"")</f>
        <v>0.63931138224970752</v>
      </c>
      <c r="J214" s="31">
        <f>IFERROR(Serie_Historica!M701/Serie_Historica!M698,"")</f>
        <v>0.66888489996059719</v>
      </c>
      <c r="K214" s="31">
        <f>IFERROR(Serie_Historica!N701/Serie_Historica!N698,"")</f>
        <v>0.65073935113661441</v>
      </c>
      <c r="L214" s="31">
        <f>IFERROR(Serie_Historica!O701/Serie_Historica!O698,"")</f>
        <v>0.63958008039600012</v>
      </c>
      <c r="M214" s="31">
        <f>IFERROR(Serie_Historica!P701/Serie_Historica!P698,"")</f>
        <v>0.66907013765333834</v>
      </c>
      <c r="N214" s="31">
        <f>IFERROR(Serie_Historica!Q701/Serie_Historica!Q698,"")</f>
        <v>0.67759482935103676</v>
      </c>
      <c r="O214" s="31">
        <f>IFERROR(Serie_Historica!R701/Serie_Historica!R698,"")</f>
        <v>0.69628094134861607</v>
      </c>
      <c r="P214" s="31">
        <f>IFERROR(Serie_Historica!S701/Serie_Historica!S698,"")</f>
        <v>0.71238978692138133</v>
      </c>
      <c r="Q214" s="31">
        <f>IFERROR(Serie_Historica!T701/Serie_Historica!T698,"")</f>
        <v>0.6706953508983966</v>
      </c>
      <c r="R214" s="31">
        <f>IFERROR(Serie_Historica!U701/Serie_Historica!U698,"")</f>
        <v>0.66449486722981932</v>
      </c>
      <c r="S214" s="31">
        <f>IFERROR(Serie_Historica!V701/Serie_Historica!V698,"")</f>
        <v>0.664961367976593</v>
      </c>
      <c r="T214" s="31">
        <f>IFERROR(Serie_Historica!W701/Serie_Historica!W698,"")</f>
        <v>0.60755080146409191</v>
      </c>
      <c r="U214" s="31">
        <f>IFERROR(Serie_Historica!X701/Serie_Historica!X698,"")</f>
        <v>0.63168402389785305</v>
      </c>
      <c r="V214" s="31">
        <f>IFERROR(Serie_Historica!Y701/Serie_Historica!Y698,"")</f>
        <v>0.60979741361501705</v>
      </c>
      <c r="W214" s="31">
        <f>IFERROR(Serie_Historica!Z701/Serie_Historica!Z698,"")</f>
        <v>0.6154331316771785</v>
      </c>
      <c r="X214" s="19">
        <f>IFERROR((W214-D214)*100,"")</f>
        <v>2.5859975594852869</v>
      </c>
    </row>
    <row r="215" spans="1:24">
      <c r="A215" s="28" t="s">
        <v>413</v>
      </c>
      <c r="B215" s="28" t="s">
        <v>414</v>
      </c>
      <c r="C215" s="28" t="s">
        <v>504</v>
      </c>
      <c r="D215" s="31">
        <f>IFERROR(Serie_Historica!G709/Serie_Historica!G708,"")</f>
        <v>6.3363119415109664E-2</v>
      </c>
      <c r="E215" s="31">
        <f>IFERROR(Serie_Historica!H709/Serie_Historica!H708,"")</f>
        <v>3.960628075931568E-2</v>
      </c>
      <c r="F215" s="31">
        <f>IFERROR(Serie_Historica!I709/Serie_Historica!I708,"")</f>
        <v>4.127266659250195E-2</v>
      </c>
      <c r="G215" s="31">
        <f>IFERROR(Serie_Historica!J709/Serie_Historica!J708,"")</f>
        <v>4.2994436014162876E-2</v>
      </c>
      <c r="H215" s="31">
        <f>IFERROR(Serie_Historica!K709/Serie_Historica!K708,"")</f>
        <v>6.2081286288521664E-2</v>
      </c>
      <c r="I215" s="31">
        <f>IFERROR(Serie_Historica!L709/Serie_Historica!L708,"")</f>
        <v>0.18159043733447855</v>
      </c>
      <c r="J215" s="31">
        <f>IFERROR(Serie_Historica!M709/Serie_Historica!M708,"")</f>
        <v>0.14252270147559593</v>
      </c>
      <c r="K215" s="31">
        <f>IFERROR(Serie_Historica!N709/Serie_Historica!N708,"")</f>
        <v>0.10585823856122718</v>
      </c>
      <c r="L215" s="31">
        <f>IFERROR(Serie_Historica!O709/Serie_Historica!O708,"")</f>
        <v>0.11339349323201139</v>
      </c>
      <c r="M215" s="31">
        <f>IFERROR(Serie_Historica!P709/Serie_Historica!P708,"")</f>
        <v>5.34486582390774E-2</v>
      </c>
      <c r="N215" s="31">
        <f>IFERROR(Serie_Historica!Q709/Serie_Historica!Q708,"")</f>
        <v>7.6556005952075526E-2</v>
      </c>
      <c r="O215" s="31">
        <f>IFERROR(Serie_Historica!R709/Serie_Historica!R708,"")</f>
        <v>0.14140281252696058</v>
      </c>
      <c r="P215" s="31">
        <f>IFERROR(Serie_Historica!S709/Serie_Historica!S708,"")</f>
        <v>9.9373164423793445E-2</v>
      </c>
      <c r="Q215" s="31">
        <f>IFERROR(Serie_Historica!T709/Serie_Historica!T708,"")</f>
        <v>0.17965525613012867</v>
      </c>
      <c r="R215" s="31">
        <f>IFERROR(Serie_Historica!U709/Serie_Historica!U708,"")</f>
        <v>0.160226331769252</v>
      </c>
      <c r="S215" s="31">
        <f>IFERROR(Serie_Historica!V709/Serie_Historica!V708,"")</f>
        <v>0.13943555540953445</v>
      </c>
      <c r="T215" s="31">
        <f>IFERROR(Serie_Historica!W709/Serie_Historica!W708,"")</f>
        <v>0.20713163682060948</v>
      </c>
      <c r="U215" s="31">
        <f>IFERROR(Serie_Historica!X709/Serie_Historica!X708,"")</f>
        <v>0.19966740888976578</v>
      </c>
      <c r="V215" s="31">
        <f>IFERROR(Serie_Historica!Y709/Serie_Historica!Y708,"")</f>
        <v>0.1966041108132261</v>
      </c>
      <c r="W215" s="31">
        <f>IFERROR(Serie_Historica!Z709/Serie_Historica!Z708,"")</f>
        <v>0.16012360607282011</v>
      </c>
      <c r="X215" s="19">
        <f>IFERROR((W215-D215)*100,"")</f>
        <v>9.6760486657710452</v>
      </c>
    </row>
    <row r="216" spans="1:24">
      <c r="A216" s="28" t="s">
        <v>413</v>
      </c>
      <c r="B216" s="28" t="s">
        <v>414</v>
      </c>
      <c r="C216" s="28" t="s">
        <v>505</v>
      </c>
      <c r="D216" s="31">
        <f>IFERROR(Serie_Historica!G710/Serie_Historica!G708,"")</f>
        <v>0.17952883834281072</v>
      </c>
      <c r="E216" s="31">
        <f>IFERROR(Serie_Historica!H710/Serie_Historica!H708,"")</f>
        <v>0.17119756269041481</v>
      </c>
      <c r="F216" s="31">
        <f>IFERROR(Serie_Historica!I710/Serie_Historica!I708,"")</f>
        <v>0.18633885860496163</v>
      </c>
      <c r="G216" s="31">
        <f>IFERROR(Serie_Historica!J710/Serie_Historica!J708,"")</f>
        <v>0.17410217501264541</v>
      </c>
      <c r="H216" s="31">
        <f>IFERROR(Serie_Historica!K710/Serie_Historica!K708,"")</f>
        <v>0.17472085752568112</v>
      </c>
      <c r="I216" s="31">
        <f>IFERROR(Serie_Historica!L710/Serie_Historica!L708,"")</f>
        <v>0.17028129697229977</v>
      </c>
      <c r="J216" s="31">
        <f>IFERROR(Serie_Historica!M710/Serie_Historica!M708,"")</f>
        <v>0.15139046538024972</v>
      </c>
      <c r="K216" s="31">
        <f>IFERROR(Serie_Historica!N710/Serie_Historica!N708,"")</f>
        <v>0.16728378735784183</v>
      </c>
      <c r="L216" s="31">
        <f>IFERROR(Serie_Historica!O710/Serie_Historica!O708,"")</f>
        <v>0.17673949180717169</v>
      </c>
      <c r="M216" s="31">
        <f>IFERROR(Serie_Historica!P710/Serie_Historica!P708,"")</f>
        <v>0.17891993790197383</v>
      </c>
      <c r="N216" s="31">
        <f>IFERROR(Serie_Historica!Q710/Serie_Historica!Q708,"")</f>
        <v>0.18764431217609934</v>
      </c>
      <c r="O216" s="31">
        <f>IFERROR(Serie_Historica!R710/Serie_Historica!R708,"")</f>
        <v>0.17828487619704944</v>
      </c>
      <c r="P216" s="31">
        <f>IFERROR(Serie_Historica!S710/Serie_Historica!S708,"")</f>
        <v>0.18068645070792969</v>
      </c>
      <c r="Q216" s="31">
        <f>IFERROR(Serie_Historica!T710/Serie_Historica!T708,"")</f>
        <v>0.18163215759719767</v>
      </c>
      <c r="R216" s="31">
        <f>IFERROR(Serie_Historica!U710/Serie_Historica!U708,"")</f>
        <v>0.17882279878553684</v>
      </c>
      <c r="S216" s="31">
        <f>IFERROR(Serie_Historica!V710/Serie_Historica!V708,"")</f>
        <v>0.17491868449584388</v>
      </c>
      <c r="T216" s="31">
        <f>IFERROR(Serie_Historica!W710/Serie_Historica!W708,"")</f>
        <v>0.18224945020420988</v>
      </c>
      <c r="U216" s="31">
        <f>IFERROR(Serie_Historica!X710/Serie_Historica!X708,"")</f>
        <v>0.18582823642154514</v>
      </c>
      <c r="V216" s="31">
        <f>IFERROR(Serie_Historica!Y710/Serie_Historica!Y708,"")</f>
        <v>0.18641085790884718</v>
      </c>
      <c r="W216" s="31">
        <f>IFERROR(Serie_Historica!Z710/Serie_Historica!Z708,"")</f>
        <v>0.19089076985086659</v>
      </c>
      <c r="X216" s="19">
        <f>IFERROR((W216-D216)*100,"")</f>
        <v>1.1361931508055867</v>
      </c>
    </row>
    <row r="217" spans="1:24">
      <c r="A217" s="28" t="s">
        <v>413</v>
      </c>
      <c r="B217" s="28" t="s">
        <v>414</v>
      </c>
      <c r="C217" s="28" t="s">
        <v>506</v>
      </c>
      <c r="D217" s="31">
        <f>IFERROR(Serie_Historica!G711/Serie_Historica!G708,"")</f>
        <v>0.56715407527755213</v>
      </c>
      <c r="E217" s="31">
        <f>IFERROR(Serie_Historica!H711/Serie_Historica!H708,"")</f>
        <v>0.54171549097726746</v>
      </c>
      <c r="F217" s="31">
        <f>IFERROR(Serie_Historica!I711/Serie_Historica!I708,"")</f>
        <v>0.59283568806318832</v>
      </c>
      <c r="G217" s="31">
        <f>IFERROR(Serie_Historica!J711/Serie_Historica!J708,"")</f>
        <v>0.60141628730399599</v>
      </c>
      <c r="H217" s="31">
        <f>IFERROR(Serie_Historica!K711/Serie_Historica!K708,"")</f>
        <v>0.62161679321125507</v>
      </c>
      <c r="I217" s="31">
        <f>IFERROR(Serie_Historica!L711/Serie_Historica!L708,"")</f>
        <v>0.54548708038078875</v>
      </c>
      <c r="J217" s="31">
        <f>IFERROR(Serie_Historica!M711/Serie_Historica!M708,"")</f>
        <v>0.56271282633371167</v>
      </c>
      <c r="K217" s="31">
        <f>IFERROR(Serie_Historica!N711/Serie_Historica!N708,"")</f>
        <v>0.60572599841311825</v>
      </c>
      <c r="L217" s="31">
        <f>IFERROR(Serie_Historica!O711/Serie_Historica!O708,"")</f>
        <v>0.60876276418902875</v>
      </c>
      <c r="M217" s="31">
        <f>IFERROR(Serie_Historica!P711/Serie_Historica!P708,"")</f>
        <v>0.637447327567088</v>
      </c>
      <c r="N217" s="31">
        <f>IFERROR(Serie_Historica!Q711/Serie_Historica!Q708,"")</f>
        <v>0.66637590435630356</v>
      </c>
      <c r="O217" s="31">
        <f>IFERROR(Serie_Historica!R711/Serie_Historica!R708,"")</f>
        <v>0.62009317573979816</v>
      </c>
      <c r="P217" s="31">
        <f>IFERROR(Serie_Historica!S711/Serie_Historica!S708,"")</f>
        <v>0.65339937754788935</v>
      </c>
      <c r="Q217" s="31">
        <f>IFERROR(Serie_Historica!T711/Serie_Historica!T708,"")</f>
        <v>0.58079284153574029</v>
      </c>
      <c r="R217" s="31">
        <f>IFERROR(Serie_Historica!U711/Serie_Historica!U708,"")</f>
        <v>0.59895114545956385</v>
      </c>
      <c r="S217" s="31">
        <f>IFERROR(Serie_Historica!V711/Serie_Historica!V708,"")</f>
        <v>0.62555442389197358</v>
      </c>
      <c r="T217" s="31">
        <f>IFERROR(Serie_Historica!W711/Serie_Historica!W708,"")</f>
        <v>0.58454288407163058</v>
      </c>
      <c r="U217" s="31">
        <f>IFERROR(Serie_Historica!X711/Serie_Historica!X708,"")</f>
        <v>0.58034330167141124</v>
      </c>
      <c r="V217" s="31">
        <f>IFERROR(Serie_Historica!Y711/Serie_Historica!Y708,"")</f>
        <v>0.55431747095621087</v>
      </c>
      <c r="W217" s="31">
        <f>IFERROR(Serie_Historica!Z711/Serie_Historica!Z708,"")</f>
        <v>0.60166599489453176</v>
      </c>
      <c r="X217" s="19">
        <f>IFERROR((W217-D217)*100,"")</f>
        <v>3.4511919616979636</v>
      </c>
    </row>
    <row r="218" spans="1:24">
      <c r="A218" s="28" t="s">
        <v>185</v>
      </c>
      <c r="B218" s="28" t="s">
        <v>186</v>
      </c>
      <c r="C218" s="28" t="s">
        <v>504</v>
      </c>
      <c r="D218" s="31">
        <f>IFERROR(Serie_Historica!G719/Serie_Historica!G718,"")</f>
        <v>5.2773797338792221E-2</v>
      </c>
      <c r="E218" s="31">
        <f>IFERROR(Serie_Historica!H719/Serie_Historica!H718,"")</f>
        <v>3.3626686138119213E-2</v>
      </c>
      <c r="F218" s="31">
        <f>IFERROR(Serie_Historica!I719/Serie_Historica!I718,"")</f>
        <v>3.5894436727830985E-2</v>
      </c>
      <c r="G218" s="31">
        <f>IFERROR(Serie_Historica!J719/Serie_Historica!J718,"")</f>
        <v>3.8772161266450014E-2</v>
      </c>
      <c r="H218" s="31">
        <f>IFERROR(Serie_Historica!K719/Serie_Historica!K718,"")</f>
        <v>3.5005963773543036E-2</v>
      </c>
      <c r="I218" s="31">
        <f>IFERROR(Serie_Historica!L719/Serie_Historica!L718,"")</f>
        <v>3.408021567181261E-2</v>
      </c>
      <c r="J218" s="31">
        <f>IFERROR(Serie_Historica!M719/Serie_Historica!M718,"")</f>
        <v>3.5759283439855225E-2</v>
      </c>
      <c r="K218" s="31">
        <f>IFERROR(Serie_Historica!N719/Serie_Historica!N718,"")</f>
        <v>3.7712382901045116E-2</v>
      </c>
      <c r="L218" s="31">
        <f>IFERROR(Serie_Historica!O719/Serie_Historica!O718,"")</f>
        <v>2.7534550058022998E-2</v>
      </c>
      <c r="M218" s="31">
        <f>IFERROR(Serie_Historica!P719/Serie_Historica!P718,"")</f>
        <v>3.0527119506815227E-2</v>
      </c>
      <c r="N218" s="31">
        <f>IFERROR(Serie_Historica!Q719/Serie_Historica!Q718,"")</f>
        <v>0.23221803018268466</v>
      </c>
      <c r="O218" s="31">
        <f>IFERROR(Serie_Historica!R719/Serie_Historica!R718,"")</f>
        <v>0.36215074911783424</v>
      </c>
      <c r="P218" s="31">
        <f>IFERROR(Serie_Historica!S719/Serie_Historica!S718,"")</f>
        <v>0.30050409312383281</v>
      </c>
      <c r="Q218" s="31">
        <f>IFERROR(Serie_Historica!T719/Serie_Historica!T718,"")</f>
        <v>0.10530990669384924</v>
      </c>
      <c r="R218" s="31">
        <f>IFERROR(Serie_Historica!U719/Serie_Historica!U718,"")</f>
        <v>0.10661561062543651</v>
      </c>
      <c r="S218" s="31">
        <f>IFERROR(Serie_Historica!V719/Serie_Historica!V718,"")</f>
        <v>0.3523008657617438</v>
      </c>
      <c r="T218" s="31">
        <f>IFERROR(Serie_Historica!W719/Serie_Historica!W718,"")</f>
        <v>0.45956706062650443</v>
      </c>
      <c r="U218" s="31">
        <f>IFERROR(Serie_Historica!X719/Serie_Historica!X718,"")</f>
        <v>0.32427397854337403</v>
      </c>
      <c r="V218" s="31">
        <f>IFERROR(Serie_Historica!Y719/Serie_Historica!Y718,"")</f>
        <v>0.3173084342927695</v>
      </c>
      <c r="W218" s="31">
        <f>IFERROR(Serie_Historica!Z719/Serie_Historica!Z718,"")</f>
        <v>0.32598318759768513</v>
      </c>
      <c r="X218" s="19">
        <f>IFERROR((W218-D218)*100,"")</f>
        <v>27.320939025889292</v>
      </c>
    </row>
    <row r="219" spans="1:24">
      <c r="A219" s="28" t="s">
        <v>185</v>
      </c>
      <c r="B219" s="28" t="s">
        <v>186</v>
      </c>
      <c r="C219" s="28" t="s">
        <v>505</v>
      </c>
      <c r="D219" s="31">
        <f>IFERROR(Serie_Historica!G720/Serie_Historica!G718,"")</f>
        <v>0.15643807574206756</v>
      </c>
      <c r="E219" s="31">
        <f>IFERROR(Serie_Historica!H720/Serie_Historica!H718,"")</f>
        <v>0.16471311632911878</v>
      </c>
      <c r="F219" s="31">
        <f>IFERROR(Serie_Historica!I720/Serie_Historica!I718,"")</f>
        <v>0.16737334600482492</v>
      </c>
      <c r="G219" s="31">
        <f>IFERROR(Serie_Historica!J720/Serie_Historica!J718,"")</f>
        <v>0.17796582901637761</v>
      </c>
      <c r="H219" s="31">
        <f>IFERROR(Serie_Historica!K720/Serie_Historica!K718,"")</f>
        <v>0.17730437435854762</v>
      </c>
      <c r="I219" s="31">
        <f>IFERROR(Serie_Historica!L720/Serie_Historica!L718,"")</f>
        <v>0.17337673898115416</v>
      </c>
      <c r="J219" s="31">
        <f>IFERROR(Serie_Historica!M720/Serie_Historica!M718,"")</f>
        <v>0.16003482005818614</v>
      </c>
      <c r="K219" s="31">
        <f>IFERROR(Serie_Historica!N720/Serie_Historica!N718,"")</f>
        <v>0.17058835329281258</v>
      </c>
      <c r="L219" s="31">
        <f>IFERROR(Serie_Historica!O720/Serie_Historica!O718,"")</f>
        <v>0.18212188346168723</v>
      </c>
      <c r="M219" s="31">
        <f>IFERROR(Serie_Historica!P720/Serie_Historica!P718,"")</f>
        <v>0.23567671511792321</v>
      </c>
      <c r="N219" s="31">
        <f>IFERROR(Serie_Historica!Q720/Serie_Historica!Q718,"")</f>
        <v>0.2028693407466243</v>
      </c>
      <c r="O219" s="31">
        <f>IFERROR(Serie_Historica!R720/Serie_Historica!R718,"")</f>
        <v>0.18321571122809047</v>
      </c>
      <c r="P219" s="31">
        <f>IFERROR(Serie_Historica!S720/Serie_Historica!S718,"")</f>
        <v>0.20788575761405281</v>
      </c>
      <c r="Q219" s="31">
        <f>IFERROR(Serie_Historica!T720/Serie_Historica!T718,"")</f>
        <v>0.24961721638060111</v>
      </c>
      <c r="R219" s="31">
        <f>IFERROR(Serie_Historica!U720/Serie_Historica!U718,"")</f>
        <v>0.25149114145573936</v>
      </c>
      <c r="S219" s="31">
        <f>IFERROR(Serie_Historica!V720/Serie_Historica!V718,"")</f>
        <v>0.24492110542772969</v>
      </c>
      <c r="T219" s="31">
        <f>IFERROR(Serie_Historica!W720/Serie_Historica!W718,"")</f>
        <v>0.18322880487743934</v>
      </c>
      <c r="U219" s="31">
        <f>IFERROR(Serie_Historica!X720/Serie_Historica!X718,"")</f>
        <v>0.18506216705023137</v>
      </c>
      <c r="V219" s="31">
        <f>IFERROR(Serie_Historica!Y720/Serie_Historica!Y718,"")</f>
        <v>0.19032877446062924</v>
      </c>
      <c r="W219" s="31">
        <f>IFERROR(Serie_Historica!Z720/Serie_Historica!Z718,"")</f>
        <v>0.19865669750348497</v>
      </c>
      <c r="X219" s="19">
        <f>IFERROR((W219-D219)*100,"")</f>
        <v>4.221862176141741</v>
      </c>
    </row>
    <row r="220" spans="1:24">
      <c r="A220" s="28" t="s">
        <v>185</v>
      </c>
      <c r="B220" s="28" t="s">
        <v>186</v>
      </c>
      <c r="C220" s="28" t="s">
        <v>506</v>
      </c>
      <c r="D220" s="31">
        <f>IFERROR(Serie_Historica!G721/Serie_Historica!G718,"")</f>
        <v>0.61633572159672467</v>
      </c>
      <c r="E220" s="31">
        <f>IFERROR(Serie_Historica!H721/Serie_Historica!H718,"")</f>
        <v>0.63967564659313636</v>
      </c>
      <c r="F220" s="31">
        <f>IFERROR(Serie_Historica!I721/Serie_Historica!I718,"")</f>
        <v>0.6233642810146941</v>
      </c>
      <c r="G220" s="31">
        <f>IFERROR(Serie_Historica!J721/Serie_Historica!J718,"")</f>
        <v>0.67878631873612405</v>
      </c>
      <c r="H220" s="31">
        <f>IFERROR(Serie_Historica!K721/Serie_Historica!K718,"")</f>
        <v>0.66866383734154389</v>
      </c>
      <c r="I220" s="31">
        <f>IFERROR(Serie_Historica!L721/Serie_Historica!L718,"")</f>
        <v>0.71105572369592307</v>
      </c>
      <c r="J220" s="31">
        <f>IFERROR(Serie_Historica!M721/Serie_Historica!M718,"")</f>
        <v>0.71383410074908937</v>
      </c>
      <c r="K220" s="31">
        <f>IFERROR(Serie_Historica!N721/Serie_Historica!N718,"")</f>
        <v>0.6928847966941486</v>
      </c>
      <c r="L220" s="31">
        <f>IFERROR(Serie_Historica!O721/Serie_Historica!O718,"")</f>
        <v>0.70381896824559553</v>
      </c>
      <c r="M220" s="31">
        <f>IFERROR(Serie_Historica!P721/Serie_Historica!P718,"")</f>
        <v>0.65986086759798657</v>
      </c>
      <c r="N220" s="31">
        <f>IFERROR(Serie_Historica!Q721/Serie_Historica!Q718,"")</f>
        <v>0.51875496425734713</v>
      </c>
      <c r="O220" s="31">
        <f>IFERROR(Serie_Historica!R721/Serie_Historica!R718,"")</f>
        <v>0.41875397697691907</v>
      </c>
      <c r="P220" s="31">
        <f>IFERROR(Serie_Historica!S721/Serie_Historica!S718,"")</f>
        <v>0.4488464832834857</v>
      </c>
      <c r="Q220" s="31">
        <f>IFERROR(Serie_Historica!T721/Serie_Historica!T718,"")</f>
        <v>0.588234796511382</v>
      </c>
      <c r="R220" s="31">
        <f>IFERROR(Serie_Historica!U721/Serie_Historica!U718,"")</f>
        <v>0.58003195016416609</v>
      </c>
      <c r="S220" s="31">
        <f>IFERROR(Serie_Historica!V721/Serie_Historica!V718,"")</f>
        <v>0.36058344027328432</v>
      </c>
      <c r="T220" s="31">
        <f>IFERROR(Serie_Historica!W721/Serie_Historica!W718,"")</f>
        <v>0.32507516886967674</v>
      </c>
      <c r="U220" s="31">
        <f>IFERROR(Serie_Historica!X721/Serie_Historica!X718,"")</f>
        <v>0.4382937202162418</v>
      </c>
      <c r="V220" s="31">
        <f>IFERROR(Serie_Historica!Y721/Serie_Historica!Y718,"")</f>
        <v>0.42242729331874734</v>
      </c>
      <c r="W220" s="31">
        <f>IFERROR(Serie_Historica!Z721/Serie_Historica!Z718,"")</f>
        <v>0.41025641025641024</v>
      </c>
      <c r="X220" s="19">
        <f>IFERROR((W220-D220)*100,"")</f>
        <v>-20.607931134031443</v>
      </c>
    </row>
    <row r="221" spans="1:24">
      <c r="A221" s="28" t="s">
        <v>291</v>
      </c>
      <c r="B221" s="28" t="s">
        <v>292</v>
      </c>
      <c r="C221" s="28" t="s">
        <v>504</v>
      </c>
      <c r="D221" s="31">
        <f>IFERROR(Serie_Historica!G729/Serie_Historica!G728,"")</f>
        <v>4.7800338409475465E-2</v>
      </c>
      <c r="E221" s="31">
        <f>IFERROR(Serie_Historica!H729/Serie_Historica!H728,"")</f>
        <v>3.063063063063063E-2</v>
      </c>
      <c r="F221" s="31">
        <f>IFERROR(Serie_Historica!I729/Serie_Historica!I728,"")</f>
        <v>3.5803989165230241E-2</v>
      </c>
      <c r="G221" s="31">
        <f>IFERROR(Serie_Historica!J729/Serie_Historica!J728,"")</f>
        <v>3.5738967321551983E-2</v>
      </c>
      <c r="H221" s="31">
        <f>IFERROR(Serie_Historica!K729/Serie_Historica!K728,"")</f>
        <v>3.4447506445017338E-2</v>
      </c>
      <c r="I221" s="31">
        <f>IFERROR(Serie_Historica!L729/Serie_Historica!L728,"")</f>
        <v>4.7293140572131652E-2</v>
      </c>
      <c r="J221" s="31">
        <f>IFERROR(Serie_Historica!M729/Serie_Historica!M728,"")</f>
        <v>4.5902192242833054E-2</v>
      </c>
      <c r="K221" s="31">
        <f>IFERROR(Serie_Historica!N729/Serie_Historica!N728,"")</f>
        <v>5.0559768869628027E-2</v>
      </c>
      <c r="L221" s="31">
        <f>IFERROR(Serie_Historica!O729/Serie_Historica!O728,"")</f>
        <v>3.4180313538084969E-2</v>
      </c>
      <c r="M221" s="31">
        <f>IFERROR(Serie_Historica!P729/Serie_Historica!P728,"")</f>
        <v>7.6547401410289886E-2</v>
      </c>
      <c r="N221" s="31">
        <f>IFERROR(Serie_Historica!Q729/Serie_Historica!Q728,"")</f>
        <v>3.4850878452774188E-2</v>
      </c>
      <c r="O221" s="31">
        <f>IFERROR(Serie_Historica!R729/Serie_Historica!R728,"")</f>
        <v>3.2026050239748083E-2</v>
      </c>
      <c r="P221" s="31">
        <f>IFERROR(Serie_Historica!S729/Serie_Historica!S728,"")</f>
        <v>3.2689899382476142E-2</v>
      </c>
      <c r="Q221" s="31">
        <f>IFERROR(Serie_Historica!T729/Serie_Historica!T728,"")</f>
        <v>3.7532275912947249E-2</v>
      </c>
      <c r="R221" s="31">
        <f>IFERROR(Serie_Historica!U729/Serie_Historica!U728,"")</f>
        <v>4.3113984589496057E-2</v>
      </c>
      <c r="S221" s="31">
        <f>IFERROR(Serie_Historica!V729/Serie_Historica!V728,"")</f>
        <v>4.065910218253968E-2</v>
      </c>
      <c r="T221" s="31">
        <f>IFERROR(Serie_Historica!W729/Serie_Historica!W728,"")</f>
        <v>3.7678051769030482E-2</v>
      </c>
      <c r="U221" s="31">
        <f>IFERROR(Serie_Historica!X729/Serie_Historica!X728,"")</f>
        <v>3.6177188167124126E-2</v>
      </c>
      <c r="V221" s="31">
        <f>IFERROR(Serie_Historica!Y729/Serie_Historica!Y728,"")</f>
        <v>3.3711185446980534E-2</v>
      </c>
      <c r="W221" s="31">
        <f>IFERROR(Serie_Historica!Z729/Serie_Historica!Z728,"")</f>
        <v>3.964969577666428E-2</v>
      </c>
      <c r="X221" s="19">
        <f>IFERROR((W221-D221)*100,"")</f>
        <v>-0.81506426328111847</v>
      </c>
    </row>
    <row r="222" spans="1:24">
      <c r="A222" s="28" t="s">
        <v>291</v>
      </c>
      <c r="B222" s="28" t="s">
        <v>292</v>
      </c>
      <c r="C222" s="28" t="s">
        <v>505</v>
      </c>
      <c r="D222" s="31">
        <f>IFERROR(Serie_Historica!G730/Serie_Historica!G728,"")</f>
        <v>0.18887478849407782</v>
      </c>
      <c r="E222" s="31">
        <f>IFERROR(Serie_Historica!H730/Serie_Historica!H728,"")</f>
        <v>0.18492492492492493</v>
      </c>
      <c r="F222" s="31">
        <f>IFERROR(Serie_Historica!I730/Serie_Historica!I728,"")</f>
        <v>0.18763851268160553</v>
      </c>
      <c r="G222" s="31">
        <f>IFERROR(Serie_Historica!J730/Serie_Historica!J728,"")</f>
        <v>0.18669167736202982</v>
      </c>
      <c r="H222" s="31">
        <f>IFERROR(Serie_Historica!K730/Serie_Historica!K728,"")</f>
        <v>0.18734998666548139</v>
      </c>
      <c r="I222" s="31">
        <f>IFERROR(Serie_Historica!L730/Serie_Historica!L728,"")</f>
        <v>0.18213626576438019</v>
      </c>
      <c r="J222" s="31">
        <f>IFERROR(Serie_Historica!M730/Serie_Historica!M728,"")</f>
        <v>0.16934232715008432</v>
      </c>
      <c r="K222" s="31">
        <f>IFERROR(Serie_Historica!N730/Serie_Historica!N728,"")</f>
        <v>0.19130634623592371</v>
      </c>
      <c r="L222" s="31">
        <f>IFERROR(Serie_Historica!O730/Serie_Historica!O728,"")</f>
        <v>0.21210443499038406</v>
      </c>
      <c r="M222" s="31">
        <f>IFERROR(Serie_Historica!P730/Serie_Historica!P728,"")</f>
        <v>0.19015408722904154</v>
      </c>
      <c r="N222" s="31">
        <f>IFERROR(Serie_Historica!Q730/Serie_Historica!Q728,"")</f>
        <v>0.20570635262578391</v>
      </c>
      <c r="O222" s="31">
        <f>IFERROR(Serie_Historica!R730/Serie_Historica!R728,"")</f>
        <v>0.20620124525871322</v>
      </c>
      <c r="P222" s="31">
        <f>IFERROR(Serie_Historica!S730/Serie_Historica!S728,"")</f>
        <v>0.20177484130068662</v>
      </c>
      <c r="Q222" s="31">
        <f>IFERROR(Serie_Historica!T730/Serie_Historica!T728,"")</f>
        <v>0.21606418295831797</v>
      </c>
      <c r="R222" s="31">
        <f>IFERROR(Serie_Historica!U730/Serie_Historica!U728,"")</f>
        <v>0.22277920467629084</v>
      </c>
      <c r="S222" s="31">
        <f>IFERROR(Serie_Historica!V730/Serie_Historica!V728,"")</f>
        <v>0.22181919642857142</v>
      </c>
      <c r="T222" s="31">
        <f>IFERROR(Serie_Historica!W730/Serie_Historica!W728,"")</f>
        <v>0.2643172419554714</v>
      </c>
      <c r="U222" s="31">
        <f>IFERROR(Serie_Historica!X730/Serie_Historica!X728,"")</f>
        <v>0.27017891633628138</v>
      </c>
      <c r="V222" s="31">
        <f>IFERROR(Serie_Historica!Y730/Serie_Historica!Y728,"")</f>
        <v>0.2830344794978783</v>
      </c>
      <c r="W222" s="31">
        <f>IFERROR(Serie_Historica!Z730/Serie_Historica!Z728,"")</f>
        <v>0.29302746957766646</v>
      </c>
      <c r="X222" s="19">
        <f>IFERROR((W222-D222)*100,"")</f>
        <v>10.415268108358863</v>
      </c>
    </row>
    <row r="223" spans="1:24">
      <c r="A223" s="28" t="s">
        <v>291</v>
      </c>
      <c r="B223" s="28" t="s">
        <v>292</v>
      </c>
      <c r="C223" s="28" t="s">
        <v>506</v>
      </c>
      <c r="D223" s="31">
        <f>IFERROR(Serie_Historica!G731/Serie_Historica!G728,"")</f>
        <v>0.60286238014664406</v>
      </c>
      <c r="E223" s="31">
        <f>IFERROR(Serie_Historica!H731/Serie_Historica!H728,"")</f>
        <v>0.53159159159159164</v>
      </c>
      <c r="F223" s="31">
        <f>IFERROR(Serie_Historica!I731/Serie_Historica!I728,"")</f>
        <v>0.50307805959123364</v>
      </c>
      <c r="G223" s="31">
        <f>IFERROR(Serie_Historica!J731/Serie_Historica!J728,"")</f>
        <v>0.57957350182643896</v>
      </c>
      <c r="H223" s="31">
        <f>IFERROR(Serie_Historica!K731/Serie_Historica!K728,"")</f>
        <v>0.59107476220108457</v>
      </c>
      <c r="I223" s="31">
        <f>IFERROR(Serie_Historica!L731/Serie_Historica!L728,"")</f>
        <v>0.60069978468163643</v>
      </c>
      <c r="J223" s="31">
        <f>IFERROR(Serie_Historica!M731/Serie_Historica!M728,"")</f>
        <v>0.61059021922428336</v>
      </c>
      <c r="K223" s="31">
        <f>IFERROR(Serie_Historica!N731/Serie_Historica!N728,"")</f>
        <v>0.63862897665714569</v>
      </c>
      <c r="L223" s="31">
        <f>IFERROR(Serie_Historica!O731/Serie_Historica!O728,"")</f>
        <v>0.6494259572236144</v>
      </c>
      <c r="M223" s="31">
        <f>IFERROR(Serie_Historica!P731/Serie_Historica!P728,"")</f>
        <v>0.63366414207364852</v>
      </c>
      <c r="N223" s="31">
        <f>IFERROR(Serie_Historica!Q731/Serie_Historica!Q728,"")</f>
        <v>0.70264253913543018</v>
      </c>
      <c r="O223" s="31">
        <f>IFERROR(Serie_Historica!R731/Serie_Historica!R728,"")</f>
        <v>0.70670221140771483</v>
      </c>
      <c r="P223" s="31">
        <f>IFERROR(Serie_Historica!S731/Serie_Historica!S728,"")</f>
        <v>0.70449540095867336</v>
      </c>
      <c r="Q223" s="31">
        <f>IFERROR(Serie_Historica!T731/Serie_Historica!T728,"")</f>
        <v>0.6817041682036149</v>
      </c>
      <c r="R223" s="31">
        <f>IFERROR(Serie_Historica!U731/Serie_Historica!U728,"")</f>
        <v>0.67035692144185632</v>
      </c>
      <c r="S223" s="31">
        <f>IFERROR(Serie_Historica!V731/Serie_Historica!V728,"")</f>
        <v>0.67740885416666663</v>
      </c>
      <c r="T223" s="31">
        <f>IFERROR(Serie_Historica!W731/Serie_Historica!W728,"")</f>
        <v>0.63235355546582384</v>
      </c>
      <c r="U223" s="31">
        <f>IFERROR(Serie_Historica!X731/Serie_Historica!X728,"")</f>
        <v>0.64055352241537056</v>
      </c>
      <c r="V223" s="31">
        <f>IFERROR(Serie_Historica!Y731/Serie_Historica!Y728,"")</f>
        <v>0.62951974562948432</v>
      </c>
      <c r="W223" s="31">
        <f>IFERROR(Serie_Historica!Z731/Serie_Historica!Z728,"")</f>
        <v>0.61926225841088045</v>
      </c>
      <c r="X223" s="19">
        <f>IFERROR((W223-D223)*100,"")</f>
        <v>1.6399878264236389</v>
      </c>
    </row>
    <row r="224" spans="1:24">
      <c r="A224" s="28" t="s">
        <v>213</v>
      </c>
      <c r="B224" s="28" t="s">
        <v>214</v>
      </c>
      <c r="C224" s="28" t="s">
        <v>504</v>
      </c>
      <c r="D224" s="31">
        <f>IFERROR(Serie_Historica!G739/Serie_Historica!G738,"")</f>
        <v>0.13309369531286952</v>
      </c>
      <c r="E224" s="31">
        <f>IFERROR(Serie_Historica!H739/Serie_Historica!H738,"")</f>
        <v>8.4764782045748818E-2</v>
      </c>
      <c r="F224" s="31">
        <f>IFERROR(Serie_Historica!I739/Serie_Historica!I738,"")</f>
        <v>8.6065414381830199E-2</v>
      </c>
      <c r="G224" s="31">
        <f>IFERROR(Serie_Historica!J739/Serie_Historica!J738,"")</f>
        <v>0.11589817301509249</v>
      </c>
      <c r="H224" s="31">
        <f>IFERROR(Serie_Historica!K739/Serie_Historica!K738,"")</f>
        <v>0.11053850175517216</v>
      </c>
      <c r="I224" s="31">
        <f>IFERROR(Serie_Historica!L739/Serie_Historica!L738,"")</f>
        <v>7.311780090145234E-2</v>
      </c>
      <c r="J224" s="31">
        <f>IFERROR(Serie_Historica!M739/Serie_Historica!M738,"")</f>
        <v>0.10857012612065035</v>
      </c>
      <c r="K224" s="31">
        <f>IFERROR(Serie_Historica!N739/Serie_Historica!N738,"")</f>
        <v>5.7440237904609399E-2</v>
      </c>
      <c r="L224" s="31">
        <f>IFERROR(Serie_Historica!O739/Serie_Historica!O738,"")</f>
        <v>4.6511627906976744E-2</v>
      </c>
      <c r="M224" s="31">
        <f>IFERROR(Serie_Historica!P739/Serie_Historica!P738,"")</f>
        <v>7.612523097305024E-2</v>
      </c>
      <c r="N224" s="31">
        <f>IFERROR(Serie_Historica!Q739/Serie_Historica!Q738,"")</f>
        <v>0.10483093700901758</v>
      </c>
      <c r="O224" s="31">
        <f>IFERROR(Serie_Historica!R739/Serie_Historica!R738,"")</f>
        <v>9.0277777777777776E-2</v>
      </c>
      <c r="P224" s="31">
        <f>IFERROR(Serie_Historica!S739/Serie_Historica!S738,"")</f>
        <v>6.7387259881524428E-2</v>
      </c>
      <c r="Q224" s="31">
        <f>IFERROR(Serie_Historica!T739/Serie_Historica!T738,"")</f>
        <v>8.258551036897388E-2</v>
      </c>
      <c r="R224" s="31">
        <f>IFERROR(Serie_Historica!U739/Serie_Historica!U738,"")</f>
        <v>0.10859902051413174</v>
      </c>
      <c r="S224" s="31">
        <f>IFERROR(Serie_Historica!V739/Serie_Historica!V738,"")</f>
        <v>8.1139268894370939E-2</v>
      </c>
      <c r="T224" s="31">
        <f>IFERROR(Serie_Historica!W739/Serie_Historica!W738,"")</f>
        <v>5.5564080268698961E-2</v>
      </c>
      <c r="U224" s="31">
        <f>IFERROR(Serie_Historica!X739/Serie_Historica!X738,"")</f>
        <v>5.2894970226783224E-2</v>
      </c>
      <c r="V224" s="31">
        <f>IFERROR(Serie_Historica!Y739/Serie_Historica!Y738,"")</f>
        <v>4.9294678167720235E-2</v>
      </c>
      <c r="W224" s="31">
        <f>IFERROR(Serie_Historica!Z739/Serie_Historica!Z738,"")</f>
        <v>7.3311447251773049E-2</v>
      </c>
      <c r="X224" s="19">
        <f>IFERROR((W224-D224)*100,"")</f>
        <v>-5.9782248061096475</v>
      </c>
    </row>
    <row r="225" spans="1:24">
      <c r="A225" s="28" t="s">
        <v>213</v>
      </c>
      <c r="B225" s="28" t="s">
        <v>214</v>
      </c>
      <c r="C225" s="28" t="s">
        <v>505</v>
      </c>
      <c r="D225" s="31">
        <f>IFERROR(Serie_Historica!G740/Serie_Historica!G738,"")</f>
        <v>0.33490989925743747</v>
      </c>
      <c r="E225" s="31">
        <f>IFERROR(Serie_Historica!H740/Serie_Historica!H738,"")</f>
        <v>0.35653862753560639</v>
      </c>
      <c r="F225" s="31">
        <f>IFERROR(Serie_Historica!I740/Serie_Historica!I738,"")</f>
        <v>0.35799012172830863</v>
      </c>
      <c r="G225" s="31">
        <f>IFERROR(Serie_Historica!J740/Serie_Historica!J738,"")</f>
        <v>0.33437984642735558</v>
      </c>
      <c r="H225" s="31">
        <f>IFERROR(Serie_Historica!K740/Serie_Historica!K738,"")</f>
        <v>0.34251997908731047</v>
      </c>
      <c r="I225" s="31">
        <f>IFERROR(Serie_Historica!L740/Serie_Historica!L738,"")</f>
        <v>0.30760669968282234</v>
      </c>
      <c r="J225" s="31">
        <f>IFERROR(Serie_Historica!M740/Serie_Historica!M738,"")</f>
        <v>0.25652129868814261</v>
      </c>
      <c r="K225" s="31">
        <f>IFERROR(Serie_Historica!N740/Serie_Historica!N738,"")</f>
        <v>0.29605398604597966</v>
      </c>
      <c r="L225" s="31">
        <f>IFERROR(Serie_Historica!O740/Serie_Historica!O738,"")</f>
        <v>0.30844223623230765</v>
      </c>
      <c r="M225" s="31">
        <f>IFERROR(Serie_Historica!P740/Serie_Historica!P738,"")</f>
        <v>0.32177596485723253</v>
      </c>
      <c r="N225" s="31">
        <f>IFERROR(Serie_Historica!Q740/Serie_Historica!Q738,"")</f>
        <v>0.38120700809337082</v>
      </c>
      <c r="O225" s="31">
        <f>IFERROR(Serie_Historica!R740/Serie_Historica!R738,"")</f>
        <v>0.40831487633813213</v>
      </c>
      <c r="P225" s="31">
        <f>IFERROR(Serie_Historica!S740/Serie_Historica!S738,"")</f>
        <v>0.3913003777978154</v>
      </c>
      <c r="Q225" s="31">
        <f>IFERROR(Serie_Historica!T740/Serie_Historica!T738,"")</f>
        <v>0.37361702127659574</v>
      </c>
      <c r="R225" s="31">
        <f>IFERROR(Serie_Historica!U740/Serie_Historica!U738,"")</f>
        <v>0.36735637157524142</v>
      </c>
      <c r="S225" s="31">
        <f>IFERROR(Serie_Historica!V740/Serie_Historica!V738,"")</f>
        <v>0.40312177618300066</v>
      </c>
      <c r="T225" s="31">
        <f>IFERROR(Serie_Historica!W740/Serie_Historica!W738,"")</f>
        <v>0.44470018583874654</v>
      </c>
      <c r="U225" s="31">
        <f>IFERROR(Serie_Historica!X740/Serie_Historica!X738,"")</f>
        <v>0.44014474851133917</v>
      </c>
      <c r="V225" s="31">
        <f>IFERROR(Serie_Historica!Y740/Serie_Historica!Y738,"")</f>
        <v>0.41366424812381281</v>
      </c>
      <c r="W225" s="31">
        <f>IFERROR(Serie_Historica!Z740/Serie_Historica!Z738,"")</f>
        <v>0.44013879654255317</v>
      </c>
      <c r="X225" s="19">
        <f>IFERROR((W225-D225)*100,"")</f>
        <v>10.52288972851157</v>
      </c>
    </row>
    <row r="226" spans="1:24">
      <c r="A226" s="28" t="s">
        <v>213</v>
      </c>
      <c r="B226" s="28" t="s">
        <v>214</v>
      </c>
      <c r="C226" s="28" t="s">
        <v>506</v>
      </c>
      <c r="D226" s="31">
        <f>IFERROR(Serie_Historica!G741/Serie_Historica!G738,"")</f>
        <v>0.49680745400368914</v>
      </c>
      <c r="E226" s="31">
        <f>IFERROR(Serie_Historica!H741/Serie_Historica!H738,"")</f>
        <v>0.51488994389296505</v>
      </c>
      <c r="F226" s="31">
        <f>IFERROR(Serie_Historica!I741/Serie_Historica!I738,"")</f>
        <v>0.51534243378835609</v>
      </c>
      <c r="G226" s="31">
        <f>IFERROR(Serie_Historica!J741/Serie_Historica!J738,"")</f>
        <v>0.50599538525551313</v>
      </c>
      <c r="H226" s="31">
        <f>IFERROR(Serie_Historica!K741/Serie_Historica!K738,"")</f>
        <v>0.49578011800731941</v>
      </c>
      <c r="I226" s="31">
        <f>IFERROR(Serie_Historica!L741/Serie_Historica!L738,"")</f>
        <v>0.59353959156418679</v>
      </c>
      <c r="J226" s="31">
        <f>IFERROR(Serie_Historica!M741/Serie_Historica!M738,"")</f>
        <v>0.60335308717013625</v>
      </c>
      <c r="K226" s="31">
        <f>IFERROR(Serie_Historica!N741/Serie_Historica!N738,"")</f>
        <v>0.61367951504060392</v>
      </c>
      <c r="L226" s="31">
        <f>IFERROR(Serie_Historica!O741/Serie_Historica!O738,"")</f>
        <v>0.61527702392384453</v>
      </c>
      <c r="M226" s="31">
        <f>IFERROR(Serie_Historica!P741/Serie_Historica!P738,"")</f>
        <v>0.57119199525851549</v>
      </c>
      <c r="N226" s="31">
        <f>IFERROR(Serie_Historica!Q741/Serie_Historica!Q738,"")</f>
        <v>0.49230931727862054</v>
      </c>
      <c r="O226" s="31">
        <f>IFERROR(Serie_Historica!R741/Serie_Historica!R738,"")</f>
        <v>0.48081626061277222</v>
      </c>
      <c r="P226" s="31">
        <f>IFERROR(Serie_Historica!S741/Serie_Historica!S738,"")</f>
        <v>0.51976304886261171</v>
      </c>
      <c r="Q226" s="31">
        <f>IFERROR(Serie_Historica!T741/Serie_Historica!T738,"")</f>
        <v>0.52047401023431183</v>
      </c>
      <c r="R226" s="31">
        <f>IFERROR(Serie_Historica!U741/Serie_Historica!U738,"")</f>
        <v>0.50363865232185356</v>
      </c>
      <c r="S226" s="31">
        <f>IFERROR(Serie_Historica!V741/Serie_Historica!V738,"")</f>
        <v>0.49532182103610672</v>
      </c>
      <c r="T226" s="31">
        <f>IFERROR(Serie_Historica!W741/Serie_Historica!W738,"")</f>
        <v>0.47976233099756194</v>
      </c>
      <c r="U226" s="31">
        <f>IFERROR(Serie_Historica!X741/Serie_Historica!X738,"")</f>
        <v>0.48944476118079311</v>
      </c>
      <c r="V226" s="31">
        <f>IFERROR(Serie_Historica!Y741/Serie_Historica!Y738,"")</f>
        <v>0.51156852365085792</v>
      </c>
      <c r="W226" s="31">
        <f>IFERROR(Serie_Historica!Z741/Serie_Historica!Z738,"")</f>
        <v>0.46047345966312059</v>
      </c>
      <c r="X226" s="19">
        <f>IFERROR((W226-D226)*100,"")</f>
        <v>-3.6333994340568552</v>
      </c>
    </row>
    <row r="227" spans="1:24">
      <c r="A227" s="28" t="s">
        <v>369</v>
      </c>
      <c r="B227" s="28" t="s">
        <v>370</v>
      </c>
      <c r="C227" s="28" t="s">
        <v>504</v>
      </c>
      <c r="D227" s="31">
        <f>IFERROR(Serie_Historica!G749/Serie_Historica!G748,"")</f>
        <v>0.13169286853497381</v>
      </c>
      <c r="E227" s="31">
        <f>IFERROR(Serie_Historica!H749/Serie_Historica!H748,"")</f>
        <v>5.0405989665717597E-2</v>
      </c>
      <c r="F227" s="31">
        <f>IFERROR(Serie_Historica!I749/Serie_Historica!I748,"")</f>
        <v>0.11174785100286533</v>
      </c>
      <c r="G227" s="31">
        <f>IFERROR(Serie_Historica!J749/Serie_Historica!J748,"")</f>
        <v>8.7214225232853521E-2</v>
      </c>
      <c r="H227" s="31">
        <f>IFERROR(Serie_Historica!K749/Serie_Historica!K748,"")</f>
        <v>7.9888917592353392E-2</v>
      </c>
      <c r="I227" s="31">
        <f>IFERROR(Serie_Historica!L749/Serie_Historica!L748,"")</f>
        <v>6.5479056331246996E-2</v>
      </c>
      <c r="J227" s="31">
        <f>IFERROR(Serie_Historica!M749/Serie_Historica!M748,"")</f>
        <v>4.4950773558368497E-2</v>
      </c>
      <c r="K227" s="31">
        <f>IFERROR(Serie_Historica!N749/Serie_Historica!N748,"")</f>
        <v>6.4213450752214712E-2</v>
      </c>
      <c r="L227" s="31">
        <f>IFERROR(Serie_Historica!O749/Serie_Historica!O748,"")</f>
        <v>6.3697228938069561E-2</v>
      </c>
      <c r="M227" s="31">
        <f>IFERROR(Serie_Historica!P749/Serie_Historica!P748,"")</f>
        <v>9.2326235435918044E-2</v>
      </c>
      <c r="N227" s="31">
        <f>IFERROR(Serie_Historica!Q749/Serie_Historica!Q748,"")</f>
        <v>0.10832774174308507</v>
      </c>
      <c r="O227" s="31">
        <f>IFERROR(Serie_Historica!R749/Serie_Historica!R748,"")</f>
        <v>0.10265468860401736</v>
      </c>
      <c r="P227" s="31">
        <f>IFERROR(Serie_Historica!S749/Serie_Historica!S748,"")</f>
        <v>0.11227657714681857</v>
      </c>
      <c r="Q227" s="31">
        <f>IFERROR(Serie_Historica!T749/Serie_Historica!T748,"")</f>
        <v>0.10374149659863946</v>
      </c>
      <c r="R227" s="31">
        <f>IFERROR(Serie_Historica!U749/Serie_Historica!U748,"")</f>
        <v>0.11358043878053203</v>
      </c>
      <c r="S227" s="31">
        <f>IFERROR(Serie_Historica!V749/Serie_Historica!V748,"")</f>
        <v>8.0504678478996616E-2</v>
      </c>
      <c r="T227" s="31">
        <f>IFERROR(Serie_Historica!W749/Serie_Historica!W748,"")</f>
        <v>7.3350353495679491E-2</v>
      </c>
      <c r="U227" s="31">
        <f>IFERROR(Serie_Historica!X749/Serie_Historica!X748,"")</f>
        <v>4.9929303640862496E-2</v>
      </c>
      <c r="V227" s="31">
        <f>IFERROR(Serie_Historica!Y749/Serie_Historica!Y748,"")</f>
        <v>4.7217713405751864E-2</v>
      </c>
      <c r="W227" s="31">
        <f>IFERROR(Serie_Historica!Z749/Serie_Historica!Z748,"")</f>
        <v>4.5022270374383049E-2</v>
      </c>
      <c r="X227" s="19">
        <f>IFERROR((W227-D227)*100,"")</f>
        <v>-8.6670598160590746</v>
      </c>
    </row>
    <row r="228" spans="1:24">
      <c r="A228" s="28" t="s">
        <v>369</v>
      </c>
      <c r="B228" s="28" t="s">
        <v>370</v>
      </c>
      <c r="C228" s="28" t="s">
        <v>505</v>
      </c>
      <c r="D228" s="31">
        <f>IFERROR(Serie_Historica!G750/Serie_Historica!G748,"")</f>
        <v>0.16757803599908863</v>
      </c>
      <c r="E228" s="31">
        <f>IFERROR(Serie_Historica!H750/Serie_Historica!H748,"")</f>
        <v>0.1704102077401666</v>
      </c>
      <c r="F228" s="31">
        <f>IFERROR(Serie_Historica!I750/Serie_Historica!I748,"")</f>
        <v>0.16978914113584601</v>
      </c>
      <c r="G228" s="31">
        <f>IFERROR(Serie_Historica!J750/Serie_Historica!J748,"")</f>
        <v>0.17471069714930851</v>
      </c>
      <c r="H228" s="31">
        <f>IFERROR(Serie_Historica!K750/Serie_Historica!K748,"")</f>
        <v>0.18025058124515628</v>
      </c>
      <c r="I228" s="31">
        <f>IFERROR(Serie_Historica!L750/Serie_Historica!L748,"")</f>
        <v>0.18295618680789599</v>
      </c>
      <c r="J228" s="31">
        <f>IFERROR(Serie_Historica!M750/Serie_Historica!M748,"")</f>
        <v>0.16933895921237693</v>
      </c>
      <c r="K228" s="31">
        <f>IFERROR(Serie_Historica!N750/Serie_Historica!N748,"")</f>
        <v>0.17534203491114955</v>
      </c>
      <c r="L228" s="31">
        <f>IFERROR(Serie_Historica!O750/Serie_Historica!O748,"")</f>
        <v>0.17895666728659104</v>
      </c>
      <c r="M228" s="31">
        <f>IFERROR(Serie_Historica!P750/Serie_Historica!P748,"")</f>
        <v>0.17195660907995178</v>
      </c>
      <c r="N228" s="31">
        <f>IFERROR(Serie_Historica!Q750/Serie_Historica!Q748,"")</f>
        <v>0.18168940580034296</v>
      </c>
      <c r="O228" s="31">
        <f>IFERROR(Serie_Historica!R750/Serie_Historica!R748,"")</f>
        <v>0.1831028565660644</v>
      </c>
      <c r="P228" s="31">
        <f>IFERROR(Serie_Historica!S750/Serie_Historica!S748,"")</f>
        <v>0.17433764354824124</v>
      </c>
      <c r="Q228" s="31">
        <f>IFERROR(Serie_Historica!T750/Serie_Historica!T748,"")</f>
        <v>0.19228839076614251</v>
      </c>
      <c r="R228" s="31">
        <f>IFERROR(Serie_Historica!U750/Serie_Historica!U748,"")</f>
        <v>0.19698500271971403</v>
      </c>
      <c r="S228" s="31">
        <f>IFERROR(Serie_Historica!V750/Serie_Historica!V748,"")</f>
        <v>0.1938084809874577</v>
      </c>
      <c r="T228" s="31">
        <f>IFERROR(Serie_Historica!W750/Serie_Historica!W748,"")</f>
        <v>0.21381578947368421</v>
      </c>
      <c r="U228" s="31">
        <f>IFERROR(Serie_Historica!X750/Serie_Historica!X748,"")</f>
        <v>0.23619211735595616</v>
      </c>
      <c r="V228" s="31">
        <f>IFERROR(Serie_Historica!Y750/Serie_Historica!Y748,"")</f>
        <v>0.23423648395555</v>
      </c>
      <c r="W228" s="31">
        <f>IFERROR(Serie_Historica!Z750/Serie_Historica!Z748,"")</f>
        <v>0.23883471770795714</v>
      </c>
      <c r="X228" s="19">
        <f>IFERROR((W228-D228)*100,"")</f>
        <v>7.1256681708868506</v>
      </c>
    </row>
    <row r="229" spans="1:24">
      <c r="A229" s="28" t="s">
        <v>369</v>
      </c>
      <c r="B229" s="28" t="s">
        <v>370</v>
      </c>
      <c r="C229" s="28" t="s">
        <v>506</v>
      </c>
      <c r="D229" s="31">
        <f>IFERROR(Serie_Historica!G751/Serie_Historica!G748,"")</f>
        <v>0.61756664388243332</v>
      </c>
      <c r="E229" s="31">
        <f>IFERROR(Serie_Historica!H751/Serie_Historica!H748,"")</f>
        <v>0.62501318148265317</v>
      </c>
      <c r="F229" s="31">
        <f>IFERROR(Serie_Historica!I751/Serie_Historica!I748,"")</f>
        <v>0.50826537359488644</v>
      </c>
      <c r="G229" s="31">
        <f>IFERROR(Serie_Historica!J751/Serie_Historica!J748,"")</f>
        <v>0.61459215354219587</v>
      </c>
      <c r="H229" s="31">
        <f>IFERROR(Serie_Historica!K751/Serie_Historica!K748,"")</f>
        <v>0.63807801601653324</v>
      </c>
      <c r="I229" s="31">
        <f>IFERROR(Serie_Historica!L751/Serie_Historica!L748,"")</f>
        <v>0.65749879634087627</v>
      </c>
      <c r="J229" s="31">
        <f>IFERROR(Serie_Historica!M751/Serie_Historica!M748,"")</f>
        <v>0.67549929676511955</v>
      </c>
      <c r="K229" s="31">
        <f>IFERROR(Serie_Historica!N751/Serie_Historica!N748,"")</f>
        <v>0.67526340619594272</v>
      </c>
      <c r="L229" s="31">
        <f>IFERROR(Serie_Historica!O751/Serie_Historica!O748,"")</f>
        <v>0.68211828156964849</v>
      </c>
      <c r="M229" s="31">
        <f>IFERROR(Serie_Historica!P751/Serie_Historica!P748,"")</f>
        <v>0.6650060265166734</v>
      </c>
      <c r="N229" s="31">
        <f>IFERROR(Serie_Historica!Q751/Serie_Historica!Q748,"")</f>
        <v>0.66237978080966231</v>
      </c>
      <c r="O229" s="31">
        <f>IFERROR(Serie_Historica!R751/Serie_Historica!R748,"")</f>
        <v>0.67060327714410684</v>
      </c>
      <c r="P229" s="31">
        <f>IFERROR(Serie_Historica!S751/Serie_Historica!S748,"")</f>
        <v>0.67040419567772858</v>
      </c>
      <c r="Q229" s="31">
        <f>IFERROR(Serie_Historica!T751/Serie_Historica!T748,"")</f>
        <v>0.66031002564960406</v>
      </c>
      <c r="R229" s="31">
        <f>IFERROR(Serie_Historica!U751/Serie_Historica!U748,"")</f>
        <v>0.64604864402828499</v>
      </c>
      <c r="S229" s="31">
        <f>IFERROR(Serie_Historica!V751/Serie_Historica!V748,"")</f>
        <v>0.68238602428827388</v>
      </c>
      <c r="T229" s="31">
        <f>IFERROR(Serie_Historica!W751/Serie_Historica!W748,"")</f>
        <v>0.68448055773762762</v>
      </c>
      <c r="U229" s="31">
        <f>IFERROR(Serie_Historica!X751/Serie_Historica!X748,"")</f>
        <v>0.67462000706963587</v>
      </c>
      <c r="V229" s="31">
        <f>IFERROR(Serie_Historica!Y751/Serie_Historica!Y748,"")</f>
        <v>0.66691638573271739</v>
      </c>
      <c r="W229" s="31">
        <f>IFERROR(Serie_Historica!Z751/Serie_Historica!Z748,"")</f>
        <v>0.68660968660968658</v>
      </c>
      <c r="X229" s="19">
        <f>IFERROR((W229-D229)*100,"")</f>
        <v>6.9043042727253257</v>
      </c>
    </row>
    <row r="230" spans="1:24">
      <c r="A230" s="28" t="s">
        <v>373</v>
      </c>
      <c r="B230" s="28" t="s">
        <v>374</v>
      </c>
      <c r="C230" s="28" t="s">
        <v>504</v>
      </c>
      <c r="D230" s="31">
        <f>IFERROR(Serie_Historica!G759/Serie_Historica!G758,"")</f>
        <v>8.9617951995455192E-2</v>
      </c>
      <c r="E230" s="31">
        <f>IFERROR(Serie_Historica!H759/Serie_Historica!H758,"")</f>
        <v>5.9862241703193486E-2</v>
      </c>
      <c r="F230" s="31">
        <f>IFERROR(Serie_Historica!I759/Serie_Historica!I758,"")</f>
        <v>7.7880939377389408E-2</v>
      </c>
      <c r="G230" s="31">
        <f>IFERROR(Serie_Historica!J759/Serie_Historica!J758,"")</f>
        <v>7.3779457094561005E-2</v>
      </c>
      <c r="H230" s="31">
        <f>IFERROR(Serie_Historica!K759/Serie_Historica!K758,"")</f>
        <v>5.0009125752874611E-2</v>
      </c>
      <c r="I230" s="31">
        <f>IFERROR(Serie_Historica!L759/Serie_Historica!L758,"")</f>
        <v>9.8372158293572834E-2</v>
      </c>
      <c r="J230" s="31">
        <f>IFERROR(Serie_Historica!M759/Serie_Historica!M758,"")</f>
        <v>5.62037469164611E-2</v>
      </c>
      <c r="K230" s="31">
        <f>IFERROR(Serie_Historica!N759/Serie_Historica!N758,"")</f>
        <v>5.9265296617570004E-2</v>
      </c>
      <c r="L230" s="31">
        <f>IFERROR(Serie_Historica!O759/Serie_Historica!O758,"")</f>
        <v>6.7625013983667076E-2</v>
      </c>
      <c r="M230" s="31">
        <f>IFERROR(Serie_Historica!P759/Serie_Historica!P758,"")</f>
        <v>9.460631286853971E-2</v>
      </c>
      <c r="N230" s="31">
        <f>IFERROR(Serie_Historica!Q759/Serie_Historica!Q758,"")</f>
        <v>0.15285227673152971</v>
      </c>
      <c r="O230" s="31">
        <f>IFERROR(Serie_Historica!R759/Serie_Historica!R758,"")</f>
        <v>0.19109830291386487</v>
      </c>
      <c r="P230" s="31">
        <f>IFERROR(Serie_Historica!S759/Serie_Historica!S758,"")</f>
        <v>0.16882959369314737</v>
      </c>
      <c r="Q230" s="31">
        <f>IFERROR(Serie_Historica!T759/Serie_Historica!T758,"")</f>
        <v>0.23486001806218554</v>
      </c>
      <c r="R230" s="31">
        <f>IFERROR(Serie_Historica!U759/Serie_Historica!U758,"")</f>
        <v>0.10696074943673663</v>
      </c>
      <c r="S230" s="31">
        <f>IFERROR(Serie_Historica!V759/Serie_Historica!V758,"")</f>
        <v>0.21139077441411089</v>
      </c>
      <c r="T230" s="31">
        <f>IFERROR(Serie_Historica!W759/Serie_Historica!W758,"")</f>
        <v>0.3360987575533973</v>
      </c>
      <c r="U230" s="31">
        <f>IFERROR(Serie_Historica!X759/Serie_Historica!X758,"")</f>
        <v>0.27089746625621597</v>
      </c>
      <c r="V230" s="31">
        <f>IFERROR(Serie_Historica!Y759/Serie_Historica!Y758,"")</f>
        <v>0.20872763419483101</v>
      </c>
      <c r="W230" s="31">
        <f>IFERROR(Serie_Historica!Z759/Serie_Historica!Z758,"")</f>
        <v>0.14353770958361689</v>
      </c>
      <c r="X230" s="19">
        <f>IFERROR((W230-D230)*100,"")</f>
        <v>5.3919757588161694</v>
      </c>
    </row>
    <row r="231" spans="1:24">
      <c r="A231" s="28" t="s">
        <v>373</v>
      </c>
      <c r="B231" s="28" t="s">
        <v>374</v>
      </c>
      <c r="C231" s="28" t="s">
        <v>505</v>
      </c>
      <c r="D231" s="31">
        <f>IFERROR(Serie_Historica!G760/Serie_Historica!G758,"")</f>
        <v>0.21900298253089051</v>
      </c>
      <c r="E231" s="31">
        <f>IFERROR(Serie_Historica!H760/Serie_Historica!H758,"")</f>
        <v>0.22329367564182842</v>
      </c>
      <c r="F231" s="31">
        <f>IFERROR(Serie_Historica!I760/Serie_Historica!I758,"")</f>
        <v>0.23222282905516112</v>
      </c>
      <c r="G231" s="31">
        <f>IFERROR(Serie_Historica!J760/Serie_Historica!J758,"")</f>
        <v>0.23903748632793079</v>
      </c>
      <c r="H231" s="31">
        <f>IFERROR(Serie_Historica!K760/Serie_Historica!K758,"")</f>
        <v>0.2526920970980106</v>
      </c>
      <c r="I231" s="31">
        <f>IFERROR(Serie_Historica!L760/Serie_Historica!L758,"")</f>
        <v>0.23603704743193937</v>
      </c>
      <c r="J231" s="31">
        <f>IFERROR(Serie_Historica!M760/Serie_Historica!M758,"")</f>
        <v>0.21714780985399026</v>
      </c>
      <c r="K231" s="31">
        <f>IFERROR(Serie_Historica!N760/Serie_Historica!N758,"")</f>
        <v>0.22535949234441405</v>
      </c>
      <c r="L231" s="31">
        <f>IFERROR(Serie_Historica!O760/Serie_Historica!O758,"")</f>
        <v>0.24163776708804116</v>
      </c>
      <c r="M231" s="31">
        <f>IFERROR(Serie_Historica!P760/Serie_Historica!P758,"")</f>
        <v>0.24150190773499827</v>
      </c>
      <c r="N231" s="31">
        <f>IFERROR(Serie_Historica!Q760/Serie_Historica!Q758,"")</f>
        <v>0.24548764731216474</v>
      </c>
      <c r="O231" s="31">
        <f>IFERROR(Serie_Historica!R760/Serie_Historica!R758,"")</f>
        <v>0.23294908741594619</v>
      </c>
      <c r="P231" s="31">
        <f>IFERROR(Serie_Historica!S760/Serie_Historica!S758,"")</f>
        <v>0.23665858095815645</v>
      </c>
      <c r="Q231" s="31">
        <f>IFERROR(Serie_Historica!T760/Serie_Historica!T758,"")</f>
        <v>0.22626757837698361</v>
      </c>
      <c r="R231" s="31">
        <f>IFERROR(Serie_Historica!U760/Serie_Historica!U758,"")</f>
        <v>0.26941776354796632</v>
      </c>
      <c r="S231" s="31">
        <f>IFERROR(Serie_Historica!V760/Serie_Historica!V758,"")</f>
        <v>0.23509884556309765</v>
      </c>
      <c r="T231" s="31">
        <f>IFERROR(Serie_Historica!W760/Serie_Historica!W758,"")</f>
        <v>0.21418742396745308</v>
      </c>
      <c r="U231" s="31">
        <f>IFERROR(Serie_Historica!X760/Serie_Historica!X758,"")</f>
        <v>0.24390243902439024</v>
      </c>
      <c r="V231" s="31">
        <f>IFERROR(Serie_Historica!Y760/Serie_Historica!Y758,"")</f>
        <v>0.26536779324055665</v>
      </c>
      <c r="W231" s="31">
        <f>IFERROR(Serie_Historica!Z760/Serie_Historica!Z758,"")</f>
        <v>0.27583575656334425</v>
      </c>
      <c r="X231" s="19">
        <f>IFERROR((W231-D231)*100,"")</f>
        <v>5.6832774032453734</v>
      </c>
    </row>
    <row r="232" spans="1:24">
      <c r="A232" s="28" t="s">
        <v>373</v>
      </c>
      <c r="B232" s="28" t="s">
        <v>374</v>
      </c>
      <c r="C232" s="28" t="s">
        <v>506</v>
      </c>
      <c r="D232" s="31">
        <f>IFERROR(Serie_Historica!G761/Serie_Historica!G758,"")</f>
        <v>0.61937224826019033</v>
      </c>
      <c r="E232" s="31">
        <f>IFERROR(Serie_Historica!H761/Serie_Historica!H758,"")</f>
        <v>0.60212899185973701</v>
      </c>
      <c r="F232" s="31">
        <f>IFERROR(Serie_Historica!I761/Serie_Historica!I758,"")</f>
        <v>0.56734025122883669</v>
      </c>
      <c r="G232" s="31">
        <f>IFERROR(Serie_Historica!J761/Serie_Historica!J758,"")</f>
        <v>0.59580391766928509</v>
      </c>
      <c r="H232" s="31">
        <f>IFERROR(Serie_Historica!K761/Serie_Historica!K758,"")</f>
        <v>0.59791932834458839</v>
      </c>
      <c r="I232" s="31">
        <f>IFERROR(Serie_Historica!L761/Serie_Historica!L758,"")</f>
        <v>0.58651417344934043</v>
      </c>
      <c r="J232" s="31">
        <f>IFERROR(Serie_Historica!M761/Serie_Historica!M758,"")</f>
        <v>0.61550770051336756</v>
      </c>
      <c r="K232" s="31">
        <f>IFERROR(Serie_Historica!N761/Serie_Historica!N758,"")</f>
        <v>0.59189614018745995</v>
      </c>
      <c r="L232" s="31">
        <f>IFERROR(Serie_Historica!O761/Serie_Historica!O758,"")</f>
        <v>0.63167020919565942</v>
      </c>
      <c r="M232" s="31">
        <f>IFERROR(Serie_Historica!P761/Serie_Historica!P758,"")</f>
        <v>0.56100416233090533</v>
      </c>
      <c r="N232" s="31">
        <f>IFERROR(Serie_Historica!Q761/Serie_Historica!Q758,"")</f>
        <v>0.56188089738068203</v>
      </c>
      <c r="O232" s="31">
        <f>IFERROR(Serie_Historica!R761/Serie_Historica!R758,"")</f>
        <v>0.53836055075248157</v>
      </c>
      <c r="P232" s="31">
        <f>IFERROR(Serie_Historica!S761/Serie_Historica!S758,"")</f>
        <v>0.55103092783505159</v>
      </c>
      <c r="Q232" s="31">
        <f>IFERROR(Serie_Historica!T761/Serie_Historica!T758,"")</f>
        <v>0.50512191975229004</v>
      </c>
      <c r="R232" s="31">
        <f>IFERROR(Serie_Historica!U761/Serie_Historica!U758,"")</f>
        <v>0.58208822483102096</v>
      </c>
      <c r="S232" s="31">
        <f>IFERROR(Serie_Historica!V761/Serie_Historica!V758,"")</f>
        <v>0.5153346876083833</v>
      </c>
      <c r="T232" s="31">
        <f>IFERROR(Serie_Historica!W761/Serie_Historica!W758,"")</f>
        <v>0.4173065034002752</v>
      </c>
      <c r="U232" s="31">
        <f>IFERROR(Serie_Historica!X761/Serie_Historica!X758,"")</f>
        <v>0.45046965032757125</v>
      </c>
      <c r="V232" s="31">
        <f>IFERROR(Serie_Historica!Y761/Serie_Historica!Y758,"")</f>
        <v>0.48186878727634197</v>
      </c>
      <c r="W232" s="31">
        <f>IFERROR(Serie_Historica!Z761/Serie_Historica!Z758,"")</f>
        <v>0.52832601208521524</v>
      </c>
      <c r="X232" s="19">
        <f>IFERROR((W232-D232)*100,"")</f>
        <v>-9.1046236174975093</v>
      </c>
    </row>
    <row r="233" spans="1:24">
      <c r="A233" s="28" t="s">
        <v>297</v>
      </c>
      <c r="B233" s="28" t="s">
        <v>298</v>
      </c>
      <c r="C233" s="28" t="s">
        <v>504</v>
      </c>
      <c r="D233" s="31">
        <f>IFERROR(Serie_Historica!G769/Serie_Historica!G768,"")</f>
        <v>5.3208044050754133E-2</v>
      </c>
      <c r="E233" s="31">
        <f>IFERROR(Serie_Historica!H769/Serie_Historica!H768,"")</f>
        <v>3.8224759346317437E-2</v>
      </c>
      <c r="F233" s="31">
        <f>IFERROR(Serie_Historica!I769/Serie_Historica!I768,"")</f>
        <v>4.2601004064068852E-2</v>
      </c>
      <c r="G233" s="31">
        <f>IFERROR(Serie_Historica!J769/Serie_Historica!J768,"")</f>
        <v>4.1978507004413738E-2</v>
      </c>
      <c r="H233" s="31">
        <f>IFERROR(Serie_Historica!K769/Serie_Historica!K768,"")</f>
        <v>3.4972677595628415E-2</v>
      </c>
      <c r="I233" s="31">
        <f>IFERROR(Serie_Historica!L769/Serie_Historica!L768,"")</f>
        <v>3.4504308927044272E-2</v>
      </c>
      <c r="J233" s="31">
        <f>IFERROR(Serie_Historica!M769/Serie_Historica!M768,"")</f>
        <v>3.1964134959680944E-2</v>
      </c>
      <c r="K233" s="31">
        <f>IFERROR(Serie_Historica!N769/Serie_Historica!N768,"")</f>
        <v>3.3159777006416327E-2</v>
      </c>
      <c r="L233" s="31">
        <f>IFERROR(Serie_Historica!O769/Serie_Historica!O768,"")</f>
        <v>2.9387906459313509E-2</v>
      </c>
      <c r="M233" s="31">
        <f>IFERROR(Serie_Historica!P769/Serie_Historica!P768,"")</f>
        <v>3.0157555250079307E-2</v>
      </c>
      <c r="N233" s="31">
        <f>IFERROR(Serie_Historica!Q769/Serie_Historica!Q768,"")</f>
        <v>2.8948389600310438E-2</v>
      </c>
      <c r="O233" s="31">
        <f>IFERROR(Serie_Historica!R769/Serie_Historica!R768,"")</f>
        <v>2.5347595531825719E-2</v>
      </c>
      <c r="P233" s="31">
        <f>IFERROR(Serie_Historica!S769/Serie_Historica!S768,"")</f>
        <v>2.4161256794288537E-2</v>
      </c>
      <c r="Q233" s="31">
        <f>IFERROR(Serie_Historica!T769/Serie_Historica!T768,"")</f>
        <v>2.0353938757770088E-2</v>
      </c>
      <c r="R233" s="31">
        <f>IFERROR(Serie_Historica!U769/Serie_Historica!U768,"")</f>
        <v>2.6000162298141685E-2</v>
      </c>
      <c r="S233" s="31">
        <f>IFERROR(Serie_Historica!V769/Serie_Historica!V768,"")</f>
        <v>2.4362801722198051E-2</v>
      </c>
      <c r="T233" s="31">
        <f>IFERROR(Serie_Historica!W769/Serie_Historica!W768,"")</f>
        <v>2.3560172425976963E-2</v>
      </c>
      <c r="U233" s="31">
        <f>IFERROR(Serie_Historica!X769/Serie_Historica!X768,"")</f>
        <v>3.0836436735693206E-2</v>
      </c>
      <c r="V233" s="31">
        <f>IFERROR(Serie_Historica!Y769/Serie_Historica!Y768,"")</f>
        <v>2.6730503140803507E-2</v>
      </c>
      <c r="W233" s="31">
        <f>IFERROR(Serie_Historica!Z769/Serie_Historica!Z768,"")</f>
        <v>2.7588983351883867E-2</v>
      </c>
      <c r="X233" s="19">
        <f>IFERROR((W233-D233)*100,"")</f>
        <v>-2.5619060698870264</v>
      </c>
    </row>
    <row r="234" spans="1:24">
      <c r="A234" s="28" t="s">
        <v>297</v>
      </c>
      <c r="B234" s="28" t="s">
        <v>298</v>
      </c>
      <c r="C234" s="28" t="s">
        <v>505</v>
      </c>
      <c r="D234" s="31">
        <f>IFERROR(Serie_Historica!G770/Serie_Historica!G768,"")</f>
        <v>0.26340675125688295</v>
      </c>
      <c r="E234" s="31">
        <f>IFERROR(Serie_Historica!H770/Serie_Historica!H768,"")</f>
        <v>0.25610029102305798</v>
      </c>
      <c r="F234" s="31">
        <f>IFERROR(Serie_Historica!I770/Serie_Historica!I768,"")</f>
        <v>0.25904852976332776</v>
      </c>
      <c r="G234" s="31">
        <f>IFERROR(Serie_Historica!J770/Serie_Historica!J768,"")</f>
        <v>0.25091153329495297</v>
      </c>
      <c r="H234" s="31">
        <f>IFERROR(Serie_Historica!K770/Serie_Historica!K768,"")</f>
        <v>0.26353872244205767</v>
      </c>
      <c r="I234" s="31">
        <f>IFERROR(Serie_Historica!L770/Serie_Historica!L768,"")</f>
        <v>0.26241694625353595</v>
      </c>
      <c r="J234" s="31">
        <f>IFERROR(Serie_Historica!M770/Serie_Historica!M768,"")</f>
        <v>0.20933888387528748</v>
      </c>
      <c r="K234" s="31">
        <f>IFERROR(Serie_Historica!N770/Serie_Historica!N768,"")</f>
        <v>0.22207320921426318</v>
      </c>
      <c r="L234" s="31">
        <f>IFERROR(Serie_Historica!O770/Serie_Historica!O768,"")</f>
        <v>0.23083876051637425</v>
      </c>
      <c r="M234" s="31">
        <f>IFERROR(Serie_Historica!P770/Serie_Historica!P768,"")</f>
        <v>0.24375594797504493</v>
      </c>
      <c r="N234" s="31">
        <f>IFERROR(Serie_Historica!Q770/Serie_Historica!Q768,"")</f>
        <v>0.25248350795498642</v>
      </c>
      <c r="O234" s="31">
        <f>IFERROR(Serie_Historica!R770/Serie_Historica!R768,"")</f>
        <v>0.24819140988027771</v>
      </c>
      <c r="P234" s="31">
        <f>IFERROR(Serie_Historica!S770/Serie_Historica!S768,"")</f>
        <v>0.23885225510743069</v>
      </c>
      <c r="Q234" s="31">
        <f>IFERROR(Serie_Historica!T770/Serie_Historica!T768,"")</f>
        <v>0.24772432795919372</v>
      </c>
      <c r="R234" s="31">
        <f>IFERROR(Serie_Historica!U770/Serie_Historica!U768,"")</f>
        <v>0.22971678974275744</v>
      </c>
      <c r="S234" s="31">
        <f>IFERROR(Serie_Historica!V770/Serie_Historica!V768,"")</f>
        <v>0.24313296029043341</v>
      </c>
      <c r="T234" s="31">
        <f>IFERROR(Serie_Historica!W770/Serie_Historica!W768,"")</f>
        <v>0.26200268532259202</v>
      </c>
      <c r="U234" s="31">
        <f>IFERROR(Serie_Historica!X770/Serie_Historica!X768,"")</f>
        <v>0.26393309537002435</v>
      </c>
      <c r="V234" s="31">
        <f>IFERROR(Serie_Historica!Y770/Serie_Historica!Y768,"")</f>
        <v>0.25377447438990047</v>
      </c>
      <c r="W234" s="31">
        <f>IFERROR(Serie_Historica!Z770/Serie_Historica!Z768,"")</f>
        <v>0.24378951855447936</v>
      </c>
      <c r="X234" s="19">
        <f>IFERROR((W234-D234)*100,"")</f>
        <v>-1.9617232702403591</v>
      </c>
    </row>
    <row r="235" spans="1:24">
      <c r="A235" s="28" t="s">
        <v>297</v>
      </c>
      <c r="B235" s="28" t="s">
        <v>298</v>
      </c>
      <c r="C235" s="28" t="s">
        <v>506</v>
      </c>
      <c r="D235" s="31">
        <f>IFERROR(Serie_Historica!G771/Serie_Historica!G768,"")</f>
        <v>0.61653100311228159</v>
      </c>
      <c r="E235" s="31">
        <f>IFERROR(Serie_Historica!H771/Serie_Historica!H768,"")</f>
        <v>0.62564360868591895</v>
      </c>
      <c r="F235" s="31">
        <f>IFERROR(Serie_Historica!I771/Serie_Historica!I768,"")</f>
        <v>0.61678221372220898</v>
      </c>
      <c r="G235" s="31">
        <f>IFERROR(Serie_Historica!J771/Serie_Historica!J768,"")</f>
        <v>0.63682594511610058</v>
      </c>
      <c r="H235" s="31">
        <f>IFERROR(Serie_Historica!K771/Serie_Historica!K768,"")</f>
        <v>0.62558884492180145</v>
      </c>
      <c r="I235" s="31">
        <f>IFERROR(Serie_Historica!L771/Serie_Historica!L768,"")</f>
        <v>0.65291757121242022</v>
      </c>
      <c r="J235" s="31">
        <f>IFERROR(Serie_Historica!M771/Serie_Historica!M768,"")</f>
        <v>0.68117376495589643</v>
      </c>
      <c r="K235" s="31">
        <f>IFERROR(Serie_Historica!N771/Serie_Historica!N768,"")</f>
        <v>0.68762490796255393</v>
      </c>
      <c r="L235" s="31">
        <f>IFERROR(Serie_Historica!O771/Serie_Historica!O768,"")</f>
        <v>0.67726609034231811</v>
      </c>
      <c r="M235" s="31">
        <f>IFERROR(Serie_Historica!P771/Serie_Historica!P768,"")</f>
        <v>0.67091043671354555</v>
      </c>
      <c r="N235" s="31">
        <f>IFERROR(Serie_Historica!Q771/Serie_Historica!Q768,"")</f>
        <v>0.69194800155219249</v>
      </c>
      <c r="O235" s="31">
        <f>IFERROR(Serie_Historica!R771/Serie_Historica!R768,"")</f>
        <v>0.69803378464566213</v>
      </c>
      <c r="P235" s="31">
        <f>IFERROR(Serie_Historica!S771/Serie_Historica!S768,"")</f>
        <v>0.69503654858661756</v>
      </c>
      <c r="Q235" s="31">
        <f>IFERROR(Serie_Historica!T771/Serie_Historica!T768,"")</f>
        <v>0.7189319512555149</v>
      </c>
      <c r="R235" s="31">
        <f>IFERROR(Serie_Historica!U771/Serie_Historica!U768,"")</f>
        <v>0.73391219670534769</v>
      </c>
      <c r="S235" s="31">
        <f>IFERROR(Serie_Historica!V771/Serie_Historica!V768,"")</f>
        <v>0.71855263355285859</v>
      </c>
      <c r="T235" s="31">
        <f>IFERROR(Serie_Historica!W771/Serie_Historica!W768,"")</f>
        <v>0.69479188749911669</v>
      </c>
      <c r="U235" s="31">
        <f>IFERROR(Serie_Historica!X771/Serie_Historica!X768,"")</f>
        <v>0.69248611522750414</v>
      </c>
      <c r="V235" s="31">
        <f>IFERROR(Serie_Historica!Y771/Serie_Historica!Y768,"")</f>
        <v>0.69611960767507075</v>
      </c>
      <c r="W235" s="31">
        <f>IFERROR(Serie_Historica!Z771/Serie_Historica!Z768,"")</f>
        <v>0.70653847064674258</v>
      </c>
      <c r="X235" s="19">
        <f>IFERROR((W235-D235)*100,"")</f>
        <v>9.0007467534460979</v>
      </c>
    </row>
    <row r="236" spans="1:24">
      <c r="A236" s="28" t="s">
        <v>111</v>
      </c>
      <c r="B236" s="28" t="s">
        <v>112</v>
      </c>
      <c r="C236" s="28" t="s">
        <v>504</v>
      </c>
      <c r="D236" s="31">
        <f>IFERROR(Serie_Historica!G779/Serie_Historica!G778,"")</f>
        <v>0.40638186601514625</v>
      </c>
      <c r="E236" s="31">
        <f>IFERROR(Serie_Historica!H779/Serie_Historica!H778,"")</f>
        <v>0.43765455743331239</v>
      </c>
      <c r="F236" s="31">
        <f>IFERROR(Serie_Historica!I779/Serie_Historica!I778,"")</f>
        <v>0.41044990048623869</v>
      </c>
      <c r="G236" s="31">
        <f>IFERROR(Serie_Historica!J779/Serie_Historica!J778,"")</f>
        <v>0.41561345382460518</v>
      </c>
      <c r="H236" s="31">
        <f>IFERROR(Serie_Historica!K779/Serie_Historica!K778,"")</f>
        <v>0.40440098773299349</v>
      </c>
      <c r="I236" s="31">
        <f>IFERROR(Serie_Historica!L779/Serie_Historica!L778,"")</f>
        <v>0.41145434404669612</v>
      </c>
      <c r="J236" s="31">
        <f>IFERROR(Serie_Historica!M779/Serie_Historica!M778,"")</f>
        <v>0.41844038144916146</v>
      </c>
      <c r="K236" s="31">
        <f>IFERROR(Serie_Historica!N779/Serie_Historica!N778,"")</f>
        <v>0.32580106855451835</v>
      </c>
      <c r="L236" s="31">
        <f>IFERROR(Serie_Historica!O779/Serie_Historica!O778,"")</f>
        <v>0.3518310164632204</v>
      </c>
      <c r="M236" s="31">
        <f>IFERROR(Serie_Historica!P779/Serie_Historica!P778,"")</f>
        <v>0.40998957559036309</v>
      </c>
      <c r="N236" s="31">
        <f>IFERROR(Serie_Historica!Q779/Serie_Historica!Q778,"")</f>
        <v>0.43675771482713777</v>
      </c>
      <c r="O236" s="31">
        <f>IFERROR(Serie_Historica!R779/Serie_Historica!R778,"")</f>
        <v>0.40199676063066525</v>
      </c>
      <c r="P236" s="31">
        <f>IFERROR(Serie_Historica!S779/Serie_Historica!S778,"")</f>
        <v>0.37010168356618472</v>
      </c>
      <c r="Q236" s="31">
        <f>IFERROR(Serie_Historica!T779/Serie_Historica!T778,"")</f>
        <v>0.35941419697932886</v>
      </c>
      <c r="R236" s="31">
        <f>IFERROR(Serie_Historica!U779/Serie_Historica!U778,"")</f>
        <v>0.27159862488718833</v>
      </c>
      <c r="S236" s="31">
        <f>IFERROR(Serie_Historica!V779/Serie_Historica!V778,"")</f>
        <v>0.28145546291744816</v>
      </c>
      <c r="T236" s="31">
        <f>IFERROR(Serie_Historica!W779/Serie_Historica!W778,"")</f>
        <v>0.32501054637391275</v>
      </c>
      <c r="U236" s="31">
        <f>IFERROR(Serie_Historica!X779/Serie_Historica!X778,"")</f>
        <v>0.31813247300819003</v>
      </c>
      <c r="V236" s="31">
        <f>IFERROR(Serie_Historica!Y779/Serie_Historica!Y778,"")</f>
        <v>0.28161735659545817</v>
      </c>
      <c r="W236" s="31">
        <f>IFERROR(Serie_Historica!Z779/Serie_Historica!Z778,"")</f>
        <v>0.31123386340458459</v>
      </c>
      <c r="X236" s="19">
        <f>IFERROR((W236-D236)*100,"")</f>
        <v>-9.5148002610561662</v>
      </c>
    </row>
    <row r="237" spans="1:24">
      <c r="A237" s="28" t="s">
        <v>111</v>
      </c>
      <c r="B237" s="28" t="s">
        <v>112</v>
      </c>
      <c r="C237" s="28" t="s">
        <v>505</v>
      </c>
      <c r="D237" s="31">
        <f>IFERROR(Serie_Historica!G780/Serie_Historica!G778,"")</f>
        <v>0.30864182745088647</v>
      </c>
      <c r="E237" s="31">
        <f>IFERROR(Serie_Historica!H780/Serie_Historica!H778,"")</f>
        <v>0.31207195060290804</v>
      </c>
      <c r="F237" s="31">
        <f>IFERROR(Serie_Historica!I780/Serie_Historica!I778,"")</f>
        <v>0.34636522232930456</v>
      </c>
      <c r="G237" s="31">
        <f>IFERROR(Serie_Historica!J780/Serie_Historica!J778,"")</f>
        <v>0.33434931921190519</v>
      </c>
      <c r="H237" s="31">
        <f>IFERROR(Serie_Historica!K780/Serie_Historica!K778,"")</f>
        <v>0.34533813923848972</v>
      </c>
      <c r="I237" s="31">
        <f>IFERROR(Serie_Historica!L780/Serie_Historica!L778,"")</f>
        <v>0.35348970171723498</v>
      </c>
      <c r="J237" s="31">
        <f>IFERROR(Serie_Historica!M780/Serie_Historica!M778,"")</f>
        <v>0.33047514417480206</v>
      </c>
      <c r="K237" s="31">
        <f>IFERROR(Serie_Historica!N780/Serie_Historica!N778,"")</f>
        <v>0.38341378623661027</v>
      </c>
      <c r="L237" s="31">
        <f>IFERROR(Serie_Historica!O780/Serie_Historica!O778,"")</f>
        <v>0.41225376900884048</v>
      </c>
      <c r="M237" s="31">
        <f>IFERROR(Serie_Historica!P780/Serie_Historica!P778,"")</f>
        <v>0.32646817876411593</v>
      </c>
      <c r="N237" s="31">
        <f>IFERROR(Serie_Historica!Q780/Serie_Historica!Q778,"")</f>
        <v>0.33666936768689626</v>
      </c>
      <c r="O237" s="31">
        <f>IFERROR(Serie_Historica!R780/Serie_Historica!R778,"")</f>
        <v>0.34326229653866086</v>
      </c>
      <c r="P237" s="31">
        <f>IFERROR(Serie_Historica!S780/Serie_Historica!S778,"")</f>
        <v>0.34875431141364238</v>
      </c>
      <c r="Q237" s="31">
        <f>IFERROR(Serie_Historica!T780/Serie_Historica!T778,"")</f>
        <v>0.36850899016845773</v>
      </c>
      <c r="R237" s="31">
        <f>IFERROR(Serie_Historica!U780/Serie_Historica!U778,"")</f>
        <v>0.41168413246839325</v>
      </c>
      <c r="S237" s="31">
        <f>IFERROR(Serie_Historica!V780/Serie_Historica!V778,"")</f>
        <v>0.40621385880934313</v>
      </c>
      <c r="T237" s="31">
        <f>IFERROR(Serie_Historica!W780/Serie_Historica!W778,"")</f>
        <v>0.38298834015858302</v>
      </c>
      <c r="U237" s="31">
        <f>IFERROR(Serie_Historica!X780/Serie_Historica!X778,"")</f>
        <v>0.39975002690107853</v>
      </c>
      <c r="V237" s="31">
        <f>IFERROR(Serie_Historica!Y780/Serie_Historica!Y778,"")</f>
        <v>0.41092825221474527</v>
      </c>
      <c r="W237" s="31">
        <f>IFERROR(Serie_Historica!Z780/Serie_Historica!Z778,"")</f>
        <v>0.38813348468464776</v>
      </c>
      <c r="X237" s="19">
        <f>IFERROR((W237-D237)*100,"")</f>
        <v>7.9491657233761277</v>
      </c>
    </row>
    <row r="238" spans="1:24">
      <c r="A238" s="28" t="s">
        <v>111</v>
      </c>
      <c r="B238" s="28" t="s">
        <v>112</v>
      </c>
      <c r="C238" s="28" t="s">
        <v>506</v>
      </c>
      <c r="D238" s="31">
        <f>IFERROR(Serie_Historica!G781/Serie_Historica!G778,"")</f>
        <v>0.26259226878410802</v>
      </c>
      <c r="E238" s="31">
        <f>IFERROR(Serie_Historica!H781/Serie_Historica!H778,"")</f>
        <v>0.21812248149907304</v>
      </c>
      <c r="F238" s="31">
        <f>IFERROR(Serie_Historica!I781/Serie_Historica!I778,"")</f>
        <v>0.21548483268310395</v>
      </c>
      <c r="G238" s="31">
        <f>IFERROR(Serie_Historica!J781/Serie_Historica!J778,"")</f>
        <v>0.22625385066403597</v>
      </c>
      <c r="H238" s="31">
        <f>IFERROR(Serie_Historica!K781/Serie_Historica!K778,"")</f>
        <v>0.22885136211566035</v>
      </c>
      <c r="I238" s="31">
        <f>IFERROR(Serie_Historica!L781/Serie_Historica!L778,"")</f>
        <v>0.21639055948021521</v>
      </c>
      <c r="J238" s="31">
        <f>IFERROR(Serie_Historica!M781/Serie_Historica!M778,"")</f>
        <v>0.23194800477555771</v>
      </c>
      <c r="K238" s="31">
        <f>IFERROR(Serie_Historica!N781/Serie_Historica!N778,"")</f>
        <v>0.26834580906496075</v>
      </c>
      <c r="L238" s="31">
        <f>IFERROR(Serie_Historica!O781/Serie_Historica!O778,"")</f>
        <v>0.22237321603260563</v>
      </c>
      <c r="M238" s="31">
        <f>IFERROR(Serie_Historica!P781/Serie_Historica!P778,"")</f>
        <v>0.24471469038164054</v>
      </c>
      <c r="N238" s="31">
        <f>IFERROR(Serie_Historica!Q781/Serie_Historica!Q778,"")</f>
        <v>0.21312512918254203</v>
      </c>
      <c r="O238" s="31">
        <f>IFERROR(Serie_Historica!R781/Serie_Historica!R778,"")</f>
        <v>0.23985057727109968</v>
      </c>
      <c r="P238" s="31">
        <f>IFERROR(Serie_Historica!S781/Serie_Historica!S778,"")</f>
        <v>0.26736359461566761</v>
      </c>
      <c r="Q238" s="31">
        <f>IFERROR(Serie_Historica!T781/Serie_Historica!T778,"")</f>
        <v>0.25578797539608217</v>
      </c>
      <c r="R238" s="31">
        <f>IFERROR(Serie_Historica!U781/Serie_Historica!U778,"")</f>
        <v>0.29466801997426639</v>
      </c>
      <c r="S238" s="31">
        <f>IFERROR(Serie_Historica!V781/Serie_Historica!V778,"")</f>
        <v>0.29100190737992176</v>
      </c>
      <c r="T238" s="31">
        <f>IFERROR(Serie_Historica!W781/Serie_Historica!W778,"")</f>
        <v>0.27089545171482604</v>
      </c>
      <c r="U238" s="31">
        <f>IFERROR(Serie_Historica!X781/Serie_Historica!X778,"")</f>
        <v>0.26381712614982211</v>
      </c>
      <c r="V238" s="31">
        <f>IFERROR(Serie_Historica!Y781/Serie_Historica!Y778,"")</f>
        <v>0.28466973759691122</v>
      </c>
      <c r="W238" s="31">
        <f>IFERROR(Serie_Historica!Z781/Serie_Historica!Z778,"")</f>
        <v>0.27748538161542757</v>
      </c>
      <c r="X238" s="19">
        <f>IFERROR((W238-D238)*100,"")</f>
        <v>1.4893112831319555</v>
      </c>
    </row>
    <row r="239" spans="1:24">
      <c r="A239" s="28" t="s">
        <v>119</v>
      </c>
      <c r="B239" s="28" t="s">
        <v>120</v>
      </c>
      <c r="C239" s="28" t="s">
        <v>504</v>
      </c>
      <c r="D239" s="31">
        <f>IFERROR(Serie_Historica!G789/Serie_Historica!G788,"")</f>
        <v>0.63313720727990663</v>
      </c>
      <c r="E239" s="31">
        <f>IFERROR(Serie_Historica!H789/Serie_Historica!H788,"")</f>
        <v>0.60669298194694377</v>
      </c>
      <c r="F239" s="31">
        <f>IFERROR(Serie_Historica!I789/Serie_Historica!I788,"")</f>
        <v>0.61286399418875004</v>
      </c>
      <c r="G239" s="31">
        <f>IFERROR(Serie_Historica!J789/Serie_Historica!J788,"")</f>
        <v>0.66238946471931281</v>
      </c>
      <c r="H239" s="31">
        <f>IFERROR(Serie_Historica!K789/Serie_Historica!K788,"")</f>
        <v>0.66787444920721795</v>
      </c>
      <c r="I239" s="31">
        <f>IFERROR(Serie_Historica!L789/Serie_Historica!L788,"")</f>
        <v>0.64973143304522596</v>
      </c>
      <c r="J239" s="31">
        <f>IFERROR(Serie_Historica!M789/Serie_Historica!M788,"")</f>
        <v>0.69018939802567492</v>
      </c>
      <c r="K239" s="31">
        <f>IFERROR(Serie_Historica!N789/Serie_Historica!N788,"")</f>
        <v>0.57287279773412647</v>
      </c>
      <c r="L239" s="31">
        <f>IFERROR(Serie_Historica!O789/Serie_Historica!O788,"")</f>
        <v>0.60990954515994134</v>
      </c>
      <c r="M239" s="31">
        <f>IFERROR(Serie_Historica!P789/Serie_Historica!P788,"")</f>
        <v>0.62206413140137051</v>
      </c>
      <c r="N239" s="31">
        <f>IFERROR(Serie_Historica!Q789/Serie_Historica!Q788,"")</f>
        <v>0.62545487149880163</v>
      </c>
      <c r="O239" s="31">
        <f>IFERROR(Serie_Historica!R789/Serie_Historica!R788,"")</f>
        <v>0.5878829617592235</v>
      </c>
      <c r="P239" s="31">
        <f>IFERROR(Serie_Historica!S789/Serie_Historica!S788,"")</f>
        <v>0.55235491914935986</v>
      </c>
      <c r="Q239" s="31">
        <f>IFERROR(Serie_Historica!T789/Serie_Historica!T788,"")</f>
        <v>0.45981651327111994</v>
      </c>
      <c r="R239" s="31">
        <f>IFERROR(Serie_Historica!U789/Serie_Historica!U788,"")</f>
        <v>0.29332053382550177</v>
      </c>
      <c r="S239" s="31">
        <f>IFERROR(Serie_Historica!V789/Serie_Historica!V788,"")</f>
        <v>0.28649459751822659</v>
      </c>
      <c r="T239" s="31">
        <f>IFERROR(Serie_Historica!W789/Serie_Historica!W788,"")</f>
        <v>0.39728302278118566</v>
      </c>
      <c r="U239" s="31">
        <f>IFERROR(Serie_Historica!X789/Serie_Historica!X788,"")</f>
        <v>0.39802344668425527</v>
      </c>
      <c r="V239" s="31">
        <f>IFERROR(Serie_Historica!Y789/Serie_Historica!Y788,"")</f>
        <v>0.30300460457028094</v>
      </c>
      <c r="W239" s="31">
        <f>IFERROR(Serie_Historica!Z789/Serie_Historica!Z788,"")</f>
        <v>0.51328309748132572</v>
      </c>
      <c r="X239" s="19">
        <f>IFERROR((W239-D239)*100,"")</f>
        <v>-11.985410979858091</v>
      </c>
    </row>
    <row r="240" spans="1:24">
      <c r="A240" s="28" t="s">
        <v>119</v>
      </c>
      <c r="B240" s="28" t="s">
        <v>120</v>
      </c>
      <c r="C240" s="28" t="s">
        <v>505</v>
      </c>
      <c r="D240" s="31">
        <f>IFERROR(Serie_Historica!G790/Serie_Historica!G788,"")</f>
        <v>0.21350057584280666</v>
      </c>
      <c r="E240" s="31">
        <f>IFERROR(Serie_Historica!H790/Serie_Historica!H788,"")</f>
        <v>0.21652783421373425</v>
      </c>
      <c r="F240" s="31">
        <f>IFERROR(Serie_Historica!I790/Serie_Historica!I788,"")</f>
        <v>0.24498050534761565</v>
      </c>
      <c r="G240" s="31">
        <f>IFERROR(Serie_Historica!J790/Serie_Historica!J788,"")</f>
        <v>0.20725591635559742</v>
      </c>
      <c r="H240" s="31">
        <f>IFERROR(Serie_Historica!K790/Serie_Historica!K788,"")</f>
        <v>0.20586966335225571</v>
      </c>
      <c r="I240" s="31">
        <f>IFERROR(Serie_Historica!L790/Serie_Historica!L788,"")</f>
        <v>0.20473604873545667</v>
      </c>
      <c r="J240" s="31">
        <f>IFERROR(Serie_Historica!M790/Serie_Historica!M788,"")</f>
        <v>0.17277035066731286</v>
      </c>
      <c r="K240" s="31">
        <f>IFERROR(Serie_Historica!N790/Serie_Historica!N788,"")</f>
        <v>0.22220355330170768</v>
      </c>
      <c r="L240" s="31">
        <f>IFERROR(Serie_Historica!O790/Serie_Historica!O788,"")</f>
        <v>0.22284147160311168</v>
      </c>
      <c r="M240" s="31">
        <f>IFERROR(Serie_Historica!P790/Serie_Historica!P788,"")</f>
        <v>0.2294910021017674</v>
      </c>
      <c r="N240" s="31">
        <f>IFERROR(Serie_Historica!Q790/Serie_Historica!Q788,"")</f>
        <v>0.24199382424465088</v>
      </c>
      <c r="O240" s="31">
        <f>IFERROR(Serie_Historica!R790/Serie_Historica!R788,"")</f>
        <v>0.25769508183899853</v>
      </c>
      <c r="P240" s="31">
        <f>IFERROR(Serie_Historica!S790/Serie_Historica!S788,"")</f>
        <v>0.26601738752641846</v>
      </c>
      <c r="Q240" s="31">
        <f>IFERROR(Serie_Historica!T790/Serie_Historica!T788,"")</f>
        <v>0.30452089279415068</v>
      </c>
      <c r="R240" s="31">
        <f>IFERROR(Serie_Historica!U790/Serie_Historica!U788,"")</f>
        <v>0.34673827613308883</v>
      </c>
      <c r="S240" s="31">
        <f>IFERROR(Serie_Historica!V790/Serie_Historica!V788,"")</f>
        <v>0.36554922112661747</v>
      </c>
      <c r="T240" s="31">
        <f>IFERROR(Serie_Historica!W790/Serie_Historica!W788,"")</f>
        <v>0.30745454781139592</v>
      </c>
      <c r="U240" s="31">
        <f>IFERROR(Serie_Historica!X790/Serie_Historica!X788,"")</f>
        <v>0.30659058773816422</v>
      </c>
      <c r="V240" s="31">
        <f>IFERROR(Serie_Historica!Y790/Serie_Historica!Y788,"")</f>
        <v>0.35022441157020745</v>
      </c>
      <c r="W240" s="31">
        <f>IFERROR(Serie_Historica!Z790/Serie_Historica!Z788,"")</f>
        <v>0.27299275552719493</v>
      </c>
      <c r="X240" s="19">
        <f>IFERROR((W240-D240)*100,"")</f>
        <v>5.9492179684388278</v>
      </c>
    </row>
    <row r="241" spans="1:24">
      <c r="A241" s="28" t="s">
        <v>119</v>
      </c>
      <c r="B241" s="28" t="s">
        <v>120</v>
      </c>
      <c r="C241" s="28" t="s">
        <v>506</v>
      </c>
      <c r="D241" s="31">
        <f>IFERROR(Serie_Historica!G791/Serie_Historica!G788,"")</f>
        <v>0.12921990927537821</v>
      </c>
      <c r="E241" s="31">
        <f>IFERROR(Serie_Historica!H791/Serie_Historica!H788,"")</f>
        <v>0.13417890520694259</v>
      </c>
      <c r="F241" s="31">
        <f>IFERROR(Serie_Historica!I791/Serie_Historica!I788,"")</f>
        <v>0.111539128257478</v>
      </c>
      <c r="G241" s="31">
        <f>IFERROR(Serie_Historica!J791/Serie_Historica!J788,"")</f>
        <v>0.10557704852680028</v>
      </c>
      <c r="H241" s="31">
        <f>IFERROR(Serie_Historica!K791/Serie_Historica!K788,"")</f>
        <v>0.10233659980584929</v>
      </c>
      <c r="I241" s="31">
        <f>IFERROR(Serie_Historica!L791/Serie_Historica!L788,"")</f>
        <v>0.12290005569989054</v>
      </c>
      <c r="J241" s="31">
        <f>IFERROR(Serie_Historica!M791/Serie_Historica!M788,"")</f>
        <v>0.11427481149558909</v>
      </c>
      <c r="K241" s="31">
        <f>IFERROR(Serie_Historica!N791/Serie_Historica!N788,"")</f>
        <v>0.16399216196282607</v>
      </c>
      <c r="L241" s="31">
        <f>IFERROR(Serie_Historica!O791/Serie_Historica!O788,"")</f>
        <v>0.13634371839537213</v>
      </c>
      <c r="M241" s="31">
        <f>IFERROR(Serie_Historica!P791/Serie_Historica!P788,"")</f>
        <v>0.12337387987333062</v>
      </c>
      <c r="N241" s="31">
        <f>IFERROR(Serie_Historica!Q791/Serie_Historica!Q788,"")</f>
        <v>0.10727203939886983</v>
      </c>
      <c r="O241" s="31">
        <f>IFERROR(Serie_Historica!R791/Serie_Historica!R788,"")</f>
        <v>0.12437376980799228</v>
      </c>
      <c r="P241" s="31">
        <f>IFERROR(Serie_Historica!S791/Serie_Historica!S788,"")</f>
        <v>0.14724524015332885</v>
      </c>
      <c r="Q241" s="31">
        <f>IFERROR(Serie_Historica!T791/Serie_Historica!T788,"")</f>
        <v>0.19791366022084683</v>
      </c>
      <c r="R241" s="31">
        <f>IFERROR(Serie_Historica!U791/Serie_Historica!U788,"")</f>
        <v>0.29752208306124606</v>
      </c>
      <c r="S241" s="31">
        <f>IFERROR(Serie_Historica!V791/Serie_Historica!V788,"")</f>
        <v>0.28650172597842571</v>
      </c>
      <c r="T241" s="31">
        <f>IFERROR(Serie_Historica!W791/Serie_Historica!W788,"")</f>
        <v>0.23942065473044111</v>
      </c>
      <c r="U241" s="31">
        <f>IFERROR(Serie_Historica!X791/Serie_Historica!X788,"")</f>
        <v>0.24232890367248319</v>
      </c>
      <c r="V241" s="31">
        <f>IFERROR(Serie_Historica!Y791/Serie_Historica!Y788,"")</f>
        <v>0.27962355188713905</v>
      </c>
      <c r="W241" s="31">
        <f>IFERROR(Serie_Historica!Z791/Serie_Historica!Z788,"")</f>
        <v>0.17546732480012012</v>
      </c>
      <c r="X241" s="19">
        <f>IFERROR((W241-D241)*100,"")</f>
        <v>4.6247415524741902</v>
      </c>
    </row>
    <row r="242" spans="1:24">
      <c r="A242" s="28" t="s">
        <v>381</v>
      </c>
      <c r="B242" s="28" t="s">
        <v>382</v>
      </c>
      <c r="C242" s="28" t="s">
        <v>504</v>
      </c>
      <c r="D242" s="31">
        <f>IFERROR(Serie_Historica!G799/Serie_Historica!G798,"")</f>
        <v>5.2631578947368418E-2</v>
      </c>
      <c r="E242" s="31">
        <f>IFERROR(Serie_Historica!H799/Serie_Historica!H798,"")</f>
        <v>3.8703434929850025E-2</v>
      </c>
      <c r="F242" s="31">
        <f>IFERROR(Serie_Historica!I799/Serie_Historica!I798,"")</f>
        <v>4.2448308914144875E-2</v>
      </c>
      <c r="G242" s="31">
        <f>IFERROR(Serie_Historica!J799/Serie_Historica!J798,"")</f>
        <v>4.2317628244556524E-2</v>
      </c>
      <c r="H242" s="31">
        <f>IFERROR(Serie_Historica!K799/Serie_Historica!K798,"")</f>
        <v>3.5825712748789672E-2</v>
      </c>
      <c r="I242" s="31">
        <f>IFERROR(Serie_Historica!L799/Serie_Historica!L798,"")</f>
        <v>3.2408236347358996E-2</v>
      </c>
      <c r="J242" s="31">
        <f>IFERROR(Serie_Historica!M799/Serie_Historica!M798,"")</f>
        <v>2.9753709652745909E-2</v>
      </c>
      <c r="K242" s="31">
        <f>IFERROR(Serie_Historica!N799/Serie_Historica!N798,"")</f>
        <v>2.9939274113825732E-2</v>
      </c>
      <c r="L242" s="31">
        <f>IFERROR(Serie_Historica!O799/Serie_Historica!O798,"")</f>
        <v>2.734375E-2</v>
      </c>
      <c r="M242" s="31">
        <f>IFERROR(Serie_Historica!P799/Serie_Historica!P798,"")</f>
        <v>2.9976717112922002E-2</v>
      </c>
      <c r="N242" s="31">
        <f>IFERROR(Serie_Historica!Q799/Serie_Historica!Q798,"")</f>
        <v>2.7489738604450205E-2</v>
      </c>
      <c r="O242" s="31">
        <f>IFERROR(Serie_Historica!R799/Serie_Historica!R798,"")</f>
        <v>2.2197193674034447E-2</v>
      </c>
      <c r="P242" s="31">
        <f>IFERROR(Serie_Historica!S799/Serie_Historica!S798,"")</f>
        <v>1.8407117899211123E-2</v>
      </c>
      <c r="Q242" s="31">
        <f>IFERROR(Serie_Historica!T799/Serie_Historica!T798,"")</f>
        <v>1.8315628226048153E-2</v>
      </c>
      <c r="R242" s="31">
        <f>IFERROR(Serie_Historica!U799/Serie_Historica!U798,"")</f>
        <v>2.857988554890482E-2</v>
      </c>
      <c r="S242" s="31">
        <f>IFERROR(Serie_Historica!V799/Serie_Historica!V798,"")</f>
        <v>3.3195510927347904E-2</v>
      </c>
      <c r="T242" s="31">
        <f>IFERROR(Serie_Historica!W799/Serie_Historica!W798,"")</f>
        <v>2.7175268012964347E-2</v>
      </c>
      <c r="U242" s="31">
        <f>IFERROR(Serie_Historica!X799/Serie_Historica!X798,"")</f>
        <v>2.3004265691651433E-2</v>
      </c>
      <c r="V242" s="31">
        <f>IFERROR(Serie_Historica!Y799/Serie_Historica!Y798,"")</f>
        <v>1.6974045360427601E-2</v>
      </c>
      <c r="W242" s="31">
        <f>IFERROR(Serie_Historica!Z799/Serie_Historica!Z798,"")</f>
        <v>2.118440057775638E-2</v>
      </c>
      <c r="X242" s="19">
        <f>IFERROR((W242-D242)*100,"")</f>
        <v>-3.1447178369612043</v>
      </c>
    </row>
    <row r="243" spans="1:24">
      <c r="A243" s="28" t="s">
        <v>381</v>
      </c>
      <c r="B243" s="28" t="s">
        <v>382</v>
      </c>
      <c r="C243" s="28" t="s">
        <v>505</v>
      </c>
      <c r="D243" s="31">
        <f>IFERROR(Serie_Historica!G800/Serie_Historica!G798,"")</f>
        <v>0.19533369506239825</v>
      </c>
      <c r="E243" s="31">
        <f>IFERROR(Serie_Historica!H800/Serie_Historica!H798,"")</f>
        <v>0.20351556200612805</v>
      </c>
      <c r="F243" s="31">
        <f>IFERROR(Serie_Historica!I800/Serie_Historica!I798,"")</f>
        <v>0.21854032589346845</v>
      </c>
      <c r="G243" s="31">
        <f>IFERROR(Serie_Historica!J800/Serie_Historica!J798,"")</f>
        <v>0.212818304834543</v>
      </c>
      <c r="H243" s="31">
        <f>IFERROR(Serie_Historica!K800/Serie_Historica!K798,"")</f>
        <v>0.21032813340505649</v>
      </c>
      <c r="I243" s="31">
        <f>IFERROR(Serie_Historica!L800/Serie_Historica!L798,"")</f>
        <v>0.19525514771709937</v>
      </c>
      <c r="J243" s="31">
        <f>IFERROR(Serie_Historica!M800/Serie_Historica!M798,"")</f>
        <v>0.17301514456172556</v>
      </c>
      <c r="K243" s="31">
        <f>IFERROR(Serie_Historica!N800/Serie_Historica!N798,"")</f>
        <v>0.17666996186979239</v>
      </c>
      <c r="L243" s="31">
        <f>IFERROR(Serie_Historica!O800/Serie_Historica!O798,"")</f>
        <v>0.1941207627118644</v>
      </c>
      <c r="M243" s="31">
        <f>IFERROR(Serie_Historica!P800/Serie_Historica!P798,"")</f>
        <v>0.19545983701979044</v>
      </c>
      <c r="N243" s="31">
        <f>IFERROR(Serie_Historica!Q800/Serie_Historica!Q798,"")</f>
        <v>0.21376107150572479</v>
      </c>
      <c r="O243" s="31">
        <f>IFERROR(Serie_Historica!R800/Serie_Historica!R798,"")</f>
        <v>0.20897273452531795</v>
      </c>
      <c r="P243" s="31">
        <f>IFERROR(Serie_Historica!S800/Serie_Historica!S798,"")</f>
        <v>0.16440329959295413</v>
      </c>
      <c r="Q243" s="31">
        <f>IFERROR(Serie_Historica!T800/Serie_Historica!T798,"")</f>
        <v>0.20939758233707417</v>
      </c>
      <c r="R243" s="31">
        <f>IFERROR(Serie_Historica!U800/Serie_Historica!U798,"")</f>
        <v>0.25521278694994409</v>
      </c>
      <c r="S243" s="31">
        <f>IFERROR(Serie_Historica!V800/Serie_Historica!V798,"")</f>
        <v>0.23541051388068518</v>
      </c>
      <c r="T243" s="31">
        <f>IFERROR(Serie_Historica!W800/Serie_Historica!W798,"")</f>
        <v>0.24823402310313306</v>
      </c>
      <c r="U243" s="31">
        <f>IFERROR(Serie_Historica!X800/Serie_Historica!X798,"")</f>
        <v>0.26655494617103392</v>
      </c>
      <c r="V243" s="31">
        <f>IFERROR(Serie_Historica!Y800/Serie_Historica!Y798,"")</f>
        <v>0.28586218519766937</v>
      </c>
      <c r="W243" s="31">
        <f>IFERROR(Serie_Historica!Z800/Serie_Historica!Z798,"")</f>
        <v>0.28817787893377689</v>
      </c>
      <c r="X243" s="19">
        <f>IFERROR((W243-D243)*100,"")</f>
        <v>9.2844183871378636</v>
      </c>
    </row>
    <row r="244" spans="1:24">
      <c r="A244" s="28" t="s">
        <v>381</v>
      </c>
      <c r="B244" s="28" t="s">
        <v>382</v>
      </c>
      <c r="C244" s="28" t="s">
        <v>506</v>
      </c>
      <c r="D244" s="31">
        <f>IFERROR(Serie_Historica!G801/Serie_Historica!G798,"")</f>
        <v>0.6274190631217218</v>
      </c>
      <c r="E244" s="31">
        <f>IFERROR(Serie_Historica!H801/Serie_Historica!H798,"")</f>
        <v>0.62264150943396224</v>
      </c>
      <c r="F244" s="31">
        <f>IFERROR(Serie_Historica!I801/Serie_Historica!I798,"")</f>
        <v>0.61782828974394088</v>
      </c>
      <c r="G244" s="31">
        <f>IFERROR(Serie_Historica!J801/Serie_Historica!J798,"")</f>
        <v>0.65112559970476069</v>
      </c>
      <c r="H244" s="31">
        <f>IFERROR(Serie_Historica!K801/Serie_Historica!K798,"")</f>
        <v>0.65701990317374936</v>
      </c>
      <c r="I244" s="31">
        <f>IFERROR(Serie_Historica!L801/Serie_Historica!L798,"")</f>
        <v>0.68692927484333033</v>
      </c>
      <c r="J244" s="31">
        <f>IFERROR(Serie_Historica!M801/Serie_Historica!M798,"")</f>
        <v>0.65810004589261129</v>
      </c>
      <c r="K244" s="31">
        <f>IFERROR(Serie_Historica!N801/Serie_Historica!N798,"")</f>
        <v>0.68274255048721932</v>
      </c>
      <c r="L244" s="31">
        <f>IFERROR(Serie_Historica!O801/Serie_Historica!O798,"")</f>
        <v>0.68610963983050843</v>
      </c>
      <c r="M244" s="31">
        <f>IFERROR(Serie_Historica!P801/Serie_Historica!P798,"")</f>
        <v>0.68707799767171129</v>
      </c>
      <c r="N244" s="31">
        <f>IFERROR(Serie_Historica!Q801/Serie_Historica!Q798,"")</f>
        <v>0.6986390149060272</v>
      </c>
      <c r="O244" s="31">
        <f>IFERROR(Serie_Historica!R801/Serie_Historica!R798,"")</f>
        <v>0.72007133136233514</v>
      </c>
      <c r="P244" s="31">
        <f>IFERROR(Serie_Historica!S801/Serie_Historica!S798,"")</f>
        <v>0.60862360865963039</v>
      </c>
      <c r="Q244" s="31">
        <f>IFERROR(Serie_Historica!T801/Serie_Historica!T798,"")</f>
        <v>0.62736021845549306</v>
      </c>
      <c r="R244" s="31">
        <f>IFERROR(Serie_Historica!U801/Serie_Historica!U798,"")</f>
        <v>0.6825626521081366</v>
      </c>
      <c r="S244" s="31">
        <f>IFERROR(Serie_Historica!V801/Serie_Historica!V798,"")</f>
        <v>0.67708210277613701</v>
      </c>
      <c r="T244" s="31">
        <f>IFERROR(Serie_Historica!W801/Serie_Historica!W798,"")</f>
        <v>0.65577993850245164</v>
      </c>
      <c r="U244" s="31">
        <f>IFERROR(Serie_Historica!X801/Serie_Historica!X798,"")</f>
        <v>0.66918037781840345</v>
      </c>
      <c r="V244" s="31">
        <f>IFERROR(Serie_Historica!Y801/Serie_Historica!Y798,"")</f>
        <v>0.6493715991717629</v>
      </c>
      <c r="W244" s="31">
        <f>IFERROR(Serie_Historica!Z801/Serie_Historica!Z798,"")</f>
        <v>0.64192235304416334</v>
      </c>
      <c r="X244" s="19">
        <f>IFERROR((W244-D244)*100,"")</f>
        <v>1.4503289922441542</v>
      </c>
    </row>
    <row r="245" spans="1:24">
      <c r="A245" s="28" t="s">
        <v>309</v>
      </c>
      <c r="B245" s="28" t="s">
        <v>310</v>
      </c>
      <c r="C245" s="28" t="s">
        <v>504</v>
      </c>
      <c r="D245" s="31">
        <f>IFERROR(Serie_Historica!G809/Serie_Historica!G808,"")</f>
        <v>5.4358377014172003E-2</v>
      </c>
      <c r="E245" s="31">
        <f>IFERROR(Serie_Historica!H809/Serie_Historica!H808,"")</f>
        <v>3.343076360979174E-2</v>
      </c>
      <c r="F245" s="31">
        <f>IFERROR(Serie_Historica!I809/Serie_Historica!I808,"")</f>
        <v>4.0117071201493666E-2</v>
      </c>
      <c r="G245" s="31">
        <f>IFERROR(Serie_Historica!J809/Serie_Historica!J808,"")</f>
        <v>3.7496435700028516E-2</v>
      </c>
      <c r="H245" s="31">
        <f>IFERROR(Serie_Historica!K809/Serie_Historica!K808,"")</f>
        <v>3.6303630363036306E-2</v>
      </c>
      <c r="I245" s="31">
        <f>IFERROR(Serie_Historica!L809/Serie_Historica!L808,"")</f>
        <v>3.7547864232871112E-2</v>
      </c>
      <c r="J245" s="31">
        <f>IFERROR(Serie_Historica!M809/Serie_Historica!M808,"")</f>
        <v>0.12211290419341292</v>
      </c>
      <c r="K245" s="31">
        <f>IFERROR(Serie_Historica!N809/Serie_Historica!N808,"")</f>
        <v>8.6792778288868444E-2</v>
      </c>
      <c r="L245" s="31">
        <f>IFERROR(Serie_Historica!O809/Serie_Historica!O808,"")</f>
        <v>3.0478221823080378E-2</v>
      </c>
      <c r="M245" s="31">
        <f>IFERROR(Serie_Historica!P809/Serie_Historica!P808,"")</f>
        <v>2.9212814985505091E-2</v>
      </c>
      <c r="N245" s="31">
        <f>IFERROR(Serie_Historica!Q809/Serie_Historica!Q808,"")</f>
        <v>3.4435293307944662E-2</v>
      </c>
      <c r="O245" s="31">
        <f>IFERROR(Serie_Historica!R809/Serie_Historica!R808,"")</f>
        <v>3.0860434316466605E-2</v>
      </c>
      <c r="P245" s="31">
        <f>IFERROR(Serie_Historica!S809/Serie_Historica!S808,"")</f>
        <v>2.991836816158713E-2</v>
      </c>
      <c r="Q245" s="31">
        <f>IFERROR(Serie_Historica!T809/Serie_Historica!T808,"")</f>
        <v>3.3612684851666151E-2</v>
      </c>
      <c r="R245" s="31">
        <f>IFERROR(Serie_Historica!U809/Serie_Historica!U808,"")</f>
        <v>2.3626153926392099E-2</v>
      </c>
      <c r="S245" s="31">
        <f>IFERROR(Serie_Historica!V809/Serie_Historica!V808,"")</f>
        <v>2.1680171986108814E-2</v>
      </c>
      <c r="T245" s="31">
        <f>IFERROR(Serie_Historica!W809/Serie_Historica!W808,"")</f>
        <v>2.6543443678509204E-2</v>
      </c>
      <c r="U245" s="31">
        <f>IFERROR(Serie_Historica!X809/Serie_Historica!X808,"")</f>
        <v>3.2227052332385889E-2</v>
      </c>
      <c r="V245" s="31">
        <f>IFERROR(Serie_Historica!Y809/Serie_Historica!Y808,"")</f>
        <v>2.9312964888426777E-2</v>
      </c>
      <c r="W245" s="31">
        <f>IFERROR(Serie_Historica!Z809/Serie_Historica!Z808,"")</f>
        <v>3.4455239856605396E-2</v>
      </c>
      <c r="X245" s="19">
        <f>IFERROR((W245-D245)*100,"")</f>
        <v>-1.9903137157566606</v>
      </c>
    </row>
    <row r="246" spans="1:24">
      <c r="A246" s="28" t="s">
        <v>309</v>
      </c>
      <c r="B246" s="28" t="s">
        <v>310</v>
      </c>
      <c r="C246" s="28" t="s">
        <v>505</v>
      </c>
      <c r="D246" s="31">
        <f>IFERROR(Serie_Historica!G810/Serie_Historica!G808,"")</f>
        <v>0.21691580922798162</v>
      </c>
      <c r="E246" s="31">
        <f>IFERROR(Serie_Historica!H810/Serie_Historica!H808,"")</f>
        <v>0.19900133966630129</v>
      </c>
      <c r="F246" s="31">
        <f>IFERROR(Serie_Historica!I810/Serie_Historica!I808,"")</f>
        <v>0.21027400716556491</v>
      </c>
      <c r="G246" s="31">
        <f>IFERROR(Serie_Historica!J810/Serie_Historica!J808,"")</f>
        <v>0.20440072236479423</v>
      </c>
      <c r="H246" s="31">
        <f>IFERROR(Serie_Historica!K810/Serie_Historica!K808,"")</f>
        <v>0.21381125454317584</v>
      </c>
      <c r="I246" s="31">
        <f>IFERROR(Serie_Historica!L810/Serie_Historica!L808,"")</f>
        <v>0.21997100263950334</v>
      </c>
      <c r="J246" s="31">
        <f>IFERROR(Serie_Historica!M810/Serie_Historica!M808,"")</f>
        <v>0.19335293058971745</v>
      </c>
      <c r="K246" s="31">
        <f>IFERROR(Serie_Historica!N810/Serie_Historica!N808,"")</f>
        <v>0.1907486200551978</v>
      </c>
      <c r="L246" s="31">
        <f>IFERROR(Serie_Historica!O810/Serie_Historica!O808,"")</f>
        <v>0.20649977548271217</v>
      </c>
      <c r="M246" s="31">
        <f>IFERROR(Serie_Historica!P810/Serie_Historica!P808,"")</f>
        <v>0.20795857181793403</v>
      </c>
      <c r="N246" s="31">
        <f>IFERROR(Serie_Historica!Q810/Serie_Historica!Q808,"")</f>
        <v>0.23824818188074973</v>
      </c>
      <c r="O246" s="31">
        <f>IFERROR(Serie_Historica!R810/Serie_Historica!R808,"")</f>
        <v>0.22880447350165023</v>
      </c>
      <c r="P246" s="31">
        <f>IFERROR(Serie_Historica!S810/Serie_Historica!S808,"")</f>
        <v>0.20657445661936411</v>
      </c>
      <c r="Q246" s="31">
        <f>IFERROR(Serie_Historica!T810/Serie_Historica!T808,"")</f>
        <v>0.23557840244719169</v>
      </c>
      <c r="R246" s="31">
        <f>IFERROR(Serie_Historica!U810/Serie_Historica!U808,"")</f>
        <v>0.23949514090506077</v>
      </c>
      <c r="S246" s="31">
        <f>IFERROR(Serie_Historica!V810/Serie_Historica!V808,"")</f>
        <v>0.23075905407640152</v>
      </c>
      <c r="T246" s="31">
        <f>IFERROR(Serie_Historica!W810/Serie_Historica!W808,"")</f>
        <v>0.26726763124005759</v>
      </c>
      <c r="U246" s="31">
        <f>IFERROR(Serie_Historica!X810/Serie_Historica!X808,"")</f>
        <v>0.27838154154823608</v>
      </c>
      <c r="V246" s="31">
        <f>IFERROR(Serie_Historica!Y810/Serie_Historica!Y808,"")</f>
        <v>0.26217707750139968</v>
      </c>
      <c r="W246" s="31">
        <f>IFERROR(Serie_Historica!Z810/Serie_Historica!Z808,"")</f>
        <v>0.24553158608109649</v>
      </c>
      <c r="X246" s="19">
        <f>IFERROR((W246-D246)*100,"")</f>
        <v>2.8615776853114867</v>
      </c>
    </row>
    <row r="247" spans="1:24">
      <c r="A247" s="28" t="s">
        <v>309</v>
      </c>
      <c r="B247" s="28" t="s">
        <v>310</v>
      </c>
      <c r="C247" s="28" t="s">
        <v>506</v>
      </c>
      <c r="D247" s="31">
        <f>IFERROR(Serie_Historica!G811/Serie_Historica!G808,"")</f>
        <v>0.58344657995211291</v>
      </c>
      <c r="E247" s="31">
        <f>IFERROR(Serie_Historica!H811/Serie_Historica!H808,"")</f>
        <v>0.57203751065643649</v>
      </c>
      <c r="F247" s="31">
        <f>IFERROR(Serie_Historica!I811/Serie_Historica!I808,"")</f>
        <v>0.55306050360801329</v>
      </c>
      <c r="G247" s="31">
        <f>IFERROR(Serie_Historica!J811/Serie_Historica!J808,"")</f>
        <v>0.60711909514304729</v>
      </c>
      <c r="H247" s="31">
        <f>IFERROR(Serie_Historica!K811/Serie_Historica!K808,"")</f>
        <v>0.58858670677194302</v>
      </c>
      <c r="I247" s="31">
        <f>IFERROR(Serie_Historica!L811/Serie_Historica!L808,"")</f>
        <v>0.62459570987769064</v>
      </c>
      <c r="J247" s="31">
        <f>IFERROR(Serie_Historica!M811/Serie_Historica!M808,"")</f>
        <v>0.55504229407882899</v>
      </c>
      <c r="K247" s="31">
        <f>IFERROR(Serie_Historica!N811/Serie_Historica!N808,"")</f>
        <v>0.6026621435142594</v>
      </c>
      <c r="L247" s="31">
        <f>IFERROR(Serie_Historica!O811/Serie_Historica!O808,"")</f>
        <v>0.65446789402784011</v>
      </c>
      <c r="M247" s="31">
        <f>IFERROR(Serie_Historica!P811/Serie_Historica!P808,"")</f>
        <v>0.65326197378527717</v>
      </c>
      <c r="N247" s="31">
        <f>IFERROR(Serie_Historica!Q811/Serie_Historica!Q808,"")</f>
        <v>0.64977402555690655</v>
      </c>
      <c r="O247" s="31">
        <f>IFERROR(Serie_Historica!R811/Serie_Historica!R808,"")</f>
        <v>0.66133406209926637</v>
      </c>
      <c r="P247" s="31">
        <f>IFERROR(Serie_Historica!S811/Serie_Historica!S808,"")</f>
        <v>0.6668063788595493</v>
      </c>
      <c r="Q247" s="31">
        <f>IFERROR(Serie_Historica!T811/Serie_Historica!T808,"")</f>
        <v>0.65739316161963546</v>
      </c>
      <c r="R247" s="31">
        <f>IFERROR(Serie_Historica!U811/Serie_Historica!U808,"")</f>
        <v>0.66323603553484811</v>
      </c>
      <c r="S247" s="31">
        <f>IFERROR(Serie_Historica!V811/Serie_Historica!V808,"")</f>
        <v>0.66854638663800237</v>
      </c>
      <c r="T247" s="31">
        <f>IFERROR(Serie_Historica!W811/Serie_Historica!W808,"")</f>
        <v>0.62066510112870232</v>
      </c>
      <c r="U247" s="31">
        <f>IFERROR(Serie_Historica!X811/Serie_Historica!X808,"")</f>
        <v>0.61377696037451934</v>
      </c>
      <c r="V247" s="31">
        <f>IFERROR(Serie_Historica!Y811/Serie_Historica!Y808,"")</f>
        <v>0.61183982510864054</v>
      </c>
      <c r="W247" s="31">
        <f>IFERROR(Serie_Historica!Z811/Serie_Historica!Z808,"")</f>
        <v>0.59808976096677346</v>
      </c>
      <c r="X247" s="19">
        <f>IFERROR((W247-D247)*100,"")</f>
        <v>1.4643181014660556</v>
      </c>
    </row>
    <row r="248" spans="1:24">
      <c r="A248" s="28" t="s">
        <v>277</v>
      </c>
      <c r="B248" s="28" t="s">
        <v>278</v>
      </c>
      <c r="C248" s="28" t="s">
        <v>504</v>
      </c>
      <c r="D248" s="31">
        <f>IFERROR(Serie_Historica!G819/Serie_Historica!G818,"")</f>
        <v>6.9240853295197233E-2</v>
      </c>
      <c r="E248" s="31">
        <f>IFERROR(Serie_Historica!H819/Serie_Historica!H818,"")</f>
        <v>5.1549737653486236E-2</v>
      </c>
      <c r="F248" s="31">
        <f>IFERROR(Serie_Historica!I819/Serie_Historica!I818,"")</f>
        <v>5.3968938740293355E-2</v>
      </c>
      <c r="G248" s="31">
        <f>IFERROR(Serie_Historica!J819/Serie_Historica!J818,"")</f>
        <v>0.13233341145223029</v>
      </c>
      <c r="H248" s="31">
        <f>IFERROR(Serie_Historica!K819/Serie_Historica!K818,"")</f>
        <v>4.6695859872611462E-2</v>
      </c>
      <c r="I248" s="31">
        <f>IFERROR(Serie_Historica!L819/Serie_Historica!L818,"")</f>
        <v>4.5256081502529626E-2</v>
      </c>
      <c r="J248" s="31">
        <f>IFERROR(Serie_Historica!M819/Serie_Historica!M818,"")</f>
        <v>3.8863636363636364E-2</v>
      </c>
      <c r="K248" s="31">
        <f>IFERROR(Serie_Historica!N819/Serie_Historica!N818,"")</f>
        <v>3.9819944598337952E-2</v>
      </c>
      <c r="L248" s="31">
        <f>IFERROR(Serie_Historica!O819/Serie_Historica!O818,"")</f>
        <v>3.409888938018571E-2</v>
      </c>
      <c r="M248" s="31">
        <f>IFERROR(Serie_Historica!P819/Serie_Historica!P818,"")</f>
        <v>3.8716711515263985E-2</v>
      </c>
      <c r="N248" s="31">
        <f>IFERROR(Serie_Historica!Q819/Serie_Historica!Q818,"")</f>
        <v>4.1166345216615857E-2</v>
      </c>
      <c r="O248" s="31">
        <f>IFERROR(Serie_Historica!R819/Serie_Historica!R818,"")</f>
        <v>4.2009503910655846E-2</v>
      </c>
      <c r="P248" s="31">
        <f>IFERROR(Serie_Historica!S819/Serie_Historica!S818,"")</f>
        <v>3.7257622415485095E-2</v>
      </c>
      <c r="Q248" s="31">
        <f>IFERROR(Serie_Historica!T819/Serie_Historica!T818,"")</f>
        <v>4.463103453647594E-2</v>
      </c>
      <c r="R248" s="31">
        <f>IFERROR(Serie_Historica!U819/Serie_Historica!U818,"")</f>
        <v>4.0222311350484159E-2</v>
      </c>
      <c r="S248" s="31">
        <f>IFERROR(Serie_Historica!V819/Serie_Historica!V818,"")</f>
        <v>5.363727790814616E-2</v>
      </c>
      <c r="T248" s="31">
        <f>IFERROR(Serie_Historica!W819/Serie_Historica!W818,"")</f>
        <v>4.7546849414761359E-2</v>
      </c>
      <c r="U248" s="31">
        <f>IFERROR(Serie_Historica!X819/Serie_Historica!X818,"")</f>
        <v>4.4034106700165644E-2</v>
      </c>
      <c r="V248" s="31">
        <f>IFERROR(Serie_Historica!Y819/Serie_Historica!Y818,"")</f>
        <v>4.3185511957278849E-2</v>
      </c>
      <c r="W248" s="31">
        <f>IFERROR(Serie_Historica!Z819/Serie_Historica!Z818,"")</f>
        <v>4.2732631366819485E-2</v>
      </c>
      <c r="X248" s="19">
        <f>IFERROR((W248-D248)*100,"")</f>
        <v>-2.6508221928377749</v>
      </c>
    </row>
    <row r="249" spans="1:24">
      <c r="A249" s="28" t="s">
        <v>277</v>
      </c>
      <c r="B249" s="28" t="s">
        <v>278</v>
      </c>
      <c r="C249" s="28" t="s">
        <v>505</v>
      </c>
      <c r="D249" s="31">
        <f>IFERROR(Serie_Historica!G820/Serie_Historica!G818,"")</f>
        <v>0.33792158264807531</v>
      </c>
      <c r="E249" s="31">
        <f>IFERROR(Serie_Historica!H820/Serie_Historica!H818,"")</f>
        <v>0.33926542976145402</v>
      </c>
      <c r="F249" s="31">
        <f>IFERROR(Serie_Historica!I820/Serie_Historica!I818,"")</f>
        <v>0.42450388265746331</v>
      </c>
      <c r="G249" s="31">
        <f>IFERROR(Serie_Historica!J820/Serie_Historica!J818,"")</f>
        <v>0.33169283649714865</v>
      </c>
      <c r="H249" s="31">
        <f>IFERROR(Serie_Historica!K820/Serie_Historica!K818,"")</f>
        <v>0.35402070063694269</v>
      </c>
      <c r="I249" s="31">
        <f>IFERROR(Serie_Historica!L820/Serie_Historica!L818,"")</f>
        <v>0.31904497886201399</v>
      </c>
      <c r="J249" s="31">
        <f>IFERROR(Serie_Historica!M820/Serie_Historica!M818,"")</f>
        <v>0.28249999999999997</v>
      </c>
      <c r="K249" s="31">
        <f>IFERROR(Serie_Historica!N820/Serie_Historica!N818,"")</f>
        <v>0.28958910433979684</v>
      </c>
      <c r="L249" s="31">
        <f>IFERROR(Serie_Historica!O820/Serie_Historica!O818,"")</f>
        <v>0.3400265300283507</v>
      </c>
      <c r="M249" s="31">
        <f>IFERROR(Serie_Historica!P820/Serie_Historica!P818,"")</f>
        <v>0.33569175095109954</v>
      </c>
      <c r="N249" s="31">
        <f>IFERROR(Serie_Historica!Q820/Serie_Historica!Q818,"")</f>
        <v>0.37551587548476739</v>
      </c>
      <c r="O249" s="31">
        <f>IFERROR(Serie_Historica!R820/Serie_Historica!R818,"")</f>
        <v>0.3620731098496755</v>
      </c>
      <c r="P249" s="31">
        <f>IFERROR(Serie_Historica!S820/Serie_Historica!S818,"")</f>
        <v>0.35591012148489054</v>
      </c>
      <c r="Q249" s="31">
        <f>IFERROR(Serie_Historica!T820/Serie_Historica!T818,"")</f>
        <v>0.37502531428660446</v>
      </c>
      <c r="R249" s="31">
        <f>IFERROR(Serie_Historica!U820/Serie_Historica!U818,"")</f>
        <v>0.38414599209304989</v>
      </c>
      <c r="S249" s="31">
        <f>IFERROR(Serie_Historica!V820/Serie_Historica!V818,"")</f>
        <v>0.38509244694293304</v>
      </c>
      <c r="T249" s="31">
        <f>IFERROR(Serie_Historica!W820/Serie_Historica!W818,"")</f>
        <v>0.42373703681242042</v>
      </c>
      <c r="U249" s="31">
        <f>IFERROR(Serie_Historica!X820/Serie_Historica!X818,"")</f>
        <v>0.43331517570286704</v>
      </c>
      <c r="V249" s="31">
        <f>IFERROR(Serie_Historica!Y820/Serie_Historica!Y818,"")</f>
        <v>0.41300430086127787</v>
      </c>
      <c r="W249" s="31">
        <f>IFERROR(Serie_Historica!Z820/Serie_Historica!Z818,"")</f>
        <v>0.40812131593531159</v>
      </c>
      <c r="X249" s="19">
        <f>IFERROR((W249-D249)*100,"")</f>
        <v>7.0199733287236281</v>
      </c>
    </row>
    <row r="250" spans="1:24">
      <c r="A250" s="28" t="s">
        <v>277</v>
      </c>
      <c r="B250" s="28" t="s">
        <v>278</v>
      </c>
      <c r="C250" s="28" t="s">
        <v>506</v>
      </c>
      <c r="D250" s="31">
        <f>IFERROR(Serie_Historica!G821/Serie_Historica!G818,"")</f>
        <v>0.50655464187820287</v>
      </c>
      <c r="E250" s="31">
        <f>IFERROR(Serie_Historica!H821/Serie_Historica!H818,"")</f>
        <v>0.51214366852382753</v>
      </c>
      <c r="F250" s="31">
        <f>IFERROR(Serie_Historica!I821/Serie_Historica!I818,"")</f>
        <v>0.44314063848144952</v>
      </c>
      <c r="G250" s="31">
        <f>IFERROR(Serie_Historica!J821/Serie_Historica!J818,"")</f>
        <v>0.47933755175376924</v>
      </c>
      <c r="H250" s="31">
        <f>IFERROR(Serie_Historica!K821/Serie_Historica!K818,"")</f>
        <v>0.52225318471337578</v>
      </c>
      <c r="I250" s="31">
        <f>IFERROR(Serie_Historica!L821/Serie_Historica!L818,"")</f>
        <v>0.5770323653752859</v>
      </c>
      <c r="J250" s="31">
        <f>IFERROR(Serie_Historica!M821/Serie_Historica!M818,"")</f>
        <v>0.59857142857142853</v>
      </c>
      <c r="K250" s="31">
        <f>IFERROR(Serie_Historica!N821/Serie_Historica!N818,"")</f>
        <v>0.6048303324099723</v>
      </c>
      <c r="L250" s="31">
        <f>IFERROR(Serie_Historica!O821/Serie_Historica!O818,"")</f>
        <v>0.58600150857023958</v>
      </c>
      <c r="M250" s="31">
        <f>IFERROR(Serie_Historica!P821/Serie_Historica!P818,"")</f>
        <v>0.58297763756147347</v>
      </c>
      <c r="N250" s="31">
        <f>IFERROR(Serie_Historica!Q821/Serie_Historica!Q818,"")</f>
        <v>0.56199838238038946</v>
      </c>
      <c r="O250" s="31">
        <f>IFERROR(Serie_Historica!R821/Serie_Historica!R818,"")</f>
        <v>0.57459830260895295</v>
      </c>
      <c r="P250" s="31">
        <f>IFERROR(Serie_Historica!S821/Serie_Historica!S818,"")</f>
        <v>0.57896517884335552</v>
      </c>
      <c r="Q250" s="31">
        <f>IFERROR(Serie_Historica!T821/Serie_Historica!T818,"")</f>
        <v>0.56149424392067671</v>
      </c>
      <c r="R250" s="31">
        <f>IFERROR(Serie_Historica!U821/Serie_Historica!U818,"")</f>
        <v>0.55933077407895493</v>
      </c>
      <c r="S250" s="31">
        <f>IFERROR(Serie_Historica!V821/Serie_Historica!V818,"")</f>
        <v>0.54777070063694266</v>
      </c>
      <c r="T250" s="31">
        <f>IFERROR(Serie_Historica!W821/Serie_Historica!W818,"")</f>
        <v>0.50818121171690223</v>
      </c>
      <c r="U250" s="31">
        <f>IFERROR(Serie_Historica!X821/Serie_Historica!X818,"")</f>
        <v>0.50863228574922459</v>
      </c>
      <c r="V250" s="31">
        <f>IFERROR(Serie_Historica!Y821/Serie_Historica!Y818,"")</f>
        <v>0.52549006600550596</v>
      </c>
      <c r="W250" s="31">
        <f>IFERROR(Serie_Historica!Z821/Serie_Historica!Z818,"")</f>
        <v>0.52790568794397708</v>
      </c>
      <c r="X250" s="19">
        <f>IFERROR((W250-D250)*100,"")</f>
        <v>2.1351046065774204</v>
      </c>
    </row>
    <row r="251" spans="1:24">
      <c r="A251" s="28" t="s">
        <v>243</v>
      </c>
      <c r="B251" s="28" t="s">
        <v>244</v>
      </c>
      <c r="C251" s="28" t="s">
        <v>504</v>
      </c>
      <c r="D251" s="31">
        <f>IFERROR(Serie_Historica!G829/Serie_Historica!G828,"")</f>
        <v>6.7751494148962879E-2</v>
      </c>
      <c r="E251" s="31">
        <f>IFERROR(Serie_Historica!H829/Serie_Historica!H828,"")</f>
        <v>5.2138543079008996E-2</v>
      </c>
      <c r="F251" s="31">
        <f>IFERROR(Serie_Historica!I829/Serie_Historica!I828,"")</f>
        <v>5.9032212288917273E-2</v>
      </c>
      <c r="G251" s="31">
        <f>IFERROR(Serie_Historica!J829/Serie_Historica!J828,"")</f>
        <v>5.3896695290137915E-2</v>
      </c>
      <c r="H251" s="31">
        <f>IFERROR(Serie_Historica!K829/Serie_Historica!K828,"")</f>
        <v>4.9032752346293812E-2</v>
      </c>
      <c r="I251" s="31">
        <f>IFERROR(Serie_Historica!L829/Serie_Historica!L828,"")</f>
        <v>4.8102495908346969E-2</v>
      </c>
      <c r="J251" s="31">
        <f>IFERROR(Serie_Historica!M829/Serie_Historica!M828,"")</f>
        <v>8.3585476550680785E-2</v>
      </c>
      <c r="K251" s="31">
        <f>IFERROR(Serie_Historica!N829/Serie_Historica!N828,"")</f>
        <v>4.9189096666524025E-2</v>
      </c>
      <c r="L251" s="31">
        <f>IFERROR(Serie_Historica!O829/Serie_Historica!O828,"")</f>
        <v>3.3817081215319546E-2</v>
      </c>
      <c r="M251" s="31">
        <f>IFERROR(Serie_Historica!P829/Serie_Historica!P828,"")</f>
        <v>4.0495983724437898E-2</v>
      </c>
      <c r="N251" s="31">
        <f>IFERROR(Serie_Historica!Q829/Serie_Historica!Q828,"")</f>
        <v>4.2097855120679449E-2</v>
      </c>
      <c r="O251" s="31">
        <f>IFERROR(Serie_Historica!R829/Serie_Historica!R828,"")</f>
        <v>5.5402176798513406E-2</v>
      </c>
      <c r="P251" s="31">
        <f>IFERROR(Serie_Historica!S829/Serie_Historica!S828,"")</f>
        <v>5.414660898178051E-2</v>
      </c>
      <c r="Q251" s="31">
        <f>IFERROR(Serie_Historica!T829/Serie_Historica!T828,"")</f>
        <v>3.0018843945834612E-2</v>
      </c>
      <c r="R251" s="31">
        <f>IFERROR(Serie_Historica!U829/Serie_Historica!U828,"")</f>
        <v>3.5244794997512971E-2</v>
      </c>
      <c r="S251" s="31">
        <f>IFERROR(Serie_Historica!V829/Serie_Historica!V828,"")</f>
        <v>4.3861747008121836E-2</v>
      </c>
      <c r="T251" s="31">
        <f>IFERROR(Serie_Historica!W829/Serie_Historica!W828,"")</f>
        <v>5.2960316837210926E-2</v>
      </c>
      <c r="U251" s="31">
        <f>IFERROR(Serie_Historica!X829/Serie_Historica!X828,"")</f>
        <v>5.1245670408546509E-2</v>
      </c>
      <c r="V251" s="31">
        <f>IFERROR(Serie_Historica!Y829/Serie_Historica!Y828,"")</f>
        <v>4.9658364213455916E-2</v>
      </c>
      <c r="W251" s="31">
        <f>IFERROR(Serie_Historica!Z829/Serie_Historica!Z828,"")</f>
        <v>4.1238897673723379E-2</v>
      </c>
      <c r="X251" s="19">
        <f>IFERROR((W251-D251)*100,"")</f>
        <v>-2.65125964752395</v>
      </c>
    </row>
    <row r="252" spans="1:24">
      <c r="A252" s="28" t="s">
        <v>243</v>
      </c>
      <c r="B252" s="28" t="s">
        <v>244</v>
      </c>
      <c r="C252" s="28" t="s">
        <v>505</v>
      </c>
      <c r="D252" s="31">
        <f>IFERROR(Serie_Historica!G830/Serie_Historica!G828,"")</f>
        <v>0.26322133494048516</v>
      </c>
      <c r="E252" s="31">
        <f>IFERROR(Serie_Historica!H830/Serie_Historica!H828,"")</f>
        <v>0.25933686675705658</v>
      </c>
      <c r="F252" s="31">
        <f>IFERROR(Serie_Historica!I830/Serie_Historica!I828,"")</f>
        <v>0.28260252589754503</v>
      </c>
      <c r="G252" s="31">
        <f>IFERROR(Serie_Historica!J830/Serie_Historica!J828,"")</f>
        <v>0.27198803018475148</v>
      </c>
      <c r="H252" s="31">
        <f>IFERROR(Serie_Historica!K830/Serie_Historica!K828,"")</f>
        <v>0.27942101950912523</v>
      </c>
      <c r="I252" s="31">
        <f>IFERROR(Serie_Historica!L830/Serie_Historica!L828,"")</f>
        <v>0.2748823649754501</v>
      </c>
      <c r="J252" s="31">
        <f>IFERROR(Serie_Historica!M830/Serie_Historica!M828,"")</f>
        <v>0.23711844798433745</v>
      </c>
      <c r="K252" s="31">
        <f>IFERROR(Serie_Historica!N830/Serie_Historica!N828,"")</f>
        <v>0.23753690786939963</v>
      </c>
      <c r="L252" s="31">
        <f>IFERROR(Serie_Historica!O830/Serie_Historica!O828,"")</f>
        <v>0.24030887431609174</v>
      </c>
      <c r="M252" s="31">
        <f>IFERROR(Serie_Historica!P830/Serie_Historica!P828,"")</f>
        <v>0.24220421621242413</v>
      </c>
      <c r="N252" s="31">
        <f>IFERROR(Serie_Historica!Q830/Serie_Historica!Q828,"")</f>
        <v>0.27573135426496698</v>
      </c>
      <c r="O252" s="31">
        <f>IFERROR(Serie_Historica!R830/Serie_Historica!R828,"")</f>
        <v>0.27681178656756039</v>
      </c>
      <c r="P252" s="31">
        <f>IFERROR(Serie_Historica!S830/Serie_Historica!S828,"")</f>
        <v>0.28895253183840108</v>
      </c>
      <c r="Q252" s="31">
        <f>IFERROR(Serie_Historica!T830/Serie_Historica!T828,"")</f>
        <v>0.29684692580744115</v>
      </c>
      <c r="R252" s="31">
        <f>IFERROR(Serie_Historica!U830/Serie_Historica!U828,"")</f>
        <v>0.29681964450670484</v>
      </c>
      <c r="S252" s="31">
        <f>IFERROR(Serie_Historica!V830/Serie_Historica!V828,"")</f>
        <v>0.28819607205380121</v>
      </c>
      <c r="T252" s="31">
        <f>IFERROR(Serie_Historica!W830/Serie_Historica!W828,"")</f>
        <v>0.25838109444924234</v>
      </c>
      <c r="U252" s="31">
        <f>IFERROR(Serie_Historica!X830/Serie_Historica!X828,"")</f>
        <v>0.24301631682176689</v>
      </c>
      <c r="V252" s="31">
        <f>IFERROR(Serie_Historica!Y830/Serie_Historica!Y828,"")</f>
        <v>0.24149037634660789</v>
      </c>
      <c r="W252" s="31">
        <f>IFERROR(Serie_Historica!Z830/Serie_Historica!Z828,"")</f>
        <v>0.25234240400273772</v>
      </c>
      <c r="X252" s="19">
        <f>IFERROR((W252-D252)*100,"")</f>
        <v>-1.0878930937747444</v>
      </c>
    </row>
    <row r="253" spans="1:24">
      <c r="A253" s="28" t="s">
        <v>243</v>
      </c>
      <c r="B253" s="28" t="s">
        <v>244</v>
      </c>
      <c r="C253" s="28" t="s">
        <v>506</v>
      </c>
      <c r="D253" s="31">
        <f>IFERROR(Serie_Historica!G831/Serie_Historica!G828,"")</f>
        <v>0.51760333484003818</v>
      </c>
      <c r="E253" s="31">
        <f>IFERROR(Serie_Historica!H831/Serie_Historica!H828,"")</f>
        <v>0.45930399769916597</v>
      </c>
      <c r="F253" s="31">
        <f>IFERROR(Serie_Historica!I831/Serie_Historica!I828,"")</f>
        <v>0.46086987370512272</v>
      </c>
      <c r="G253" s="31">
        <f>IFERROR(Serie_Historica!J831/Serie_Historica!J828,"")</f>
        <v>0.48614363778298203</v>
      </c>
      <c r="H253" s="31">
        <f>IFERROR(Serie_Historica!K831/Serie_Historica!K828,"")</f>
        <v>0.48351437874517744</v>
      </c>
      <c r="I253" s="31">
        <f>IFERROR(Serie_Historica!L831/Serie_Historica!L828,"")</f>
        <v>0.53508592471358429</v>
      </c>
      <c r="J253" s="31">
        <f>IFERROR(Serie_Historica!M831/Serie_Historica!M828,"")</f>
        <v>0.52749844264483403</v>
      </c>
      <c r="K253" s="31">
        <f>IFERROR(Serie_Historica!N831/Serie_Historica!N828,"")</f>
        <v>0.54478154820488678</v>
      </c>
      <c r="L253" s="31">
        <f>IFERROR(Serie_Historica!O831/Serie_Historica!O828,"")</f>
        <v>0.57454115090605717</v>
      </c>
      <c r="M253" s="31">
        <f>IFERROR(Serie_Historica!P831/Serie_Historica!P828,"")</f>
        <v>0.59430355326388162</v>
      </c>
      <c r="N253" s="31">
        <f>IFERROR(Serie_Historica!Q831/Serie_Historica!Q828,"")</f>
        <v>0.59992642472129365</v>
      </c>
      <c r="O253" s="31">
        <f>IFERROR(Serie_Historica!R831/Serie_Historica!R828,"")</f>
        <v>0.58093973984603131</v>
      </c>
      <c r="P253" s="31">
        <f>IFERROR(Serie_Historica!S831/Serie_Historica!S828,"")</f>
        <v>0.5746024008287125</v>
      </c>
      <c r="Q253" s="31">
        <f>IFERROR(Serie_Historica!T831/Serie_Historica!T828,"")</f>
        <v>0.59341995705333273</v>
      </c>
      <c r="R253" s="31">
        <f>IFERROR(Serie_Historica!U831/Serie_Historica!U828,"")</f>
        <v>0.57405771944249884</v>
      </c>
      <c r="S253" s="31">
        <f>IFERROR(Serie_Historica!V831/Serie_Historica!V828,"")</f>
        <v>0.53117197440042863</v>
      </c>
      <c r="T253" s="31">
        <f>IFERROR(Serie_Historica!W831/Serie_Historica!W828,"")</f>
        <v>0.5633805274222955</v>
      </c>
      <c r="U253" s="31">
        <f>IFERROR(Serie_Historica!X831/Serie_Historica!X828,"")</f>
        <v>0.58062846888953801</v>
      </c>
      <c r="V253" s="31">
        <f>IFERROR(Serie_Historica!Y831/Serie_Historica!Y828,"")</f>
        <v>0.57443282205231638</v>
      </c>
      <c r="W253" s="31">
        <f>IFERROR(Serie_Historica!Z831/Serie_Historica!Z828,"")</f>
        <v>0.58828758663551328</v>
      </c>
      <c r="X253" s="19">
        <f>IFERROR((W253-D253)*100,"")</f>
        <v>7.0684251795475106</v>
      </c>
    </row>
    <row r="254" spans="1:24">
      <c r="A254" s="28" t="s">
        <v>357</v>
      </c>
      <c r="B254" s="28" t="s">
        <v>358</v>
      </c>
      <c r="C254" s="28" t="s">
        <v>504</v>
      </c>
      <c r="D254" s="31">
        <f>IFERROR(Serie_Historica!G839/Serie_Historica!G838,"")</f>
        <v>8.9609887987640011E-2</v>
      </c>
      <c r="E254" s="31">
        <f>IFERROR(Serie_Historica!H839/Serie_Historica!H838,"")</f>
        <v>6.3817191569973952E-2</v>
      </c>
      <c r="F254" s="31">
        <f>IFERROR(Serie_Historica!I839/Serie_Historica!I838,"")</f>
        <v>7.0886075949367092E-2</v>
      </c>
      <c r="G254" s="31">
        <f>IFERROR(Serie_Historica!J839/Serie_Historica!J838,"")</f>
        <v>5.8421851289833078E-2</v>
      </c>
      <c r="H254" s="31">
        <f>IFERROR(Serie_Historica!K839/Serie_Historica!K838,"")</f>
        <v>7.7033952594490709E-2</v>
      </c>
      <c r="I254" s="31">
        <f>IFERROR(Serie_Historica!L839/Serie_Historica!L838,"")</f>
        <v>8.919562780269058E-2</v>
      </c>
      <c r="J254" s="31">
        <f>IFERROR(Serie_Historica!M839/Serie_Historica!M838,"")</f>
        <v>6.2463131677262897E-2</v>
      </c>
      <c r="K254" s="31">
        <f>IFERROR(Serie_Historica!N839/Serie_Historica!N838,"")</f>
        <v>4.4537495241720591E-2</v>
      </c>
      <c r="L254" s="31">
        <f>IFERROR(Serie_Historica!O839/Serie_Historica!O838,"")</f>
        <v>4.3408609374192546E-2</v>
      </c>
      <c r="M254" s="31">
        <f>IFERROR(Serie_Historica!P839/Serie_Historica!P838,"")</f>
        <v>7.7346503073796841E-2</v>
      </c>
      <c r="N254" s="31">
        <f>IFERROR(Serie_Historica!Q839/Serie_Historica!Q838,"")</f>
        <v>8.5354445686645825E-2</v>
      </c>
      <c r="O254" s="31">
        <f>IFERROR(Serie_Historica!R839/Serie_Historica!R838,"")</f>
        <v>9.3478090460139537E-2</v>
      </c>
      <c r="P254" s="31">
        <f>IFERROR(Serie_Historica!S839/Serie_Historica!S838,"")</f>
        <v>0.10871192785434745</v>
      </c>
      <c r="Q254" s="31">
        <f>IFERROR(Serie_Historica!T839/Serie_Historica!T838,"")</f>
        <v>8.9336628017487166E-2</v>
      </c>
      <c r="R254" s="31">
        <f>IFERROR(Serie_Historica!U839/Serie_Historica!U838,"")</f>
        <v>0.11214322213300242</v>
      </c>
      <c r="S254" s="31">
        <f>IFERROR(Serie_Historica!V839/Serie_Historica!V838,"")</f>
        <v>7.6587414259455741E-2</v>
      </c>
      <c r="T254" s="31">
        <f>IFERROR(Serie_Historica!W839/Serie_Historica!W838,"")</f>
        <v>0.11619351157803616</v>
      </c>
      <c r="U254" s="31">
        <f>IFERROR(Serie_Historica!X839/Serie_Historica!X838,"")</f>
        <v>0.11835324972757327</v>
      </c>
      <c r="V254" s="31">
        <f>IFERROR(Serie_Historica!Y839/Serie_Historica!Y838,"")</f>
        <v>4.0722751117155627E-2</v>
      </c>
      <c r="W254" s="31">
        <f>IFERROR(Serie_Historica!Z839/Serie_Historica!Z838,"")</f>
        <v>3.9265136671387278E-2</v>
      </c>
      <c r="X254" s="19">
        <f>IFERROR((W254-D254)*100,"")</f>
        <v>-5.0344751316252729</v>
      </c>
    </row>
    <row r="255" spans="1:24">
      <c r="A255" s="28" t="s">
        <v>357</v>
      </c>
      <c r="B255" s="28" t="s">
        <v>358</v>
      </c>
      <c r="C255" s="28" t="s">
        <v>505</v>
      </c>
      <c r="D255" s="31">
        <f>IFERROR(Serie_Historica!G840/Serie_Historica!G838,"")</f>
        <v>0.19080726149092314</v>
      </c>
      <c r="E255" s="31">
        <f>IFERROR(Serie_Historica!H840/Serie_Historica!H838,"")</f>
        <v>0.1927539663746152</v>
      </c>
      <c r="F255" s="31">
        <f>IFERROR(Serie_Historica!I840/Serie_Historica!I838,"")</f>
        <v>0.21550632911392406</v>
      </c>
      <c r="G255" s="31">
        <f>IFERROR(Serie_Historica!J840/Serie_Historica!J838,"")</f>
        <v>0.2076062215477997</v>
      </c>
      <c r="H255" s="31">
        <f>IFERROR(Serie_Historica!K840/Serie_Historica!K838,"")</f>
        <v>0.20459641255605382</v>
      </c>
      <c r="I255" s="31">
        <f>IFERROR(Serie_Historica!L840/Serie_Historica!L838,"")</f>
        <v>0.20662836322869954</v>
      </c>
      <c r="J255" s="31">
        <f>IFERROR(Serie_Historica!M840/Serie_Historica!M838,"")</f>
        <v>0.19564789932490004</v>
      </c>
      <c r="K255" s="31">
        <f>IFERROR(Serie_Historica!N840/Serie_Historica!N838,"")</f>
        <v>0.20955462504758279</v>
      </c>
      <c r="L255" s="31">
        <f>IFERROR(Serie_Historica!O840/Serie_Historica!O838,"")</f>
        <v>0.21368404733605498</v>
      </c>
      <c r="M255" s="31">
        <f>IFERROR(Serie_Historica!P840/Serie_Historica!P838,"")</f>
        <v>0.49628314941996554</v>
      </c>
      <c r="N255" s="31">
        <f>IFERROR(Serie_Historica!Q840/Serie_Historica!Q838,"")</f>
        <v>0.53231878436651536</v>
      </c>
      <c r="O255" s="31">
        <f>IFERROR(Serie_Historica!R840/Serie_Historica!R838,"")</f>
        <v>0.52122364192208204</v>
      </c>
      <c r="P255" s="31">
        <f>IFERROR(Serie_Historica!S840/Serie_Historica!S838,"")</f>
        <v>0.54449549089671601</v>
      </c>
      <c r="Q255" s="31">
        <f>IFERROR(Serie_Historica!T840/Serie_Historica!T838,"")</f>
        <v>0.53653816246479236</v>
      </c>
      <c r="R255" s="31">
        <f>IFERROR(Serie_Historica!U840/Serie_Historica!U838,"")</f>
        <v>0.49262719906562524</v>
      </c>
      <c r="S255" s="31">
        <f>IFERROR(Serie_Historica!V840/Serie_Historica!V838,"")</f>
        <v>0.5604106579792878</v>
      </c>
      <c r="T255" s="31">
        <f>IFERROR(Serie_Historica!W840/Serie_Historica!W838,"")</f>
        <v>0.39158747958842394</v>
      </c>
      <c r="U255" s="31">
        <f>IFERROR(Serie_Historica!X840/Serie_Historica!X838,"")</f>
        <v>0.37805441146593283</v>
      </c>
      <c r="V255" s="31">
        <f>IFERROR(Serie_Historica!Y840/Serie_Historica!Y838,"")</f>
        <v>0.37390713036720419</v>
      </c>
      <c r="W255" s="31">
        <f>IFERROR(Serie_Historica!Z840/Serie_Historica!Z838,"")</f>
        <v>0.32576095602071897</v>
      </c>
      <c r="X255" s="19">
        <f>IFERROR((W255-D255)*100,"")</f>
        <v>13.495369452979583</v>
      </c>
    </row>
    <row r="256" spans="1:24">
      <c r="A256" s="28" t="s">
        <v>357</v>
      </c>
      <c r="B256" s="28" t="s">
        <v>358</v>
      </c>
      <c r="C256" s="28" t="s">
        <v>506</v>
      </c>
      <c r="D256" s="31">
        <f>IFERROR(Serie_Historica!G841/Serie_Historica!G838,"")</f>
        <v>0.65868417664477918</v>
      </c>
      <c r="E256" s="31">
        <f>IFERROR(Serie_Historica!H841/Serie_Historica!H838,"")</f>
        <v>0.66646933459625857</v>
      </c>
      <c r="F256" s="31">
        <f>IFERROR(Serie_Historica!I841/Serie_Historica!I838,"")</f>
        <v>0.65421940928270039</v>
      </c>
      <c r="G256" s="31">
        <f>IFERROR(Serie_Historica!J841/Serie_Historica!J838,"")</f>
        <v>0.67953338391502272</v>
      </c>
      <c r="H256" s="31">
        <f>IFERROR(Serie_Historica!K841/Serie_Historica!K838,"")</f>
        <v>0.66239590006406146</v>
      </c>
      <c r="I256" s="31">
        <f>IFERROR(Serie_Historica!L841/Serie_Historica!L838,"")</f>
        <v>0.6551289237668162</v>
      </c>
      <c r="J256" s="31">
        <f>IFERROR(Serie_Historica!M841/Serie_Historica!M838,"")</f>
        <v>0.67995018679950192</v>
      </c>
      <c r="K256" s="31">
        <f>IFERROR(Serie_Historica!N841/Serie_Historica!N838,"")</f>
        <v>0.66964852176119782</v>
      </c>
      <c r="L256" s="31">
        <f>IFERROR(Serie_Historica!O841/Serie_Historica!O838,"")</f>
        <v>0.67924138287427005</v>
      </c>
      <c r="M256" s="31">
        <f>IFERROR(Serie_Historica!P841/Serie_Historica!P838,"")</f>
        <v>0.38398024538930475</v>
      </c>
      <c r="N256" s="31">
        <f>IFERROR(Serie_Historica!Q841/Serie_Historica!Q838,"")</f>
        <v>0.35013347327112188</v>
      </c>
      <c r="O256" s="31">
        <f>IFERROR(Serie_Historica!R841/Serie_Historica!R838,"")</f>
        <v>0.35347260327663244</v>
      </c>
      <c r="P256" s="31">
        <f>IFERROR(Serie_Historica!S841/Serie_Historica!S838,"")</f>
        <v>0.3203845499404458</v>
      </c>
      <c r="Q256" s="31">
        <f>IFERROR(Serie_Historica!T841/Serie_Historica!T838,"")</f>
        <v>0.33880527379862108</v>
      </c>
      <c r="R256" s="31">
        <f>IFERROR(Serie_Historica!U841/Serie_Historica!U838,"")</f>
        <v>0.36250821227826846</v>
      </c>
      <c r="S256" s="31">
        <f>IFERROR(Serie_Historica!V841/Serie_Historica!V838,"")</f>
        <v>0.33556495359923488</v>
      </c>
      <c r="T256" s="31">
        <f>IFERROR(Serie_Historica!W841/Serie_Historica!W838,"")</f>
        <v>0.451513899545535</v>
      </c>
      <c r="U256" s="31">
        <f>IFERROR(Serie_Historica!X841/Serie_Historica!X838,"")</f>
        <v>0.45913599172561548</v>
      </c>
      <c r="V256" s="31">
        <f>IFERROR(Serie_Historica!Y841/Serie_Historica!Y838,"")</f>
        <v>0.52677287740431322</v>
      </c>
      <c r="W256" s="31">
        <f>IFERROR(Serie_Historica!Z841/Serie_Historica!Z838,"")</f>
        <v>0.57221564785535528</v>
      </c>
      <c r="X256" s="19">
        <f>IFERROR((W256-D256)*100,"")</f>
        <v>-8.64685287894239</v>
      </c>
    </row>
    <row r="257" spans="1:24">
      <c r="A257" s="28" t="s">
        <v>249</v>
      </c>
      <c r="B257" s="28" t="s">
        <v>250</v>
      </c>
      <c r="C257" s="28" t="s">
        <v>504</v>
      </c>
      <c r="D257" s="31">
        <f>IFERROR(Serie_Historica!G849/Serie_Historica!G848,"")</f>
        <v>6.749668874172185E-2</v>
      </c>
      <c r="E257" s="31">
        <f>IFERROR(Serie_Historica!H849/Serie_Historica!H848,"")</f>
        <v>4.1861855875610483E-2</v>
      </c>
      <c r="F257" s="31">
        <f>IFERROR(Serie_Historica!I849/Serie_Historica!I848,"")</f>
        <v>4.9405069839627523E-2</v>
      </c>
      <c r="G257" s="31">
        <f>IFERROR(Serie_Historica!J849/Serie_Historica!J848,"")</f>
        <v>3.8762565377054047E-2</v>
      </c>
      <c r="H257" s="31">
        <f>IFERROR(Serie_Historica!K849/Serie_Historica!K848,"")</f>
        <v>3.9877104269346479E-2</v>
      </c>
      <c r="I257" s="31">
        <f>IFERROR(Serie_Historica!L849/Serie_Historica!L848,"")</f>
        <v>3.9282019738865435E-2</v>
      </c>
      <c r="J257" s="31">
        <f>IFERROR(Serie_Historica!M849/Serie_Historica!M848,"")</f>
        <v>3.591725392134576E-2</v>
      </c>
      <c r="K257" s="31">
        <f>IFERROR(Serie_Historica!N849/Serie_Historica!N848,"")</f>
        <v>3.7057208341843104E-2</v>
      </c>
      <c r="L257" s="31">
        <f>IFERROR(Serie_Historica!O849/Serie_Historica!O848,"")</f>
        <v>3.4993986492737536E-2</v>
      </c>
      <c r="M257" s="31">
        <f>IFERROR(Serie_Historica!P849/Serie_Historica!P848,"")</f>
        <v>3.2032274331820473E-2</v>
      </c>
      <c r="N257" s="31">
        <f>IFERROR(Serie_Historica!Q849/Serie_Historica!Q848,"")</f>
        <v>3.5235507246376814E-2</v>
      </c>
      <c r="O257" s="31">
        <f>IFERROR(Serie_Historica!R849/Serie_Historica!R848,"")</f>
        <v>3.1183848851537077E-2</v>
      </c>
      <c r="P257" s="31">
        <f>IFERROR(Serie_Historica!S849/Serie_Historica!S848,"")</f>
        <v>2.9863267739134274E-2</v>
      </c>
      <c r="Q257" s="31">
        <f>IFERROR(Serie_Historica!T849/Serie_Historica!T848,"")</f>
        <v>3.2778424730044463E-2</v>
      </c>
      <c r="R257" s="31">
        <f>IFERROR(Serie_Historica!U849/Serie_Historica!U848,"")</f>
        <v>3.7665888463027007E-2</v>
      </c>
      <c r="S257" s="31">
        <f>IFERROR(Serie_Historica!V849/Serie_Historica!V848,"")</f>
        <v>3.6825232799821507E-2</v>
      </c>
      <c r="T257" s="31">
        <f>IFERROR(Serie_Historica!W849/Serie_Historica!W848,"")</f>
        <v>3.6406894363963202E-2</v>
      </c>
      <c r="U257" s="31">
        <f>IFERROR(Serie_Historica!X849/Serie_Historica!X848,"")</f>
        <v>3.7001222945877536E-2</v>
      </c>
      <c r="V257" s="31">
        <f>IFERROR(Serie_Historica!Y849/Serie_Historica!Y848,"")</f>
        <v>3.5859640430351079E-2</v>
      </c>
      <c r="W257" s="31">
        <f>IFERROR(Serie_Historica!Z849/Serie_Historica!Z848,"")</f>
        <v>3.9815822519882797E-2</v>
      </c>
      <c r="X257" s="19">
        <f>IFERROR((W257-D257)*100,"")</f>
        <v>-2.7680866221839051</v>
      </c>
    </row>
    <row r="258" spans="1:24">
      <c r="A258" s="28" t="s">
        <v>249</v>
      </c>
      <c r="B258" s="28" t="s">
        <v>250</v>
      </c>
      <c r="C258" s="28" t="s">
        <v>505</v>
      </c>
      <c r="D258" s="31">
        <f>IFERROR(Serie_Historica!G850/Serie_Historica!G848,"")</f>
        <v>0.1695364238410596</v>
      </c>
      <c r="E258" s="31">
        <f>IFERROR(Serie_Historica!H850/Serie_Historica!H848,"")</f>
        <v>0.17178311571813018</v>
      </c>
      <c r="F258" s="31">
        <f>IFERROR(Serie_Historica!I850/Serie_Historica!I848,"")</f>
        <v>0.17822038282462493</v>
      </c>
      <c r="G258" s="31">
        <f>IFERROR(Serie_Historica!J850/Serie_Historica!J848,"")</f>
        <v>0.17085203457101525</v>
      </c>
      <c r="H258" s="31">
        <f>IFERROR(Serie_Historica!K850/Serie_Historica!K848,"")</f>
        <v>0.1676374575945721</v>
      </c>
      <c r="I258" s="31">
        <f>IFERROR(Serie_Historica!L850/Serie_Historica!L848,"")</f>
        <v>0.17401515363323733</v>
      </c>
      <c r="J258" s="31">
        <f>IFERROR(Serie_Historica!M850/Serie_Historica!M848,"")</f>
        <v>0.1606425702811245</v>
      </c>
      <c r="K258" s="31">
        <f>IFERROR(Serie_Historica!N850/Serie_Historica!N848,"")</f>
        <v>0.17804706469693876</v>
      </c>
      <c r="L258" s="31">
        <f>IFERROR(Serie_Historica!O850/Serie_Historica!O848,"")</f>
        <v>0.19273290776205015</v>
      </c>
      <c r="M258" s="31">
        <f>IFERROR(Serie_Historica!P850/Serie_Historica!P848,"")</f>
        <v>0.18483106404437721</v>
      </c>
      <c r="N258" s="31">
        <f>IFERROR(Serie_Historica!Q850/Serie_Historica!Q848,"")</f>
        <v>0.20490942028985507</v>
      </c>
      <c r="O258" s="31">
        <f>IFERROR(Serie_Historica!R850/Serie_Historica!R848,"")</f>
        <v>0.20594925910713721</v>
      </c>
      <c r="P258" s="31">
        <f>IFERROR(Serie_Historica!S850/Serie_Historica!S848,"")</f>
        <v>0.21528339932001825</v>
      </c>
      <c r="Q258" s="31">
        <f>IFERROR(Serie_Historica!T850/Serie_Historica!T848,"")</f>
        <v>0.2357611687486767</v>
      </c>
      <c r="R258" s="31">
        <f>IFERROR(Serie_Historica!U850/Serie_Historica!U848,"")</f>
        <v>0.22708148666025793</v>
      </c>
      <c r="S258" s="31">
        <f>IFERROR(Serie_Historica!V850/Serie_Historica!V848,"")</f>
        <v>0.23501919937998333</v>
      </c>
      <c r="T258" s="31">
        <f>IFERROR(Serie_Historica!W850/Serie_Historica!W848,"")</f>
        <v>0.28845299777942263</v>
      </c>
      <c r="U258" s="31">
        <f>IFERROR(Serie_Historica!X850/Serie_Historica!X848,"")</f>
        <v>0.32245006304333401</v>
      </c>
      <c r="V258" s="31">
        <f>IFERROR(Serie_Historica!Y850/Serie_Historica!Y848,"")</f>
        <v>0.34877548131370328</v>
      </c>
      <c r="W258" s="31">
        <f>IFERROR(Serie_Historica!Z850/Serie_Historica!Z848,"")</f>
        <v>0.35499372122226874</v>
      </c>
      <c r="X258" s="19">
        <f>IFERROR((W258-D258)*100,"")</f>
        <v>18.545729738120915</v>
      </c>
    </row>
    <row r="259" spans="1:24">
      <c r="A259" s="28" t="s">
        <v>249</v>
      </c>
      <c r="B259" s="28" t="s">
        <v>250</v>
      </c>
      <c r="C259" s="28" t="s">
        <v>506</v>
      </c>
      <c r="D259" s="31">
        <f>IFERROR(Serie_Historica!G851/Serie_Historica!G848,"")</f>
        <v>0.7201059602649007</v>
      </c>
      <c r="E259" s="31">
        <f>IFERROR(Serie_Historica!H851/Serie_Historica!H848,"")</f>
        <v>0.72136948071364493</v>
      </c>
      <c r="F259" s="31">
        <f>IFERROR(Serie_Historica!I851/Serie_Historica!I848,"")</f>
        <v>0.69447318503190203</v>
      </c>
      <c r="G259" s="31">
        <f>IFERROR(Serie_Historica!J851/Serie_Historica!J848,"")</f>
        <v>0.72161430320115727</v>
      </c>
      <c r="H259" s="31">
        <f>IFERROR(Serie_Historica!K851/Serie_Historica!K848,"")</f>
        <v>0.71881200793701594</v>
      </c>
      <c r="I259" s="31">
        <f>IFERROR(Serie_Historica!L851/Serie_Historica!L848,"")</f>
        <v>0.71800821986747565</v>
      </c>
      <c r="J259" s="31">
        <f>IFERROR(Serie_Historica!M851/Serie_Historica!M848,"")</f>
        <v>0.72145184511631433</v>
      </c>
      <c r="K259" s="31">
        <f>IFERROR(Serie_Historica!N851/Serie_Historica!N848,"")</f>
        <v>0.70821703315406082</v>
      </c>
      <c r="L259" s="31">
        <f>IFERROR(Serie_Historica!O851/Serie_Historica!O848,"")</f>
        <v>0.69805254880192436</v>
      </c>
      <c r="M259" s="31">
        <f>IFERROR(Serie_Historica!P851/Serie_Historica!P848,"")</f>
        <v>0.70878466969238529</v>
      </c>
      <c r="N259" s="31">
        <f>IFERROR(Serie_Historica!Q851/Serie_Historica!Q848,"")</f>
        <v>0.70099637681159421</v>
      </c>
      <c r="O259" s="31">
        <f>IFERROR(Serie_Historica!R851/Serie_Historica!R848,"")</f>
        <v>0.69711857445262393</v>
      </c>
      <c r="P259" s="31">
        <f>IFERROR(Serie_Historica!S851/Serie_Historica!S848,"")</f>
        <v>0.69589214488615458</v>
      </c>
      <c r="Q259" s="31">
        <f>IFERROR(Serie_Historica!T851/Serie_Historica!T848,"")</f>
        <v>0.67410808807961042</v>
      </c>
      <c r="R259" s="31">
        <f>IFERROR(Serie_Historica!U851/Serie_Historica!U848,"")</f>
        <v>0.6716438407470755</v>
      </c>
      <c r="S259" s="31">
        <f>IFERROR(Serie_Historica!V851/Serie_Historica!V848,"")</f>
        <v>0.65297854601392691</v>
      </c>
      <c r="T259" s="31">
        <f>IFERROR(Serie_Historica!W851/Serie_Historica!W848,"")</f>
        <v>0.60431426456592996</v>
      </c>
      <c r="U259" s="31">
        <f>IFERROR(Serie_Historica!X851/Serie_Historica!X848,"")</f>
        <v>0.5878577590701819</v>
      </c>
      <c r="V259" s="31">
        <f>IFERROR(Serie_Historica!Y851/Serie_Historica!Y848,"")</f>
        <v>0.57520526613816536</v>
      </c>
      <c r="W259" s="31">
        <f>IFERROR(Serie_Historica!Z851/Serie_Historica!Z848,"")</f>
        <v>0.56514859773963999</v>
      </c>
      <c r="X259" s="19">
        <f>IFERROR((W259-D259)*100,"")</f>
        <v>-15.495736252526072</v>
      </c>
    </row>
    <row r="260" spans="1:24">
      <c r="A260" s="28" t="s">
        <v>183</v>
      </c>
      <c r="B260" s="28" t="s">
        <v>184</v>
      </c>
      <c r="C260" s="28" t="s">
        <v>504</v>
      </c>
      <c r="D260" s="31">
        <f>IFERROR(Serie_Historica!G859/Serie_Historica!G858,"")</f>
        <v>8.6076095422159396E-2</v>
      </c>
      <c r="E260" s="31">
        <f>IFERROR(Serie_Historica!H859/Serie_Historica!H858,"")</f>
        <v>6.3598326359832633E-2</v>
      </c>
      <c r="F260" s="31">
        <f>IFERROR(Serie_Historica!I859/Serie_Historica!I858,"")</f>
        <v>9.935856859518083E-2</v>
      </c>
      <c r="G260" s="31">
        <f>IFERROR(Serie_Historica!J859/Serie_Historica!J858,"")</f>
        <v>7.7531829263573396E-2</v>
      </c>
      <c r="H260" s="31">
        <f>IFERROR(Serie_Historica!K859/Serie_Historica!K858,"")</f>
        <v>7.8840549542048291E-2</v>
      </c>
      <c r="I260" s="31">
        <f>IFERROR(Serie_Historica!L859/Serie_Historica!L858,"")</f>
        <v>6.4678364440470676E-2</v>
      </c>
      <c r="J260" s="31">
        <f>IFERROR(Serie_Historica!M859/Serie_Historica!M858,"")</f>
        <v>7.9354667634293052E-2</v>
      </c>
      <c r="K260" s="31">
        <f>IFERROR(Serie_Historica!N859/Serie_Historica!N858,"")</f>
        <v>7.3488630061009433E-2</v>
      </c>
      <c r="L260" s="31">
        <f>IFERROR(Serie_Historica!O859/Serie_Historica!O858,"")</f>
        <v>8.8504175833564735E-2</v>
      </c>
      <c r="M260" s="31">
        <f>IFERROR(Serie_Historica!P859/Serie_Historica!P858,"")</f>
        <v>7.6904527653992319E-2</v>
      </c>
      <c r="N260" s="31">
        <f>IFERROR(Serie_Historica!Q859/Serie_Historica!Q858,"")</f>
        <v>9.6626806470238746E-2</v>
      </c>
      <c r="O260" s="31">
        <f>IFERROR(Serie_Historica!R859/Serie_Historica!R858,"")</f>
        <v>8.024170480549199E-2</v>
      </c>
      <c r="P260" s="31">
        <f>IFERROR(Serie_Historica!S859/Serie_Historica!S858,"")</f>
        <v>8.2558062595116791E-2</v>
      </c>
      <c r="Q260" s="31">
        <f>IFERROR(Serie_Historica!T859/Serie_Historica!T858,"")</f>
        <v>8.4044897811713412E-2</v>
      </c>
      <c r="R260" s="31">
        <f>IFERROR(Serie_Historica!U859/Serie_Historica!U858,"")</f>
        <v>8.3849898535135678E-2</v>
      </c>
      <c r="S260" s="31">
        <f>IFERROR(Serie_Historica!V859/Serie_Historica!V858,"")</f>
        <v>8.4669982674789021E-2</v>
      </c>
      <c r="T260" s="31">
        <f>IFERROR(Serie_Historica!W859/Serie_Historica!W858,"")</f>
        <v>0.10528803406804249</v>
      </c>
      <c r="U260" s="31">
        <f>IFERROR(Serie_Historica!X859/Serie_Historica!X858,"")</f>
        <v>0.10900959860383944</v>
      </c>
      <c r="V260" s="31">
        <f>IFERROR(Serie_Historica!Y859/Serie_Historica!Y858,"")</f>
        <v>9.5816412371838397E-2</v>
      </c>
      <c r="W260" s="31">
        <f>IFERROR(Serie_Historica!Z859/Serie_Historica!Z858,"")</f>
        <v>9.3588658986867385E-2</v>
      </c>
      <c r="X260" s="19">
        <f>IFERROR((W260-D260)*100,"")</f>
        <v>0.7512563564707988</v>
      </c>
    </row>
    <row r="261" spans="1:24">
      <c r="A261" s="28" t="s">
        <v>183</v>
      </c>
      <c r="B261" s="28" t="s">
        <v>184</v>
      </c>
      <c r="C261" s="28" t="s">
        <v>505</v>
      </c>
      <c r="D261" s="31">
        <f>IFERROR(Serie_Historica!G860/Serie_Historica!G858,"")</f>
        <v>0.22378630974702166</v>
      </c>
      <c r="E261" s="31">
        <f>IFERROR(Serie_Historica!H860/Serie_Historica!H858,"")</f>
        <v>0.22208697857233423</v>
      </c>
      <c r="F261" s="31">
        <f>IFERROR(Serie_Historica!I860/Serie_Historica!I858,"")</f>
        <v>0.21458412457273074</v>
      </c>
      <c r="G261" s="31">
        <f>IFERROR(Serie_Historica!J860/Serie_Historica!J858,"")</f>
        <v>0.2036105413877172</v>
      </c>
      <c r="H261" s="31">
        <f>IFERROR(Serie_Historica!K860/Serie_Historica!K858,"")</f>
        <v>0.19195809048015541</v>
      </c>
      <c r="I261" s="31">
        <f>IFERROR(Serie_Historica!L860/Serie_Historica!L858,"")</f>
        <v>0.19256621908578544</v>
      </c>
      <c r="J261" s="31">
        <f>IFERROR(Serie_Historica!M860/Serie_Historica!M858,"")</f>
        <v>0.17206537060555735</v>
      </c>
      <c r="K261" s="31">
        <f>IFERROR(Serie_Historica!N860/Serie_Historica!N858,"")</f>
        <v>0.18175022305818805</v>
      </c>
      <c r="L261" s="31">
        <f>IFERROR(Serie_Historica!O860/Serie_Historica!O858,"")</f>
        <v>0.20265074652369866</v>
      </c>
      <c r="M261" s="31">
        <f>IFERROR(Serie_Historica!P860/Serie_Historica!P858,"")</f>
        <v>0.20250014468429886</v>
      </c>
      <c r="N261" s="31">
        <f>IFERROR(Serie_Historica!Q860/Serie_Historica!Q858,"")</f>
        <v>0.25255855599534732</v>
      </c>
      <c r="O261" s="31">
        <f>IFERROR(Serie_Historica!R860/Serie_Historica!R858,"")</f>
        <v>0.25772311212814647</v>
      </c>
      <c r="P261" s="31">
        <f>IFERROR(Serie_Historica!S860/Serie_Historica!S858,"")</f>
        <v>0.25062528948587309</v>
      </c>
      <c r="Q261" s="31">
        <f>IFERROR(Serie_Historica!T860/Serie_Historica!T858,"")</f>
        <v>0.26369033998530705</v>
      </c>
      <c r="R261" s="31">
        <f>IFERROR(Serie_Historica!U860/Serie_Historica!U858,"")</f>
        <v>0.27128267113185994</v>
      </c>
      <c r="S261" s="31">
        <f>IFERROR(Serie_Historica!V860/Serie_Historica!V858,"")</f>
        <v>0.27283904828195893</v>
      </c>
      <c r="T261" s="31">
        <f>IFERROR(Serie_Historica!W860/Serie_Historica!W858,"")</f>
        <v>0.3010622864897749</v>
      </c>
      <c r="U261" s="31">
        <f>IFERROR(Serie_Historica!X860/Serie_Historica!X858,"")</f>
        <v>0.29713787085514837</v>
      </c>
      <c r="V261" s="31">
        <f>IFERROR(Serie_Historica!Y860/Serie_Historica!Y858,"")</f>
        <v>0.29920103169824536</v>
      </c>
      <c r="W261" s="31">
        <f>IFERROR(Serie_Historica!Z860/Serie_Historica!Z858,"")</f>
        <v>0.31014239518022757</v>
      </c>
      <c r="X261" s="19">
        <f>IFERROR((W261-D261)*100,"")</f>
        <v>8.6356085433205916</v>
      </c>
    </row>
    <row r="262" spans="1:24">
      <c r="A262" s="28" t="s">
        <v>183</v>
      </c>
      <c r="B262" s="28" t="s">
        <v>184</v>
      </c>
      <c r="C262" s="28" t="s">
        <v>506</v>
      </c>
      <c r="D262" s="31">
        <f>IFERROR(Serie_Historica!G861/Serie_Historica!G858,"")</f>
        <v>0.60665762829203562</v>
      </c>
      <c r="E262" s="31">
        <f>IFERROR(Serie_Historica!H861/Serie_Historica!H858,"")</f>
        <v>0.59568910865981994</v>
      </c>
      <c r="F262" s="31">
        <f>IFERROR(Serie_Historica!I861/Serie_Historica!I858,"")</f>
        <v>0.56420643963370887</v>
      </c>
      <c r="G262" s="31">
        <f>IFERROR(Serie_Historica!J861/Serie_Historica!J858,"")</f>
        <v>0.60274370186912274</v>
      </c>
      <c r="H262" s="31">
        <f>IFERROR(Serie_Historica!K861/Serie_Historica!K858,"")</f>
        <v>0.61708992506244797</v>
      </c>
      <c r="I262" s="31">
        <f>IFERROR(Serie_Historica!L861/Serie_Historica!L858,"")</f>
        <v>0.65162134976769437</v>
      </c>
      <c r="J262" s="31">
        <f>IFERROR(Serie_Historica!M861/Serie_Historica!M858,"")</f>
        <v>0.64646281383891813</v>
      </c>
      <c r="K262" s="31">
        <f>IFERROR(Serie_Historica!N861/Serie_Historica!N858,"")</f>
        <v>0.64692903132460389</v>
      </c>
      <c r="L262" s="31">
        <f>IFERROR(Serie_Historica!O861/Serie_Historica!O858,"")</f>
        <v>0.63573061067560932</v>
      </c>
      <c r="M262" s="31">
        <f>IFERROR(Serie_Historica!P861/Serie_Historica!P858,"")</f>
        <v>0.64662306846461026</v>
      </c>
      <c r="N262" s="31">
        <f>IFERROR(Serie_Historica!Q861/Serie_Historica!Q858,"")</f>
        <v>0.59558497418431644</v>
      </c>
      <c r="O262" s="31">
        <f>IFERROR(Serie_Historica!R861/Serie_Historica!R858,"")</f>
        <v>0.61332951945080094</v>
      </c>
      <c r="P262" s="31">
        <f>IFERROR(Serie_Historica!S861/Serie_Historica!S858,"")</f>
        <v>0.61739561966518886</v>
      </c>
      <c r="Q262" s="31">
        <f>IFERROR(Serie_Historica!T861/Serie_Historica!T858,"")</f>
        <v>0.59404092348825166</v>
      </c>
      <c r="R262" s="31">
        <f>IFERROR(Serie_Historica!U861/Serie_Historica!U858,"")</f>
        <v>0.58643364863216496</v>
      </c>
      <c r="S262" s="31">
        <f>IFERROR(Serie_Historica!V861/Serie_Historica!V858,"")</f>
        <v>0.57951560539164626</v>
      </c>
      <c r="T262" s="31">
        <f>IFERROR(Serie_Historica!W861/Serie_Historica!W858,"")</f>
        <v>0.53526135991389401</v>
      </c>
      <c r="U262" s="31">
        <f>IFERROR(Serie_Historica!X861/Serie_Historica!X858,"")</f>
        <v>0.54746945898778354</v>
      </c>
      <c r="V262" s="31">
        <f>IFERROR(Serie_Historica!Y861/Serie_Historica!Y858,"")</f>
        <v>0.54908039645225615</v>
      </c>
      <c r="W262" s="31">
        <f>IFERROR(Serie_Historica!Z861/Serie_Historica!Z858,"")</f>
        <v>0.53836209963709392</v>
      </c>
      <c r="X262" s="19">
        <f>IFERROR((W262-D262)*100,"")</f>
        <v>-6.8295528654941702</v>
      </c>
    </row>
    <row r="263" spans="1:24">
      <c r="A263" s="28" t="s">
        <v>429</v>
      </c>
      <c r="B263" s="28" t="s">
        <v>430</v>
      </c>
      <c r="C263" s="28" t="s">
        <v>504</v>
      </c>
      <c r="D263" s="31">
        <f>IFERROR(Serie_Historica!G869/Serie_Historica!G868,"")</f>
        <v>6.8174260059860325E-2</v>
      </c>
      <c r="E263" s="31">
        <f>IFERROR(Serie_Historica!H869/Serie_Historica!H868,"")</f>
        <v>3.0643886423055877E-2</v>
      </c>
      <c r="F263" s="31">
        <f>IFERROR(Serie_Historica!I869/Serie_Historica!I868,"")</f>
        <v>4.0707456194345272E-2</v>
      </c>
      <c r="G263" s="31">
        <f>IFERROR(Serie_Historica!J869/Serie_Historica!J868,"")</f>
        <v>4.518508306334873E-2</v>
      </c>
      <c r="H263" s="31">
        <f>IFERROR(Serie_Historica!K869/Serie_Historica!K868,"")</f>
        <v>3.3017778803971366E-2</v>
      </c>
      <c r="I263" s="31">
        <f>IFERROR(Serie_Historica!L869/Serie_Historica!L868,"")</f>
        <v>4.0598690364826939E-2</v>
      </c>
      <c r="J263" s="31">
        <f>IFERROR(Serie_Historica!M869/Serie_Historica!M868,"")</f>
        <v>3.6055469953775038E-2</v>
      </c>
      <c r="K263" s="31">
        <f>IFERROR(Serie_Historica!N869/Serie_Historica!N868,"")</f>
        <v>3.4851301115241637E-2</v>
      </c>
      <c r="L263" s="31">
        <f>IFERROR(Serie_Historica!O869/Serie_Historica!O868,"")</f>
        <v>3.7601626016260166E-2</v>
      </c>
      <c r="M263" s="31">
        <f>IFERROR(Serie_Historica!P869/Serie_Historica!P868,"")</f>
        <v>3.53374765139471E-2</v>
      </c>
      <c r="N263" s="31">
        <f>IFERROR(Serie_Historica!Q869/Serie_Historica!Q868,"")</f>
        <v>4.4331855604813175E-2</v>
      </c>
      <c r="O263" s="31">
        <f>IFERROR(Serie_Historica!R869/Serie_Historica!R868,"")</f>
        <v>4.6778874056877542E-2</v>
      </c>
      <c r="P263" s="31">
        <f>IFERROR(Serie_Historica!S869/Serie_Historica!S868,"")</f>
        <v>0.13251437532671198</v>
      </c>
      <c r="Q263" s="31">
        <f>IFERROR(Serie_Historica!T869/Serie_Historica!T868,"")</f>
        <v>3.9028061498763575E-2</v>
      </c>
      <c r="R263" s="31">
        <f>IFERROR(Serie_Historica!U869/Serie_Historica!U868,"")</f>
        <v>3.4555942533739663E-2</v>
      </c>
      <c r="S263" s="31">
        <f>IFERROR(Serie_Historica!V869/Serie_Historica!V868,"")</f>
        <v>3.1080391520155865E-2</v>
      </c>
      <c r="T263" s="31">
        <f>IFERROR(Serie_Historica!W869/Serie_Historica!W868,"")</f>
        <v>2.7775528382865008E-2</v>
      </c>
      <c r="U263" s="31">
        <f>IFERROR(Serie_Historica!X869/Serie_Historica!X868,"")</f>
        <v>3.0233103879849812E-2</v>
      </c>
      <c r="V263" s="31">
        <f>IFERROR(Serie_Historica!Y869/Serie_Historica!Y868,"")</f>
        <v>2.9079392499820052E-2</v>
      </c>
      <c r="W263" s="31">
        <f>IFERROR(Serie_Historica!Z869/Serie_Historica!Z868,"")</f>
        <v>3.1459170013386883E-2</v>
      </c>
      <c r="X263" s="19">
        <f>IFERROR((W263-D263)*100,"")</f>
        <v>-3.6715090046473442</v>
      </c>
    </row>
    <row r="264" spans="1:24">
      <c r="A264" s="28" t="s">
        <v>429</v>
      </c>
      <c r="B264" s="28" t="s">
        <v>430</v>
      </c>
      <c r="C264" s="28" t="s">
        <v>505</v>
      </c>
      <c r="D264" s="31">
        <f>IFERROR(Serie_Historica!G870/Serie_Historica!G868,"")</f>
        <v>0.56775856335217822</v>
      </c>
      <c r="E264" s="31">
        <f>IFERROR(Serie_Historica!H870/Serie_Historica!H868,"")</f>
        <v>0.60491275004560097</v>
      </c>
      <c r="F264" s="31">
        <f>IFERROR(Serie_Historica!I870/Serie_Historica!I868,"")</f>
        <v>0.71923345233698555</v>
      </c>
      <c r="G264" s="31">
        <f>IFERROR(Serie_Historica!J870/Serie_Historica!J868,"")</f>
        <v>0.73619631901840488</v>
      </c>
      <c r="H264" s="31">
        <f>IFERROR(Serie_Historica!K870/Serie_Historica!K868,"")</f>
        <v>0.59737935811590859</v>
      </c>
      <c r="I264" s="31">
        <f>IFERROR(Serie_Historica!L870/Serie_Historica!L868,"")</f>
        <v>0.61758652946679138</v>
      </c>
      <c r="J264" s="31">
        <f>IFERROR(Serie_Historica!M870/Serie_Historica!M868,"")</f>
        <v>0.59815100154083201</v>
      </c>
      <c r="K264" s="31">
        <f>IFERROR(Serie_Historica!N870/Serie_Historica!N868,"")</f>
        <v>0.51844795539033461</v>
      </c>
      <c r="L264" s="31">
        <f>IFERROR(Serie_Historica!O870/Serie_Historica!O868,"")</f>
        <v>0.18495934959349594</v>
      </c>
      <c r="M264" s="31">
        <f>IFERROR(Serie_Historica!P870/Serie_Historica!P868,"")</f>
        <v>0.18861107096401214</v>
      </c>
      <c r="N264" s="31">
        <f>IFERROR(Serie_Historica!Q870/Serie_Historica!Q868,"")</f>
        <v>0.1778199985926395</v>
      </c>
      <c r="O264" s="31">
        <f>IFERROR(Serie_Historica!R870/Serie_Historica!R868,"")</f>
        <v>0.18009286128845037</v>
      </c>
      <c r="P264" s="31">
        <f>IFERROR(Serie_Historica!S870/Serie_Historica!S868,"")</f>
        <v>0.1628855201254574</v>
      </c>
      <c r="Q264" s="31">
        <f>IFERROR(Serie_Historica!T870/Serie_Historica!T868,"")</f>
        <v>0.18691538544242556</v>
      </c>
      <c r="R264" s="31">
        <f>IFERROR(Serie_Historica!U870/Serie_Historica!U868,"")</f>
        <v>0.20401610796691336</v>
      </c>
      <c r="S264" s="31">
        <f>IFERROR(Serie_Historica!V870/Serie_Historica!V868,"")</f>
        <v>0.20132671522011411</v>
      </c>
      <c r="T264" s="31">
        <f>IFERROR(Serie_Historica!W870/Serie_Historica!W868,"")</f>
        <v>0.26496072556482309</v>
      </c>
      <c r="U264" s="31">
        <f>IFERROR(Serie_Historica!X870/Serie_Historica!X868,"")</f>
        <v>0.22931007509386733</v>
      </c>
      <c r="V264" s="31">
        <f>IFERROR(Serie_Historica!Y870/Serie_Historica!Y868,"")</f>
        <v>0.2288922478946232</v>
      </c>
      <c r="W264" s="31">
        <f>IFERROR(Serie_Historica!Z870/Serie_Historica!Z868,"")</f>
        <v>0.25693249187225092</v>
      </c>
      <c r="X264" s="19">
        <f>IFERROR((W264-D264)*100,"")</f>
        <v>-31.082607147992729</v>
      </c>
    </row>
    <row r="265" spans="1:24">
      <c r="A265" s="28" t="s">
        <v>429</v>
      </c>
      <c r="B265" s="28" t="s">
        <v>430</v>
      </c>
      <c r="C265" s="28" t="s">
        <v>506</v>
      </c>
      <c r="D265" s="31">
        <f>IFERROR(Serie_Historica!G871/Serie_Historica!G868,"")</f>
        <v>0.31193880944462921</v>
      </c>
      <c r="E265" s="31">
        <f>IFERROR(Serie_Historica!H871/Serie_Historica!H868,"")</f>
        <v>0.26837721164954093</v>
      </c>
      <c r="F265" s="31">
        <f>IFERROR(Serie_Historica!I871/Serie_Historica!I868,"")</f>
        <v>0.17723337026550126</v>
      </c>
      <c r="G265" s="31">
        <f>IFERROR(Serie_Historica!J871/Serie_Historica!J868,"")</f>
        <v>0.18122285793065418</v>
      </c>
      <c r="H265" s="31">
        <f>IFERROR(Serie_Historica!K871/Serie_Historica!K868,"")</f>
        <v>0.33369891480027708</v>
      </c>
      <c r="I265" s="31">
        <f>IFERROR(Serie_Historica!L871/Serie_Historica!L868,"")</f>
        <v>0.30916744621141251</v>
      </c>
      <c r="J265" s="31">
        <f>IFERROR(Serie_Historica!M871/Serie_Historica!M868,"")</f>
        <v>0.30314769975786926</v>
      </c>
      <c r="K265" s="31">
        <f>IFERROR(Serie_Historica!N871/Serie_Historica!N868,"")</f>
        <v>0.38963754646840149</v>
      </c>
      <c r="L265" s="31">
        <f>IFERROR(Serie_Historica!O871/Serie_Historica!O868,"")</f>
        <v>0.71883468834688347</v>
      </c>
      <c r="M265" s="31">
        <f>IFERROR(Serie_Historica!P871/Serie_Historica!P868,"")</f>
        <v>0.68232403526521168</v>
      </c>
      <c r="N265" s="31">
        <f>IFERROR(Serie_Historica!Q871/Serie_Historica!Q868,"")</f>
        <v>0.74414186193793541</v>
      </c>
      <c r="O265" s="31">
        <f>IFERROR(Serie_Historica!R871/Serie_Historica!R868,"")</f>
        <v>0.73726059199071392</v>
      </c>
      <c r="P265" s="31">
        <f>IFERROR(Serie_Historica!S871/Serie_Historica!S868,"")</f>
        <v>0.67663355985363305</v>
      </c>
      <c r="Q265" s="31">
        <f>IFERROR(Serie_Historica!T871/Serie_Historica!T868,"")</f>
        <v>0.7370175249973121</v>
      </c>
      <c r="R265" s="31">
        <f>IFERROR(Serie_Historica!U871/Serie_Historica!U868,"")</f>
        <v>0.71783848498040925</v>
      </c>
      <c r="S265" s="31">
        <f>IFERROR(Serie_Historica!V871/Serie_Historica!V868,"")</f>
        <v>0.72946142784246415</v>
      </c>
      <c r="T265" s="31">
        <f>IFERROR(Serie_Historica!W871/Serie_Historica!W868,"")</f>
        <v>0.66896104947769053</v>
      </c>
      <c r="U265" s="31">
        <f>IFERROR(Serie_Historica!X871/Serie_Historica!X868,"")</f>
        <v>0.69332759699624535</v>
      </c>
      <c r="V265" s="31">
        <f>IFERROR(Serie_Historica!Y871/Serie_Historica!Y868,"")</f>
        <v>0.66155617937090616</v>
      </c>
      <c r="W265" s="31">
        <f>IFERROR(Serie_Historica!Z871/Serie_Historica!Z868,"")</f>
        <v>0.67249952189711226</v>
      </c>
      <c r="X265" s="19">
        <f>IFERROR((W265-D265)*100,"")</f>
        <v>36.056071245248305</v>
      </c>
    </row>
    <row r="266" spans="1:24">
      <c r="A266" s="28" t="s">
        <v>103</v>
      </c>
      <c r="B266" s="28" t="s">
        <v>104</v>
      </c>
      <c r="C266" s="28" t="s">
        <v>504</v>
      </c>
      <c r="D266" s="31">
        <f>IFERROR(Serie_Historica!G879/Serie_Historica!G878,"")</f>
        <v>0.42741665128299799</v>
      </c>
      <c r="E266" s="31">
        <f>IFERROR(Serie_Historica!H879/Serie_Historica!H878,"")</f>
        <v>0.40412712679912605</v>
      </c>
      <c r="F266" s="31">
        <f>IFERROR(Serie_Historica!I879/Serie_Historica!I878,"")</f>
        <v>0.4283521249303287</v>
      </c>
      <c r="G266" s="31">
        <f>IFERROR(Serie_Historica!J879/Serie_Historica!J878,"")</f>
        <v>0.46396926760695656</v>
      </c>
      <c r="H266" s="31">
        <f>IFERROR(Serie_Historica!K879/Serie_Historica!K878,"")</f>
        <v>0.43334415810812155</v>
      </c>
      <c r="I266" s="31">
        <f>IFERROR(Serie_Historica!L879/Serie_Historica!L878,"")</f>
        <v>0.40127737951118475</v>
      </c>
      <c r="J266" s="31">
        <f>IFERROR(Serie_Historica!M879/Serie_Historica!M878,"")</f>
        <v>0.43783904885249725</v>
      </c>
      <c r="K266" s="31">
        <f>IFERROR(Serie_Historica!N879/Serie_Historica!N878,"")</f>
        <v>0.30977248404308561</v>
      </c>
      <c r="L266" s="31">
        <f>IFERROR(Serie_Historica!O879/Serie_Historica!O878,"")</f>
        <v>0.34915864099827737</v>
      </c>
      <c r="M266" s="31">
        <f>IFERROR(Serie_Historica!P879/Serie_Historica!P878,"")</f>
        <v>0.36470168281937937</v>
      </c>
      <c r="N266" s="31">
        <f>IFERROR(Serie_Historica!Q879/Serie_Historica!Q878,"")</f>
        <v>0.36874711534630905</v>
      </c>
      <c r="O266" s="31">
        <f>IFERROR(Serie_Historica!R879/Serie_Historica!R878,"")</f>
        <v>0.35435740745748046</v>
      </c>
      <c r="P266" s="31">
        <f>IFERROR(Serie_Historica!S879/Serie_Historica!S878,"")</f>
        <v>0.30802788668260739</v>
      </c>
      <c r="Q266" s="31">
        <f>IFERROR(Serie_Historica!T879/Serie_Historica!T878,"")</f>
        <v>0.25861336444257277</v>
      </c>
      <c r="R266" s="31">
        <f>IFERROR(Serie_Historica!U879/Serie_Historica!U878,"")</f>
        <v>0.18869329937431575</v>
      </c>
      <c r="S266" s="31">
        <f>IFERROR(Serie_Historica!V879/Serie_Historica!V878,"")</f>
        <v>0.17531185302778396</v>
      </c>
      <c r="T266" s="31">
        <f>IFERROR(Serie_Historica!W879/Serie_Historica!W878,"")</f>
        <v>0.20293633198109004</v>
      </c>
      <c r="U266" s="31">
        <f>IFERROR(Serie_Historica!X879/Serie_Historica!X878,"")</f>
        <v>0.19452562641031468</v>
      </c>
      <c r="V266" s="31">
        <f>IFERROR(Serie_Historica!Y879/Serie_Historica!Y878,"")</f>
        <v>0.17559328480147401</v>
      </c>
      <c r="W266" s="31">
        <f>IFERROR(Serie_Historica!Z879/Serie_Historica!Z878,"")</f>
        <v>0.18630159465084706</v>
      </c>
      <c r="X266" s="19">
        <f>IFERROR((W266-D266)*100,"")</f>
        <v>-24.111505663215095</v>
      </c>
    </row>
    <row r="267" spans="1:24">
      <c r="A267" s="28" t="s">
        <v>103</v>
      </c>
      <c r="B267" s="28" t="s">
        <v>104</v>
      </c>
      <c r="C267" s="28" t="s">
        <v>505</v>
      </c>
      <c r="D267" s="31">
        <f>IFERROR(Serie_Historica!G880/Serie_Historica!G878,"")</f>
        <v>0.35825290751338379</v>
      </c>
      <c r="E267" s="31">
        <f>IFERROR(Serie_Historica!H880/Serie_Historica!H878,"")</f>
        <v>0.38426275496657863</v>
      </c>
      <c r="F267" s="31">
        <f>IFERROR(Serie_Historica!I880/Serie_Historica!I878,"")</f>
        <v>0.39194389173419547</v>
      </c>
      <c r="G267" s="31">
        <f>IFERROR(Serie_Historica!J880/Serie_Historica!J878,"")</f>
        <v>0.35843889300314191</v>
      </c>
      <c r="H267" s="31">
        <f>IFERROR(Serie_Historica!K880/Serie_Historica!K878,"")</f>
        <v>0.36895853048701527</v>
      </c>
      <c r="I267" s="31">
        <f>IFERROR(Serie_Historica!L880/Serie_Historica!L878,"")</f>
        <v>0.3956408923191545</v>
      </c>
      <c r="J267" s="31">
        <f>IFERROR(Serie_Historica!M880/Serie_Historica!M878,"")</f>
        <v>0.37118261221834165</v>
      </c>
      <c r="K267" s="31">
        <f>IFERROR(Serie_Historica!N880/Serie_Historica!N878,"")</f>
        <v>0.46321509689638979</v>
      </c>
      <c r="L267" s="31">
        <f>IFERROR(Serie_Historica!O880/Serie_Historica!O878,"")</f>
        <v>0.44507027233406166</v>
      </c>
      <c r="M267" s="31">
        <f>IFERROR(Serie_Historica!P880/Serie_Historica!P878,"")</f>
        <v>0.42792569942881942</v>
      </c>
      <c r="N267" s="31">
        <f>IFERROR(Serie_Historica!Q880/Serie_Historica!Q878,"")</f>
        <v>0.43535314962886956</v>
      </c>
      <c r="O267" s="31">
        <f>IFERROR(Serie_Historica!R880/Serie_Historica!R878,"")</f>
        <v>0.43478372946128402</v>
      </c>
      <c r="P267" s="31">
        <f>IFERROR(Serie_Historica!S880/Serie_Historica!S878,"")</f>
        <v>0.47150133449857395</v>
      </c>
      <c r="Q267" s="31">
        <f>IFERROR(Serie_Historica!T880/Serie_Historica!T878,"")</f>
        <v>0.49452032220781933</v>
      </c>
      <c r="R267" s="31">
        <f>IFERROR(Serie_Historica!U880/Serie_Historica!U878,"")</f>
        <v>0.54530156196023705</v>
      </c>
      <c r="S267" s="31">
        <f>IFERROR(Serie_Historica!V880/Serie_Historica!V878,"")</f>
        <v>0.55415339143157638</v>
      </c>
      <c r="T267" s="31">
        <f>IFERROR(Serie_Historica!W880/Serie_Historica!W878,"")</f>
        <v>0.53706677478295806</v>
      </c>
      <c r="U267" s="31">
        <f>IFERROR(Serie_Historica!X880/Serie_Historica!X878,"")</f>
        <v>0.54107288986903512</v>
      </c>
      <c r="V267" s="31">
        <f>IFERROR(Serie_Historica!Y880/Serie_Historica!Y878,"")</f>
        <v>0.54058610569781929</v>
      </c>
      <c r="W267" s="31">
        <f>IFERROR(Serie_Historica!Z880/Serie_Historica!Z878,"")</f>
        <v>0.54594068976194321</v>
      </c>
      <c r="X267" s="19">
        <f>IFERROR((W267-D267)*100,"")</f>
        <v>18.768778224855943</v>
      </c>
    </row>
    <row r="268" spans="1:24">
      <c r="A268" s="28" t="s">
        <v>103</v>
      </c>
      <c r="B268" s="28" t="s">
        <v>104</v>
      </c>
      <c r="C268" s="28" t="s">
        <v>506</v>
      </c>
      <c r="D268" s="31">
        <f>IFERROR(Serie_Historica!G881/Serie_Historica!G878,"")</f>
        <v>0.18886985416282076</v>
      </c>
      <c r="E268" s="31">
        <f>IFERROR(Serie_Historica!H881/Serie_Historica!H878,"")</f>
        <v>0.18097721700636307</v>
      </c>
      <c r="F268" s="31">
        <f>IFERROR(Serie_Historica!I881/Serie_Historica!I878,"")</f>
        <v>0.15637285532844389</v>
      </c>
      <c r="G268" s="31">
        <f>IFERROR(Serie_Historica!J881/Serie_Historica!J878,"")</f>
        <v>0.1589006371276224</v>
      </c>
      <c r="H268" s="31">
        <f>IFERROR(Serie_Historica!K881/Serie_Historica!K878,"")</f>
        <v>0.16728421010688635</v>
      </c>
      <c r="I268" s="31">
        <f>IFERROR(Serie_Historica!L881/Serie_Historica!L878,"")</f>
        <v>0.18111800050886195</v>
      </c>
      <c r="J268" s="31">
        <f>IFERROR(Serie_Historica!M881/Serie_Historica!M878,"")</f>
        <v>0.17425745309018592</v>
      </c>
      <c r="K268" s="31">
        <f>IFERROR(Serie_Historica!N881/Serie_Historica!N878,"")</f>
        <v>0.19419560982745745</v>
      </c>
      <c r="L268" s="31">
        <f>IFERROR(Serie_Historica!O881/Serie_Historica!O878,"")</f>
        <v>0.18110213841483</v>
      </c>
      <c r="M268" s="31">
        <f>IFERROR(Serie_Historica!P881/Serie_Historica!P878,"")</f>
        <v>0.18123462506618732</v>
      </c>
      <c r="N268" s="31">
        <f>IFERROR(Serie_Historica!Q881/Serie_Historica!Q878,"")</f>
        <v>0.17078685093470067</v>
      </c>
      <c r="O268" s="31">
        <f>IFERROR(Serie_Historica!R881/Serie_Historica!R878,"")</f>
        <v>0.18536913356587262</v>
      </c>
      <c r="P268" s="31">
        <f>IFERROR(Serie_Historica!S881/Serie_Historica!S878,"")</f>
        <v>0.19673286104986729</v>
      </c>
      <c r="Q268" s="31">
        <f>IFERROR(Serie_Historica!T881/Serie_Historica!T878,"")</f>
        <v>0.22047234826305293</v>
      </c>
      <c r="R268" s="31">
        <f>IFERROR(Serie_Historica!U881/Serie_Historica!U878,"")</f>
        <v>0.23885227768900727</v>
      </c>
      <c r="S268" s="31">
        <f>IFERROR(Serie_Historica!V881/Serie_Historica!V878,"")</f>
        <v>0.24413976108624727</v>
      </c>
      <c r="T268" s="31">
        <f>IFERROR(Serie_Historica!W881/Serie_Historica!W878,"")</f>
        <v>0.22984452981089012</v>
      </c>
      <c r="U268" s="31">
        <f>IFERROR(Serie_Historica!X881/Serie_Historica!X878,"")</f>
        <v>0.23222324934324659</v>
      </c>
      <c r="V268" s="31">
        <f>IFERROR(Serie_Historica!Y881/Serie_Historica!Y878,"")</f>
        <v>0.24773268965098449</v>
      </c>
      <c r="W268" s="31">
        <f>IFERROR(Serie_Historica!Z881/Serie_Historica!Z878,"")</f>
        <v>0.24105239475950932</v>
      </c>
      <c r="X268" s="19">
        <f>IFERROR((W268-D268)*100,"")</f>
        <v>5.2182540596688556</v>
      </c>
    </row>
    <row r="269" spans="1:24">
      <c r="A269" s="28" t="s">
        <v>101</v>
      </c>
      <c r="B269" s="28" t="s">
        <v>102</v>
      </c>
      <c r="C269" s="28" t="s">
        <v>504</v>
      </c>
      <c r="D269" s="31">
        <f>IFERROR(Serie_Historica!G889/Serie_Historica!G888,"")</f>
        <v>0.21635396285046624</v>
      </c>
      <c r="E269" s="31">
        <f>IFERROR(Serie_Historica!H889/Serie_Historica!H888,"")</f>
        <v>0.14155762322866697</v>
      </c>
      <c r="F269" s="31">
        <f>IFERROR(Serie_Historica!I889/Serie_Historica!I888,"")</f>
        <v>0.17711908325571787</v>
      </c>
      <c r="G269" s="31">
        <f>IFERROR(Serie_Historica!J889/Serie_Historica!J888,"")</f>
        <v>0.16648600162247051</v>
      </c>
      <c r="H269" s="31">
        <f>IFERROR(Serie_Historica!K889/Serie_Historica!K888,"")</f>
        <v>0.15178502043561989</v>
      </c>
      <c r="I269" s="31">
        <f>IFERROR(Serie_Historica!L889/Serie_Historica!L888,"")</f>
        <v>0.19346869486030818</v>
      </c>
      <c r="J269" s="31">
        <f>IFERROR(Serie_Historica!M889/Serie_Historica!M888,"")</f>
        <v>0.17037841191435368</v>
      </c>
      <c r="K269" s="31">
        <f>IFERROR(Serie_Historica!N889/Serie_Historica!N888,"")</f>
        <v>0.16815397412851985</v>
      </c>
      <c r="L269" s="31">
        <f>IFERROR(Serie_Historica!O889/Serie_Historica!O888,"")</f>
        <v>0.16501086692378236</v>
      </c>
      <c r="M269" s="31">
        <f>IFERROR(Serie_Historica!P889/Serie_Historica!P888,"")</f>
        <v>0.18282824886500654</v>
      </c>
      <c r="N269" s="31">
        <f>IFERROR(Serie_Historica!Q889/Serie_Historica!Q888,"")</f>
        <v>0.18318114800016175</v>
      </c>
      <c r="O269" s="31">
        <f>IFERROR(Serie_Historica!R889/Serie_Historica!R888,"")</f>
        <v>0.18340495735492826</v>
      </c>
      <c r="P269" s="31">
        <f>IFERROR(Serie_Historica!S889/Serie_Historica!S888,"")</f>
        <v>0.17267766393709708</v>
      </c>
      <c r="Q269" s="31">
        <f>IFERROR(Serie_Historica!T889/Serie_Historica!T888,"")</f>
        <v>0.16621140397372958</v>
      </c>
      <c r="R269" s="31">
        <f>IFERROR(Serie_Historica!U889/Serie_Historica!U888,"")</f>
        <v>0.15457919121032357</v>
      </c>
      <c r="S269" s="31">
        <f>IFERROR(Serie_Historica!V889/Serie_Historica!V888,"")</f>
        <v>0.14387689001694248</v>
      </c>
      <c r="T269" s="31">
        <f>IFERROR(Serie_Historica!W889/Serie_Historica!W888,"")</f>
        <v>0.14446734570074116</v>
      </c>
      <c r="U269" s="31">
        <f>IFERROR(Serie_Historica!X889/Serie_Historica!X888,"")</f>
        <v>0.13309152721614242</v>
      </c>
      <c r="V269" s="31">
        <f>IFERROR(Serie_Historica!Y889/Serie_Historica!Y888,"")</f>
        <v>0.13535932749629143</v>
      </c>
      <c r="W269" s="31">
        <f>IFERROR(Serie_Historica!Z889/Serie_Historica!Z888,"")</f>
        <v>0.12305445134370278</v>
      </c>
      <c r="X269" s="19">
        <f>IFERROR((W269-D269)*100,"")</f>
        <v>-9.3299511506763455</v>
      </c>
    </row>
    <row r="270" spans="1:24">
      <c r="A270" s="28" t="s">
        <v>101</v>
      </c>
      <c r="B270" s="28" t="s">
        <v>102</v>
      </c>
      <c r="C270" s="28" t="s">
        <v>505</v>
      </c>
      <c r="D270" s="31">
        <f>IFERROR(Serie_Historica!G890/Serie_Historica!G888,"")</f>
        <v>0.57797765231952047</v>
      </c>
      <c r="E270" s="31">
        <f>IFERROR(Serie_Historica!H890/Serie_Historica!H888,"")</f>
        <v>0.63973397233937845</v>
      </c>
      <c r="F270" s="31">
        <f>IFERROR(Serie_Historica!I890/Serie_Historica!I888,"")</f>
        <v>0.60990610844742099</v>
      </c>
      <c r="G270" s="31">
        <f>IFERROR(Serie_Historica!J890/Serie_Historica!J888,"")</f>
        <v>0.61952855562163534</v>
      </c>
      <c r="H270" s="31">
        <f>IFERROR(Serie_Historica!K890/Serie_Historica!K888,"")</f>
        <v>0.6368339602847144</v>
      </c>
      <c r="I270" s="31">
        <f>IFERROR(Serie_Historica!L890/Serie_Historica!L888,"")</f>
        <v>0.60211512652241495</v>
      </c>
      <c r="J270" s="31">
        <f>IFERROR(Serie_Historica!M890/Serie_Historica!M888,"")</f>
        <v>0.61403716293853217</v>
      </c>
      <c r="K270" s="31">
        <f>IFERROR(Serie_Historica!N890/Serie_Historica!N888,"")</f>
        <v>0.62508623465249924</v>
      </c>
      <c r="L270" s="31">
        <f>IFERROR(Serie_Historica!O890/Serie_Historica!O888,"")</f>
        <v>0.6284240122256346</v>
      </c>
      <c r="M270" s="31">
        <f>IFERROR(Serie_Historica!P890/Serie_Historica!P888,"")</f>
        <v>0.61134508649095842</v>
      </c>
      <c r="N270" s="31">
        <f>IFERROR(Serie_Historica!Q890/Serie_Historica!Q888,"")</f>
        <v>0.62335548130115392</v>
      </c>
      <c r="O270" s="31">
        <f>IFERROR(Serie_Historica!R890/Serie_Historica!R888,"")</f>
        <v>0.62312387847000994</v>
      </c>
      <c r="P270" s="31">
        <f>IFERROR(Serie_Historica!S890/Serie_Historica!S888,"")</f>
        <v>0.62521846233324285</v>
      </c>
      <c r="Q270" s="31">
        <f>IFERROR(Serie_Historica!T890/Serie_Historica!T888,"")</f>
        <v>0.6340366697061588</v>
      </c>
      <c r="R270" s="31">
        <f>IFERROR(Serie_Historica!U890/Serie_Historica!U888,"")</f>
        <v>0.64107879599656836</v>
      </c>
      <c r="S270" s="31">
        <f>IFERROR(Serie_Historica!V890/Serie_Historica!V888,"")</f>
        <v>0.64822750342071811</v>
      </c>
      <c r="T270" s="31">
        <f>IFERROR(Serie_Historica!W890/Serie_Historica!W888,"")</f>
        <v>0.64123746952766369</v>
      </c>
      <c r="U270" s="31">
        <f>IFERROR(Serie_Historica!X890/Serie_Historica!X888,"")</f>
        <v>0.64986354628688303</v>
      </c>
      <c r="V270" s="31">
        <f>IFERROR(Serie_Historica!Y890/Serie_Historica!Y888,"")</f>
        <v>0.62259429875956007</v>
      </c>
      <c r="W270" s="31">
        <f>IFERROR(Serie_Historica!Z890/Serie_Historica!Z888,"")</f>
        <v>0.64248238141249248</v>
      </c>
      <c r="X270" s="19">
        <f>IFERROR((W270-D270)*100,"")</f>
        <v>6.4504729092972006</v>
      </c>
    </row>
    <row r="271" spans="1:24">
      <c r="A271" s="28" t="s">
        <v>101</v>
      </c>
      <c r="B271" s="28" t="s">
        <v>102</v>
      </c>
      <c r="C271" s="28" t="s">
        <v>506</v>
      </c>
      <c r="D271" s="31">
        <f>IFERROR(Serie_Historica!G891/Serie_Historica!G888,"")</f>
        <v>0.20369572894895221</v>
      </c>
      <c r="E271" s="31">
        <f>IFERROR(Serie_Historica!H891/Serie_Historica!H888,"")</f>
        <v>0.21531521794122924</v>
      </c>
      <c r="F271" s="31">
        <f>IFERROR(Serie_Historica!I891/Serie_Historica!I888,"")</f>
        <v>0.20999300554844835</v>
      </c>
      <c r="G271" s="31">
        <f>IFERROR(Serie_Historica!J891/Serie_Historica!J888,"")</f>
        <v>0.21116457249870302</v>
      </c>
      <c r="H271" s="31">
        <f>IFERROR(Serie_Historica!K891/Serie_Historica!K888,"")</f>
        <v>0.20976046733579257</v>
      </c>
      <c r="I271" s="31">
        <f>IFERROR(Serie_Historica!L891/Serie_Historica!L888,"")</f>
        <v>0.20356071984749829</v>
      </c>
      <c r="J271" s="31">
        <f>IFERROR(Serie_Historica!M891/Serie_Historica!M888,"")</f>
        <v>0.21477090170344684</v>
      </c>
      <c r="K271" s="31">
        <f>IFERROR(Serie_Historica!N891/Serie_Historica!N888,"")</f>
        <v>0.20573601657913565</v>
      </c>
      <c r="L271" s="31">
        <f>IFERROR(Serie_Historica!O891/Serie_Historica!O888,"")</f>
        <v>0.20555733831702544</v>
      </c>
      <c r="M271" s="31">
        <f>IFERROR(Serie_Historica!P891/Serie_Historica!P888,"")</f>
        <v>0.20494533421119715</v>
      </c>
      <c r="N271" s="31">
        <f>IFERROR(Serie_Historica!Q891/Serie_Historica!Q888,"")</f>
        <v>0.19254675315337</v>
      </c>
      <c r="O271" s="31">
        <f>IFERROR(Serie_Historica!R891/Serie_Historica!R888,"")</f>
        <v>0.19245106820441318</v>
      </c>
      <c r="P271" s="31">
        <f>IFERROR(Serie_Historica!S891/Serie_Historica!S888,"")</f>
        <v>0.20125994262808855</v>
      </c>
      <c r="Q271" s="31">
        <f>IFERROR(Serie_Historica!T891/Serie_Historica!T888,"")</f>
        <v>0.19890960632104165</v>
      </c>
      <c r="R271" s="31">
        <f>IFERROR(Serie_Historica!U891/Serie_Historica!U888,"")</f>
        <v>0.20343995700040549</v>
      </c>
      <c r="S271" s="31">
        <f>IFERROR(Serie_Historica!V891/Serie_Historica!V888,"")</f>
        <v>0.20693560812316833</v>
      </c>
      <c r="T271" s="31">
        <f>IFERROR(Serie_Historica!W891/Serie_Historica!W888,"")</f>
        <v>0.21321221020011258</v>
      </c>
      <c r="U271" s="31">
        <f>IFERROR(Serie_Historica!X891/Serie_Historica!X888,"")</f>
        <v>0.2159563409191422</v>
      </c>
      <c r="V271" s="31">
        <f>IFERROR(Serie_Historica!Y891/Serie_Historica!Y888,"")</f>
        <v>0.24106823351592666</v>
      </c>
      <c r="W271" s="31">
        <f>IFERROR(Serie_Historica!Z891/Serie_Historica!Z888,"")</f>
        <v>0.23350054309157006</v>
      </c>
      <c r="X271" s="19">
        <f>IFERROR((W271-D271)*100,"")</f>
        <v>2.9804814142617846</v>
      </c>
    </row>
    <row r="272" spans="1:24">
      <c r="A272" s="28" t="s">
        <v>159</v>
      </c>
      <c r="B272" s="28" t="s">
        <v>160</v>
      </c>
      <c r="C272" s="28" t="s">
        <v>504</v>
      </c>
      <c r="D272" s="31">
        <f>IFERROR(Serie_Historica!G899/Serie_Historica!G898,"")</f>
        <v>7.7022458984478695E-2</v>
      </c>
      <c r="E272" s="31">
        <f>IFERROR(Serie_Historica!H899/Serie_Historica!H898,"")</f>
        <v>6.7490896773647224E-2</v>
      </c>
      <c r="F272" s="31">
        <f>IFERROR(Serie_Historica!I899/Serie_Historica!I898,"")</f>
        <v>7.3985046282155145E-2</v>
      </c>
      <c r="G272" s="31">
        <f>IFERROR(Serie_Historica!J899/Serie_Historica!J898,"")</f>
        <v>0.10498283820570482</v>
      </c>
      <c r="H272" s="31">
        <f>IFERROR(Serie_Historica!K899/Serie_Historica!K898,"")</f>
        <v>9.8265294540501688E-2</v>
      </c>
      <c r="I272" s="31">
        <f>IFERROR(Serie_Historica!L899/Serie_Historica!L898,"")</f>
        <v>0.10265939874463165</v>
      </c>
      <c r="J272" s="31">
        <f>IFERROR(Serie_Historica!M899/Serie_Historica!M898,"")</f>
        <v>8.8583202140380762E-2</v>
      </c>
      <c r="K272" s="31">
        <f>IFERROR(Serie_Historica!N899/Serie_Historica!N898,"")</f>
        <v>7.8168406240706756E-2</v>
      </c>
      <c r="L272" s="31">
        <f>IFERROR(Serie_Historica!O899/Serie_Historica!O898,"")</f>
        <v>8.6984404027582188E-2</v>
      </c>
      <c r="M272" s="31">
        <f>IFERROR(Serie_Historica!P899/Serie_Historica!P898,"")</f>
        <v>8.4191481789061579E-2</v>
      </c>
      <c r="N272" s="31">
        <f>IFERROR(Serie_Historica!Q899/Serie_Historica!Q898,"")</f>
        <v>8.9250229585086563E-2</v>
      </c>
      <c r="O272" s="31">
        <f>IFERROR(Serie_Historica!R899/Serie_Historica!R898,"")</f>
        <v>0.10375295659128422</v>
      </c>
      <c r="P272" s="31">
        <f>IFERROR(Serie_Historica!S899/Serie_Historica!S898,"")</f>
        <v>0.14797238670786841</v>
      </c>
      <c r="Q272" s="31">
        <f>IFERROR(Serie_Historica!T899/Serie_Historica!T898,"")</f>
        <v>0.1203699534094255</v>
      </c>
      <c r="R272" s="31">
        <f>IFERROR(Serie_Historica!U899/Serie_Historica!U898,"")</f>
        <v>0.12607817379665889</v>
      </c>
      <c r="S272" s="31">
        <f>IFERROR(Serie_Historica!V899/Serie_Historica!V898,"")</f>
        <v>0.11480679809336002</v>
      </c>
      <c r="T272" s="31">
        <f>IFERROR(Serie_Historica!W899/Serie_Historica!W898,"")</f>
        <v>9.7375823479986842E-2</v>
      </c>
      <c r="U272" s="31">
        <f>IFERROR(Serie_Historica!X899/Serie_Historica!X898,"")</f>
        <v>5.0082052052755711E-2</v>
      </c>
      <c r="V272" s="31">
        <f>IFERROR(Serie_Historica!Y899/Serie_Historica!Y898,"")</f>
        <v>5.4650246024659462E-2</v>
      </c>
      <c r="W272" s="31">
        <f>IFERROR(Serie_Historica!Z899/Serie_Historica!Z898,"")</f>
        <v>5.5111853632696307E-2</v>
      </c>
      <c r="X272" s="19">
        <f>IFERROR((W272-D272)*100,"")</f>
        <v>-2.1910605351782388</v>
      </c>
    </row>
    <row r="273" spans="1:24">
      <c r="A273" s="28" t="s">
        <v>159</v>
      </c>
      <c r="B273" s="28" t="s">
        <v>160</v>
      </c>
      <c r="C273" s="28" t="s">
        <v>505</v>
      </c>
      <c r="D273" s="31">
        <f>IFERROR(Serie_Historica!G900/Serie_Historica!G898,"")</f>
        <v>0.25580942604817442</v>
      </c>
      <c r="E273" s="31">
        <f>IFERROR(Serie_Historica!H900/Serie_Historica!H898,"")</f>
        <v>0.23950659101815</v>
      </c>
      <c r="F273" s="31">
        <f>IFERROR(Serie_Historica!I900/Serie_Historica!I898,"")</f>
        <v>0.22437216961712639</v>
      </c>
      <c r="G273" s="31">
        <f>IFERROR(Serie_Historica!J900/Serie_Historica!J898,"")</f>
        <v>0.2219079180968162</v>
      </c>
      <c r="H273" s="31">
        <f>IFERROR(Serie_Historica!K900/Serie_Historica!K898,"")</f>
        <v>0.21163595777685293</v>
      </c>
      <c r="I273" s="31">
        <f>IFERROR(Serie_Historica!L900/Serie_Historica!L898,"")</f>
        <v>0.2303252211577286</v>
      </c>
      <c r="J273" s="31">
        <f>IFERROR(Serie_Historica!M900/Serie_Historica!M898,"")</f>
        <v>0.21562099431353826</v>
      </c>
      <c r="K273" s="31">
        <f>IFERROR(Serie_Historica!N900/Serie_Historica!N898,"")</f>
        <v>0.2188091594194489</v>
      </c>
      <c r="L273" s="31">
        <f>IFERROR(Serie_Historica!O900/Serie_Historica!O898,"")</f>
        <v>0.22705064889558829</v>
      </c>
      <c r="M273" s="31">
        <f>IFERROR(Serie_Historica!P900/Serie_Historica!P898,"")</f>
        <v>0.2497330644204532</v>
      </c>
      <c r="N273" s="31">
        <f>IFERROR(Serie_Historica!Q900/Serie_Historica!Q898,"")</f>
        <v>0.2565905187844702</v>
      </c>
      <c r="O273" s="31">
        <f>IFERROR(Serie_Historica!R900/Serie_Historica!R898,"")</f>
        <v>0.2554962819269318</v>
      </c>
      <c r="P273" s="31">
        <f>IFERROR(Serie_Historica!S900/Serie_Historica!S898,"")</f>
        <v>0.23680605239523236</v>
      </c>
      <c r="Q273" s="31">
        <f>IFERROR(Serie_Historica!T900/Serie_Historica!T898,"")</f>
        <v>0.25167916587283717</v>
      </c>
      <c r="R273" s="31">
        <f>IFERROR(Serie_Historica!U900/Serie_Historica!U898,"")</f>
        <v>0.24301355772567293</v>
      </c>
      <c r="S273" s="31">
        <f>IFERROR(Serie_Historica!V900/Serie_Historica!V898,"")</f>
        <v>0.22872095261987971</v>
      </c>
      <c r="T273" s="31">
        <f>IFERROR(Serie_Historica!W900/Serie_Historica!W898,"")</f>
        <v>0.23096406522083268</v>
      </c>
      <c r="U273" s="31">
        <f>IFERROR(Serie_Historica!X900/Serie_Historica!X898,"")</f>
        <v>0.25630782730527485</v>
      </c>
      <c r="V273" s="31">
        <f>IFERROR(Serie_Historica!Y900/Serie_Historica!Y898,"")</f>
        <v>0.25847787677869177</v>
      </c>
      <c r="W273" s="31">
        <f>IFERROR(Serie_Historica!Z900/Serie_Historica!Z898,"")</f>
        <v>0.26945610293884609</v>
      </c>
      <c r="X273" s="19">
        <f>IFERROR((W273-D273)*100,"")</f>
        <v>1.3646676890671672</v>
      </c>
    </row>
    <row r="274" spans="1:24">
      <c r="A274" s="28" t="s">
        <v>159</v>
      </c>
      <c r="B274" s="28" t="s">
        <v>160</v>
      </c>
      <c r="C274" s="28" t="s">
        <v>506</v>
      </c>
      <c r="D274" s="31">
        <f>IFERROR(Serie_Historica!G901/Serie_Historica!G898,"")</f>
        <v>0.38063465656690793</v>
      </c>
      <c r="E274" s="31">
        <f>IFERROR(Serie_Historica!H901/Serie_Historica!H898,"")</f>
        <v>0.3311457363028199</v>
      </c>
      <c r="F274" s="31">
        <f>IFERROR(Serie_Historica!I901/Serie_Historica!I898,"")</f>
        <v>0.34704312142259525</v>
      </c>
      <c r="G274" s="31">
        <f>IFERROR(Serie_Historica!J901/Serie_Historica!J898,"")</f>
        <v>0.38960823766126168</v>
      </c>
      <c r="H274" s="31">
        <f>IFERROR(Serie_Historica!K901/Serie_Historica!K898,"")</f>
        <v>0.36802428965986911</v>
      </c>
      <c r="I274" s="31">
        <f>IFERROR(Serie_Historica!L901/Serie_Historica!L898,"")</f>
        <v>0.42544873912564696</v>
      </c>
      <c r="J274" s="31">
        <f>IFERROR(Serie_Historica!M901/Serie_Historica!M898,"")</f>
        <v>0.45483951445703324</v>
      </c>
      <c r="K274" s="31">
        <f>IFERROR(Serie_Historica!N901/Serie_Historica!N898,"")</f>
        <v>0.43624745229166817</v>
      </c>
      <c r="L274" s="31">
        <f>IFERROR(Serie_Historica!O901/Serie_Historica!O898,"")</f>
        <v>0.44293487243565588</v>
      </c>
      <c r="M274" s="31">
        <f>IFERROR(Serie_Historica!P901/Serie_Historica!P898,"")</f>
        <v>0.45366591529244277</v>
      </c>
      <c r="N274" s="31">
        <f>IFERROR(Serie_Historica!Q901/Serie_Historica!Q898,"")</f>
        <v>0.43832332843897709</v>
      </c>
      <c r="O274" s="31">
        <f>IFERROR(Serie_Historica!R901/Serie_Historica!R898,"")</f>
        <v>0.4134420678271819</v>
      </c>
      <c r="P274" s="31">
        <f>IFERROR(Serie_Historica!S901/Serie_Historica!S898,"")</f>
        <v>0.4025314721507619</v>
      </c>
      <c r="Q274" s="31">
        <f>IFERROR(Serie_Historica!T901/Serie_Historica!T898,"")</f>
        <v>0.40315568872646657</v>
      </c>
      <c r="R274" s="31">
        <f>IFERROR(Serie_Historica!U901/Serie_Historica!U898,"")</f>
        <v>0.38228077132801269</v>
      </c>
      <c r="S274" s="31">
        <f>IFERROR(Serie_Historica!V901/Serie_Historica!V898,"")</f>
        <v>0.38254735970035181</v>
      </c>
      <c r="T274" s="31">
        <f>IFERROR(Serie_Historica!W901/Serie_Historica!W898,"")</f>
        <v>0.33082159252809878</v>
      </c>
      <c r="U274" s="31">
        <f>IFERROR(Serie_Historica!X901/Serie_Historica!X898,"")</f>
        <v>0.38595007065930098</v>
      </c>
      <c r="V274" s="31">
        <f>IFERROR(Serie_Historica!Y901/Serie_Historica!Y898,"")</f>
        <v>0.39279404221365199</v>
      </c>
      <c r="W274" s="31">
        <f>IFERROR(Serie_Historica!Z901/Serie_Historica!Z898,"")</f>
        <v>0.39682798400862052</v>
      </c>
      <c r="X274" s="19">
        <f>IFERROR((W274-D274)*100,"")</f>
        <v>1.6193327441712591</v>
      </c>
    </row>
    <row r="275" spans="1:24">
      <c r="A275" s="28" t="s">
        <v>151</v>
      </c>
      <c r="B275" s="28" t="s">
        <v>152</v>
      </c>
      <c r="C275" s="28" t="s">
        <v>504</v>
      </c>
      <c r="D275" s="31">
        <f>IFERROR(Serie_Historica!G909/Serie_Historica!G908,"")</f>
        <v>8.9829229038184896E-2</v>
      </c>
      <c r="E275" s="31">
        <f>IFERROR(Serie_Historica!H909/Serie_Historica!H908,"")</f>
        <v>6.1515861549854924E-2</v>
      </c>
      <c r="F275" s="31">
        <f>IFERROR(Serie_Historica!I909/Serie_Historica!I908,"")</f>
        <v>6.5928850344098552E-2</v>
      </c>
      <c r="G275" s="31">
        <f>IFERROR(Serie_Historica!J909/Serie_Historica!J908,"")</f>
        <v>6.8290437575900031E-2</v>
      </c>
      <c r="H275" s="31">
        <f>IFERROR(Serie_Historica!K909/Serie_Historica!K908,"")</f>
        <v>5.9219278251806916E-2</v>
      </c>
      <c r="I275" s="31">
        <f>IFERROR(Serie_Historica!L909/Serie_Historica!L908,"")</f>
        <v>5.4783237718713969E-2</v>
      </c>
      <c r="J275" s="31">
        <f>IFERROR(Serie_Historica!M909/Serie_Historica!M908,"")</f>
        <v>6.4543152278277907E-2</v>
      </c>
      <c r="K275" s="31">
        <f>IFERROR(Serie_Historica!N909/Serie_Historica!N908,"")</f>
        <v>8.473830285205361E-2</v>
      </c>
      <c r="L275" s="31">
        <f>IFERROR(Serie_Historica!O909/Serie_Historica!O908,"")</f>
        <v>6.67515558026507E-2</v>
      </c>
      <c r="M275" s="31">
        <f>IFERROR(Serie_Historica!P909/Serie_Historica!P908,"")</f>
        <v>7.4894795950026433E-2</v>
      </c>
      <c r="N275" s="31">
        <f>IFERROR(Serie_Historica!Q909/Serie_Historica!Q908,"")</f>
        <v>7.0688444975622711E-2</v>
      </c>
      <c r="O275" s="31">
        <f>IFERROR(Serie_Historica!R909/Serie_Historica!R908,"")</f>
        <v>0.13548835896332939</v>
      </c>
      <c r="P275" s="31">
        <f>IFERROR(Serie_Historica!S909/Serie_Historica!S908,"")</f>
        <v>0.11001006544066132</v>
      </c>
      <c r="Q275" s="31">
        <f>IFERROR(Serie_Historica!T909/Serie_Historica!T908,"")</f>
        <v>9.7992167992763793E-2</v>
      </c>
      <c r="R275" s="31">
        <f>IFERROR(Serie_Historica!U909/Serie_Historica!U908,"")</f>
        <v>0.1347172120428537</v>
      </c>
      <c r="S275" s="31">
        <f>IFERROR(Serie_Historica!V909/Serie_Historica!V908,"")</f>
        <v>5.0332866279956152E-2</v>
      </c>
      <c r="T275" s="31">
        <f>IFERROR(Serie_Historica!W909/Serie_Historica!W908,"")</f>
        <v>3.2818518491030943E-2</v>
      </c>
      <c r="U275" s="31">
        <f>IFERROR(Serie_Historica!X909/Serie_Historica!X908,"")</f>
        <v>3.5316810131124782E-2</v>
      </c>
      <c r="V275" s="31">
        <f>IFERROR(Serie_Historica!Y909/Serie_Historica!Y908,"")</f>
        <v>6.4746425655533832E-2</v>
      </c>
      <c r="W275" s="31">
        <f>IFERROR(Serie_Historica!Z909/Serie_Historica!Z908,"")</f>
        <v>5.7723303276725139E-2</v>
      </c>
      <c r="X275" s="19">
        <f>IFERROR((W275-D275)*100,"")</f>
        <v>-3.2105925761459755</v>
      </c>
    </row>
    <row r="276" spans="1:24">
      <c r="A276" s="28" t="s">
        <v>151</v>
      </c>
      <c r="B276" s="28" t="s">
        <v>152</v>
      </c>
      <c r="C276" s="28" t="s">
        <v>505</v>
      </c>
      <c r="D276" s="31">
        <f>IFERROR(Serie_Historica!G910/Serie_Historica!G908,"")</f>
        <v>0.35639714574639303</v>
      </c>
      <c r="E276" s="31">
        <f>IFERROR(Serie_Historica!H910/Serie_Historica!H908,"")</f>
        <v>0.38515703723488204</v>
      </c>
      <c r="F276" s="31">
        <f>IFERROR(Serie_Historica!I910/Serie_Historica!I908,"")</f>
        <v>0.38115116605181976</v>
      </c>
      <c r="G276" s="31">
        <f>IFERROR(Serie_Historica!J910/Serie_Historica!J908,"")</f>
        <v>0.37993105339444511</v>
      </c>
      <c r="H276" s="31">
        <f>IFERROR(Serie_Historica!K910/Serie_Historica!K908,"")</f>
        <v>0.39234360569060917</v>
      </c>
      <c r="I276" s="31">
        <f>IFERROR(Serie_Historica!L910/Serie_Historica!L908,"")</f>
        <v>0.40311410011244564</v>
      </c>
      <c r="J276" s="31">
        <f>IFERROR(Serie_Historica!M910/Serie_Historica!M908,"")</f>
        <v>0.3746479962367012</v>
      </c>
      <c r="K276" s="31">
        <f>IFERROR(Serie_Historica!N910/Serie_Historica!N908,"")</f>
        <v>0.41871543671423539</v>
      </c>
      <c r="L276" s="31">
        <f>IFERROR(Serie_Historica!O910/Serie_Historica!O908,"")</f>
        <v>0.46018131602073209</v>
      </c>
      <c r="M276" s="31">
        <f>IFERROR(Serie_Historica!P910/Serie_Historica!P908,"")</f>
        <v>0.41563356216761854</v>
      </c>
      <c r="N276" s="31">
        <f>IFERROR(Serie_Historica!Q910/Serie_Historica!Q908,"")</f>
        <v>0.46206059226376794</v>
      </c>
      <c r="O276" s="31">
        <f>IFERROR(Serie_Historica!R910/Serie_Historica!R908,"")</f>
        <v>0.39101314657490055</v>
      </c>
      <c r="P276" s="31">
        <f>IFERROR(Serie_Historica!S910/Serie_Historica!S908,"")</f>
        <v>0.42064057810506605</v>
      </c>
      <c r="Q276" s="31">
        <f>IFERROR(Serie_Historica!T910/Serie_Historica!T908,"")</f>
        <v>0.44229717213625308</v>
      </c>
      <c r="R276" s="31">
        <f>IFERROR(Serie_Historica!U910/Serie_Historica!U908,"")</f>
        <v>0.40812413949655307</v>
      </c>
      <c r="S276" s="31">
        <f>IFERROR(Serie_Historica!V910/Serie_Historica!V908,"")</f>
        <v>0.47938794227897846</v>
      </c>
      <c r="T276" s="31">
        <f>IFERROR(Serie_Historica!W910/Serie_Historica!W908,"")</f>
        <v>0.46431054145855133</v>
      </c>
      <c r="U276" s="31">
        <f>IFERROR(Serie_Historica!X910/Serie_Historica!X908,"")</f>
        <v>0.45728174593805926</v>
      </c>
      <c r="V276" s="31">
        <f>IFERROR(Serie_Historica!Y910/Serie_Historica!Y908,"")</f>
        <v>0.45908570198922793</v>
      </c>
      <c r="W276" s="31">
        <f>IFERROR(Serie_Historica!Z910/Serie_Historica!Z908,"")</f>
        <v>0.47641415597227915</v>
      </c>
      <c r="X276" s="19">
        <f>IFERROR((W276-D276)*100,"")</f>
        <v>12.001701022588612</v>
      </c>
    </row>
    <row r="277" spans="1:24">
      <c r="A277" s="28" t="s">
        <v>151</v>
      </c>
      <c r="B277" s="28" t="s">
        <v>152</v>
      </c>
      <c r="C277" s="28" t="s">
        <v>506</v>
      </c>
      <c r="D277" s="31">
        <f>IFERROR(Serie_Historica!G911/Serie_Historica!G908,"")</f>
        <v>0.51527538419905716</v>
      </c>
      <c r="E277" s="31">
        <f>IFERROR(Serie_Historica!H911/Serie_Historica!H908,"")</f>
        <v>0.47982857628476733</v>
      </c>
      <c r="F277" s="31">
        <f>IFERROR(Serie_Historica!I911/Serie_Historica!I908,"")</f>
        <v>0.49499493020947943</v>
      </c>
      <c r="G277" s="31">
        <f>IFERROR(Serie_Historica!J911/Serie_Historica!J908,"")</f>
        <v>0.50239942022172601</v>
      </c>
      <c r="H277" s="31">
        <f>IFERROR(Serie_Historica!K911/Serie_Historica!K908,"")</f>
        <v>0.50136842372838275</v>
      </c>
      <c r="I277" s="31">
        <f>IFERROR(Serie_Historica!L911/Serie_Historica!L908,"")</f>
        <v>0.49711007498764531</v>
      </c>
      <c r="J277" s="31">
        <f>IFERROR(Serie_Historica!M911/Serie_Historica!M908,"")</f>
        <v>0.5057577183067733</v>
      </c>
      <c r="K277" s="31">
        <f>IFERROR(Serie_Historica!N911/Serie_Historica!N908,"")</f>
        <v>0.44971106646506909</v>
      </c>
      <c r="L277" s="31">
        <f>IFERROR(Serie_Historica!O911/Serie_Historica!O908,"")</f>
        <v>0.433535393389408</v>
      </c>
      <c r="M277" s="31">
        <f>IFERROR(Serie_Historica!P911/Serie_Historica!P908,"")</f>
        <v>0.4653580433576151</v>
      </c>
      <c r="N277" s="31">
        <f>IFERROR(Serie_Historica!Q911/Serie_Historica!Q908,"")</f>
        <v>0.43447346954261756</v>
      </c>
      <c r="O277" s="31">
        <f>IFERROR(Serie_Historica!R911/Serie_Historica!R908,"")</f>
        <v>0.43754704806968492</v>
      </c>
      <c r="P277" s="31">
        <f>IFERROR(Serie_Historica!S911/Serie_Historica!S908,"")</f>
        <v>0.43677893661219908</v>
      </c>
      <c r="Q277" s="31">
        <f>IFERROR(Serie_Historica!T911/Serie_Historica!T908,"")</f>
        <v>0.42076186039961655</v>
      </c>
      <c r="R277" s="31">
        <f>IFERROR(Serie_Historica!U911/Serie_Historica!U908,"")</f>
        <v>0.41445300355798126</v>
      </c>
      <c r="S277" s="31">
        <f>IFERROR(Serie_Historica!V911/Serie_Historica!V908,"")</f>
        <v>0.42168144055717288</v>
      </c>
      <c r="T277" s="31">
        <f>IFERROR(Serie_Historica!W911/Serie_Historica!W908,"")</f>
        <v>0.44336418264175964</v>
      </c>
      <c r="U277" s="31">
        <f>IFERROR(Serie_Historica!X911/Serie_Historica!X908,"")</f>
        <v>0.46172025138939388</v>
      </c>
      <c r="V277" s="31">
        <f>IFERROR(Serie_Historica!Y911/Serie_Historica!Y908,"")</f>
        <v>0.43423775798887349</v>
      </c>
      <c r="W277" s="31">
        <f>IFERROR(Serie_Historica!Z911/Serie_Historica!Z908,"")</f>
        <v>0.4321838473811776</v>
      </c>
      <c r="X277" s="19">
        <f>IFERROR((W277-D277)*100,"")</f>
        <v>-8.3091536817879561</v>
      </c>
    </row>
    <row r="278" spans="1:24">
      <c r="A278" s="28" t="s">
        <v>383</v>
      </c>
      <c r="B278" s="28" t="s">
        <v>384</v>
      </c>
      <c r="C278" s="28" t="s">
        <v>504</v>
      </c>
      <c r="D278" s="31">
        <f>IFERROR(Serie_Historica!G919/Serie_Historica!G918,"")</f>
        <v>5.0570342205323193E-2</v>
      </c>
      <c r="E278" s="31">
        <f>IFERROR(Serie_Historica!H919/Serie_Historica!H918,"")</f>
        <v>3.8035408338092519E-2</v>
      </c>
      <c r="F278" s="31">
        <f>IFERROR(Serie_Historica!I919/Serie_Historica!I918,"")</f>
        <v>4.1286351093186159E-2</v>
      </c>
      <c r="G278" s="31">
        <f>IFERROR(Serie_Historica!J919/Serie_Historica!J918,"")</f>
        <v>3.9443788057802416E-2</v>
      </c>
      <c r="H278" s="31">
        <f>IFERROR(Serie_Historica!K919/Serie_Historica!K918,"")</f>
        <v>6.6272189349112429E-2</v>
      </c>
      <c r="I278" s="31">
        <f>IFERROR(Serie_Historica!L919/Serie_Historica!L918,"")</f>
        <v>5.6369708949628519E-2</v>
      </c>
      <c r="J278" s="31">
        <f>IFERROR(Serie_Historica!M919/Serie_Historica!M918,"")</f>
        <v>5.985533453887884E-2</v>
      </c>
      <c r="K278" s="31">
        <f>IFERROR(Serie_Historica!N919/Serie_Historica!N918,"")</f>
        <v>0.12380952380952381</v>
      </c>
      <c r="L278" s="31">
        <f>IFERROR(Serie_Historica!O919/Serie_Historica!O918,"")</f>
        <v>0.1238753990519493</v>
      </c>
      <c r="M278" s="31">
        <f>IFERROR(Serie_Historica!P919/Serie_Historica!P918,"")</f>
        <v>0.14240913477002251</v>
      </c>
      <c r="N278" s="31">
        <f>IFERROR(Serie_Historica!Q919/Serie_Historica!Q918,"")</f>
        <v>0.12487042500598039</v>
      </c>
      <c r="O278" s="31">
        <f>IFERROR(Serie_Historica!R919/Serie_Historica!R918,"")</f>
        <v>0.12998196113134339</v>
      </c>
      <c r="P278" s="31">
        <f>IFERROR(Serie_Historica!S919/Serie_Historica!S918,"")</f>
        <v>0.12493576567317574</v>
      </c>
      <c r="Q278" s="31">
        <f>IFERROR(Serie_Historica!T919/Serie_Historica!T918,"")</f>
        <v>0.11157828679008472</v>
      </c>
      <c r="R278" s="31">
        <f>IFERROR(Serie_Historica!U919/Serie_Historica!U918,"")</f>
        <v>0.11159991445941404</v>
      </c>
      <c r="S278" s="31">
        <f>IFERROR(Serie_Historica!V919/Serie_Historica!V918,"")</f>
        <v>4.2578603206831683E-2</v>
      </c>
      <c r="T278" s="31">
        <f>IFERROR(Serie_Historica!W919/Serie_Historica!W918,"")</f>
        <v>4.1167131986642583E-2</v>
      </c>
      <c r="U278" s="31">
        <f>IFERROR(Serie_Historica!X919/Serie_Historica!X918,"")</f>
        <v>0.16113427856547122</v>
      </c>
      <c r="V278" s="31">
        <f>IFERROR(Serie_Historica!Y919/Serie_Historica!Y918,"")</f>
        <v>0.1543141592920354</v>
      </c>
      <c r="W278" s="31">
        <f>IFERROR(Serie_Historica!Z919/Serie_Historica!Z918,"")</f>
        <v>0.11734414374931522</v>
      </c>
      <c r="X278" s="19">
        <f>IFERROR((W278-D278)*100,"")</f>
        <v>6.6773801543992022</v>
      </c>
    </row>
    <row r="279" spans="1:24">
      <c r="A279" s="28" t="s">
        <v>383</v>
      </c>
      <c r="B279" s="28" t="s">
        <v>384</v>
      </c>
      <c r="C279" s="28" t="s">
        <v>505</v>
      </c>
      <c r="D279" s="31">
        <f>IFERROR(Serie_Historica!G920/Serie_Historica!G918,"")</f>
        <v>0.19784537389100126</v>
      </c>
      <c r="E279" s="31">
        <f>IFERROR(Serie_Historica!H920/Serie_Historica!H918,"")</f>
        <v>0.20422615648201028</v>
      </c>
      <c r="F279" s="31">
        <f>IFERROR(Serie_Historica!I920/Serie_Historica!I918,"")</f>
        <v>0.21693907875185736</v>
      </c>
      <c r="G279" s="31">
        <f>IFERROR(Serie_Historica!J920/Serie_Historica!J918,"")</f>
        <v>0.21512314823230028</v>
      </c>
      <c r="H279" s="31">
        <f>IFERROR(Serie_Historica!K920/Serie_Historica!K918,"")</f>
        <v>0.20986193293885602</v>
      </c>
      <c r="I279" s="31">
        <f>IFERROR(Serie_Historica!L920/Serie_Historica!L918,"")</f>
        <v>0.20393974507531865</v>
      </c>
      <c r="J279" s="31">
        <f>IFERROR(Serie_Historica!M920/Serie_Historica!M918,"")</f>
        <v>0.18637733574442436</v>
      </c>
      <c r="K279" s="31">
        <f>IFERROR(Serie_Historica!N920/Serie_Historica!N918,"")</f>
        <v>0.17706093189964159</v>
      </c>
      <c r="L279" s="31">
        <f>IFERROR(Serie_Historica!O920/Serie_Historica!O918,"")</f>
        <v>0.19270581406597659</v>
      </c>
      <c r="M279" s="31">
        <f>IFERROR(Serie_Historica!P920/Serie_Historica!P918,"")</f>
        <v>0.18378095850755871</v>
      </c>
      <c r="N279" s="31">
        <f>IFERROR(Serie_Historica!Q920/Serie_Historica!Q918,"")</f>
        <v>0.20580495973207877</v>
      </c>
      <c r="O279" s="31">
        <f>IFERROR(Serie_Historica!R920/Serie_Historica!R918,"")</f>
        <v>0.20302236139001395</v>
      </c>
      <c r="P279" s="31">
        <f>IFERROR(Serie_Historica!S920/Serie_Historica!S918,"")</f>
        <v>0.20224177800616649</v>
      </c>
      <c r="Q279" s="31">
        <f>IFERROR(Serie_Historica!T920/Serie_Historica!T918,"")</f>
        <v>0.2169124568559774</v>
      </c>
      <c r="R279" s="31">
        <f>IFERROR(Serie_Historica!U920/Serie_Historica!U918,"")</f>
        <v>0.21388201509180338</v>
      </c>
      <c r="S279" s="31">
        <f>IFERROR(Serie_Historica!V920/Serie_Historica!V918,"")</f>
        <v>0.22758352990355618</v>
      </c>
      <c r="T279" s="31">
        <f>IFERROR(Serie_Historica!W920/Serie_Historica!W918,"")</f>
        <v>0.25091695407018122</v>
      </c>
      <c r="U279" s="31">
        <f>IFERROR(Serie_Historica!X920/Serie_Historica!X918,"")</f>
        <v>0.2267723102585488</v>
      </c>
      <c r="V279" s="31">
        <f>IFERROR(Serie_Historica!Y920/Serie_Historica!Y918,"")</f>
        <v>0.22304162569649294</v>
      </c>
      <c r="W279" s="31">
        <f>IFERROR(Serie_Historica!Z920/Serie_Historica!Z918,"")</f>
        <v>0.22544099923304481</v>
      </c>
      <c r="X279" s="19">
        <f>IFERROR((W279-D279)*100,"")</f>
        <v>2.7595625342043544</v>
      </c>
    </row>
    <row r="280" spans="1:24">
      <c r="A280" s="28" t="s">
        <v>383</v>
      </c>
      <c r="B280" s="28" t="s">
        <v>384</v>
      </c>
      <c r="C280" s="28" t="s">
        <v>506</v>
      </c>
      <c r="D280" s="31">
        <f>IFERROR(Serie_Historica!G921/Serie_Historica!G918,"")</f>
        <v>0.67173637515842843</v>
      </c>
      <c r="E280" s="31">
        <f>IFERROR(Serie_Historica!H921/Serie_Historica!H918,"")</f>
        <v>0.66373500856653345</v>
      </c>
      <c r="F280" s="31">
        <f>IFERROR(Serie_Historica!I921/Serie_Historica!I918,"")</f>
        <v>0.66716196136701333</v>
      </c>
      <c r="G280" s="31">
        <f>IFERROR(Serie_Historica!J921/Serie_Historica!J918,"")</f>
        <v>0.6797237117149868</v>
      </c>
      <c r="H280" s="31">
        <f>IFERROR(Serie_Historica!K921/Serie_Historica!K918,"")</f>
        <v>0.66635108481262328</v>
      </c>
      <c r="I280" s="31">
        <f>IFERROR(Serie_Historica!L921/Serie_Historica!L918,"")</f>
        <v>0.69511280757957872</v>
      </c>
      <c r="J280" s="31">
        <f>IFERROR(Serie_Historica!M921/Serie_Historica!M918,"")</f>
        <v>0.70663050030138641</v>
      </c>
      <c r="K280" s="31">
        <f>IFERROR(Serie_Historica!N921/Serie_Historica!N918,"")</f>
        <v>0.64393241167434712</v>
      </c>
      <c r="L280" s="31">
        <f>IFERROR(Serie_Historica!O921/Serie_Historica!O918,"")</f>
        <v>0.63316242623585184</v>
      </c>
      <c r="M280" s="31">
        <f>IFERROR(Serie_Historica!P921/Serie_Historica!P918,"")</f>
        <v>0.58692505628819558</v>
      </c>
      <c r="N280" s="31">
        <f>IFERROR(Serie_Historica!Q921/Serie_Historica!Q918,"")</f>
        <v>0.61761422534088195</v>
      </c>
      <c r="O280" s="31">
        <f>IFERROR(Serie_Historica!R921/Serie_Historica!R918,"")</f>
        <v>0.62033286818011635</v>
      </c>
      <c r="P280" s="31">
        <f>IFERROR(Serie_Historica!S921/Serie_Historica!S918,"")</f>
        <v>0.62753725590955811</v>
      </c>
      <c r="Q280" s="31">
        <f>IFERROR(Serie_Historica!T921/Serie_Historica!T918,"")</f>
        <v>0.62221524945089424</v>
      </c>
      <c r="R280" s="31">
        <f>IFERROR(Serie_Historica!U921/Serie_Historica!U918,"")</f>
        <v>0.62643204105948125</v>
      </c>
      <c r="S280" s="31">
        <f>IFERROR(Serie_Historica!V921/Serie_Historica!V918,"")</f>
        <v>0.67767459914603922</v>
      </c>
      <c r="T280" s="31">
        <f>IFERROR(Serie_Historica!W921/Serie_Historica!W918,"")</f>
        <v>0.63642086823233157</v>
      </c>
      <c r="U280" s="31">
        <f>IFERROR(Serie_Historica!X921/Serie_Historica!X918,"")</f>
        <v>0.54664303586321938</v>
      </c>
      <c r="V280" s="31">
        <f>IFERROR(Serie_Historica!Y921/Serie_Historica!Y918,"")</f>
        <v>0.54441166830547361</v>
      </c>
      <c r="W280" s="31">
        <f>IFERROR(Serie_Historica!Z921/Serie_Historica!Z918,"")</f>
        <v>0.58525254738687416</v>
      </c>
      <c r="X280" s="19">
        <f>IFERROR((W280-D280)*100,"")</f>
        <v>-8.6483827771554278</v>
      </c>
    </row>
    <row r="281" spans="1:24">
      <c r="A281" s="28" t="s">
        <v>343</v>
      </c>
      <c r="B281" s="28" t="s">
        <v>344</v>
      </c>
      <c r="C281" s="28" t="s">
        <v>504</v>
      </c>
      <c r="D281" s="31">
        <f>IFERROR(Serie_Historica!G929/Serie_Historica!G928,"")</f>
        <v>0.39597169297768098</v>
      </c>
      <c r="E281" s="31">
        <f>IFERROR(Serie_Historica!H929/Serie_Historica!H928,"")</f>
        <v>0.31391761930684087</v>
      </c>
      <c r="F281" s="31">
        <f>IFERROR(Serie_Historica!I929/Serie_Historica!I928,"")</f>
        <v>0.40167740002995356</v>
      </c>
      <c r="G281" s="31">
        <f>IFERROR(Serie_Historica!J929/Serie_Historica!J928,"")</f>
        <v>0.32742208262865424</v>
      </c>
      <c r="H281" s="31">
        <f>IFERROR(Serie_Historica!K929/Serie_Historica!K928,"")</f>
        <v>0.26393840011407388</v>
      </c>
      <c r="I281" s="31">
        <f>IFERROR(Serie_Historica!L929/Serie_Historica!L928,"")</f>
        <v>0.36370494838997292</v>
      </c>
      <c r="J281" s="31">
        <f>IFERROR(Serie_Historica!M929/Serie_Historica!M928,"")</f>
        <v>0.16889027709606891</v>
      </c>
      <c r="K281" s="31">
        <f>IFERROR(Serie_Historica!N929/Serie_Historica!N928,"")</f>
        <v>4.9808603718556325E-2</v>
      </c>
      <c r="L281" s="31">
        <f>IFERROR(Serie_Historica!O929/Serie_Historica!O928,"")</f>
        <v>5.3453835324038329E-2</v>
      </c>
      <c r="M281" s="31">
        <f>IFERROR(Serie_Historica!P929/Serie_Historica!P928,"")</f>
        <v>6.8162682578614048E-2</v>
      </c>
      <c r="N281" s="31">
        <f>IFERROR(Serie_Historica!Q929/Serie_Historica!Q928,"")</f>
        <v>7.3227325462362658E-2</v>
      </c>
      <c r="O281" s="31">
        <f>IFERROR(Serie_Historica!R929/Serie_Historica!R928,"")</f>
        <v>6.9877155898661281E-2</v>
      </c>
      <c r="P281" s="31">
        <f>IFERROR(Serie_Historica!S929/Serie_Historica!S928,"")</f>
        <v>9.0209112311314218E-2</v>
      </c>
      <c r="Q281" s="31">
        <f>IFERROR(Serie_Historica!T929/Serie_Historica!T928,"")</f>
        <v>8.0976325162371673E-2</v>
      </c>
      <c r="R281" s="31">
        <f>IFERROR(Serie_Historica!U929/Serie_Historica!U928,"")</f>
        <v>0.10144399066511085</v>
      </c>
      <c r="S281" s="31">
        <f>IFERROR(Serie_Historica!V929/Serie_Historica!V928,"")</f>
        <v>0.12970070774077608</v>
      </c>
      <c r="T281" s="31">
        <f>IFERROR(Serie_Historica!W929/Serie_Historica!W928,"")</f>
        <v>9.7812125363932176E-2</v>
      </c>
      <c r="U281" s="31">
        <f>IFERROR(Serie_Historica!X929/Serie_Historica!X928,"")</f>
        <v>7.6743730407523511E-2</v>
      </c>
      <c r="V281" s="31">
        <f>IFERROR(Serie_Historica!Y929/Serie_Historica!Y928,"")</f>
        <v>6.4675655835876825E-2</v>
      </c>
      <c r="W281" s="31">
        <f>IFERROR(Serie_Historica!Z929/Serie_Historica!Z928,"")</f>
        <v>5.5413440265486724E-2</v>
      </c>
      <c r="X281" s="19">
        <f>IFERROR((W281-D281)*100,"")</f>
        <v>-34.055825271219426</v>
      </c>
    </row>
    <row r="282" spans="1:24">
      <c r="A282" s="28" t="s">
        <v>343</v>
      </c>
      <c r="B282" s="28" t="s">
        <v>344</v>
      </c>
      <c r="C282" s="28" t="s">
        <v>505</v>
      </c>
      <c r="D282" s="31">
        <f>IFERROR(Serie_Historica!G930/Serie_Historica!G928,"")</f>
        <v>0.20963527490473599</v>
      </c>
      <c r="E282" s="31">
        <f>IFERROR(Serie_Historica!H930/Serie_Historica!H928,"")</f>
        <v>0.19282646827557007</v>
      </c>
      <c r="F282" s="31">
        <f>IFERROR(Serie_Historica!I930/Serie_Historica!I928,"")</f>
        <v>0.18621137237282212</v>
      </c>
      <c r="G282" s="31">
        <f>IFERROR(Serie_Historica!J930/Serie_Historica!J928,"")</f>
        <v>0.20251268422324234</v>
      </c>
      <c r="H282" s="31">
        <f>IFERROR(Serie_Historica!K930/Serie_Historica!K928,"")</f>
        <v>0.20633109938685298</v>
      </c>
      <c r="I282" s="31">
        <f>IFERROR(Serie_Historica!L930/Serie_Historica!L928,"")</f>
        <v>0.20695449401598023</v>
      </c>
      <c r="J282" s="31">
        <f>IFERROR(Serie_Historica!M930/Serie_Historica!M928,"")</f>
        <v>0.20222212306456649</v>
      </c>
      <c r="K282" s="31">
        <f>IFERROR(Serie_Historica!N930/Serie_Historica!N928,"")</f>
        <v>0.2128600072912869</v>
      </c>
      <c r="L282" s="31">
        <f>IFERROR(Serie_Historica!O930/Serie_Historica!O928,"")</f>
        <v>0.22830282937463101</v>
      </c>
      <c r="M282" s="31">
        <f>IFERROR(Serie_Historica!P930/Serie_Historica!P928,"")</f>
        <v>0.23717831387048358</v>
      </c>
      <c r="N282" s="31">
        <f>IFERROR(Serie_Historica!Q930/Serie_Historica!Q928,"")</f>
        <v>0.25704633863372689</v>
      </c>
      <c r="O282" s="31">
        <f>IFERROR(Serie_Historica!R930/Serie_Historica!R928,"")</f>
        <v>0.24311490978157646</v>
      </c>
      <c r="P282" s="31">
        <f>IFERROR(Serie_Historica!S930/Serie_Historica!S928,"")</f>
        <v>0.21567649909984768</v>
      </c>
      <c r="Q282" s="31">
        <f>IFERROR(Serie_Historica!T930/Serie_Historica!T928,"")</f>
        <v>0.234365179132621</v>
      </c>
      <c r="R282" s="31">
        <f>IFERROR(Serie_Historica!U930/Serie_Historica!U928,"")</f>
        <v>0.24149163749513808</v>
      </c>
      <c r="S282" s="31">
        <f>IFERROR(Serie_Historica!V930/Serie_Historica!V928,"")</f>
        <v>0.23970004215383933</v>
      </c>
      <c r="T282" s="31">
        <f>IFERROR(Serie_Historica!W930/Serie_Historica!W928,"")</f>
        <v>0.27354855283438945</v>
      </c>
      <c r="U282" s="31">
        <f>IFERROR(Serie_Historica!X930/Serie_Historica!X928,"")</f>
        <v>0.28501175548589341</v>
      </c>
      <c r="V282" s="31">
        <f>IFERROR(Serie_Historica!Y930/Serie_Historica!Y928,"")</f>
        <v>0.27564424525750492</v>
      </c>
      <c r="W282" s="31">
        <f>IFERROR(Serie_Historica!Z930/Serie_Historica!Z928,"")</f>
        <v>0.26572870575221241</v>
      </c>
      <c r="X282" s="19">
        <f>IFERROR((W282-D282)*100,"")</f>
        <v>5.6093430847476426</v>
      </c>
    </row>
    <row r="283" spans="1:24">
      <c r="A283" s="28" t="s">
        <v>343</v>
      </c>
      <c r="B283" s="28" t="s">
        <v>344</v>
      </c>
      <c r="C283" s="28" t="s">
        <v>506</v>
      </c>
      <c r="D283" s="31">
        <f>IFERROR(Serie_Historica!G931/Serie_Historica!G928,"")</f>
        <v>0.34349482852476865</v>
      </c>
      <c r="E283" s="31">
        <f>IFERROR(Serie_Historica!H931/Serie_Historica!H928,"")</f>
        <v>0.41668178793927296</v>
      </c>
      <c r="F283" s="31">
        <f>IFERROR(Serie_Historica!I931/Serie_Historica!I928,"")</f>
        <v>0.34631321451749786</v>
      </c>
      <c r="G283" s="31">
        <f>IFERROR(Serie_Historica!J931/Serie_Historica!J928,"")</f>
        <v>0.39280019328340177</v>
      </c>
      <c r="H283" s="31">
        <f>IFERROR(Serie_Historica!K931/Serie_Historica!K928,"")</f>
        <v>0.43623746375778316</v>
      </c>
      <c r="I283" s="31">
        <f>IFERROR(Serie_Historica!L931/Serie_Historica!L928,"")</f>
        <v>0.38026816638661226</v>
      </c>
      <c r="J283" s="31">
        <f>IFERROR(Serie_Historica!M931/Serie_Historica!M928,"")</f>
        <v>0.5487483824907412</v>
      </c>
      <c r="K283" s="31">
        <f>IFERROR(Serie_Historica!N931/Serie_Historica!N928,"")</f>
        <v>0.64304593510754648</v>
      </c>
      <c r="L283" s="31">
        <f>IFERROR(Serie_Historica!O931/Serie_Historica!O928,"")</f>
        <v>0.63835778191561832</v>
      </c>
      <c r="M283" s="31">
        <f>IFERROR(Serie_Historica!P931/Serie_Historica!P928,"")</f>
        <v>0.60218911300655265</v>
      </c>
      <c r="N283" s="31">
        <f>IFERROR(Serie_Historica!Q931/Serie_Historica!Q928,"")</f>
        <v>0.59881935439841671</v>
      </c>
      <c r="O283" s="31">
        <f>IFERROR(Serie_Historica!R931/Serie_Historica!R928,"")</f>
        <v>0.60766473669699472</v>
      </c>
      <c r="P283" s="31">
        <f>IFERROR(Serie_Historica!S931/Serie_Historica!S928,"")</f>
        <v>0.60484697410330979</v>
      </c>
      <c r="Q283" s="31">
        <f>IFERROR(Serie_Historica!T931/Serie_Historica!T928,"")</f>
        <v>0.57940498638173055</v>
      </c>
      <c r="R283" s="31">
        <f>IFERROR(Serie_Historica!U931/Serie_Historica!U928,"")</f>
        <v>0.56743485025281992</v>
      </c>
      <c r="S283" s="31">
        <f>IFERROR(Serie_Historica!V931/Serie_Historica!V928,"")</f>
        <v>0.5474230692432277</v>
      </c>
      <c r="T283" s="31">
        <f>IFERROR(Serie_Historica!W931/Serie_Historica!W928,"")</f>
        <v>0.53662870354512759</v>
      </c>
      <c r="U283" s="31">
        <f>IFERROR(Serie_Historica!X931/Serie_Historica!X928,"")</f>
        <v>0.54737460815047023</v>
      </c>
      <c r="V283" s="31">
        <f>IFERROR(Serie_Historica!Y931/Serie_Historica!Y928,"")</f>
        <v>0.54566704014217826</v>
      </c>
      <c r="W283" s="31">
        <f>IFERROR(Serie_Historica!Z931/Serie_Historica!Z928,"")</f>
        <v>0.52756844579646023</v>
      </c>
      <c r="X283" s="19">
        <f>IFERROR((W283-D283)*100,"")</f>
        <v>18.407361727169157</v>
      </c>
    </row>
    <row r="284" spans="1:24">
      <c r="A284" s="28" t="s">
        <v>397</v>
      </c>
      <c r="B284" s="28" t="s">
        <v>398</v>
      </c>
      <c r="C284" s="28" t="s">
        <v>504</v>
      </c>
      <c r="D284" s="31">
        <f>IFERROR(Serie_Historica!G939/Serie_Historica!G938,"")</f>
        <v>4.9211060771754411E-2</v>
      </c>
      <c r="E284" s="31">
        <f>IFERROR(Serie_Historica!H939/Serie_Historica!H938,"")</f>
        <v>3.2013589442048872E-2</v>
      </c>
      <c r="F284" s="31">
        <f>IFERROR(Serie_Historica!I939/Serie_Historica!I938,"")</f>
        <v>3.7499999999999999E-2</v>
      </c>
      <c r="G284" s="31">
        <f>IFERROR(Serie_Historica!J939/Serie_Historica!J938,"")</f>
        <v>3.7865931268561734E-2</v>
      </c>
      <c r="H284" s="31">
        <f>IFERROR(Serie_Historica!K939/Serie_Historica!K938,"")</f>
        <v>3.61740110870995E-2</v>
      </c>
      <c r="I284" s="31">
        <f>IFERROR(Serie_Historica!L939/Serie_Historica!L938,"")</f>
        <v>3.5192869217765481E-2</v>
      </c>
      <c r="J284" s="31">
        <f>IFERROR(Serie_Historica!M939/Serie_Historica!M938,"")</f>
        <v>3.1495525039284003E-2</v>
      </c>
      <c r="K284" s="31">
        <f>IFERROR(Serie_Historica!N939/Serie_Historica!N938,"")</f>
        <v>3.1896606608518493E-2</v>
      </c>
      <c r="L284" s="31">
        <f>IFERROR(Serie_Historica!O939/Serie_Historica!O938,"")</f>
        <v>2.8471411901983663E-2</v>
      </c>
      <c r="M284" s="31">
        <f>IFERROR(Serie_Historica!P939/Serie_Historica!P938,"")</f>
        <v>2.8186017216040311E-2</v>
      </c>
      <c r="N284" s="31">
        <f>IFERROR(Serie_Historica!Q939/Serie_Historica!Q938,"")</f>
        <v>3.1894934333958722E-2</v>
      </c>
      <c r="O284" s="31">
        <f>IFERROR(Serie_Historica!R939/Serie_Historica!R938,"")</f>
        <v>2.8511766123202956E-2</v>
      </c>
      <c r="P284" s="31">
        <f>IFERROR(Serie_Historica!S939/Serie_Historica!S938,"")</f>
        <v>2.54148602182688E-2</v>
      </c>
      <c r="Q284" s="31">
        <f>IFERROR(Serie_Historica!T939/Serie_Historica!T938,"")</f>
        <v>2.5079576060722655E-2</v>
      </c>
      <c r="R284" s="31">
        <f>IFERROR(Serie_Historica!U939/Serie_Historica!U938,"")</f>
        <v>2.0829698893967411E-2</v>
      </c>
      <c r="S284" s="31">
        <f>IFERROR(Serie_Historica!V939/Serie_Historica!V938,"")</f>
        <v>2.8021397026808482E-2</v>
      </c>
      <c r="T284" s="31">
        <f>IFERROR(Serie_Historica!W939/Serie_Historica!W938,"")</f>
        <v>2.0259294449382414E-2</v>
      </c>
      <c r="U284" s="31">
        <f>IFERROR(Serie_Historica!X939/Serie_Historica!X938,"")</f>
        <v>2.0006559527714005E-2</v>
      </c>
      <c r="V284" s="31">
        <f>IFERROR(Serie_Historica!Y939/Serie_Historica!Y938,"")</f>
        <v>1.6166877240027848E-2</v>
      </c>
      <c r="W284" s="31">
        <f>IFERROR(Serie_Historica!Z939/Serie_Historica!Z938,"")</f>
        <v>1.94980831196933E-2</v>
      </c>
      <c r="X284" s="19">
        <f>IFERROR((W284-D284)*100,"")</f>
        <v>-2.9712977652061112</v>
      </c>
    </row>
    <row r="285" spans="1:24">
      <c r="A285" s="28" t="s">
        <v>397</v>
      </c>
      <c r="B285" s="28" t="s">
        <v>398</v>
      </c>
      <c r="C285" s="28" t="s">
        <v>505</v>
      </c>
      <c r="D285" s="31">
        <f>IFERROR(Serie_Historica!G940/Serie_Historica!G938,"")</f>
        <v>0.18747070770192156</v>
      </c>
      <c r="E285" s="31">
        <f>IFERROR(Serie_Historica!H940/Serie_Historica!H938,"")</f>
        <v>0.19417222004442702</v>
      </c>
      <c r="F285" s="31">
        <f>IFERROR(Serie_Historica!I940/Serie_Historica!I938,"")</f>
        <v>0.20767543859649124</v>
      </c>
      <c r="G285" s="31">
        <f>IFERROR(Serie_Historica!J940/Serie_Historica!J938,"")</f>
        <v>0.20014849384811201</v>
      </c>
      <c r="H285" s="31">
        <f>IFERROR(Serie_Historica!K940/Serie_Historica!K938,"")</f>
        <v>0.19289673964107865</v>
      </c>
      <c r="I285" s="31">
        <f>IFERROR(Serie_Historica!L940/Serie_Historica!L938,"")</f>
        <v>0.19455970493314892</v>
      </c>
      <c r="J285" s="31">
        <f>IFERROR(Serie_Historica!M940/Serie_Historica!M938,"")</f>
        <v>0.16690578670492587</v>
      </c>
      <c r="K285" s="31">
        <f>IFERROR(Serie_Historica!N940/Serie_Historica!N938,"")</f>
        <v>0.16788692939453748</v>
      </c>
      <c r="L285" s="31">
        <f>IFERROR(Serie_Historica!O940/Serie_Historica!O938,"")</f>
        <v>0.17887981330221703</v>
      </c>
      <c r="M285" s="31">
        <f>IFERROR(Serie_Historica!P940/Serie_Historica!P938,"")</f>
        <v>0.17509972706277557</v>
      </c>
      <c r="N285" s="31">
        <f>IFERROR(Serie_Historica!Q940/Serie_Historica!Q938,"")</f>
        <v>0.19375285228943764</v>
      </c>
      <c r="O285" s="31">
        <f>IFERROR(Serie_Historica!R940/Serie_Historica!R938,"")</f>
        <v>0.20066661312344389</v>
      </c>
      <c r="P285" s="31">
        <f>IFERROR(Serie_Historica!S940/Serie_Historica!S938,"")</f>
        <v>0.20556136941246822</v>
      </c>
      <c r="Q285" s="31">
        <f>IFERROR(Serie_Historica!T940/Serie_Historica!T938,"")</f>
        <v>0.21203959564867605</v>
      </c>
      <c r="R285" s="31">
        <f>IFERROR(Serie_Historica!U940/Serie_Historica!U938,"")</f>
        <v>0.21900840863891699</v>
      </c>
      <c r="S285" s="31">
        <f>IFERROR(Serie_Historica!V940/Serie_Historica!V938,"")</f>
        <v>0.21313055918392734</v>
      </c>
      <c r="T285" s="31">
        <f>IFERROR(Serie_Historica!W940/Serie_Historica!W938,"")</f>
        <v>0.22297483679161431</v>
      </c>
      <c r="U285" s="31">
        <f>IFERROR(Serie_Historica!X940/Serie_Historica!X938,"")</f>
        <v>0.22955613862468568</v>
      </c>
      <c r="V285" s="31">
        <f>IFERROR(Serie_Historica!Y940/Serie_Historica!Y938,"")</f>
        <v>0.22979140344996518</v>
      </c>
      <c r="W285" s="31">
        <f>IFERROR(Serie_Historica!Z940/Serie_Historica!Z938,"")</f>
        <v>0.21718371474939435</v>
      </c>
      <c r="X285" s="19">
        <f>IFERROR((W285-D285)*100,"")</f>
        <v>2.971300704747279</v>
      </c>
    </row>
    <row r="286" spans="1:24">
      <c r="A286" s="28" t="s">
        <v>397</v>
      </c>
      <c r="B286" s="28" t="s">
        <v>398</v>
      </c>
      <c r="C286" s="28" t="s">
        <v>506</v>
      </c>
      <c r="D286" s="31">
        <f>IFERROR(Serie_Historica!G941/Serie_Historica!G938,"")</f>
        <v>0.65567880018747071</v>
      </c>
      <c r="E286" s="31">
        <f>IFERROR(Serie_Historica!H941/Serie_Historica!H938,"")</f>
        <v>0.66666666666666663</v>
      </c>
      <c r="F286" s="31">
        <f>IFERROR(Serie_Historica!I941/Serie_Historica!I938,"")</f>
        <v>0.63925438596491224</v>
      </c>
      <c r="G286" s="31">
        <f>IFERROR(Serie_Historica!J941/Serie_Historica!J938,"")</f>
        <v>0.67373780229104796</v>
      </c>
      <c r="H286" s="31">
        <f>IFERROR(Serie_Historica!K941/Serie_Historica!K938,"")</f>
        <v>0.67744057126749979</v>
      </c>
      <c r="I286" s="31">
        <f>IFERROR(Serie_Historica!L941/Serie_Historica!L938,"")</f>
        <v>0.68871984017212229</v>
      </c>
      <c r="J286" s="31">
        <f>IFERROR(Serie_Historica!M941/Serie_Historica!M938,"")</f>
        <v>0.67602650816424126</v>
      </c>
      <c r="K286" s="31">
        <f>IFERROR(Serie_Historica!N941/Serie_Historica!N938,"")</f>
        <v>0.70229833832049404</v>
      </c>
      <c r="L286" s="31">
        <f>IFERROR(Serie_Historica!O941/Serie_Historica!O938,"")</f>
        <v>0.71131855309218206</v>
      </c>
      <c r="M286" s="31">
        <f>IFERROR(Serie_Historica!P941/Serie_Historica!P938,"")</f>
        <v>0.72270627755616212</v>
      </c>
      <c r="N286" s="31">
        <f>IFERROR(Serie_Historica!Q941/Serie_Historica!Q938,"")</f>
        <v>0.71933471933471937</v>
      </c>
      <c r="O286" s="31">
        <f>IFERROR(Serie_Historica!R941/Serie_Historica!R938,"")</f>
        <v>0.72182957192193398</v>
      </c>
      <c r="P286" s="31">
        <f>IFERROR(Serie_Historica!S941/Serie_Historica!S938,"")</f>
        <v>0.7157273134997757</v>
      </c>
      <c r="Q286" s="31">
        <f>IFERROR(Serie_Historica!T941/Serie_Historica!T938,"")</f>
        <v>0.72573367379061882</v>
      </c>
      <c r="R286" s="31">
        <f>IFERROR(Serie_Historica!U941/Serie_Historica!U938,"")</f>
        <v>0.72328250933324034</v>
      </c>
      <c r="S286" s="31">
        <f>IFERROR(Serie_Historica!V941/Serie_Historica!V938,"")</f>
        <v>0.72302046401691855</v>
      </c>
      <c r="T286" s="31">
        <f>IFERROR(Serie_Historica!W941/Serie_Historica!W938,"")</f>
        <v>0.69850124130321511</v>
      </c>
      <c r="U286" s="31">
        <f>IFERROR(Serie_Historica!X941/Serie_Historica!X938,"")</f>
        <v>0.67620531321744837</v>
      </c>
      <c r="V286" s="31">
        <f>IFERROR(Serie_Historica!Y941/Serie_Historica!Y938,"")</f>
        <v>0.6850424154913235</v>
      </c>
      <c r="W286" s="31">
        <f>IFERROR(Serie_Historica!Z941/Serie_Historica!Z938,"")</f>
        <v>0.70390667262506768</v>
      </c>
      <c r="X286" s="19">
        <f>IFERROR((W286-D286)*100,"")</f>
        <v>4.8227872437596968</v>
      </c>
    </row>
    <row r="287" spans="1:24">
      <c r="A287" s="28" t="s">
        <v>359</v>
      </c>
      <c r="B287" s="28" t="s">
        <v>360</v>
      </c>
      <c r="C287" s="28" t="s">
        <v>504</v>
      </c>
      <c r="D287" s="31">
        <f>IFERROR(Serie_Historica!G949/Serie_Historica!G948,"")</f>
        <v>0.11973408483271912</v>
      </c>
      <c r="E287" s="31">
        <f>IFERROR(Serie_Historica!H949/Serie_Historica!H948,"")</f>
        <v>4.3453660744596584E-2</v>
      </c>
      <c r="F287" s="31">
        <f>IFERROR(Serie_Historica!I949/Serie_Historica!I948,"")</f>
        <v>5.877431499686258E-2</v>
      </c>
      <c r="G287" s="31">
        <f>IFERROR(Serie_Historica!J949/Serie_Historica!J948,"")</f>
        <v>0.10611312431069797</v>
      </c>
      <c r="H287" s="31">
        <f>IFERROR(Serie_Historica!K949/Serie_Historica!K948,"")</f>
        <v>4.2081038875647243E-2</v>
      </c>
      <c r="I287" s="31">
        <f>IFERROR(Serie_Historica!L949/Serie_Historica!L948,"")</f>
        <v>5.6098394260334812E-2</v>
      </c>
      <c r="J287" s="31">
        <f>IFERROR(Serie_Historica!M949/Serie_Historica!M948,"")</f>
        <v>9.776017819576785E-2</v>
      </c>
      <c r="K287" s="31">
        <f>IFERROR(Serie_Historica!N949/Serie_Historica!N948,"")</f>
        <v>7.8054423267599427E-2</v>
      </c>
      <c r="L287" s="31">
        <f>IFERROR(Serie_Historica!O949/Serie_Historica!O948,"")</f>
        <v>9.0512267322261808E-2</v>
      </c>
      <c r="M287" s="31">
        <f>IFERROR(Serie_Historica!P949/Serie_Historica!P948,"")</f>
        <v>5.2559694814675269E-2</v>
      </c>
      <c r="N287" s="31">
        <f>IFERROR(Serie_Historica!Q949/Serie_Historica!Q948,"")</f>
        <v>5.1575931232091692E-2</v>
      </c>
      <c r="O287" s="31">
        <f>IFERROR(Serie_Historica!R949/Serie_Historica!R948,"")</f>
        <v>0.16631906511735692</v>
      </c>
      <c r="P287" s="31">
        <f>IFERROR(Serie_Historica!S949/Serie_Historica!S948,"")</f>
        <v>0.14039574639924621</v>
      </c>
      <c r="Q287" s="31">
        <f>IFERROR(Serie_Historica!T949/Serie_Historica!T948,"")</f>
        <v>6.189248165046618E-2</v>
      </c>
      <c r="R287" s="31">
        <f>IFERROR(Serie_Historica!U949/Serie_Historica!U948,"")</f>
        <v>6.1383624988666244E-2</v>
      </c>
      <c r="S287" s="31">
        <f>IFERROR(Serie_Historica!V949/Serie_Historica!V948,"")</f>
        <v>0.10410986569726345</v>
      </c>
      <c r="T287" s="31">
        <f>IFERROR(Serie_Historica!W949/Serie_Historica!W948,"")</f>
        <v>4.6599990194636468E-2</v>
      </c>
      <c r="U287" s="31">
        <f>IFERROR(Serie_Historica!X949/Serie_Historica!X948,"")</f>
        <v>4.4474755154062878E-2</v>
      </c>
      <c r="V287" s="31">
        <f>IFERROR(Serie_Historica!Y949/Serie_Historica!Y948,"")</f>
        <v>4.7994699463734809E-2</v>
      </c>
      <c r="W287" s="31">
        <f>IFERROR(Serie_Historica!Z949/Serie_Historica!Z948,"")</f>
        <v>3.8490233963996708E-2</v>
      </c>
      <c r="X287" s="19">
        <f>IFERROR((W287-D287)*100,"")</f>
        <v>-8.1243850868722411</v>
      </c>
    </row>
    <row r="288" spans="1:24">
      <c r="A288" s="28" t="s">
        <v>359</v>
      </c>
      <c r="B288" s="28" t="s">
        <v>360</v>
      </c>
      <c r="C288" s="28" t="s">
        <v>505</v>
      </c>
      <c r="D288" s="31">
        <f>IFERROR(Serie_Historica!G950/Serie_Historica!G948,"")</f>
        <v>0.12941686538044656</v>
      </c>
      <c r="E288" s="31">
        <f>IFERROR(Serie_Historica!H950/Serie_Historica!H948,"")</f>
        <v>0.18954396288333145</v>
      </c>
      <c r="F288" s="31">
        <f>IFERROR(Serie_Historica!I950/Serie_Historica!I948,"")</f>
        <v>0.20100397406400336</v>
      </c>
      <c r="G288" s="31">
        <f>IFERROR(Serie_Historica!J950/Serie_Historica!J948,"")</f>
        <v>0.1975736568457539</v>
      </c>
      <c r="H288" s="31">
        <f>IFERROR(Serie_Historica!K950/Serie_Historica!K948,"")</f>
        <v>0.20793950850661624</v>
      </c>
      <c r="I288" s="31">
        <f>IFERROR(Serie_Historica!L950/Serie_Historica!L948,"")</f>
        <v>0.21161598906730442</v>
      </c>
      <c r="J288" s="31">
        <f>IFERROR(Serie_Historica!M950/Serie_Historica!M948,"")</f>
        <v>0.19508724167801014</v>
      </c>
      <c r="K288" s="31">
        <f>IFERROR(Serie_Historica!N950/Serie_Historica!N948,"")</f>
        <v>0.19422716756637656</v>
      </c>
      <c r="L288" s="31">
        <f>IFERROR(Serie_Historica!O950/Serie_Historica!O948,"")</f>
        <v>0.19823390697907781</v>
      </c>
      <c r="M288" s="31">
        <f>IFERROR(Serie_Historica!P950/Serie_Historica!P948,"")</f>
        <v>0.19700466255357227</v>
      </c>
      <c r="N288" s="31">
        <f>IFERROR(Serie_Historica!Q950/Serie_Historica!Q948,"")</f>
        <v>0.22436398367630458</v>
      </c>
      <c r="O288" s="31">
        <f>IFERROR(Serie_Historica!R950/Serie_Historica!R948,"")</f>
        <v>0.19843082729168735</v>
      </c>
      <c r="P288" s="31">
        <f>IFERROR(Serie_Historica!S950/Serie_Historica!S948,"")</f>
        <v>0.18861892583120204</v>
      </c>
      <c r="Q288" s="31">
        <f>IFERROR(Serie_Historica!T950/Serie_Historica!T948,"")</f>
        <v>0.22376512596707002</v>
      </c>
      <c r="R288" s="31">
        <f>IFERROR(Serie_Historica!U950/Serie_Historica!U948,"")</f>
        <v>0.22779339317556743</v>
      </c>
      <c r="S288" s="31">
        <f>IFERROR(Serie_Historica!V950/Serie_Historica!V948,"")</f>
        <v>0.2287690598808442</v>
      </c>
      <c r="T288" s="31">
        <f>IFERROR(Serie_Historica!W950/Serie_Historica!W948,"")</f>
        <v>0.29504338873363728</v>
      </c>
      <c r="U288" s="31">
        <f>IFERROR(Serie_Historica!X950/Serie_Historica!X948,"")</f>
        <v>0.28697285452350074</v>
      </c>
      <c r="V288" s="31">
        <f>IFERROR(Serie_Historica!Y950/Serie_Historica!Y948,"")</f>
        <v>0.26245936600617015</v>
      </c>
      <c r="W288" s="31">
        <f>IFERROR(Serie_Historica!Z950/Serie_Historica!Z948,"")</f>
        <v>0.2485413119583724</v>
      </c>
      <c r="X288" s="19">
        <f>IFERROR((W288-D288)*100,"")</f>
        <v>11.912444657792584</v>
      </c>
    </row>
    <row r="289" spans="1:24">
      <c r="A289" s="28" t="s">
        <v>359</v>
      </c>
      <c r="B289" s="28" t="s">
        <v>360</v>
      </c>
      <c r="C289" s="28" t="s">
        <v>506</v>
      </c>
      <c r="D289" s="31">
        <f>IFERROR(Serie_Historica!G951/Serie_Historica!G948,"")</f>
        <v>0.39591010911193003</v>
      </c>
      <c r="E289" s="31">
        <f>IFERROR(Serie_Historica!H951/Serie_Historica!H948,"")</f>
        <v>0.58854814982460113</v>
      </c>
      <c r="F289" s="31">
        <f>IFERROR(Serie_Historica!I951/Serie_Historica!I948,"")</f>
        <v>0.58261869901694208</v>
      </c>
      <c r="G289" s="31">
        <f>IFERROR(Serie_Historica!J951/Serie_Historica!J948,"")</f>
        <v>0.57775326926106818</v>
      </c>
      <c r="H289" s="31">
        <f>IFERROR(Serie_Historica!K951/Serie_Historica!K948,"")</f>
        <v>0.63277718418673456</v>
      </c>
      <c r="I289" s="31">
        <f>IFERROR(Serie_Historica!L951/Serie_Historica!L948,"")</f>
        <v>0.64161257259993165</v>
      </c>
      <c r="J289" s="31">
        <f>IFERROR(Serie_Historica!M951/Serie_Historica!M948,"")</f>
        <v>0.61601286969434477</v>
      </c>
      <c r="K289" s="31">
        <f>IFERROR(Serie_Historica!N951/Serie_Historica!N948,"")</f>
        <v>0.62168117219345598</v>
      </c>
      <c r="L289" s="31">
        <f>IFERROR(Serie_Historica!O951/Serie_Historica!O948,"")</f>
        <v>0.61452009432542276</v>
      </c>
      <c r="M289" s="31">
        <f>IFERROR(Serie_Historica!P951/Serie_Historica!P948,"")</f>
        <v>0.64305562096736213</v>
      </c>
      <c r="N289" s="31">
        <f>IFERROR(Serie_Historica!Q951/Serie_Historica!Q948,"")</f>
        <v>0.62763740557436831</v>
      </c>
      <c r="O289" s="31">
        <f>IFERROR(Serie_Historica!R951/Serie_Historica!R948,"")</f>
        <v>0.54603237660144999</v>
      </c>
      <c r="P289" s="31">
        <f>IFERROR(Serie_Historica!S951/Serie_Historica!S948,"")</f>
        <v>0.57756764032844254</v>
      </c>
      <c r="Q289" s="31">
        <f>IFERROR(Serie_Historica!T951/Serie_Historica!T948,"")</f>
        <v>0.6108245718442108</v>
      </c>
      <c r="R289" s="31">
        <f>IFERROR(Serie_Historica!U951/Serie_Historica!U948,"")</f>
        <v>0.61126726508900775</v>
      </c>
      <c r="S289" s="31">
        <f>IFERROR(Serie_Historica!V951/Serie_Historica!V948,"")</f>
        <v>0.57805715439765726</v>
      </c>
      <c r="T289" s="31">
        <f>IFERROR(Serie_Historica!W951/Serie_Historica!W948,"")</f>
        <v>0.56660293180369659</v>
      </c>
      <c r="U289" s="31">
        <f>IFERROR(Serie_Historica!X951/Serie_Historica!X948,"")</f>
        <v>0.55205491704306608</v>
      </c>
      <c r="V289" s="31">
        <f>IFERROR(Serie_Historica!Y951/Serie_Historica!Y948,"")</f>
        <v>0.52715489574921837</v>
      </c>
      <c r="W289" s="31">
        <f>IFERROR(Serie_Historica!Z951/Serie_Historica!Z948,"")</f>
        <v>0.51980946186367727</v>
      </c>
      <c r="X289" s="19">
        <f>IFERROR((W289-D289)*100,"")</f>
        <v>12.389935275174723</v>
      </c>
    </row>
    <row r="290" spans="1:24">
      <c r="A290" s="28" t="s">
        <v>145</v>
      </c>
      <c r="B290" s="28" t="s">
        <v>146</v>
      </c>
      <c r="C290" s="28" t="s">
        <v>504</v>
      </c>
      <c r="D290" s="31">
        <f>IFERROR(Serie_Historica!G959/Serie_Historica!G958,"")</f>
        <v>5.3719453116589516E-2</v>
      </c>
      <c r="E290" s="31">
        <f>IFERROR(Serie_Historica!H959/Serie_Historica!H958,"")</f>
        <v>3.3631625528567216E-2</v>
      </c>
      <c r="F290" s="31">
        <f>IFERROR(Serie_Historica!I959/Serie_Historica!I958,"")</f>
        <v>3.9759351294794666E-2</v>
      </c>
      <c r="G290" s="31">
        <f>IFERROR(Serie_Historica!J959/Serie_Historica!J958,"")</f>
        <v>4.7924654109018167E-2</v>
      </c>
      <c r="H290" s="31">
        <f>IFERROR(Serie_Historica!K959/Serie_Historica!K958,"")</f>
        <v>4.6538373073679369E-2</v>
      </c>
      <c r="I290" s="31">
        <f>IFERROR(Serie_Historica!L959/Serie_Historica!L958,"")</f>
        <v>4.0271155282357675E-2</v>
      </c>
      <c r="J290" s="31">
        <f>IFERROR(Serie_Historica!M959/Serie_Historica!M958,"")</f>
        <v>3.351185921958684E-2</v>
      </c>
      <c r="K290" s="31">
        <f>IFERROR(Serie_Historica!N959/Serie_Historica!N958,"")</f>
        <v>3.3839520059992502E-2</v>
      </c>
      <c r="L290" s="31">
        <f>IFERROR(Serie_Historica!O959/Serie_Historica!O958,"")</f>
        <v>2.9710436356324151E-2</v>
      </c>
      <c r="M290" s="31">
        <f>IFERROR(Serie_Historica!P959/Serie_Historica!P958,"")</f>
        <v>0.58331521607845982</v>
      </c>
      <c r="N290" s="31">
        <f>IFERROR(Serie_Historica!Q959/Serie_Historica!Q958,"")</f>
        <v>0.89438221990626432</v>
      </c>
      <c r="O290" s="31">
        <f>IFERROR(Serie_Historica!R959/Serie_Historica!R958,"")</f>
        <v>0.7722430705008273</v>
      </c>
      <c r="P290" s="31">
        <f>IFERROR(Serie_Historica!S959/Serie_Historica!S958,"")</f>
        <v>0.80162207656405415</v>
      </c>
      <c r="Q290" s="31">
        <f>IFERROR(Serie_Historica!T959/Serie_Historica!T958,"")</f>
        <v>0.795683658184692</v>
      </c>
      <c r="R290" s="31">
        <f>IFERROR(Serie_Historica!U959/Serie_Historica!U958,"")</f>
        <v>0.84799666932569739</v>
      </c>
      <c r="S290" s="31">
        <f>IFERROR(Serie_Historica!V959/Serie_Historica!V958,"")</f>
        <v>0.85299799454575354</v>
      </c>
      <c r="T290" s="31">
        <f>IFERROR(Serie_Historica!W959/Serie_Historica!W958,"")</f>
        <v>0.86243839565166347</v>
      </c>
      <c r="U290" s="31">
        <f>IFERROR(Serie_Historica!X959/Serie_Historica!X958,"")</f>
        <v>0.82430201877646192</v>
      </c>
      <c r="V290" s="31">
        <f>IFERROR(Serie_Historica!Y959/Serie_Historica!Y958,"")</f>
        <v>0.84457023114370777</v>
      </c>
      <c r="W290" s="31">
        <f>IFERROR(Serie_Historica!Z959/Serie_Historica!Z958,"")</f>
        <v>0.88741672884694245</v>
      </c>
      <c r="X290" s="19">
        <f>IFERROR((W290-D290)*100,"")</f>
        <v>83.369727573035291</v>
      </c>
    </row>
    <row r="291" spans="1:24">
      <c r="A291" s="28" t="s">
        <v>145</v>
      </c>
      <c r="B291" s="28" t="s">
        <v>146</v>
      </c>
      <c r="C291" s="28" t="s">
        <v>505</v>
      </c>
      <c r="D291" s="31">
        <f>IFERROR(Serie_Historica!G960/Serie_Historica!G958,"")</f>
        <v>0.22790397244052105</v>
      </c>
      <c r="E291" s="31">
        <f>IFERROR(Serie_Historica!H960/Serie_Historica!H958,"")</f>
        <v>0.17297669387353723</v>
      </c>
      <c r="F291" s="31">
        <f>IFERROR(Serie_Historica!I960/Serie_Historica!I958,"")</f>
        <v>0.17281367163658559</v>
      </c>
      <c r="G291" s="31">
        <f>IFERROR(Serie_Historica!J960/Serie_Historica!J958,"")</f>
        <v>0.1855309218203034</v>
      </c>
      <c r="H291" s="31">
        <f>IFERROR(Serie_Historica!K960/Serie_Historica!K958,"")</f>
        <v>0.18745687341869202</v>
      </c>
      <c r="I291" s="31">
        <f>IFERROR(Serie_Historica!L960/Serie_Historica!L958,"")</f>
        <v>0.16878267363704258</v>
      </c>
      <c r="J291" s="31">
        <f>IFERROR(Serie_Historica!M960/Serie_Historica!M958,"")</f>
        <v>0.15786789084417241</v>
      </c>
      <c r="K291" s="31">
        <f>IFERROR(Serie_Historica!N960/Serie_Historica!N958,"")</f>
        <v>0.17102549681289839</v>
      </c>
      <c r="L291" s="31">
        <f>IFERROR(Serie_Historica!O960/Serie_Historica!O958,"")</f>
        <v>0.18454655137743817</v>
      </c>
      <c r="M291" s="31">
        <f>IFERROR(Serie_Historica!P960/Serie_Historica!P958,"")</f>
        <v>0.20005072831364593</v>
      </c>
      <c r="N291" s="31">
        <f>IFERROR(Serie_Historica!Q960/Serie_Historica!Q958,"")</f>
        <v>4.6686076279171221E-2</v>
      </c>
      <c r="O291" s="31">
        <f>IFERROR(Serie_Historica!R960/Serie_Historica!R958,"")</f>
        <v>7.6259638573761446E-2</v>
      </c>
      <c r="P291" s="31">
        <f>IFERROR(Serie_Historica!S960/Serie_Historica!S958,"")</f>
        <v>5.5048585783876149E-2</v>
      </c>
      <c r="Q291" s="31">
        <f>IFERROR(Serie_Historica!T960/Serie_Historica!T958,"")</f>
        <v>5.9190031152647975E-2</v>
      </c>
      <c r="R291" s="31">
        <f>IFERROR(Serie_Historica!U960/Serie_Historica!U958,"")</f>
        <v>4.5335943632786799E-2</v>
      </c>
      <c r="S291" s="31">
        <f>IFERROR(Serie_Historica!V960/Serie_Historica!V958,"")</f>
        <v>6.0880387050214903E-2</v>
      </c>
      <c r="T291" s="31">
        <f>IFERROR(Serie_Historica!W960/Serie_Historica!W958,"")</f>
        <v>4.4632397205354488E-2</v>
      </c>
      <c r="U291" s="31">
        <f>IFERROR(Serie_Historica!X960/Serie_Historica!X958,"")</f>
        <v>5.484138184942014E-2</v>
      </c>
      <c r="V291" s="31">
        <f>IFERROR(Serie_Historica!Y960/Serie_Historica!Y958,"")</f>
        <v>4.8855781148179858E-2</v>
      </c>
      <c r="W291" s="31">
        <f>IFERROR(Serie_Historica!Z960/Serie_Historica!Z958,"")</f>
        <v>3.4767176881037372E-2</v>
      </c>
      <c r="X291" s="19">
        <f>IFERROR((W291-D291)*100,"")</f>
        <v>-19.313679555948369</v>
      </c>
    </row>
    <row r="292" spans="1:24">
      <c r="A292" s="28" t="s">
        <v>145</v>
      </c>
      <c r="B292" s="28" t="s">
        <v>146</v>
      </c>
      <c r="C292" s="28" t="s">
        <v>506</v>
      </c>
      <c r="D292" s="31">
        <f>IFERROR(Serie_Historica!G961/Serie_Historica!G958,"")</f>
        <v>0.57519646894175902</v>
      </c>
      <c r="E292" s="31">
        <f>IFERROR(Serie_Historica!H961/Serie_Historica!H958,"")</f>
        <v>0.58776674205919954</v>
      </c>
      <c r="F292" s="31">
        <f>IFERROR(Serie_Historica!I961/Serie_Historica!I958,"")</f>
        <v>0.55881070712355041</v>
      </c>
      <c r="G292" s="31">
        <f>IFERROR(Serie_Historica!J961/Serie_Historica!J958,"")</f>
        <v>0.68519753292215368</v>
      </c>
      <c r="H292" s="31">
        <f>IFERROR(Serie_Historica!K961/Serie_Historica!K958,"")</f>
        <v>0.70121904469830565</v>
      </c>
      <c r="I292" s="31">
        <f>IFERROR(Serie_Historica!L961/Serie_Historica!L958,"")</f>
        <v>0.64910668122019877</v>
      </c>
      <c r="J292" s="31">
        <f>IFERROR(Serie_Historica!M961/Serie_Historica!M958,"")</f>
        <v>0.6280030604437643</v>
      </c>
      <c r="K292" s="31">
        <f>IFERROR(Serie_Historica!N961/Serie_Historica!N958,"")</f>
        <v>0.64904386951631043</v>
      </c>
      <c r="L292" s="31">
        <f>IFERROR(Serie_Historica!O961/Serie_Historica!O958,"")</f>
        <v>0.74824049869294185</v>
      </c>
      <c r="M292" s="31">
        <f>IFERROR(Serie_Historica!P961/Serie_Historica!P958,"")</f>
        <v>0.20171751576201175</v>
      </c>
      <c r="N292" s="31">
        <f>IFERROR(Serie_Historica!Q961/Serie_Historica!Q958,"")</f>
        <v>5.6338369531957692E-2</v>
      </c>
      <c r="O292" s="31">
        <f>IFERROR(Serie_Historica!R961/Serie_Historica!R958,"")</f>
        <v>0.14087187861615497</v>
      </c>
      <c r="P292" s="31">
        <f>IFERROR(Serie_Historica!S961/Serie_Historica!S958,"")</f>
        <v>0.13080670254278354</v>
      </c>
      <c r="Q292" s="31">
        <f>IFERROR(Serie_Historica!T961/Serie_Historica!T958,"")</f>
        <v>0.12756044440768616</v>
      </c>
      <c r="R292" s="31">
        <f>IFERROR(Serie_Historica!U961/Serie_Historica!U958,"")</f>
        <v>9.3287483592933124E-2</v>
      </c>
      <c r="S292" s="31">
        <f>IFERROR(Serie_Historica!V961/Serie_Historica!V958,"")</f>
        <v>7.9535775389124402E-2</v>
      </c>
      <c r="T292" s="31">
        <f>IFERROR(Serie_Historica!W961/Serie_Historica!W958,"")</f>
        <v>8.4923451991696999E-2</v>
      </c>
      <c r="U292" s="31">
        <f>IFERROR(Serie_Historica!X961/Serie_Historica!X958,"")</f>
        <v>0.11032091796036081</v>
      </c>
      <c r="V292" s="31">
        <f>IFERROR(Serie_Historica!Y961/Serie_Historica!Y958,"")</f>
        <v>9.2999246131633087E-2</v>
      </c>
      <c r="W292" s="31">
        <f>IFERROR(Serie_Historica!Z961/Serie_Historica!Z958,"")</f>
        <v>6.8552913734110418E-2</v>
      </c>
      <c r="X292" s="19">
        <f>IFERROR((W292-D292)*100,"")</f>
        <v>-50.664355520764857</v>
      </c>
    </row>
    <row r="293" spans="1:24">
      <c r="A293" s="28" t="s">
        <v>169</v>
      </c>
      <c r="B293" s="28" t="s">
        <v>170</v>
      </c>
      <c r="C293" s="28" t="s">
        <v>504</v>
      </c>
      <c r="D293" s="31">
        <f>IFERROR(Serie_Historica!G969/Serie_Historica!G968,"")</f>
        <v>0.15593032900193529</v>
      </c>
      <c r="E293" s="31">
        <f>IFERROR(Serie_Historica!H969/Serie_Historica!H968,"")</f>
        <v>0.15020505072307361</v>
      </c>
      <c r="F293" s="31">
        <f>IFERROR(Serie_Historica!I969/Serie_Historica!I968,"")</f>
        <v>0.16274196958920437</v>
      </c>
      <c r="G293" s="31">
        <f>IFERROR(Serie_Historica!J969/Serie_Historica!J968,"")</f>
        <v>0.18508754800494695</v>
      </c>
      <c r="H293" s="31">
        <f>IFERROR(Serie_Historica!K969/Serie_Historica!K968,"")</f>
        <v>0.18686781609195402</v>
      </c>
      <c r="I293" s="31">
        <f>IFERROR(Serie_Historica!L969/Serie_Historica!L968,"")</f>
        <v>0.24644033181500052</v>
      </c>
      <c r="J293" s="31">
        <f>IFERROR(Serie_Historica!M969/Serie_Historica!M968,"")</f>
        <v>0.20710122339176293</v>
      </c>
      <c r="K293" s="31">
        <f>IFERROR(Serie_Historica!N969/Serie_Historica!N968,"")</f>
        <v>0.15260558113905617</v>
      </c>
      <c r="L293" s="31">
        <f>IFERROR(Serie_Historica!O969/Serie_Historica!O968,"")</f>
        <v>0.21219700834306965</v>
      </c>
      <c r="M293" s="31">
        <f>IFERROR(Serie_Historica!P969/Serie_Historica!P968,"")</f>
        <v>0.25690821482584381</v>
      </c>
      <c r="N293" s="31">
        <f>IFERROR(Serie_Historica!Q969/Serie_Historica!Q968,"")</f>
        <v>0.2215378297916025</v>
      </c>
      <c r="O293" s="31">
        <f>IFERROR(Serie_Historica!R969/Serie_Historica!R968,"")</f>
        <v>0.23282464428056157</v>
      </c>
      <c r="P293" s="31">
        <f>IFERROR(Serie_Historica!S969/Serie_Historica!S968,"")</f>
        <v>0.19455597900004179</v>
      </c>
      <c r="Q293" s="31">
        <f>IFERROR(Serie_Historica!T969/Serie_Historica!T968,"")</f>
        <v>0.31099580328684917</v>
      </c>
      <c r="R293" s="31">
        <f>IFERROR(Serie_Historica!U969/Serie_Historica!U968,"")</f>
        <v>0.25587054736576847</v>
      </c>
      <c r="S293" s="31">
        <f>IFERROR(Serie_Historica!V969/Serie_Historica!V968,"")</f>
        <v>0.22627626616379309</v>
      </c>
      <c r="T293" s="31">
        <f>IFERROR(Serie_Historica!W969/Serie_Historica!W968,"")</f>
        <v>0.20954752816311331</v>
      </c>
      <c r="U293" s="31">
        <f>IFERROR(Serie_Historica!X969/Serie_Historica!X968,"")</f>
        <v>0.19899760792801002</v>
      </c>
      <c r="V293" s="31">
        <f>IFERROR(Serie_Historica!Y969/Serie_Historica!Y968,"")</f>
        <v>0.1950748643260953</v>
      </c>
      <c r="W293" s="31">
        <f>IFERROR(Serie_Historica!Z969/Serie_Historica!Z968,"")</f>
        <v>0.18731700687507571</v>
      </c>
      <c r="X293" s="19">
        <f>IFERROR((W293-D293)*100,"")</f>
        <v>3.1386677873140423</v>
      </c>
    </row>
    <row r="294" spans="1:24">
      <c r="A294" s="28" t="s">
        <v>169</v>
      </c>
      <c r="B294" s="28" t="s">
        <v>170</v>
      </c>
      <c r="C294" s="28" t="s">
        <v>505</v>
      </c>
      <c r="D294" s="31">
        <f>IFERROR(Serie_Historica!G970/Serie_Historica!G968,"")</f>
        <v>0.27580407335729423</v>
      </c>
      <c r="E294" s="31">
        <f>IFERROR(Serie_Historica!H970/Serie_Historica!H968,"")</f>
        <v>0.27338657457371035</v>
      </c>
      <c r="F294" s="31">
        <f>IFERROR(Serie_Historica!I970/Serie_Historica!I968,"")</f>
        <v>0.27490821014590261</v>
      </c>
      <c r="G294" s="31">
        <f>IFERROR(Serie_Historica!J970/Serie_Historica!J968,"")</f>
        <v>0.26191173598906464</v>
      </c>
      <c r="H294" s="31">
        <f>IFERROR(Serie_Historica!K970/Serie_Historica!K968,"")</f>
        <v>0.25852011494252874</v>
      </c>
      <c r="I294" s="31">
        <f>IFERROR(Serie_Historica!L970/Serie_Historica!L968,"")</f>
        <v>0.25084617414550753</v>
      </c>
      <c r="J294" s="31">
        <f>IFERROR(Serie_Historica!M970/Serie_Historica!M968,"")</f>
        <v>0.23384290197920449</v>
      </c>
      <c r="K294" s="31">
        <f>IFERROR(Serie_Historica!N970/Serie_Historica!N968,"")</f>
        <v>0.25827527846656434</v>
      </c>
      <c r="L294" s="31">
        <f>IFERROR(Serie_Historica!O970/Serie_Historica!O968,"")</f>
        <v>0.25888199575441428</v>
      </c>
      <c r="M294" s="31">
        <f>IFERROR(Serie_Historica!P970/Serie_Historica!P968,"")</f>
        <v>0.3230711513886772</v>
      </c>
      <c r="N294" s="31">
        <f>IFERROR(Serie_Historica!Q970/Serie_Historica!Q968,"")</f>
        <v>0.36487662025405365</v>
      </c>
      <c r="O294" s="31">
        <f>IFERROR(Serie_Historica!R970/Serie_Historica!R968,"")</f>
        <v>0.35132205507852809</v>
      </c>
      <c r="P294" s="31">
        <f>IFERROR(Serie_Historica!S970/Serie_Historica!S968,"")</f>
        <v>0.36185471779565426</v>
      </c>
      <c r="Q294" s="31">
        <f>IFERROR(Serie_Historica!T970/Serie_Historica!T968,"")</f>
        <v>0.33636967027800629</v>
      </c>
      <c r="R294" s="31">
        <f>IFERROR(Serie_Historica!U970/Serie_Historica!U968,"")</f>
        <v>0.35423438990586242</v>
      </c>
      <c r="S294" s="31">
        <f>IFERROR(Serie_Historica!V970/Serie_Historica!V968,"")</f>
        <v>0.38257004310344828</v>
      </c>
      <c r="T294" s="31">
        <f>IFERROR(Serie_Historica!W970/Serie_Historica!W968,"")</f>
        <v>0.40150890446486759</v>
      </c>
      <c r="U294" s="31">
        <f>IFERROR(Serie_Historica!X970/Serie_Historica!X968,"")</f>
        <v>0.40919302375618583</v>
      </c>
      <c r="V294" s="31">
        <f>IFERROR(Serie_Historica!Y970/Serie_Historica!Y968,"")</f>
        <v>0.40183372007470713</v>
      </c>
      <c r="W294" s="31">
        <f>IFERROR(Serie_Historica!Z970/Serie_Historica!Z968,"")</f>
        <v>0.40632967864117542</v>
      </c>
      <c r="X294" s="19">
        <f>IFERROR((W294-D294)*100,"")</f>
        <v>13.052560528388119</v>
      </c>
    </row>
    <row r="295" spans="1:24">
      <c r="A295" s="28" t="s">
        <v>169</v>
      </c>
      <c r="B295" s="28" t="s">
        <v>170</v>
      </c>
      <c r="C295" s="28" t="s">
        <v>506</v>
      </c>
      <c r="D295" s="31">
        <f>IFERROR(Serie_Historica!G971/Serie_Historica!G968,"")</f>
        <v>0.52043590452492861</v>
      </c>
      <c r="E295" s="31">
        <f>IFERROR(Serie_Historica!H971/Serie_Historica!H968,"")</f>
        <v>0.52147636520612994</v>
      </c>
      <c r="F295" s="31">
        <f>IFERROR(Serie_Historica!I971/Serie_Historica!I968,"")</f>
        <v>0.5094481074950501</v>
      </c>
      <c r="G295" s="31">
        <f>IFERROR(Serie_Historica!J971/Serie_Historica!J968,"")</f>
        <v>0.49864935234003777</v>
      </c>
      <c r="H295" s="31">
        <f>IFERROR(Serie_Historica!K971/Serie_Historica!K968,"")</f>
        <v>0.49841954022988505</v>
      </c>
      <c r="I295" s="31">
        <f>IFERROR(Serie_Historica!L971/Serie_Historica!L968,"")</f>
        <v>0.46481636586849018</v>
      </c>
      <c r="J295" s="31">
        <f>IFERROR(Serie_Historica!M971/Serie_Historica!M968,"")</f>
        <v>0.49131028887418066</v>
      </c>
      <c r="K295" s="31">
        <f>IFERROR(Serie_Historica!N971/Serie_Historica!N968,"")</f>
        <v>0.51264415318612977</v>
      </c>
      <c r="L295" s="31">
        <f>IFERROR(Serie_Historica!O971/Serie_Historica!O968,"")</f>
        <v>0.46213529924797181</v>
      </c>
      <c r="M295" s="31">
        <f>IFERROR(Serie_Historica!P971/Serie_Historica!P968,"")</f>
        <v>0.36939165504062277</v>
      </c>
      <c r="N295" s="31">
        <f>IFERROR(Serie_Historica!Q971/Serie_Historica!Q968,"")</f>
        <v>0.3728029652202573</v>
      </c>
      <c r="O295" s="31">
        <f>IFERROR(Serie_Historica!R971/Serie_Historica!R968,"")</f>
        <v>0.37681646486353437</v>
      </c>
      <c r="P295" s="31">
        <f>IFERROR(Serie_Historica!S971/Serie_Historica!S968,"")</f>
        <v>0.40149654874691892</v>
      </c>
      <c r="Q295" s="31">
        <f>IFERROR(Serie_Historica!T971/Serie_Historica!T968,"")</f>
        <v>0.31779558480886633</v>
      </c>
      <c r="R295" s="31">
        <f>IFERROR(Serie_Historica!U971/Serie_Historica!U968,"")</f>
        <v>0.35417319149702109</v>
      </c>
      <c r="S295" s="31">
        <f>IFERROR(Serie_Historica!V971/Serie_Historica!V968,"")</f>
        <v>0.35430697737068967</v>
      </c>
      <c r="T295" s="31">
        <f>IFERROR(Serie_Historica!W971/Serie_Historica!W968,"")</f>
        <v>0.35346203466024712</v>
      </c>
      <c r="U295" s="31">
        <f>IFERROR(Serie_Historica!X971/Serie_Historica!X968,"")</f>
        <v>0.36347470605358745</v>
      </c>
      <c r="V295" s="31">
        <f>IFERROR(Serie_Historica!Y971/Serie_Historica!Y968,"")</f>
        <v>0.37292873268310472</v>
      </c>
      <c r="W295" s="31">
        <f>IFERROR(Serie_Historica!Z971/Serie_Historica!Z968,"")</f>
        <v>0.3691829975566448</v>
      </c>
      <c r="X295" s="19">
        <f>IFERROR((W295-D295)*100,"")</f>
        <v>-15.125290696828381</v>
      </c>
    </row>
    <row r="296" spans="1:24">
      <c r="A296" s="28" t="s">
        <v>203</v>
      </c>
      <c r="B296" s="28" t="s">
        <v>204</v>
      </c>
      <c r="C296" s="28" t="s">
        <v>504</v>
      </c>
      <c r="D296" s="31">
        <f>IFERROR(Serie_Historica!G979/Serie_Historica!G978,"")</f>
        <v>9.718670076726342E-2</v>
      </c>
      <c r="E296" s="31">
        <f>IFERROR(Serie_Historica!H979/Serie_Historica!H978,"")</f>
        <v>4.1271837247945392E-2</v>
      </c>
      <c r="F296" s="31">
        <f>IFERROR(Serie_Historica!I979/Serie_Historica!I978,"")</f>
        <v>4.0068450269209903E-2</v>
      </c>
      <c r="G296" s="31">
        <f>IFERROR(Serie_Historica!J979/Serie_Historica!J978,"")</f>
        <v>4.1596528635020384E-2</v>
      </c>
      <c r="H296" s="31">
        <f>IFERROR(Serie_Historica!K979/Serie_Historica!K978,"")</f>
        <v>3.3727252010287465E-2</v>
      </c>
      <c r="I296" s="31">
        <f>IFERROR(Serie_Historica!L979/Serie_Historica!L978,"")</f>
        <v>3.3854092016626057E-2</v>
      </c>
      <c r="J296" s="31">
        <f>IFERROR(Serie_Historica!M979/Serie_Historica!M978,"")</f>
        <v>4.3833207736749563E-2</v>
      </c>
      <c r="K296" s="31">
        <f>IFERROR(Serie_Historica!N979/Serie_Historica!N978,"")</f>
        <v>4.2708059282644921E-2</v>
      </c>
      <c r="L296" s="31">
        <f>IFERROR(Serie_Historica!O979/Serie_Historica!O978,"")</f>
        <v>4.0295220522587938E-2</v>
      </c>
      <c r="M296" s="31">
        <f>IFERROR(Serie_Historica!P979/Serie_Historica!P978,"")</f>
        <v>8.9711634991518671E-2</v>
      </c>
      <c r="N296" s="31">
        <f>IFERROR(Serie_Historica!Q979/Serie_Historica!Q978,"")</f>
        <v>9.9678081892470613E-2</v>
      </c>
      <c r="O296" s="31">
        <f>IFERROR(Serie_Historica!R979/Serie_Historica!R978,"")</f>
        <v>5.9724756690997569E-2</v>
      </c>
      <c r="P296" s="31">
        <f>IFERROR(Serie_Historica!S979/Serie_Historica!S978,"")</f>
        <v>0.12261719708745807</v>
      </c>
      <c r="Q296" s="31">
        <f>IFERROR(Serie_Historica!T979/Serie_Historica!T978,"")</f>
        <v>4.4847609652914081E-2</v>
      </c>
      <c r="R296" s="31">
        <f>IFERROR(Serie_Historica!U979/Serie_Historica!U978,"")</f>
        <v>4.9710563017022334E-2</v>
      </c>
      <c r="S296" s="31">
        <f>IFERROR(Serie_Historica!V979/Serie_Historica!V978,"")</f>
        <v>0.18137735079916525</v>
      </c>
      <c r="T296" s="31">
        <f>IFERROR(Serie_Historica!W979/Serie_Historica!W978,"")</f>
        <v>0.18224023218919483</v>
      </c>
      <c r="U296" s="31">
        <f>IFERROR(Serie_Historica!X979/Serie_Historica!X978,"")</f>
        <v>0.12308450294983388</v>
      </c>
      <c r="V296" s="31">
        <f>IFERROR(Serie_Historica!Y979/Serie_Historica!Y978,"")</f>
        <v>0.1923937093340172</v>
      </c>
      <c r="W296" s="31">
        <f>IFERROR(Serie_Historica!Z979/Serie_Historica!Z978,"")</f>
        <v>0.17702371218315618</v>
      </c>
      <c r="X296" s="19">
        <f>IFERROR((W296-D296)*100,"")</f>
        <v>7.9837011415892762</v>
      </c>
    </row>
    <row r="297" spans="1:24">
      <c r="A297" s="28" t="s">
        <v>203</v>
      </c>
      <c r="B297" s="28" t="s">
        <v>204</v>
      </c>
      <c r="C297" s="28" t="s">
        <v>505</v>
      </c>
      <c r="D297" s="31">
        <f>IFERROR(Serie_Historica!G980/Serie_Historica!G978,"")</f>
        <v>0.18993684430293856</v>
      </c>
      <c r="E297" s="31">
        <f>IFERROR(Serie_Historica!H980/Serie_Historica!H978,"")</f>
        <v>0.19185341536803341</v>
      </c>
      <c r="F297" s="31">
        <f>IFERROR(Serie_Historica!I980/Serie_Historica!I978,"")</f>
        <v>0.19717016569973705</v>
      </c>
      <c r="G297" s="31">
        <f>IFERROR(Serie_Historica!J980/Serie_Historica!J978,"")</f>
        <v>0.19159839898253095</v>
      </c>
      <c r="H297" s="31">
        <f>IFERROR(Serie_Historica!K980/Serie_Historica!K978,"")</f>
        <v>0.19809877266660156</v>
      </c>
      <c r="I297" s="31">
        <f>IFERROR(Serie_Historica!L980/Serie_Historica!L978,"")</f>
        <v>0.20051598108069371</v>
      </c>
      <c r="J297" s="31">
        <f>IFERROR(Serie_Historica!M980/Serie_Historica!M978,"")</f>
        <v>0.18769153479025372</v>
      </c>
      <c r="K297" s="31">
        <f>IFERROR(Serie_Historica!N980/Serie_Historica!N978,"")</f>
        <v>0.18777953170218364</v>
      </c>
      <c r="L297" s="31">
        <f>IFERROR(Serie_Historica!O980/Serie_Historica!O978,"")</f>
        <v>0.20070233914647936</v>
      </c>
      <c r="M297" s="31">
        <f>IFERROR(Serie_Historica!P980/Serie_Historica!P978,"")</f>
        <v>0.19640322636480079</v>
      </c>
      <c r="N297" s="31">
        <f>IFERROR(Serie_Historica!Q980/Serie_Historica!Q978,"")</f>
        <v>0.20800862332668132</v>
      </c>
      <c r="O297" s="31">
        <f>IFERROR(Serie_Historica!R980/Serie_Historica!R978,"")</f>
        <v>0.2202580089213301</v>
      </c>
      <c r="P297" s="31">
        <f>IFERROR(Serie_Historica!S980/Serie_Historica!S978,"")</f>
        <v>0.22915814448171479</v>
      </c>
      <c r="Q297" s="31">
        <f>IFERROR(Serie_Historica!T980/Serie_Historica!T978,"")</f>
        <v>0.23097027447550669</v>
      </c>
      <c r="R297" s="31">
        <f>IFERROR(Serie_Historica!U980/Serie_Historica!U978,"")</f>
        <v>0.24220048526068433</v>
      </c>
      <c r="S297" s="31">
        <f>IFERROR(Serie_Historica!V980/Serie_Historica!V978,"")</f>
        <v>0.17282290595586491</v>
      </c>
      <c r="T297" s="31">
        <f>IFERROR(Serie_Historica!W980/Serie_Historica!W978,"")</f>
        <v>0.18915794522401091</v>
      </c>
      <c r="U297" s="31">
        <f>IFERROR(Serie_Historica!X980/Serie_Historica!X978,"")</f>
        <v>0.20782116553179125</v>
      </c>
      <c r="V297" s="31">
        <f>IFERROR(Serie_Historica!Y980/Serie_Historica!Y978,"")</f>
        <v>0.19730791939264181</v>
      </c>
      <c r="W297" s="31">
        <f>IFERROR(Serie_Historica!Z980/Serie_Historica!Z978,"")</f>
        <v>0.20209866448623603</v>
      </c>
      <c r="X297" s="19">
        <f>IFERROR((W297-D297)*100,"")</f>
        <v>1.2161820183297478</v>
      </c>
    </row>
    <row r="298" spans="1:24">
      <c r="A298" s="28" t="s">
        <v>203</v>
      </c>
      <c r="B298" s="28" t="s">
        <v>204</v>
      </c>
      <c r="C298" s="28" t="s">
        <v>506</v>
      </c>
      <c r="D298" s="31">
        <f>IFERROR(Serie_Historica!G981/Serie_Historica!G978,"")</f>
        <v>0.54992431755310822</v>
      </c>
      <c r="E298" s="31">
        <f>IFERROR(Serie_Historica!H981/Serie_Historica!H978,"")</f>
        <v>0.52413886019670364</v>
      </c>
      <c r="F298" s="31">
        <f>IFERROR(Serie_Historica!I981/Serie_Historica!I978,"")</f>
        <v>0.5428022872407029</v>
      </c>
      <c r="G298" s="31">
        <f>IFERROR(Serie_Historica!J981/Serie_Historica!J978,"")</f>
        <v>0.57236374518385513</v>
      </c>
      <c r="H298" s="31">
        <f>IFERROR(Serie_Historica!K981/Serie_Historica!K978,"")</f>
        <v>0.57674903148093892</v>
      </c>
      <c r="I298" s="31">
        <f>IFERROR(Serie_Historica!L981/Serie_Historica!L978,"")</f>
        <v>0.5808800343987387</v>
      </c>
      <c r="J298" s="31">
        <f>IFERROR(Serie_Historica!M981/Serie_Historica!M978,"")</f>
        <v>0.57018337101230843</v>
      </c>
      <c r="K298" s="31">
        <f>IFERROR(Serie_Historica!N981/Serie_Historica!N978,"")</f>
        <v>0.5570463913005349</v>
      </c>
      <c r="L298" s="31">
        <f>IFERROR(Serie_Historica!O981/Serie_Historica!O978,"")</f>
        <v>0.57155328055869692</v>
      </c>
      <c r="M298" s="31">
        <f>IFERROR(Serie_Historica!P981/Serie_Historica!P978,"")</f>
        <v>0.55762107522414928</v>
      </c>
      <c r="N298" s="31">
        <f>IFERROR(Serie_Historica!Q981/Serie_Historica!Q978,"")</f>
        <v>0.52641622117667619</v>
      </c>
      <c r="O298" s="31">
        <f>IFERROR(Serie_Historica!R981/Serie_Historica!R978,"")</f>
        <v>0.53692721005677213</v>
      </c>
      <c r="P298" s="31">
        <f>IFERROR(Serie_Historica!S981/Serie_Historica!S978,"")</f>
        <v>0.49679906733207885</v>
      </c>
      <c r="Q298" s="31">
        <f>IFERROR(Serie_Historica!T981/Serie_Historica!T978,"")</f>
        <v>0.55227644839474033</v>
      </c>
      <c r="R298" s="31">
        <f>IFERROR(Serie_Historica!U981/Serie_Historica!U978,"")</f>
        <v>0.53318495309783542</v>
      </c>
      <c r="S298" s="31">
        <f>IFERROR(Serie_Historica!V981/Serie_Historica!V978,"")</f>
        <v>0.38139682037491102</v>
      </c>
      <c r="T298" s="31">
        <f>IFERROR(Serie_Historica!W981/Serie_Historica!W978,"")</f>
        <v>0.38019750839349181</v>
      </c>
      <c r="U298" s="31">
        <f>IFERROR(Serie_Historica!X981/Serie_Historica!X978,"")</f>
        <v>0.43085892593200853</v>
      </c>
      <c r="V298" s="31">
        <f>IFERROR(Serie_Historica!Y981/Serie_Historica!Y978,"")</f>
        <v>0.4147796060282567</v>
      </c>
      <c r="W298" s="31">
        <f>IFERROR(Serie_Historica!Z981/Serie_Historica!Z978,"")</f>
        <v>0.43453597710547831</v>
      </c>
      <c r="X298" s="19">
        <f>IFERROR((W298-D298)*100,"")</f>
        <v>-11.538834044762991</v>
      </c>
    </row>
    <row r="299" spans="1:24">
      <c r="A299" s="28" t="s">
        <v>223</v>
      </c>
      <c r="B299" s="28" t="s">
        <v>224</v>
      </c>
      <c r="C299" s="28" t="s">
        <v>504</v>
      </c>
      <c r="D299" s="31">
        <f>IFERROR(Serie_Historica!G989/Serie_Historica!G988,"")</f>
        <v>0.19994279176201374</v>
      </c>
      <c r="E299" s="31">
        <f>IFERROR(Serie_Historica!H989/Serie_Historica!H988,"")</f>
        <v>0.18699501669166385</v>
      </c>
      <c r="F299" s="31">
        <f>IFERROR(Serie_Historica!I989/Serie_Historica!I988,"")</f>
        <v>0.2241640127388535</v>
      </c>
      <c r="G299" s="31">
        <f>IFERROR(Serie_Historica!J989/Serie_Historica!J988,"")</f>
        <v>0.18535617673579802</v>
      </c>
      <c r="H299" s="31">
        <f>IFERROR(Serie_Historica!K989/Serie_Historica!K988,"")</f>
        <v>0.26340155945419103</v>
      </c>
      <c r="I299" s="31">
        <f>IFERROR(Serie_Historica!L989/Serie_Historica!L988,"")</f>
        <v>0.35351921871524761</v>
      </c>
      <c r="J299" s="31">
        <f>IFERROR(Serie_Historica!M989/Serie_Historica!M988,"")</f>
        <v>0.16268393456882596</v>
      </c>
      <c r="K299" s="31">
        <f>IFERROR(Serie_Historica!N989/Serie_Historica!N988,"")</f>
        <v>0.12940157332833865</v>
      </c>
      <c r="L299" s="31">
        <f>IFERROR(Serie_Historica!O989/Serie_Historica!O988,"")</f>
        <v>0.15059300215253452</v>
      </c>
      <c r="M299" s="31">
        <f>IFERROR(Serie_Historica!P989/Serie_Historica!P988,"")</f>
        <v>0.1727398559853186</v>
      </c>
      <c r="N299" s="31">
        <f>IFERROR(Serie_Historica!Q989/Serie_Historica!Q988,"")</f>
        <v>0.16754066555132224</v>
      </c>
      <c r="O299" s="31">
        <f>IFERROR(Serie_Historica!R989/Serie_Historica!R988,"")</f>
        <v>0.14103842923141538</v>
      </c>
      <c r="P299" s="31">
        <f>IFERROR(Serie_Historica!S989/Serie_Historica!S988,"")</f>
        <v>0.1102363168850251</v>
      </c>
      <c r="Q299" s="31">
        <f>IFERROR(Serie_Historica!T989/Serie_Historica!T988,"")</f>
        <v>0.14061670453821487</v>
      </c>
      <c r="R299" s="31">
        <f>IFERROR(Serie_Historica!U989/Serie_Historica!U988,"")</f>
        <v>6.537573281222242E-2</v>
      </c>
      <c r="S299" s="31">
        <f>IFERROR(Serie_Historica!V989/Serie_Historica!V988,"")</f>
        <v>7.493436655182846E-2</v>
      </c>
      <c r="T299" s="31">
        <f>IFERROR(Serie_Historica!W989/Serie_Historica!W988,"")</f>
        <v>5.1687854116078652E-2</v>
      </c>
      <c r="U299" s="31">
        <f>IFERROR(Serie_Historica!X989/Serie_Historica!X988,"")</f>
        <v>4.8507214575437198E-2</v>
      </c>
      <c r="V299" s="31">
        <f>IFERROR(Serie_Historica!Y989/Serie_Historica!Y988,"")</f>
        <v>4.8407201123400495E-2</v>
      </c>
      <c r="W299" s="31">
        <f>IFERROR(Serie_Historica!Z989/Serie_Historica!Z988,"")</f>
        <v>4.9647398680223172E-2</v>
      </c>
      <c r="X299" s="19">
        <f>IFERROR((W299-D299)*100,"")</f>
        <v>-15.029539308179057</v>
      </c>
    </row>
    <row r="300" spans="1:24">
      <c r="A300" s="28" t="s">
        <v>223</v>
      </c>
      <c r="B300" s="28" t="s">
        <v>224</v>
      </c>
      <c r="C300" s="28" t="s">
        <v>505</v>
      </c>
      <c r="D300" s="31">
        <f>IFERROR(Serie_Historica!G990/Serie_Historica!G988,"")</f>
        <v>0.16001144164759726</v>
      </c>
      <c r="E300" s="31">
        <f>IFERROR(Serie_Historica!H990/Serie_Historica!H988,"")</f>
        <v>0.16173980357056461</v>
      </c>
      <c r="F300" s="31">
        <f>IFERROR(Serie_Historica!I990/Serie_Historica!I988,"")</f>
        <v>0.16751592356687897</v>
      </c>
      <c r="G300" s="31">
        <f>IFERROR(Serie_Historica!J990/Serie_Historica!J988,"")</f>
        <v>0.16901713255184853</v>
      </c>
      <c r="H300" s="31">
        <f>IFERROR(Serie_Historica!K990/Serie_Historica!K988,"")</f>
        <v>0.17059576023391812</v>
      </c>
      <c r="I300" s="31">
        <f>IFERROR(Serie_Historica!L990/Serie_Historica!L988,"")</f>
        <v>0.15199061811270395</v>
      </c>
      <c r="J300" s="31">
        <f>IFERROR(Serie_Historica!M990/Serie_Historica!M988,"")</f>
        <v>0.16410950298402879</v>
      </c>
      <c r="K300" s="31">
        <f>IFERROR(Serie_Historica!N990/Serie_Historica!N988,"")</f>
        <v>0.1840232253230942</v>
      </c>
      <c r="L300" s="31">
        <f>IFERROR(Serie_Historica!O990/Serie_Historica!O988,"")</f>
        <v>0.17965221795467015</v>
      </c>
      <c r="M300" s="31">
        <f>IFERROR(Serie_Historica!P990/Serie_Historica!P988,"")</f>
        <v>0.2177949890355993</v>
      </c>
      <c r="N300" s="31">
        <f>IFERROR(Serie_Historica!Q990/Serie_Historica!Q988,"")</f>
        <v>0.24080192326617836</v>
      </c>
      <c r="O300" s="31">
        <f>IFERROR(Serie_Historica!R990/Serie_Historica!R988,"")</f>
        <v>0.24136392272154558</v>
      </c>
      <c r="P300" s="31">
        <f>IFERROR(Serie_Historica!S990/Serie_Historica!S988,"")</f>
        <v>0.26060977102975391</v>
      </c>
      <c r="Q300" s="31">
        <f>IFERROR(Serie_Historica!T990/Serie_Historica!T988,"")</f>
        <v>0.26595383210516255</v>
      </c>
      <c r="R300" s="31">
        <f>IFERROR(Serie_Historica!U990/Serie_Historica!U988,"")</f>
        <v>0.2629685556937289</v>
      </c>
      <c r="S300" s="31">
        <f>IFERROR(Serie_Historica!V990/Serie_Historica!V988,"")</f>
        <v>0.28509803538838407</v>
      </c>
      <c r="T300" s="31">
        <f>IFERROR(Serie_Historica!W990/Serie_Historica!W988,"")</f>
        <v>0.31770699423891824</v>
      </c>
      <c r="U300" s="31">
        <f>IFERROR(Serie_Historica!X990/Serie_Historica!X988,"")</f>
        <v>0.32142263448367575</v>
      </c>
      <c r="V300" s="31">
        <f>IFERROR(Serie_Historica!Y990/Serie_Historica!Y988,"")</f>
        <v>0.32495779359093707</v>
      </c>
      <c r="W300" s="31">
        <f>IFERROR(Serie_Historica!Z990/Serie_Historica!Z988,"")</f>
        <v>0.34739018380582853</v>
      </c>
      <c r="X300" s="19">
        <f>IFERROR((W300-D300)*100,"")</f>
        <v>18.737874215823126</v>
      </c>
    </row>
    <row r="301" spans="1:24">
      <c r="A301" s="28" t="s">
        <v>223</v>
      </c>
      <c r="B301" s="28" t="s">
        <v>224</v>
      </c>
      <c r="C301" s="28" t="s">
        <v>506</v>
      </c>
      <c r="D301" s="31">
        <f>IFERROR(Serie_Historica!G991/Serie_Historica!G988,"")</f>
        <v>0.51659038901601828</v>
      </c>
      <c r="E301" s="31">
        <f>IFERROR(Serie_Historica!H991/Serie_Historica!H988,"")</f>
        <v>0.4874933475252794</v>
      </c>
      <c r="F301" s="31">
        <f>IFERROR(Serie_Historica!I991/Serie_Historica!I988,"")</f>
        <v>0.4607484076433121</v>
      </c>
      <c r="G301" s="31">
        <f>IFERROR(Serie_Historica!J991/Serie_Historica!J988,"")</f>
        <v>0.5119927862939585</v>
      </c>
      <c r="H301" s="31">
        <f>IFERROR(Serie_Historica!K991/Serie_Historica!K988,"")</f>
        <v>0.52786915204678364</v>
      </c>
      <c r="I301" s="31">
        <f>IFERROR(Serie_Historica!L991/Serie_Historica!L988,"")</f>
        <v>0.44054431121984755</v>
      </c>
      <c r="J301" s="31">
        <f>IFERROR(Serie_Historica!M991/Serie_Historica!M988,"")</f>
        <v>0.58588445647183895</v>
      </c>
      <c r="K301" s="31">
        <f>IFERROR(Serie_Historica!N991/Serie_Historica!N988,"")</f>
        <v>0.62275238808765687</v>
      </c>
      <c r="L301" s="31">
        <f>IFERROR(Serie_Historica!O991/Serie_Historica!O988,"")</f>
        <v>0.6335626556366859</v>
      </c>
      <c r="M301" s="31">
        <f>IFERROR(Serie_Historica!P991/Serie_Historica!P988,"")</f>
        <v>0.54722468467627805</v>
      </c>
      <c r="N301" s="31">
        <f>IFERROR(Serie_Historica!Q991/Serie_Historica!Q988,"")</f>
        <v>0.55673494636505505</v>
      </c>
      <c r="O301" s="31">
        <f>IFERROR(Serie_Historica!R991/Serie_Historica!R988,"")</f>
        <v>0.59724118017639649</v>
      </c>
      <c r="P301" s="31">
        <f>IFERROR(Serie_Historica!S991/Serie_Historica!S988,"")</f>
        <v>0.61269744092077871</v>
      </c>
      <c r="Q301" s="31">
        <f>IFERROR(Serie_Historica!T991/Serie_Historica!T988,"")</f>
        <v>0.5759306844485973</v>
      </c>
      <c r="R301" s="31">
        <f>IFERROR(Serie_Historica!U991/Serie_Historica!U988,"")</f>
        <v>0.64923831941730326</v>
      </c>
      <c r="S301" s="31">
        <f>IFERROR(Serie_Historica!V991/Serie_Historica!V988,"")</f>
        <v>0.62234172335379601</v>
      </c>
      <c r="T301" s="31">
        <f>IFERROR(Serie_Historica!W991/Serie_Historica!W988,"")</f>
        <v>0.60726562871970668</v>
      </c>
      <c r="U301" s="31">
        <f>IFERROR(Serie_Historica!X991/Serie_Historica!X988,"")</f>
        <v>0.6073542123811424</v>
      </c>
      <c r="V301" s="31">
        <f>IFERROR(Serie_Historica!Y991/Serie_Historica!Y988,"")</f>
        <v>0.58863345903217157</v>
      </c>
      <c r="W301" s="31">
        <f>IFERROR(Serie_Historica!Z991/Serie_Historica!Z988,"")</f>
        <v>0.5812540711999773</v>
      </c>
      <c r="X301" s="19">
        <f>IFERROR((W301-D301)*100,"")</f>
        <v>6.4663682183959015</v>
      </c>
    </row>
    <row r="302" spans="1:24">
      <c r="A302" s="28" t="s">
        <v>385</v>
      </c>
      <c r="B302" s="28" t="s">
        <v>386</v>
      </c>
      <c r="C302" s="28" t="s">
        <v>504</v>
      </c>
      <c r="D302" s="31">
        <f>IFERROR(Serie_Historica!G999/Serie_Historica!G998,"")</f>
        <v>0.2988577104544326</v>
      </c>
      <c r="E302" s="31">
        <f>IFERROR(Serie_Historica!H999/Serie_Historica!H998,"")</f>
        <v>6.8128791413905737E-2</v>
      </c>
      <c r="F302" s="31">
        <f>IFERROR(Serie_Historica!I999/Serie_Historica!I998,"")</f>
        <v>0.1210828110414722</v>
      </c>
      <c r="G302" s="31">
        <f>IFERROR(Serie_Historica!J999/Serie_Historica!J998,"")</f>
        <v>0.11759981642955485</v>
      </c>
      <c r="H302" s="31">
        <f>IFERROR(Serie_Historica!K999/Serie_Historica!K998,"")</f>
        <v>3.8515786047520886E-2</v>
      </c>
      <c r="I302" s="31">
        <f>IFERROR(Serie_Historica!L999/Serie_Historica!L998,"")</f>
        <v>4.3623202209734258E-2</v>
      </c>
      <c r="J302" s="31">
        <f>IFERROR(Serie_Historica!M999/Serie_Historica!M998,"")</f>
        <v>3.0935383488925498E-2</v>
      </c>
      <c r="K302" s="31">
        <f>IFERROR(Serie_Historica!N999/Serie_Historica!N998,"")</f>
        <v>3.3297112697919899E-2</v>
      </c>
      <c r="L302" s="31">
        <f>IFERROR(Serie_Historica!O999/Serie_Historica!O998,"")</f>
        <v>3.4035656401944892E-2</v>
      </c>
      <c r="M302" s="31">
        <f>IFERROR(Serie_Historica!P999/Serie_Historica!P998,"")</f>
        <v>2.8832095444178023E-2</v>
      </c>
      <c r="N302" s="31">
        <f>IFERROR(Serie_Historica!Q999/Serie_Historica!Q998,"")</f>
        <v>5.8836091831286706E-2</v>
      </c>
      <c r="O302" s="31">
        <f>IFERROR(Serie_Historica!R999/Serie_Historica!R998,"")</f>
        <v>7.589071038251366E-2</v>
      </c>
      <c r="P302" s="31">
        <f>IFERROR(Serie_Historica!S999/Serie_Historica!S998,"")</f>
        <v>7.3501376826943438E-2</v>
      </c>
      <c r="Q302" s="31">
        <f>IFERROR(Serie_Historica!T999/Serie_Historica!T998,"")</f>
        <v>4.4398989291300685E-2</v>
      </c>
      <c r="R302" s="31">
        <f>IFERROR(Serie_Historica!U999/Serie_Historica!U998,"")</f>
        <v>4.9944582986977001E-2</v>
      </c>
      <c r="S302" s="31">
        <f>IFERROR(Serie_Historica!V999/Serie_Historica!V998,"")</f>
        <v>4.129359882400107E-2</v>
      </c>
      <c r="T302" s="31">
        <f>IFERROR(Serie_Historica!W999/Serie_Historica!W998,"")</f>
        <v>4.2420276059019511E-2</v>
      </c>
      <c r="U302" s="31">
        <f>IFERROR(Serie_Historica!X999/Serie_Historica!X998,"")</f>
        <v>3.7030562596509629E-2</v>
      </c>
      <c r="V302" s="31">
        <f>IFERROR(Serie_Historica!Y999/Serie_Historica!Y998,"")</f>
        <v>3.7660941247828844E-2</v>
      </c>
      <c r="W302" s="31">
        <f>IFERROR(Serie_Historica!Z999/Serie_Historica!Z998,"")</f>
        <v>4.0269961209892596E-2</v>
      </c>
      <c r="X302" s="19">
        <f>IFERROR((W302-D302)*100,"")</f>
        <v>-25.858774924453996</v>
      </c>
    </row>
    <row r="303" spans="1:24">
      <c r="A303" s="28" t="s">
        <v>385</v>
      </c>
      <c r="B303" s="28" t="s">
        <v>386</v>
      </c>
      <c r="C303" s="28" t="s">
        <v>505</v>
      </c>
      <c r="D303" s="31">
        <f>IFERROR(Serie_Historica!G1000/Serie_Historica!G998,"")</f>
        <v>0.16091383163645392</v>
      </c>
      <c r="E303" s="31">
        <f>IFERROR(Serie_Historica!H1000/Serie_Historica!H998,"")</f>
        <v>0.18463213563540209</v>
      </c>
      <c r="F303" s="31">
        <f>IFERROR(Serie_Historica!I1000/Serie_Historica!I998,"")</f>
        <v>0.18922523003067077</v>
      </c>
      <c r="G303" s="31">
        <f>IFERROR(Serie_Historica!J1000/Serie_Historica!J998,"")</f>
        <v>0.18666819642037633</v>
      </c>
      <c r="H303" s="31">
        <f>IFERROR(Serie_Historica!K1000/Serie_Historica!K998,"")</f>
        <v>0.19192795920581535</v>
      </c>
      <c r="I303" s="31">
        <f>IFERROR(Serie_Historica!L1000/Serie_Historica!L998,"")</f>
        <v>0.19182779312315459</v>
      </c>
      <c r="J303" s="31">
        <f>IFERROR(Serie_Historica!M1000/Serie_Historica!M998,"")</f>
        <v>0.17234120446641041</v>
      </c>
      <c r="K303" s="31">
        <f>IFERROR(Serie_Historica!N1000/Serie_Historica!N998,"")</f>
        <v>0.17766221670288732</v>
      </c>
      <c r="L303" s="31">
        <f>IFERROR(Serie_Historica!O1000/Serie_Historica!O998,"")</f>
        <v>0.18145596974608319</v>
      </c>
      <c r="M303" s="31">
        <f>IFERROR(Serie_Historica!P1000/Serie_Historica!P998,"")</f>
        <v>0.19018656061757996</v>
      </c>
      <c r="N303" s="31">
        <f>IFERROR(Serie_Historica!Q1000/Serie_Historica!Q998,"")</f>
        <v>0.20928990923651897</v>
      </c>
      <c r="O303" s="31">
        <f>IFERROR(Serie_Historica!R1000/Serie_Historica!R998,"")</f>
        <v>0.18675409836065573</v>
      </c>
      <c r="P303" s="31">
        <f>IFERROR(Serie_Historica!S1000/Serie_Historica!S998,"")</f>
        <v>0.18144460919296759</v>
      </c>
      <c r="Q303" s="31">
        <f>IFERROR(Serie_Historica!T1000/Serie_Historica!T998,"")</f>
        <v>0.19247583523843903</v>
      </c>
      <c r="R303" s="31">
        <f>IFERROR(Serie_Historica!U1000/Serie_Historica!U998,"")</f>
        <v>0.20999584372402327</v>
      </c>
      <c r="S303" s="31">
        <f>IFERROR(Serie_Historica!V1000/Serie_Historica!V998,"")</f>
        <v>0.20379526927702793</v>
      </c>
      <c r="T303" s="31">
        <f>IFERROR(Serie_Historica!W1000/Serie_Historica!W998,"")</f>
        <v>0.2589540694907187</v>
      </c>
      <c r="U303" s="31">
        <f>IFERROR(Serie_Historica!X1000/Serie_Historica!X998,"")</f>
        <v>0.24601579116044633</v>
      </c>
      <c r="V303" s="31">
        <f>IFERROR(Serie_Historica!Y1000/Serie_Historica!Y998,"")</f>
        <v>0.22422872267100438</v>
      </c>
      <c r="W303" s="31">
        <f>IFERROR(Serie_Historica!Z1000/Serie_Historica!Z998,"")</f>
        <v>0.35449225318953342</v>
      </c>
      <c r="X303" s="19">
        <f>IFERROR((W303-D303)*100,"")</f>
        <v>19.357842155307949</v>
      </c>
    </row>
    <row r="304" spans="1:24">
      <c r="A304" s="28" t="s">
        <v>385</v>
      </c>
      <c r="B304" s="28" t="s">
        <v>386</v>
      </c>
      <c r="C304" s="28" t="s">
        <v>506</v>
      </c>
      <c r="D304" s="31">
        <f>IFERROR(Serie_Historica!G1001/Serie_Historica!G998,"")</f>
        <v>0.41979140799602682</v>
      </c>
      <c r="E304" s="31">
        <f>IFERROR(Serie_Historica!H1001/Serie_Historica!H998,"")</f>
        <v>0.62622491833877747</v>
      </c>
      <c r="F304" s="31">
        <f>IFERROR(Serie_Historica!I1001/Serie_Historica!I998,"")</f>
        <v>0.59207894385918125</v>
      </c>
      <c r="G304" s="31">
        <f>IFERROR(Serie_Historica!J1001/Serie_Historica!J998,"")</f>
        <v>0.62769619091326301</v>
      </c>
      <c r="H304" s="31">
        <f>IFERROR(Serie_Historica!K1001/Serie_Historica!K998,"")</f>
        <v>0.68189215579906692</v>
      </c>
      <c r="I304" s="31">
        <f>IFERROR(Serie_Historica!L1001/Serie_Historica!L998,"")</f>
        <v>0.68473187922659295</v>
      </c>
      <c r="J304" s="31">
        <f>IFERROR(Serie_Historica!M1001/Serie_Historica!M998,"")</f>
        <v>0.70172066630056751</v>
      </c>
      <c r="K304" s="31">
        <f>IFERROR(Serie_Historica!N1001/Serie_Historica!N998,"")</f>
        <v>0.69023595156783613</v>
      </c>
      <c r="L304" s="31">
        <f>IFERROR(Serie_Historica!O1001/Serie_Historica!O998,"")</f>
        <v>0.69793354943273911</v>
      </c>
      <c r="M304" s="31">
        <f>IFERROR(Serie_Historica!P1001/Serie_Historica!P998,"")</f>
        <v>0.68898766009708168</v>
      </c>
      <c r="N304" s="31">
        <f>IFERROR(Serie_Historica!Q1001/Serie_Historica!Q998,"")</f>
        <v>0.66796583021890021</v>
      </c>
      <c r="O304" s="31">
        <f>IFERROR(Serie_Historica!R1001/Serie_Historica!R998,"")</f>
        <v>0.68052459016393441</v>
      </c>
      <c r="P304" s="31">
        <f>IFERROR(Serie_Historica!S1001/Serie_Historica!S998,"")</f>
        <v>0.68493963143401826</v>
      </c>
      <c r="Q304" s="31">
        <f>IFERROR(Serie_Historica!T1001/Serie_Historica!T998,"")</f>
        <v>0.68050375005013441</v>
      </c>
      <c r="R304" s="31">
        <f>IFERROR(Serie_Historica!U1001/Serie_Historica!U998,"")</f>
        <v>0.67681490717650317</v>
      </c>
      <c r="S304" s="31">
        <f>IFERROR(Serie_Historica!V1001/Serie_Historica!V998,"")</f>
        <v>0.68802619270346121</v>
      </c>
      <c r="T304" s="31">
        <f>IFERROR(Serie_Historica!W1001/Serie_Historica!W998,"")</f>
        <v>0.62970014278914799</v>
      </c>
      <c r="U304" s="31">
        <f>IFERROR(Serie_Historica!X1001/Serie_Historica!X998,"")</f>
        <v>0.66145150482183956</v>
      </c>
      <c r="V304" s="31">
        <f>IFERROR(Serie_Historica!Y1001/Serie_Historica!Y998,"")</f>
        <v>0.65961787654048687</v>
      </c>
      <c r="W304" s="31">
        <f>IFERROR(Serie_Historica!Z1001/Serie_Historica!Z998,"")</f>
        <v>0.55799457386936924</v>
      </c>
      <c r="X304" s="19">
        <f>IFERROR((W304-D304)*100,"")</f>
        <v>13.820316587334242</v>
      </c>
    </row>
    <row r="305" spans="1:24">
      <c r="A305" s="28" t="s">
        <v>217</v>
      </c>
      <c r="B305" s="28" t="s">
        <v>218</v>
      </c>
      <c r="C305" s="28" t="s">
        <v>504</v>
      </c>
      <c r="D305" s="31">
        <f>IFERROR(Serie_Historica!G1009/Serie_Historica!G1008,"")</f>
        <v>6.295719477087168E-2</v>
      </c>
      <c r="E305" s="31">
        <f>IFERROR(Serie_Historica!H1009/Serie_Historica!H1008,"")</f>
        <v>4.6678398592168942E-2</v>
      </c>
      <c r="F305" s="31">
        <f>IFERROR(Serie_Historica!I1009/Serie_Historica!I1008,"")</f>
        <v>4.9165232013452374E-2</v>
      </c>
      <c r="G305" s="31">
        <f>IFERROR(Serie_Historica!J1009/Serie_Historica!J1008,"")</f>
        <v>5.0081595648232093E-2</v>
      </c>
      <c r="H305" s="31">
        <f>IFERROR(Serie_Historica!K1009/Serie_Historica!K1008,"")</f>
        <v>9.0936748912349027E-2</v>
      </c>
      <c r="I305" s="31">
        <f>IFERROR(Serie_Historica!L1009/Serie_Historica!L1008,"")</f>
        <v>7.4216130676179493E-2</v>
      </c>
      <c r="J305" s="31">
        <f>IFERROR(Serie_Historica!M1009/Serie_Historica!M1008,"")</f>
        <v>3.4030727282261024E-2</v>
      </c>
      <c r="K305" s="31">
        <f>IFERROR(Serie_Historica!N1009/Serie_Historica!N1008,"")</f>
        <v>3.5752979414951244E-2</v>
      </c>
      <c r="L305" s="31">
        <f>IFERROR(Serie_Historica!O1009/Serie_Historica!O1008,"")</f>
        <v>3.1189999591486581E-2</v>
      </c>
      <c r="M305" s="31">
        <f>IFERROR(Serie_Historica!P1009/Serie_Historica!P1008,"")</f>
        <v>3.3309135110495838E-2</v>
      </c>
      <c r="N305" s="31">
        <f>IFERROR(Serie_Historica!Q1009/Serie_Historica!Q1008,"")</f>
        <v>3.9852843152335539E-2</v>
      </c>
      <c r="O305" s="31">
        <f>IFERROR(Serie_Historica!R1009/Serie_Historica!R1008,"")</f>
        <v>3.8624450060844334E-2</v>
      </c>
      <c r="P305" s="31">
        <f>IFERROR(Serie_Historica!S1009/Serie_Historica!S1008,"")</f>
        <v>4.2486257738768289E-2</v>
      </c>
      <c r="Q305" s="31">
        <f>IFERROR(Serie_Historica!T1009/Serie_Historica!T1008,"")</f>
        <v>4.3079345533091763E-2</v>
      </c>
      <c r="R305" s="31">
        <f>IFERROR(Serie_Historica!U1009/Serie_Historica!U1008,"")</f>
        <v>3.1553470286570184E-2</v>
      </c>
      <c r="S305" s="31">
        <f>IFERROR(Serie_Historica!V1009/Serie_Historica!V1008,"")</f>
        <v>8.8265122517747902E-2</v>
      </c>
      <c r="T305" s="31">
        <f>IFERROR(Serie_Historica!W1009/Serie_Historica!W1008,"")</f>
        <v>9.7307057826920507E-2</v>
      </c>
      <c r="U305" s="31">
        <f>IFERROR(Serie_Historica!X1009/Serie_Historica!X1008,"")</f>
        <v>3.6957651338009871E-2</v>
      </c>
      <c r="V305" s="31">
        <f>IFERROR(Serie_Historica!Y1009/Serie_Historica!Y1008,"")</f>
        <v>4.6715318501122996E-2</v>
      </c>
      <c r="W305" s="31">
        <f>IFERROR(Serie_Historica!Z1009/Serie_Historica!Z1008,"")</f>
        <v>4.3363753292092855E-2</v>
      </c>
      <c r="X305" s="19">
        <f>IFERROR((W305-D305)*100,"")</f>
        <v>-1.9593441478778826</v>
      </c>
    </row>
    <row r="306" spans="1:24">
      <c r="A306" s="28" t="s">
        <v>217</v>
      </c>
      <c r="B306" s="28" t="s">
        <v>218</v>
      </c>
      <c r="C306" s="28" t="s">
        <v>505</v>
      </c>
      <c r="D306" s="31">
        <f>IFERROR(Serie_Historica!G1010/Serie_Historica!G1008,"")</f>
        <v>0.31068006984756241</v>
      </c>
      <c r="E306" s="31">
        <f>IFERROR(Serie_Historica!H1010/Serie_Historica!H1008,"")</f>
        <v>0.32102947646282448</v>
      </c>
      <c r="F306" s="31">
        <f>IFERROR(Serie_Historica!I1010/Serie_Historica!I1008,"")</f>
        <v>0.32389798614725546</v>
      </c>
      <c r="G306" s="31">
        <f>IFERROR(Serie_Historica!J1010/Serie_Historica!J1008,"")</f>
        <v>0.30973708068902994</v>
      </c>
      <c r="H306" s="31">
        <f>IFERROR(Serie_Historica!K1010/Serie_Historica!K1008,"")</f>
        <v>0.30241260762420519</v>
      </c>
      <c r="I306" s="31">
        <f>IFERROR(Serie_Historica!L1010/Serie_Historica!L1008,"")</f>
        <v>0.29246573505350965</v>
      </c>
      <c r="J306" s="31">
        <f>IFERROR(Serie_Historica!M1010/Serie_Historica!M1008,"")</f>
        <v>0.27287504588118083</v>
      </c>
      <c r="K306" s="31">
        <f>IFERROR(Serie_Historica!N1010/Serie_Historica!N1008,"")</f>
        <v>0.27723606596846034</v>
      </c>
      <c r="L306" s="31">
        <f>IFERROR(Serie_Historica!O1010/Serie_Historica!O1008,"")</f>
        <v>0.28089382736222884</v>
      </c>
      <c r="M306" s="31">
        <f>IFERROR(Serie_Historica!P1010/Serie_Historica!P1008,"")</f>
        <v>0.30047439771748857</v>
      </c>
      <c r="N306" s="31">
        <f>IFERROR(Serie_Historica!Q1010/Serie_Historica!Q1008,"")</f>
        <v>0.41894836691791004</v>
      </c>
      <c r="O306" s="31">
        <f>IFERROR(Serie_Historica!R1010/Serie_Historica!R1008,"")</f>
        <v>0.3759945708134419</v>
      </c>
      <c r="P306" s="31">
        <f>IFERROR(Serie_Historica!S1010/Serie_Historica!S1008,"")</f>
        <v>0.37165119845952332</v>
      </c>
      <c r="Q306" s="31">
        <f>IFERROR(Serie_Historica!T1010/Serie_Historica!T1008,"")</f>
        <v>0.38858215659160417</v>
      </c>
      <c r="R306" s="31">
        <f>IFERROR(Serie_Historica!U1010/Serie_Historica!U1008,"")</f>
        <v>0.37987164353803576</v>
      </c>
      <c r="S306" s="31">
        <f>IFERROR(Serie_Historica!V1010/Serie_Historica!V1008,"")</f>
        <v>0.38832728105473224</v>
      </c>
      <c r="T306" s="31">
        <f>IFERROR(Serie_Historica!W1010/Serie_Historica!W1008,"")</f>
        <v>0.41340823636066404</v>
      </c>
      <c r="U306" s="31">
        <f>IFERROR(Serie_Historica!X1010/Serie_Historica!X1008,"")</f>
        <v>0.44781472821223406</v>
      </c>
      <c r="V306" s="31">
        <f>IFERROR(Serie_Historica!Y1010/Serie_Historica!Y1008,"")</f>
        <v>0.45985540984278039</v>
      </c>
      <c r="W306" s="31">
        <f>IFERROR(Serie_Historica!Z1010/Serie_Historica!Z1008,"")</f>
        <v>0.44203534703932817</v>
      </c>
      <c r="X306" s="19">
        <f>IFERROR((W306-D306)*100,"")</f>
        <v>13.135527719176576</v>
      </c>
    </row>
    <row r="307" spans="1:24">
      <c r="A307" s="28" t="s">
        <v>217</v>
      </c>
      <c r="B307" s="28" t="s">
        <v>218</v>
      </c>
      <c r="C307" s="28" t="s">
        <v>506</v>
      </c>
      <c r="D307" s="31">
        <f>IFERROR(Serie_Historica!G1011/Serie_Historica!G1008,"")</f>
        <v>0.56935202227570914</v>
      </c>
      <c r="E307" s="31">
        <f>IFERROR(Serie_Historica!H1011/Serie_Historica!H1008,"")</f>
        <v>0.57215134183897931</v>
      </c>
      <c r="F307" s="31">
        <f>IFERROR(Serie_Historica!I1011/Serie_Historica!I1008,"")</f>
        <v>0.56832285702846619</v>
      </c>
      <c r="G307" s="31">
        <f>IFERROR(Serie_Historica!J1011/Serie_Historica!J1008,"")</f>
        <v>0.59013599274705353</v>
      </c>
      <c r="H307" s="31">
        <f>IFERROR(Serie_Historica!K1011/Serie_Historica!K1008,"")</f>
        <v>0.56064985244455257</v>
      </c>
      <c r="I307" s="31">
        <f>IFERROR(Serie_Historica!L1011/Serie_Historica!L1008,"")</f>
        <v>0.59364857978166996</v>
      </c>
      <c r="J307" s="31">
        <f>IFERROR(Serie_Historica!M1011/Serie_Historica!M1008,"")</f>
        <v>0.63992449268522889</v>
      </c>
      <c r="K307" s="31">
        <f>IFERROR(Serie_Historica!N1011/Serie_Historica!N1008,"")</f>
        <v>0.62655591669676181</v>
      </c>
      <c r="L307" s="31">
        <f>IFERROR(Serie_Historica!O1011/Serie_Historica!O1008,"")</f>
        <v>0.63777115078230318</v>
      </c>
      <c r="M307" s="31">
        <f>IFERROR(Serie_Historica!P1011/Serie_Historica!P1008,"")</f>
        <v>0.60648624921918526</v>
      </c>
      <c r="N307" s="31">
        <f>IFERROR(Serie_Historica!Q1011/Serie_Historica!Q1008,"")</f>
        <v>0.50358919140645031</v>
      </c>
      <c r="O307" s="31">
        <f>IFERROR(Serie_Historica!R1011/Serie_Historica!R1008,"")</f>
        <v>0.54000514836656366</v>
      </c>
      <c r="P307" s="31">
        <f>IFERROR(Serie_Historica!S1011/Serie_Historica!S1008,"")</f>
        <v>0.54907470640260625</v>
      </c>
      <c r="Q307" s="31">
        <f>IFERROR(Serie_Historica!T1011/Serie_Historica!T1008,"")</f>
        <v>0.53008387754484065</v>
      </c>
      <c r="R307" s="31">
        <f>IFERROR(Serie_Historica!U1011/Serie_Historica!U1008,"")</f>
        <v>0.55271641554164641</v>
      </c>
      <c r="S307" s="31">
        <f>IFERROR(Serie_Historica!V1011/Serie_Historica!V1008,"")</f>
        <v>0.49245918801321686</v>
      </c>
      <c r="T307" s="31">
        <f>IFERROR(Serie_Historica!W1011/Serie_Historica!W1008,"")</f>
        <v>0.45661866333764323</v>
      </c>
      <c r="U307" s="31">
        <f>IFERROR(Serie_Historica!X1011/Serie_Historica!X1008,"")</f>
        <v>0.48002367137207358</v>
      </c>
      <c r="V307" s="31">
        <f>IFERROR(Serie_Historica!Y1011/Serie_Historica!Y1008,"")</f>
        <v>0.45590273274031801</v>
      </c>
      <c r="W307" s="31">
        <f>IFERROR(Serie_Historica!Z1011/Serie_Historica!Z1008,"")</f>
        <v>0.47728711132888263</v>
      </c>
      <c r="X307" s="19">
        <f>IFERROR((W307-D307)*100,"")</f>
        <v>-9.2064910946826508</v>
      </c>
    </row>
    <row r="308" spans="1:24">
      <c r="A308" s="28" t="s">
        <v>321</v>
      </c>
      <c r="B308" s="28" t="s">
        <v>322</v>
      </c>
      <c r="C308" s="28" t="s">
        <v>504</v>
      </c>
      <c r="D308" s="31">
        <f>IFERROR(Serie_Historica!G1019/Serie_Historica!G1018,"")</f>
        <v>6.1182519280205655E-2</v>
      </c>
      <c r="E308" s="31">
        <f>IFERROR(Serie_Historica!H1019/Serie_Historica!H1018,"")</f>
        <v>5.4838365517977168E-2</v>
      </c>
      <c r="F308" s="31">
        <f>IFERROR(Serie_Historica!I1019/Serie_Historica!I1018,"")</f>
        <v>5.5459869100930072E-2</v>
      </c>
      <c r="G308" s="31">
        <f>IFERROR(Serie_Historica!J1019/Serie_Historica!J1018,"")</f>
        <v>5.4473768908915352E-2</v>
      </c>
      <c r="H308" s="31">
        <f>IFERROR(Serie_Historica!K1019/Serie_Historica!K1018,"")</f>
        <v>4.2904290429042903E-2</v>
      </c>
      <c r="I308" s="31">
        <f>IFERROR(Serie_Historica!L1019/Serie_Historica!L1018,"")</f>
        <v>4.2291522871305769E-2</v>
      </c>
      <c r="J308" s="31">
        <f>IFERROR(Serie_Historica!M1019/Serie_Historica!M1018,"")</f>
        <v>3.6984280409014601E-2</v>
      </c>
      <c r="K308" s="31">
        <f>IFERROR(Serie_Historica!N1019/Serie_Historica!N1018,"")</f>
        <v>3.4773992639426252E-2</v>
      </c>
      <c r="L308" s="31">
        <f>IFERROR(Serie_Historica!O1019/Serie_Historica!O1018,"")</f>
        <v>3.063973063973064E-2</v>
      </c>
      <c r="M308" s="31">
        <f>IFERROR(Serie_Historica!P1019/Serie_Historica!P1018,"")</f>
        <v>3.1873238921213451E-2</v>
      </c>
      <c r="N308" s="31">
        <f>IFERROR(Serie_Historica!Q1019/Serie_Historica!Q1018,"")</f>
        <v>3.474990175714366E-2</v>
      </c>
      <c r="O308" s="31">
        <f>IFERROR(Serie_Historica!R1019/Serie_Historica!R1018,"")</f>
        <v>3.15819089822044E-2</v>
      </c>
      <c r="P308" s="31">
        <f>IFERROR(Serie_Historica!S1019/Serie_Historica!S1018,"")</f>
        <v>3.0040816326530613E-2</v>
      </c>
      <c r="Q308" s="31">
        <f>IFERROR(Serie_Historica!T1019/Serie_Historica!T1018,"")</f>
        <v>2.8866948754113775E-2</v>
      </c>
      <c r="R308" s="31">
        <f>IFERROR(Serie_Historica!U1019/Serie_Historica!U1018,"")</f>
        <v>3.3812212508992613E-2</v>
      </c>
      <c r="S308" s="31">
        <f>IFERROR(Serie_Historica!V1019/Serie_Historica!V1018,"")</f>
        <v>2.6808338119531067E-2</v>
      </c>
      <c r="T308" s="31">
        <f>IFERROR(Serie_Historica!W1019/Serie_Historica!W1018,"")</f>
        <v>3.0443694236797686E-2</v>
      </c>
      <c r="U308" s="31">
        <f>IFERROR(Serie_Historica!X1019/Serie_Historica!X1018,"")</f>
        <v>2.9016994978756278E-2</v>
      </c>
      <c r="V308" s="31">
        <f>IFERROR(Serie_Historica!Y1019/Serie_Historica!Y1018,"")</f>
        <v>3.2219264201173943E-2</v>
      </c>
      <c r="W308" s="31">
        <f>IFERROR(Serie_Historica!Z1019/Serie_Historica!Z1018,"")</f>
        <v>2.9576080853453115E-2</v>
      </c>
      <c r="X308" s="19">
        <f>IFERROR((W308-D308)*100,"")</f>
        <v>-3.1606438426752534</v>
      </c>
    </row>
    <row r="309" spans="1:24">
      <c r="A309" s="28" t="s">
        <v>321</v>
      </c>
      <c r="B309" s="28" t="s">
        <v>322</v>
      </c>
      <c r="C309" s="28" t="s">
        <v>505</v>
      </c>
      <c r="D309" s="31">
        <f>IFERROR(Serie_Historica!G1020/Serie_Historica!G1018,"")</f>
        <v>0.20552699228791774</v>
      </c>
      <c r="E309" s="31">
        <f>IFERROR(Serie_Historica!H1020/Serie_Historica!H1018,"")</f>
        <v>0.20004267577083112</v>
      </c>
      <c r="F309" s="31">
        <f>IFERROR(Serie_Historica!I1020/Serie_Historica!I1018,"")</f>
        <v>0.22425077506028246</v>
      </c>
      <c r="G309" s="31">
        <f>IFERROR(Serie_Historica!J1020/Serie_Historica!J1018,"")</f>
        <v>0.20920502092050208</v>
      </c>
      <c r="H309" s="31">
        <f>IFERROR(Serie_Historica!K1020/Serie_Historica!K1018,"")</f>
        <v>0.2203887055372204</v>
      </c>
      <c r="I309" s="31">
        <f>IFERROR(Serie_Historica!L1020/Serie_Historica!L1018,"")</f>
        <v>0.21195959088912594</v>
      </c>
      <c r="J309" s="31">
        <f>IFERROR(Serie_Historica!M1020/Serie_Historica!M1018,"")</f>
        <v>0.19804649743094063</v>
      </c>
      <c r="K309" s="31">
        <f>IFERROR(Serie_Historica!N1020/Serie_Historica!N1018,"")</f>
        <v>0.19576295177880532</v>
      </c>
      <c r="L309" s="31">
        <f>IFERROR(Serie_Historica!O1020/Serie_Historica!O1018,"")</f>
        <v>0.21111111111111111</v>
      </c>
      <c r="M309" s="31">
        <f>IFERROR(Serie_Historica!P1020/Serie_Historica!P1018,"")</f>
        <v>0.26933069857649944</v>
      </c>
      <c r="N309" s="31">
        <f>IFERROR(Serie_Historica!Q1020/Serie_Historica!Q1018,"")</f>
        <v>0.41079548644248581</v>
      </c>
      <c r="O309" s="31">
        <f>IFERROR(Serie_Historica!R1020/Serie_Historica!R1018,"")</f>
        <v>0.41727040397646009</v>
      </c>
      <c r="P309" s="31">
        <f>IFERROR(Serie_Historica!S1020/Serie_Historica!S1018,"")</f>
        <v>0.44238775510204081</v>
      </c>
      <c r="Q309" s="31">
        <f>IFERROR(Serie_Historica!T1020/Serie_Historica!T1018,"")</f>
        <v>0.46990126939351201</v>
      </c>
      <c r="R309" s="31">
        <f>IFERROR(Serie_Historica!U1020/Serie_Historica!U1018,"")</f>
        <v>0.36953630834296181</v>
      </c>
      <c r="S309" s="31">
        <f>IFERROR(Serie_Historica!V1020/Serie_Historica!V1018,"")</f>
        <v>0.48425622487246189</v>
      </c>
      <c r="T309" s="31">
        <f>IFERROR(Serie_Historica!W1020/Serie_Historica!W1018,"")</f>
        <v>0.38487661763523834</v>
      </c>
      <c r="U309" s="31">
        <f>IFERROR(Serie_Historica!X1020/Serie_Historica!X1018,"")</f>
        <v>0.47540878073902409</v>
      </c>
      <c r="V309" s="31">
        <f>IFERROR(Serie_Historica!Y1020/Serie_Historica!Y1018,"")</f>
        <v>0.41553067966770374</v>
      </c>
      <c r="W309" s="31">
        <f>IFERROR(Serie_Historica!Z1020/Serie_Historica!Z1018,"")</f>
        <v>0.41204379562043797</v>
      </c>
      <c r="X309" s="19">
        <f>IFERROR((W309-D309)*100,"")</f>
        <v>20.651680333252024</v>
      </c>
    </row>
    <row r="310" spans="1:24">
      <c r="A310" s="28" t="s">
        <v>321</v>
      </c>
      <c r="B310" s="28" t="s">
        <v>322</v>
      </c>
      <c r="C310" s="28" t="s">
        <v>506</v>
      </c>
      <c r="D310" s="31">
        <f>IFERROR(Serie_Historica!G1021/Serie_Historica!G1018,"")</f>
        <v>0.61221079691516711</v>
      </c>
      <c r="E310" s="31">
        <f>IFERROR(Serie_Historica!H1021/Serie_Historica!H1018,"")</f>
        <v>0.57494932252213804</v>
      </c>
      <c r="F310" s="31">
        <f>IFERROR(Serie_Historica!I1021/Serie_Historica!I1018,"")</f>
        <v>0.55227351016190152</v>
      </c>
      <c r="G310" s="31">
        <f>IFERROR(Serie_Historica!J1021/Serie_Historica!J1018,"")</f>
        <v>0.60420019311232698</v>
      </c>
      <c r="H310" s="31">
        <f>IFERROR(Serie_Historica!K1021/Serie_Historica!K1018,"")</f>
        <v>0.62757609094242761</v>
      </c>
      <c r="I310" s="31">
        <f>IFERROR(Serie_Historica!L1021/Serie_Historica!L1018,"")</f>
        <v>0.65853046370082202</v>
      </c>
      <c r="J310" s="31">
        <f>IFERROR(Serie_Historica!M1021/Serie_Historica!M1018,"")</f>
        <v>0.60970646589001376</v>
      </c>
      <c r="K310" s="31">
        <f>IFERROR(Serie_Historica!N1021/Serie_Historica!N1018,"")</f>
        <v>0.64933471737284132</v>
      </c>
      <c r="L310" s="31">
        <f>IFERROR(Serie_Historica!O1021/Serie_Historica!O1018,"")</f>
        <v>0.67388167388167386</v>
      </c>
      <c r="M310" s="31">
        <f>IFERROR(Serie_Historica!P1021/Serie_Historica!P1018,"")</f>
        <v>0.61415449921323229</v>
      </c>
      <c r="N310" s="31">
        <f>IFERROR(Serie_Historica!Q1021/Serie_Historica!Q1018,"")</f>
        <v>0.51939594678044121</v>
      </c>
      <c r="O310" s="31">
        <f>IFERROR(Serie_Historica!R1021/Serie_Historica!R1018,"")</f>
        <v>0.51794799652997581</v>
      </c>
      <c r="P310" s="31">
        <f>IFERROR(Serie_Historica!S1021/Serie_Historica!S1018,"")</f>
        <v>0.50342857142857145</v>
      </c>
      <c r="Q310" s="31">
        <f>IFERROR(Serie_Historica!T1021/Serie_Historica!T1018,"")</f>
        <v>0.47573107663375647</v>
      </c>
      <c r="R310" s="31">
        <f>IFERROR(Serie_Historica!U1021/Serie_Historica!U1018,"")</f>
        <v>0.56488849163959798</v>
      </c>
      <c r="S310" s="31">
        <f>IFERROR(Serie_Historica!V1021/Serie_Historica!V1018,"")</f>
        <v>0.46523531200378393</v>
      </c>
      <c r="T310" s="31">
        <f>IFERROR(Serie_Historica!W1021/Serie_Historica!W1018,"")</f>
        <v>0.55427618358652841</v>
      </c>
      <c r="U310" s="31">
        <f>IFERROR(Serie_Historica!X1021/Serie_Historica!X1018,"")</f>
        <v>0.4615198918501352</v>
      </c>
      <c r="V310" s="31">
        <f>IFERROR(Serie_Historica!Y1021/Serie_Historica!Y1018,"")</f>
        <v>0.49592648426724828</v>
      </c>
      <c r="W310" s="31">
        <f>IFERROR(Serie_Historica!Z1021/Serie_Historica!Z1018,"")</f>
        <v>0.51097697922515439</v>
      </c>
      <c r="X310" s="19">
        <f>IFERROR((W310-D310)*100,"")</f>
        <v>-10.123381769001272</v>
      </c>
    </row>
    <row r="311" spans="1:24">
      <c r="A311" s="28" t="s">
        <v>139</v>
      </c>
      <c r="B311" s="28" t="s">
        <v>140</v>
      </c>
      <c r="C311" s="28" t="s">
        <v>504</v>
      </c>
      <c r="D311" s="31">
        <f>IFERROR(Serie_Historica!G1029/Serie_Historica!G1028,"")</f>
        <v>0.10765167170756408</v>
      </c>
      <c r="E311" s="31">
        <f>IFERROR(Serie_Historica!H1029/Serie_Historica!H1028,"")</f>
        <v>8.2064220780065283E-2</v>
      </c>
      <c r="F311" s="31">
        <f>IFERROR(Serie_Historica!I1029/Serie_Historica!I1028,"")</f>
        <v>9.7007132223876288E-2</v>
      </c>
      <c r="G311" s="31">
        <f>IFERROR(Serie_Historica!J1029/Serie_Historica!J1028,"")</f>
        <v>8.2254394224733213E-2</v>
      </c>
      <c r="H311" s="31">
        <f>IFERROR(Serie_Historica!K1029/Serie_Historica!K1028,"")</f>
        <v>7.1279579316389133E-2</v>
      </c>
      <c r="I311" s="31">
        <f>IFERROR(Serie_Historica!L1029/Serie_Historica!L1028,"")</f>
        <v>8.0124510029974644E-2</v>
      </c>
      <c r="J311" s="31">
        <f>IFERROR(Serie_Historica!M1029/Serie_Historica!M1028,"")</f>
        <v>6.6751170175542843E-2</v>
      </c>
      <c r="K311" s="31">
        <f>IFERROR(Serie_Historica!N1029/Serie_Historica!N1028,"")</f>
        <v>6.5907033065334311E-2</v>
      </c>
      <c r="L311" s="31">
        <f>IFERROR(Serie_Historica!O1029/Serie_Historica!O1028,"")</f>
        <v>6.1532522679019493E-2</v>
      </c>
      <c r="M311" s="31">
        <f>IFERROR(Serie_Historica!P1029/Serie_Historica!P1028,"")</f>
        <v>6.6434074099379944E-2</v>
      </c>
      <c r="N311" s="31">
        <f>IFERROR(Serie_Historica!Q1029/Serie_Historica!Q1028,"")</f>
        <v>7.0197316383174307E-2</v>
      </c>
      <c r="O311" s="31">
        <f>IFERROR(Serie_Historica!R1029/Serie_Historica!R1028,"")</f>
        <v>5.9396783586552634E-2</v>
      </c>
      <c r="P311" s="31">
        <f>IFERROR(Serie_Historica!S1029/Serie_Historica!S1028,"")</f>
        <v>5.6237161705111734E-2</v>
      </c>
      <c r="Q311" s="31">
        <f>IFERROR(Serie_Historica!T1029/Serie_Historica!T1028,"")</f>
        <v>5.1242585466820395E-2</v>
      </c>
      <c r="R311" s="31">
        <f>IFERROR(Serie_Historica!U1029/Serie_Historica!U1028,"")</f>
        <v>6.3783309206641201E-2</v>
      </c>
      <c r="S311" s="31">
        <f>IFERROR(Serie_Historica!V1029/Serie_Historica!V1028,"")</f>
        <v>5.1074483810869119E-2</v>
      </c>
      <c r="T311" s="31">
        <f>IFERROR(Serie_Historica!W1029/Serie_Historica!W1028,"")</f>
        <v>5.5265359075468153E-2</v>
      </c>
      <c r="U311" s="31">
        <f>IFERROR(Serie_Historica!X1029/Serie_Historica!X1028,"")</f>
        <v>5.1758998660038739E-2</v>
      </c>
      <c r="V311" s="31">
        <f>IFERROR(Serie_Historica!Y1029/Serie_Historica!Y1028,"")</f>
        <v>5.0061718437046286E-2</v>
      </c>
      <c r="W311" s="31">
        <f>IFERROR(Serie_Historica!Z1029/Serie_Historica!Z1028,"")</f>
        <v>6.3218615948132328E-2</v>
      </c>
      <c r="X311" s="19">
        <f>IFERROR((W311-D311)*100,"")</f>
        <v>-4.4433055759431754</v>
      </c>
    </row>
    <row r="312" spans="1:24">
      <c r="A312" s="28" t="s">
        <v>139</v>
      </c>
      <c r="B312" s="28" t="s">
        <v>140</v>
      </c>
      <c r="C312" s="28" t="s">
        <v>505</v>
      </c>
      <c r="D312" s="31">
        <f>IFERROR(Serie_Historica!G1030/Serie_Historica!G1028,"")</f>
        <v>0.48596532045053303</v>
      </c>
      <c r="E312" s="31">
        <f>IFERROR(Serie_Historica!H1030/Serie_Historica!H1028,"")</f>
        <v>0.50246452770805428</v>
      </c>
      <c r="F312" s="31">
        <f>IFERROR(Serie_Historica!I1030/Serie_Historica!I1028,"")</f>
        <v>0.50308840846979364</v>
      </c>
      <c r="G312" s="31">
        <f>IFERROR(Serie_Historica!J1030/Serie_Historica!J1028,"")</f>
        <v>0.50864132140615193</v>
      </c>
      <c r="H312" s="31">
        <f>IFERROR(Serie_Historica!K1030/Serie_Historica!K1028,"")</f>
        <v>0.52543382997370724</v>
      </c>
      <c r="I312" s="31">
        <f>IFERROR(Serie_Historica!L1030/Serie_Historica!L1028,"")</f>
        <v>0.54007666589808623</v>
      </c>
      <c r="J312" s="31">
        <f>IFERROR(Serie_Historica!M1030/Serie_Historica!M1028,"")</f>
        <v>0.52794887537712987</v>
      </c>
      <c r="K312" s="31">
        <f>IFERROR(Serie_Historica!N1030/Serie_Historica!N1028,"")</f>
        <v>0.55563070679742987</v>
      </c>
      <c r="L312" s="31">
        <f>IFERROR(Serie_Historica!O1030/Serie_Historica!O1028,"")</f>
        <v>0.57133275429453778</v>
      </c>
      <c r="M312" s="31">
        <f>IFERROR(Serie_Historica!P1030/Serie_Historica!P1028,"")</f>
        <v>0.56770664298037343</v>
      </c>
      <c r="N312" s="31">
        <f>IFERROR(Serie_Historica!Q1030/Serie_Historica!Q1028,"")</f>
        <v>0.60268432941645944</v>
      </c>
      <c r="O312" s="31">
        <f>IFERROR(Serie_Historica!R1030/Serie_Historica!R1028,"")</f>
        <v>0.5818531796479004</v>
      </c>
      <c r="P312" s="31">
        <f>IFERROR(Serie_Historica!S1030/Serie_Historica!S1028,"")</f>
        <v>0.57898460335486757</v>
      </c>
      <c r="Q312" s="31">
        <f>IFERROR(Serie_Historica!T1030/Serie_Historica!T1028,"")</f>
        <v>0.59477127814744324</v>
      </c>
      <c r="R312" s="31">
        <f>IFERROR(Serie_Historica!U1030/Serie_Historica!U1028,"")</f>
        <v>0.58654514478628283</v>
      </c>
      <c r="S312" s="31">
        <f>IFERROR(Serie_Historica!V1030/Serie_Historica!V1028,"")</f>
        <v>0.62447735921239989</v>
      </c>
      <c r="T312" s="31">
        <f>IFERROR(Serie_Historica!W1030/Serie_Historica!W1028,"")</f>
        <v>0.63245975657636433</v>
      </c>
      <c r="U312" s="31">
        <f>IFERROR(Serie_Historica!X1030/Serie_Historica!X1028,"")</f>
        <v>0.6489872878778663</v>
      </c>
      <c r="V312" s="31">
        <f>IFERROR(Serie_Historica!Y1030/Serie_Historica!Y1028,"")</f>
        <v>0.6357941558712269</v>
      </c>
      <c r="W312" s="31">
        <f>IFERROR(Serie_Historica!Z1030/Serie_Historica!Z1028,"")</f>
        <v>0.63507204930823524</v>
      </c>
      <c r="X312" s="19">
        <f>IFERROR((W312-D312)*100,"")</f>
        <v>14.910672885770222</v>
      </c>
    </row>
    <row r="313" spans="1:24">
      <c r="A313" s="28" t="s">
        <v>139</v>
      </c>
      <c r="B313" s="28" t="s">
        <v>140</v>
      </c>
      <c r="C313" s="28" t="s">
        <v>506</v>
      </c>
      <c r="D313" s="31">
        <f>IFERROR(Serie_Historica!G1031/Serie_Historica!G1028,"")</f>
        <v>0.37022540338584076</v>
      </c>
      <c r="E313" s="31">
        <f>IFERROR(Serie_Historica!H1031/Serie_Historica!H1028,"")</f>
        <v>0.38222938965548636</v>
      </c>
      <c r="F313" s="31">
        <f>IFERROR(Serie_Historica!I1031/Serie_Historica!I1028,"")</f>
        <v>0.36628746639411647</v>
      </c>
      <c r="G313" s="31">
        <f>IFERROR(Serie_Historica!J1031/Serie_Historica!J1028,"")</f>
        <v>0.37777581607030758</v>
      </c>
      <c r="H313" s="31">
        <f>IFERROR(Serie_Historica!K1031/Serie_Historica!K1028,"")</f>
        <v>0.37015775635407538</v>
      </c>
      <c r="I313" s="31">
        <f>IFERROR(Serie_Historica!L1031/Serie_Historica!L1028,"")</f>
        <v>0.35805280147567442</v>
      </c>
      <c r="J313" s="31">
        <f>IFERROR(Serie_Historica!M1031/Serie_Historica!M1028,"")</f>
        <v>0.36537204650333721</v>
      </c>
      <c r="K313" s="31">
        <f>IFERROR(Serie_Historica!N1031/Serie_Historica!N1028,"")</f>
        <v>0.35034963509223604</v>
      </c>
      <c r="L313" s="31">
        <f>IFERROR(Serie_Historica!O1031/Serie_Historica!O1028,"")</f>
        <v>0.34707585408222352</v>
      </c>
      <c r="M313" s="31">
        <f>IFERROR(Serie_Historica!P1031/Serie_Historica!P1028,"")</f>
        <v>0.34715081222349387</v>
      </c>
      <c r="N313" s="31">
        <f>IFERROR(Serie_Historica!Q1031/Serie_Historica!Q1028,"")</f>
        <v>0.31363257394910676</v>
      </c>
      <c r="O313" s="31">
        <f>IFERROR(Serie_Historica!R1031/Serie_Historica!R1028,"")</f>
        <v>0.34655367933253373</v>
      </c>
      <c r="P313" s="31">
        <f>IFERROR(Serie_Historica!S1031/Serie_Historica!S1028,"")</f>
        <v>0.34939089854101119</v>
      </c>
      <c r="Q313" s="31">
        <f>IFERROR(Serie_Historica!T1031/Serie_Historica!T1028,"")</f>
        <v>0.33996693847500242</v>
      </c>
      <c r="R313" s="31">
        <f>IFERROR(Serie_Historica!U1031/Serie_Historica!U1028,"")</f>
        <v>0.33621721339318844</v>
      </c>
      <c r="S313" s="31">
        <f>IFERROR(Serie_Historica!V1031/Serie_Historica!V1028,"")</f>
        <v>0.31158332710805053</v>
      </c>
      <c r="T313" s="31">
        <f>IFERROR(Serie_Historica!W1031/Serie_Historica!W1028,"")</f>
        <v>0.29942728871135693</v>
      </c>
      <c r="U313" s="31">
        <f>IFERROR(Serie_Historica!X1031/Serie_Historica!X1028,"")</f>
        <v>0.28709268956212575</v>
      </c>
      <c r="V313" s="31">
        <f>IFERROR(Serie_Historica!Y1031/Serie_Historica!Y1028,"")</f>
        <v>0.2988586167457255</v>
      </c>
      <c r="W313" s="31">
        <f>IFERROR(Serie_Historica!Z1031/Serie_Historica!Z1028,"")</f>
        <v>0.2869991316213869</v>
      </c>
      <c r="X313" s="19">
        <f>IFERROR((W313-D313)*100,"")</f>
        <v>-8.3226271764453852</v>
      </c>
    </row>
    <row r="314" spans="1:24">
      <c r="A314" s="28" t="s">
        <v>179</v>
      </c>
      <c r="B314" s="28" t="s">
        <v>180</v>
      </c>
      <c r="C314" s="28" t="s">
        <v>504</v>
      </c>
      <c r="D314" s="31">
        <f>IFERROR(Serie_Historica!G1039/Serie_Historica!G1038,"")</f>
        <v>5.4082467001518517E-2</v>
      </c>
      <c r="E314" s="31">
        <f>IFERROR(Serie_Historica!H1039/Serie_Historica!H1038,"")</f>
        <v>3.5824311240207726E-2</v>
      </c>
      <c r="F314" s="31">
        <f>IFERROR(Serie_Historica!I1039/Serie_Historica!I1038,"")</f>
        <v>4.5963692545384321E-2</v>
      </c>
      <c r="G314" s="31">
        <f>IFERROR(Serie_Historica!J1039/Serie_Historica!J1038,"")</f>
        <v>4.1335698311097402E-2</v>
      </c>
      <c r="H314" s="31">
        <f>IFERROR(Serie_Historica!K1039/Serie_Historica!K1038,"")</f>
        <v>3.5354559588994798E-2</v>
      </c>
      <c r="I314" s="31">
        <f>IFERROR(Serie_Historica!L1039/Serie_Historica!L1038,"")</f>
        <v>3.1127386868951085E-2</v>
      </c>
      <c r="J314" s="31">
        <f>IFERROR(Serie_Historica!M1039/Serie_Historica!M1038,"")</f>
        <v>4.358339230950696E-2</v>
      </c>
      <c r="K314" s="31">
        <f>IFERROR(Serie_Historica!N1039/Serie_Historica!N1038,"")</f>
        <v>4.0249488353961603E-2</v>
      </c>
      <c r="L314" s="31">
        <f>IFERROR(Serie_Historica!O1039/Serie_Historica!O1038,"")</f>
        <v>3.9617233727810654E-2</v>
      </c>
      <c r="M314" s="31">
        <f>IFERROR(Serie_Historica!P1039/Serie_Historica!P1038,"")</f>
        <v>3.7927371444308924E-2</v>
      </c>
      <c r="N314" s="31">
        <f>IFERROR(Serie_Historica!Q1039/Serie_Historica!Q1038,"")</f>
        <v>7.5401647090589982E-2</v>
      </c>
      <c r="O314" s="31">
        <f>IFERROR(Serie_Historica!R1039/Serie_Historica!R1038,"")</f>
        <v>8.2835581713819523E-2</v>
      </c>
      <c r="P314" s="31">
        <f>IFERROR(Serie_Historica!S1039/Serie_Historica!S1038,"")</f>
        <v>7.6983171120731747E-2</v>
      </c>
      <c r="Q314" s="31">
        <f>IFERROR(Serie_Historica!T1039/Serie_Historica!T1038,"")</f>
        <v>0.77117753242328246</v>
      </c>
      <c r="R314" s="31">
        <f>IFERROR(Serie_Historica!U1039/Serie_Historica!U1038,"")</f>
        <v>0.76755705455143719</v>
      </c>
      <c r="S314" s="31">
        <f>IFERROR(Serie_Historica!V1039/Serie_Historica!V1038,"")</f>
        <v>0.72352355443852201</v>
      </c>
      <c r="T314" s="31">
        <f>IFERROR(Serie_Historica!W1039/Serie_Historica!W1038,"")</f>
        <v>0.71809568431464421</v>
      </c>
      <c r="U314" s="31">
        <f>IFERROR(Serie_Historica!X1039/Serie_Historica!X1038,"")</f>
        <v>0.69797617600583439</v>
      </c>
      <c r="V314" s="31">
        <f>IFERROR(Serie_Historica!Y1039/Serie_Historica!Y1038,"")</f>
        <v>0.75611538670727729</v>
      </c>
      <c r="W314" s="31">
        <f>IFERROR(Serie_Historica!Z1039/Serie_Historica!Z1038,"")</f>
        <v>0.78084933551899771</v>
      </c>
      <c r="X314" s="19">
        <f>IFERROR((W314-D314)*100,"")</f>
        <v>72.676686851747917</v>
      </c>
    </row>
    <row r="315" spans="1:24">
      <c r="A315" s="28" t="s">
        <v>179</v>
      </c>
      <c r="B315" s="28" t="s">
        <v>180</v>
      </c>
      <c r="C315" s="28" t="s">
        <v>505</v>
      </c>
      <c r="D315" s="31">
        <f>IFERROR(Serie_Historica!G1040/Serie_Historica!G1038,"")</f>
        <v>0.17848382198341314</v>
      </c>
      <c r="E315" s="31">
        <f>IFERROR(Serie_Historica!H1040/Serie_Historica!H1038,"")</f>
        <v>0.17824135199366253</v>
      </c>
      <c r="F315" s="31">
        <f>IFERROR(Serie_Historica!I1040/Serie_Historica!I1038,"")</f>
        <v>0.19250675936655079</v>
      </c>
      <c r="G315" s="31">
        <f>IFERROR(Serie_Historica!J1040/Serie_Historica!J1038,"")</f>
        <v>0.18415979023675483</v>
      </c>
      <c r="H315" s="31">
        <f>IFERROR(Serie_Historica!K1040/Serie_Historica!K1038,"")</f>
        <v>0.18299195565470155</v>
      </c>
      <c r="I315" s="31">
        <f>IFERROR(Serie_Historica!L1040/Serie_Historica!L1038,"")</f>
        <v>0.18329845670939054</v>
      </c>
      <c r="J315" s="31">
        <f>IFERROR(Serie_Historica!M1040/Serie_Historica!M1038,"")</f>
        <v>0.16719745222929935</v>
      </c>
      <c r="K315" s="31">
        <f>IFERROR(Serie_Historica!N1040/Serie_Historica!N1038,"")</f>
        <v>0.17162069973686775</v>
      </c>
      <c r="L315" s="31">
        <f>IFERROR(Serie_Historica!O1040/Serie_Historica!O1038,"")</f>
        <v>0.18786982248520709</v>
      </c>
      <c r="M315" s="31">
        <f>IFERROR(Serie_Historica!P1040/Serie_Historica!P1038,"")</f>
        <v>0.23252154070110556</v>
      </c>
      <c r="N315" s="31">
        <f>IFERROR(Serie_Historica!Q1040/Serie_Historica!Q1038,"")</f>
        <v>0.25756041582287026</v>
      </c>
      <c r="O315" s="31">
        <f>IFERROR(Serie_Historica!R1040/Serie_Historica!R1038,"")</f>
        <v>0.22502258092712915</v>
      </c>
      <c r="P315" s="31">
        <f>IFERROR(Serie_Historica!S1040/Serie_Historica!S1038,"")</f>
        <v>0.19582695875785294</v>
      </c>
      <c r="Q315" s="31">
        <f>IFERROR(Serie_Historica!T1040/Serie_Historica!T1038,"")</f>
        <v>5.2464459442805256E-2</v>
      </c>
      <c r="R315" s="31">
        <f>IFERROR(Serie_Historica!U1040/Serie_Historica!U1038,"")</f>
        <v>6.6996497990457607E-2</v>
      </c>
      <c r="S315" s="31">
        <f>IFERROR(Serie_Historica!V1040/Serie_Historica!V1038,"")</f>
        <v>0.10077795941405439</v>
      </c>
      <c r="T315" s="31">
        <f>IFERROR(Serie_Historica!W1040/Serie_Historica!W1038,"")</f>
        <v>0.10203029829767296</v>
      </c>
      <c r="U315" s="31">
        <f>IFERROR(Serie_Historica!X1040/Serie_Historica!X1038,"")</f>
        <v>0.11090008508569345</v>
      </c>
      <c r="V315" s="31">
        <f>IFERROR(Serie_Historica!Y1040/Serie_Historica!Y1038,"")</f>
        <v>0.10952626998803437</v>
      </c>
      <c r="W315" s="31">
        <f>IFERROR(Serie_Historica!Z1040/Serie_Historica!Z1038,"")</f>
        <v>6.8870382296118499E-2</v>
      </c>
      <c r="X315" s="19">
        <f>IFERROR((W315-D315)*100,"")</f>
        <v>-10.961343968729464</v>
      </c>
    </row>
    <row r="316" spans="1:24">
      <c r="A316" s="28" t="s">
        <v>179</v>
      </c>
      <c r="B316" s="28" t="s">
        <v>180</v>
      </c>
      <c r="C316" s="28" t="s">
        <v>506</v>
      </c>
      <c r="D316" s="31">
        <f>IFERROR(Serie_Historica!G1041/Serie_Historica!G1038,"")</f>
        <v>0.63730872561616636</v>
      </c>
      <c r="E316" s="31">
        <f>IFERROR(Serie_Historica!H1041/Serie_Historica!H1038,"")</f>
        <v>0.57160461227004666</v>
      </c>
      <c r="F316" s="31">
        <f>IFERROR(Serie_Historica!I1041/Serie_Historica!I1038,"")</f>
        <v>0.56268829663962916</v>
      </c>
      <c r="G316" s="31">
        <f>IFERROR(Serie_Historica!J1041/Serie_Historica!J1038,"")</f>
        <v>0.61571681961903291</v>
      </c>
      <c r="H316" s="31">
        <f>IFERROR(Serie_Historica!K1041/Serie_Historica!K1038,"")</f>
        <v>0.61813019671466229</v>
      </c>
      <c r="I316" s="31">
        <f>IFERROR(Serie_Historica!L1041/Serie_Historica!L1038,"")</f>
        <v>0.62967564739733195</v>
      </c>
      <c r="J316" s="31">
        <f>IFERROR(Serie_Historica!M1041/Serie_Historica!M1038,"")</f>
        <v>0.64508138711960372</v>
      </c>
      <c r="K316" s="31">
        <f>IFERROR(Serie_Historica!N1041/Serie_Historica!N1038,"")</f>
        <v>0.6402884709092681</v>
      </c>
      <c r="L316" s="31">
        <f>IFERROR(Serie_Historica!O1041/Serie_Historica!O1038,"")</f>
        <v>0.62911427514792895</v>
      </c>
      <c r="M316" s="31">
        <f>IFERROR(Serie_Historica!P1041/Serie_Historica!P1038,"")</f>
        <v>0.60125113113270645</v>
      </c>
      <c r="N316" s="31">
        <f>IFERROR(Serie_Historica!Q1041/Serie_Historica!Q1038,"")</f>
        <v>0.54701633589847443</v>
      </c>
      <c r="O316" s="31">
        <f>IFERROR(Serie_Historica!R1041/Serie_Historica!R1038,"")</f>
        <v>0.56385303458523939</v>
      </c>
      <c r="P316" s="31">
        <f>IFERROR(Serie_Historica!S1041/Serie_Historica!S1038,"")</f>
        <v>0.5989388366264119</v>
      </c>
      <c r="Q316" s="31">
        <f>IFERROR(Serie_Historica!T1041/Serie_Historica!T1038,"")</f>
        <v>0.14517801088871329</v>
      </c>
      <c r="R316" s="31">
        <f>IFERROR(Serie_Historica!U1041/Serie_Historica!U1038,"")</f>
        <v>0.1361318071779444</v>
      </c>
      <c r="S316" s="31">
        <f>IFERROR(Serie_Historica!V1041/Serie_Historica!V1038,"")</f>
        <v>0.1451232434677501</v>
      </c>
      <c r="T316" s="31">
        <f>IFERROR(Serie_Historica!W1041/Serie_Historica!W1038,"")</f>
        <v>0.14191785100734031</v>
      </c>
      <c r="U316" s="31">
        <f>IFERROR(Serie_Historica!X1041/Serie_Historica!X1038,"")</f>
        <v>0.15080426238807179</v>
      </c>
      <c r="V316" s="31">
        <f>IFERROR(Serie_Historica!Y1041/Serie_Historica!Y1038,"")</f>
        <v>0.11069223865984988</v>
      </c>
      <c r="W316" s="31">
        <f>IFERROR(Serie_Historica!Z1041/Serie_Historica!Z1038,"")</f>
        <v>0.12399742403840525</v>
      </c>
      <c r="X316" s="19">
        <f>IFERROR((W316-D316)*100,"")</f>
        <v>-51.331130157776109</v>
      </c>
    </row>
    <row r="317" spans="1:24">
      <c r="A317" s="28" t="s">
        <v>419</v>
      </c>
      <c r="B317" s="28" t="s">
        <v>420</v>
      </c>
      <c r="C317" s="28" t="s">
        <v>504</v>
      </c>
      <c r="D317" s="31">
        <f>IFERROR(Serie_Historica!G1049/Serie_Historica!G1048,"")</f>
        <v>4.7666335650446874E-2</v>
      </c>
      <c r="E317" s="31">
        <f>IFERROR(Serie_Historica!H1049/Serie_Historica!H1048,"")</f>
        <v>2.7389103899970228E-2</v>
      </c>
      <c r="F317" s="31">
        <f>IFERROR(Serie_Historica!I1049/Serie_Historica!I1048,"")</f>
        <v>3.1073056207706118E-2</v>
      </c>
      <c r="G317" s="31">
        <f>IFERROR(Serie_Historica!J1049/Serie_Historica!J1048,"")</f>
        <v>3.0939796313007605E-2</v>
      </c>
      <c r="H317" s="31">
        <f>IFERROR(Serie_Historica!K1049/Serie_Historica!K1048,"")</f>
        <v>2.7468107114124812E-2</v>
      </c>
      <c r="I317" s="31">
        <f>IFERROR(Serie_Historica!L1049/Serie_Historica!L1048,"")</f>
        <v>3.2000000000000001E-2</v>
      </c>
      <c r="J317" s="31">
        <f>IFERROR(Serie_Historica!M1049/Serie_Historica!M1048,"")</f>
        <v>2.8197047603250952E-2</v>
      </c>
      <c r="K317" s="31">
        <f>IFERROR(Serie_Historica!N1049/Serie_Historica!N1048,"")</f>
        <v>3.117810392701309E-2</v>
      </c>
      <c r="L317" s="31">
        <f>IFERROR(Serie_Historica!O1049/Serie_Historica!O1048,"")</f>
        <v>2.7838667251205613E-2</v>
      </c>
      <c r="M317" s="31">
        <f>IFERROR(Serie_Historica!P1049/Serie_Historica!P1048,"")</f>
        <v>2.9949981700622179E-2</v>
      </c>
      <c r="N317" s="31">
        <f>IFERROR(Serie_Historica!Q1049/Serie_Historica!Q1048,"")</f>
        <v>3.3242150333016175E-2</v>
      </c>
      <c r="O317" s="31">
        <f>IFERROR(Serie_Historica!R1049/Serie_Historica!R1048,"")</f>
        <v>2.9829941455255089E-2</v>
      </c>
      <c r="P317" s="31">
        <f>IFERROR(Serie_Historica!S1049/Serie_Historica!S1048,"")</f>
        <v>3.4495130702203995E-2</v>
      </c>
      <c r="Q317" s="31">
        <f>IFERROR(Serie_Historica!T1049/Serie_Historica!T1048,"")</f>
        <v>3.3923578751164959E-2</v>
      </c>
      <c r="R317" s="31">
        <f>IFERROR(Serie_Historica!U1049/Serie_Historica!U1048,"")</f>
        <v>7.9649456052495252E-2</v>
      </c>
      <c r="S317" s="31">
        <f>IFERROR(Serie_Historica!V1049/Serie_Historica!V1048,"")</f>
        <v>2.4711422261115973E-2</v>
      </c>
      <c r="T317" s="31">
        <f>IFERROR(Serie_Historica!W1049/Serie_Historica!W1048,"")</f>
        <v>2.2468129649706532E-2</v>
      </c>
      <c r="U317" s="31">
        <f>IFERROR(Serie_Historica!X1049/Serie_Historica!X1048,"")</f>
        <v>2.3274148214163296E-2</v>
      </c>
      <c r="V317" s="31">
        <f>IFERROR(Serie_Historica!Y1049/Serie_Historica!Y1048,"")</f>
        <v>2.1634695027001955E-2</v>
      </c>
      <c r="W317" s="31">
        <f>IFERROR(Serie_Historica!Z1049/Serie_Historica!Z1048,"")</f>
        <v>2.3973415618324233E-2</v>
      </c>
      <c r="X317" s="19">
        <f>IFERROR((W317-D317)*100,"")</f>
        <v>-2.369292003212264</v>
      </c>
    </row>
    <row r="318" spans="1:24">
      <c r="A318" s="28" t="s">
        <v>419</v>
      </c>
      <c r="B318" s="28" t="s">
        <v>420</v>
      </c>
      <c r="C318" s="28" t="s">
        <v>505</v>
      </c>
      <c r="D318" s="31">
        <f>IFERROR(Serie_Historica!G1050/Serie_Historica!G1048,"")</f>
        <v>0.1651770936775902</v>
      </c>
      <c r="E318" s="31">
        <f>IFERROR(Serie_Historica!H1050/Serie_Historica!H1048,"")</f>
        <v>0.16805596903840428</v>
      </c>
      <c r="F318" s="31">
        <f>IFERROR(Serie_Historica!I1050/Serie_Historica!I1048,"")</f>
        <v>0.18105234083690097</v>
      </c>
      <c r="G318" s="31">
        <f>IFERROR(Serie_Historica!J1050/Serie_Historica!J1048,"")</f>
        <v>0.17055562717545442</v>
      </c>
      <c r="H318" s="31">
        <f>IFERROR(Serie_Historica!K1050/Serie_Historica!K1048,"")</f>
        <v>0.16319963222618089</v>
      </c>
      <c r="I318" s="31">
        <f>IFERROR(Serie_Historica!L1050/Serie_Historica!L1048,"")</f>
        <v>0.17485714285714285</v>
      </c>
      <c r="J318" s="31">
        <f>IFERROR(Serie_Historica!M1050/Serie_Historica!M1048,"")</f>
        <v>0.15964504893017084</v>
      </c>
      <c r="K318" s="31">
        <f>IFERROR(Serie_Historica!N1050/Serie_Historica!N1048,"")</f>
        <v>0.16152320507735027</v>
      </c>
      <c r="L318" s="31">
        <f>IFERROR(Serie_Historica!O1050/Serie_Historica!O1048,"")</f>
        <v>0.1723659213795119</v>
      </c>
      <c r="M318" s="31">
        <f>IFERROR(Serie_Historica!P1050/Serie_Historica!P1048,"")</f>
        <v>0.16792729047212396</v>
      </c>
      <c r="N318" s="31">
        <f>IFERROR(Serie_Historica!Q1050/Serie_Historica!Q1048,"")</f>
        <v>0.17394148430066603</v>
      </c>
      <c r="O318" s="31">
        <f>IFERROR(Serie_Historica!R1050/Serie_Historica!R1048,"")</f>
        <v>0.1701700585447449</v>
      </c>
      <c r="P318" s="31">
        <f>IFERROR(Serie_Historica!S1050/Serie_Historica!S1048,"")</f>
        <v>0.16873398257303945</v>
      </c>
      <c r="Q318" s="31">
        <f>IFERROR(Serie_Historica!T1050/Serie_Historica!T1048,"")</f>
        <v>0.17455731593662629</v>
      </c>
      <c r="R318" s="31">
        <f>IFERROR(Serie_Historica!U1050/Serie_Historica!U1048,"")</f>
        <v>0.17009152132619582</v>
      </c>
      <c r="S318" s="31">
        <f>IFERROR(Serie_Historica!V1050/Serie_Historica!V1048,"")</f>
        <v>0.17577197149643706</v>
      </c>
      <c r="T318" s="31">
        <f>IFERROR(Serie_Historica!W1050/Serie_Historica!W1048,"")</f>
        <v>0.18116565105237578</v>
      </c>
      <c r="U318" s="31">
        <f>IFERROR(Serie_Historica!X1050/Serie_Historica!X1048,"")</f>
        <v>0.19178035236854735</v>
      </c>
      <c r="V318" s="31">
        <f>IFERROR(Serie_Historica!Y1050/Serie_Historica!Y1048,"")</f>
        <v>0.19802537852433488</v>
      </c>
      <c r="W318" s="31">
        <f>IFERROR(Serie_Historica!Z1050/Serie_Historica!Z1048,"")</f>
        <v>0.1953774032755756</v>
      </c>
      <c r="X318" s="19">
        <f>IFERROR((W318-D318)*100,"")</f>
        <v>3.0200309597985391</v>
      </c>
    </row>
    <row r="319" spans="1:24">
      <c r="A319" s="28" t="s">
        <v>419</v>
      </c>
      <c r="B319" s="28" t="s">
        <v>420</v>
      </c>
      <c r="C319" s="28" t="s">
        <v>506</v>
      </c>
      <c r="D319" s="31">
        <f>IFERROR(Serie_Historica!G1051/Serie_Historica!G1048,"")</f>
        <v>0.71317444554783183</v>
      </c>
      <c r="E319" s="31">
        <f>IFERROR(Serie_Historica!H1051/Serie_Historica!H1048,"")</f>
        <v>0.69857100327478416</v>
      </c>
      <c r="F319" s="31">
        <f>IFERROR(Serie_Historica!I1051/Serie_Historica!I1048,"")</f>
        <v>0.70404640243060346</v>
      </c>
      <c r="G319" s="31">
        <f>IFERROR(Serie_Historica!J1051/Serie_Historica!J1048,"")</f>
        <v>0.7203815908211938</v>
      </c>
      <c r="H319" s="31">
        <f>IFERROR(Serie_Historica!K1051/Serie_Historica!K1048,"")</f>
        <v>0.69716124583381223</v>
      </c>
      <c r="I319" s="31">
        <f>IFERROR(Serie_Historica!L1051/Serie_Historica!L1048,"")</f>
        <v>0.7318095238095238</v>
      </c>
      <c r="J319" s="31">
        <f>IFERROR(Serie_Historica!M1051/Serie_Historica!M1048,"")</f>
        <v>0.73768452479681534</v>
      </c>
      <c r="K319" s="31">
        <f>IFERROR(Serie_Historica!N1051/Serie_Historica!N1048,"")</f>
        <v>0.72185640618802061</v>
      </c>
      <c r="L319" s="31">
        <f>IFERROR(Serie_Historica!O1051/Serie_Historica!O1048,"")</f>
        <v>0.73878415899459304</v>
      </c>
      <c r="M319" s="31">
        <f>IFERROR(Serie_Historica!P1051/Serie_Historica!P1048,"")</f>
        <v>0.71581066243747715</v>
      </c>
      <c r="N319" s="31">
        <f>IFERROR(Serie_Historica!Q1051/Serie_Historica!Q1048,"")</f>
        <v>0.74387488106565181</v>
      </c>
      <c r="O319" s="31">
        <f>IFERROR(Serie_Historica!R1051/Serie_Historica!R1048,"")</f>
        <v>0.72121550041817672</v>
      </c>
      <c r="P319" s="31">
        <f>IFERROR(Serie_Historica!S1051/Serie_Historica!S1048,"")</f>
        <v>0.74141465914915428</v>
      </c>
      <c r="Q319" s="31">
        <f>IFERROR(Serie_Historica!T1051/Serie_Historica!T1048,"")</f>
        <v>0.69543336439888159</v>
      </c>
      <c r="R319" s="31">
        <f>IFERROR(Serie_Historica!U1051/Serie_Historica!U1048,"")</f>
        <v>0.64043343118632357</v>
      </c>
      <c r="S319" s="31">
        <f>IFERROR(Serie_Historica!V1051/Serie_Historica!V1048,"")</f>
        <v>0.69787890152935783</v>
      </c>
      <c r="T319" s="31">
        <f>IFERROR(Serie_Historica!W1051/Serie_Historica!W1048,"")</f>
        <v>0.66682866649220529</v>
      </c>
      <c r="U319" s="31">
        <f>IFERROR(Serie_Historica!X1051/Serie_Historica!X1048,"")</f>
        <v>0.65993693014327826</v>
      </c>
      <c r="V319" s="31">
        <f>IFERROR(Serie_Historica!Y1051/Serie_Historica!Y1048,"")</f>
        <v>0.66530828612132653</v>
      </c>
      <c r="W319" s="31">
        <f>IFERROR(Serie_Historica!Z1051/Serie_Historica!Z1048,"")</f>
        <v>0.67659624970329935</v>
      </c>
      <c r="X319" s="19">
        <f>IFERROR((W319-D319)*100,"")</f>
        <v>-3.657819584453248</v>
      </c>
    </row>
    <row r="320" spans="1:24">
      <c r="A320" s="28" t="s">
        <v>315</v>
      </c>
      <c r="B320" s="28" t="s">
        <v>316</v>
      </c>
      <c r="C320" s="28" t="s">
        <v>504</v>
      </c>
      <c r="D320" s="31">
        <f>IFERROR(Serie_Historica!G1059/Serie_Historica!G1058,"")</f>
        <v>0.23228545436166986</v>
      </c>
      <c r="E320" s="31">
        <f>IFERROR(Serie_Historica!H1059/Serie_Historica!H1058,"")</f>
        <v>0.19480979360582759</v>
      </c>
      <c r="F320" s="31">
        <f>IFERROR(Serie_Historica!I1059/Serie_Historica!I1058,"")</f>
        <v>0.19470428111853502</v>
      </c>
      <c r="G320" s="31">
        <f>IFERROR(Serie_Historica!J1059/Serie_Historica!J1058,"")</f>
        <v>0.20413660852890148</v>
      </c>
      <c r="H320" s="31">
        <f>IFERROR(Serie_Historica!K1059/Serie_Historica!K1058,"")</f>
        <v>0.15860190649114844</v>
      </c>
      <c r="I320" s="31">
        <f>IFERROR(Serie_Historica!L1059/Serie_Historica!L1058,"")</f>
        <v>0.14533211755628814</v>
      </c>
      <c r="J320" s="31">
        <f>IFERROR(Serie_Historica!M1059/Serie_Historica!M1058,"")</f>
        <v>0.14895148026315788</v>
      </c>
      <c r="K320" s="31">
        <f>IFERROR(Serie_Historica!N1059/Serie_Historica!N1058,"")</f>
        <v>0.12484822067934867</v>
      </c>
      <c r="L320" s="31">
        <f>IFERROR(Serie_Historica!O1059/Serie_Historica!O1058,"")</f>
        <v>0.15244200419697013</v>
      </c>
      <c r="M320" s="31">
        <f>IFERROR(Serie_Historica!P1059/Serie_Historica!P1058,"")</f>
        <v>0.14915227752168139</v>
      </c>
      <c r="N320" s="31">
        <f>IFERROR(Serie_Historica!Q1059/Serie_Historica!Q1058,"")</f>
        <v>4.3274432023079699E-2</v>
      </c>
      <c r="O320" s="31">
        <f>IFERROR(Serie_Historica!R1059/Serie_Historica!R1058,"")</f>
        <v>3.3357307606458171E-2</v>
      </c>
      <c r="P320" s="31">
        <f>IFERROR(Serie_Historica!S1059/Serie_Historica!S1058,"")</f>
        <v>3.8409640796575467E-2</v>
      </c>
      <c r="Q320" s="31">
        <f>IFERROR(Serie_Historica!T1059/Serie_Historica!T1058,"")</f>
        <v>4.5627296144588492E-2</v>
      </c>
      <c r="R320" s="31">
        <f>IFERROR(Serie_Historica!U1059/Serie_Historica!U1058,"")</f>
        <v>4.5967111983495901E-2</v>
      </c>
      <c r="S320" s="31">
        <f>IFERROR(Serie_Historica!V1059/Serie_Historica!V1058,"")</f>
        <v>3.679182824174785E-2</v>
      </c>
      <c r="T320" s="31">
        <f>IFERROR(Serie_Historica!W1059/Serie_Historica!W1058,"")</f>
        <v>3.6020706084651348E-2</v>
      </c>
      <c r="U320" s="31">
        <f>IFERROR(Serie_Historica!X1059/Serie_Historica!X1058,"")</f>
        <v>3.410426021598828E-2</v>
      </c>
      <c r="V320" s="31">
        <f>IFERROR(Serie_Historica!Y1059/Serie_Historica!Y1058,"")</f>
        <v>3.2440035312953572E-2</v>
      </c>
      <c r="W320" s="31">
        <f>IFERROR(Serie_Historica!Z1059/Serie_Historica!Z1058,"")</f>
        <v>3.7995072958120144E-2</v>
      </c>
      <c r="X320" s="19">
        <f>IFERROR((W320-D320)*100,"")</f>
        <v>-19.429038140354969</v>
      </c>
    </row>
    <row r="321" spans="1:24">
      <c r="A321" s="28" t="s">
        <v>315</v>
      </c>
      <c r="B321" s="28" t="s">
        <v>316</v>
      </c>
      <c r="C321" s="28" t="s">
        <v>505</v>
      </c>
      <c r="D321" s="31">
        <f>IFERROR(Serie_Historica!G1060/Serie_Historica!G1058,"")</f>
        <v>0.25472556352976855</v>
      </c>
      <c r="E321" s="31">
        <f>IFERROR(Serie_Historica!H1060/Serie_Historica!H1058,"")</f>
        <v>0.23598745447187375</v>
      </c>
      <c r="F321" s="31">
        <f>IFERROR(Serie_Historica!I1060/Serie_Historica!I1058,"")</f>
        <v>0.25122494432071268</v>
      </c>
      <c r="G321" s="31">
        <f>IFERROR(Serie_Historica!J1060/Serie_Historica!J1058,"")</f>
        <v>0.23491005387635833</v>
      </c>
      <c r="H321" s="31">
        <f>IFERROR(Serie_Historica!K1060/Serie_Historica!K1058,"")</f>
        <v>0.24130730821606899</v>
      </c>
      <c r="I321" s="31">
        <f>IFERROR(Serie_Historica!L1060/Serie_Historica!L1058,"")</f>
        <v>0.20835379112015151</v>
      </c>
      <c r="J321" s="31">
        <f>IFERROR(Serie_Historica!M1060/Serie_Historica!M1058,"")</f>
        <v>0.18400493421052633</v>
      </c>
      <c r="K321" s="31">
        <f>IFERROR(Serie_Historica!N1060/Serie_Historica!N1058,"")</f>
        <v>0.19764002615274448</v>
      </c>
      <c r="L321" s="31">
        <f>IFERROR(Serie_Historica!O1060/Serie_Historica!O1058,"")</f>
        <v>0.2064851812458677</v>
      </c>
      <c r="M321" s="31">
        <f>IFERROR(Serie_Historica!P1060/Serie_Historica!P1058,"")</f>
        <v>0.18772299919264526</v>
      </c>
      <c r="N321" s="31">
        <f>IFERROR(Serie_Historica!Q1060/Serie_Historica!Q1058,"")</f>
        <v>0.20838303420344531</v>
      </c>
      <c r="O321" s="31">
        <f>IFERROR(Serie_Historica!R1060/Serie_Historica!R1058,"")</f>
        <v>0.20914659854666304</v>
      </c>
      <c r="P321" s="31">
        <f>IFERROR(Serie_Historica!S1060/Serie_Historica!S1058,"")</f>
        <v>0.19723618090452261</v>
      </c>
      <c r="Q321" s="31">
        <f>IFERROR(Serie_Historica!T1060/Serie_Historica!T1058,"")</f>
        <v>0.21738946835015413</v>
      </c>
      <c r="R321" s="31">
        <f>IFERROR(Serie_Historica!U1060/Serie_Historica!U1058,"")</f>
        <v>0.22232459390710438</v>
      </c>
      <c r="S321" s="31">
        <f>IFERROR(Serie_Historica!V1060/Serie_Historica!V1058,"")</f>
        <v>0.22328572779721934</v>
      </c>
      <c r="T321" s="31">
        <f>IFERROR(Serie_Historica!W1060/Serie_Historica!W1058,"")</f>
        <v>0.22518762650235541</v>
      </c>
      <c r="U321" s="31">
        <f>IFERROR(Serie_Historica!X1060/Serie_Historica!X1058,"")</f>
        <v>0.24416976485925354</v>
      </c>
      <c r="V321" s="31">
        <f>IFERROR(Serie_Historica!Y1060/Serie_Historica!Y1058,"")</f>
        <v>0.25363977794735976</v>
      </c>
      <c r="W321" s="31">
        <f>IFERROR(Serie_Historica!Z1060/Serie_Historica!Z1058,"")</f>
        <v>0.23771623487371071</v>
      </c>
      <c r="X321" s="19">
        <f>IFERROR((W321-D321)*100,"")</f>
        <v>-1.7009328656057838</v>
      </c>
    </row>
    <row r="322" spans="1:24">
      <c r="A322" s="28" t="s">
        <v>315</v>
      </c>
      <c r="B322" s="28" t="s">
        <v>316</v>
      </c>
      <c r="C322" s="28" t="s">
        <v>506</v>
      </c>
      <c r="D322" s="31">
        <f>IFERROR(Serie_Historica!G1061/Serie_Historica!G1058,"")</f>
        <v>0.46628929546143738</v>
      </c>
      <c r="E322" s="31">
        <f>IFERROR(Serie_Historica!H1061/Serie_Historica!H1058,"")</f>
        <v>0.4816369890732497</v>
      </c>
      <c r="F322" s="31">
        <f>IFERROR(Serie_Historica!I1061/Serie_Historica!I1058,"")</f>
        <v>0.48097005691660483</v>
      </c>
      <c r="G322" s="31">
        <f>IFERROR(Serie_Historica!J1061/Serie_Historica!J1058,"")</f>
        <v>0.49452104830609078</v>
      </c>
      <c r="H322" s="31">
        <f>IFERROR(Serie_Historica!K1061/Serie_Historica!K1058,"")</f>
        <v>0.52501134816159778</v>
      </c>
      <c r="I322" s="31">
        <f>IFERROR(Serie_Historica!L1061/Serie_Historica!L1058,"")</f>
        <v>0.60671950620747706</v>
      </c>
      <c r="J322" s="31">
        <f>IFERROR(Serie_Historica!M1061/Serie_Historica!M1058,"")</f>
        <v>0.61660498903508776</v>
      </c>
      <c r="K322" s="31">
        <f>IFERROR(Serie_Historica!N1061/Serie_Historica!N1058,"")</f>
        <v>0.62118994987390641</v>
      </c>
      <c r="L322" s="31">
        <f>IFERROR(Serie_Historica!O1061/Serie_Historica!O1058,"")</f>
        <v>0.6006841636243424</v>
      </c>
      <c r="M322" s="31">
        <f>IFERROR(Serie_Historica!P1061/Serie_Historica!P1058,"")</f>
        <v>0.60512540042190799</v>
      </c>
      <c r="N322" s="31">
        <f>IFERROR(Serie_Historica!Q1061/Serie_Historica!Q1058,"")</f>
        <v>0.69810535659796391</v>
      </c>
      <c r="O322" s="31">
        <f>IFERROR(Serie_Historica!R1061/Serie_Historica!R1058,"")</f>
        <v>0.71357357208402572</v>
      </c>
      <c r="P322" s="31">
        <f>IFERROR(Serie_Historica!S1061/Serie_Historica!S1058,"")</f>
        <v>0.70828680439233205</v>
      </c>
      <c r="Q322" s="31">
        <f>IFERROR(Serie_Historica!T1061/Serie_Historica!T1058,"")</f>
        <v>0.68569739453570377</v>
      </c>
      <c r="R322" s="31">
        <f>IFERROR(Serie_Historica!U1061/Serie_Historica!U1058,"")</f>
        <v>0.68335770224527814</v>
      </c>
      <c r="S322" s="31">
        <f>IFERROR(Serie_Historica!V1061/Serie_Historica!V1058,"")</f>
        <v>0.69251867965572689</v>
      </c>
      <c r="T322" s="31">
        <f>IFERROR(Serie_Historica!W1061/Serie_Historica!W1058,"")</f>
        <v>0.68457253398771245</v>
      </c>
      <c r="U322" s="31">
        <f>IFERROR(Serie_Historica!X1061/Serie_Historica!X1058,"")</f>
        <v>0.66690808427083836</v>
      </c>
      <c r="V322" s="31">
        <f>IFERROR(Serie_Historica!Y1061/Serie_Historica!Y1058,"")</f>
        <v>0.65855665783842832</v>
      </c>
      <c r="W322" s="31">
        <f>IFERROR(Serie_Historica!Z1061/Serie_Historica!Z1058,"")</f>
        <v>0.66860229026232443</v>
      </c>
      <c r="X322" s="19">
        <f>IFERROR((W322-D322)*100,"")</f>
        <v>20.231299480088705</v>
      </c>
    </row>
    <row r="323" spans="1:24">
      <c r="A323" s="28" t="s">
        <v>209</v>
      </c>
      <c r="B323" s="28" t="s">
        <v>210</v>
      </c>
      <c r="C323" s="28" t="s">
        <v>504</v>
      </c>
      <c r="D323" s="31">
        <f>IFERROR(Serie_Historica!G1069/Serie_Historica!G1068,"")</f>
        <v>6.1489476078236779E-2</v>
      </c>
      <c r="E323" s="31">
        <f>IFERROR(Serie_Historica!H1069/Serie_Historica!H1068,"")</f>
        <v>4.4413259500872333E-2</v>
      </c>
      <c r="F323" s="31">
        <f>IFERROR(Serie_Historica!I1069/Serie_Historica!I1068,"")</f>
        <v>5.331446909831257E-2</v>
      </c>
      <c r="G323" s="31">
        <f>IFERROR(Serie_Historica!J1069/Serie_Historica!J1068,"")</f>
        <v>5.1560190736454646E-2</v>
      </c>
      <c r="H323" s="31">
        <f>IFERROR(Serie_Historica!K1069/Serie_Historica!K1068,"")</f>
        <v>4.4226857764533369E-2</v>
      </c>
      <c r="I323" s="31">
        <f>IFERROR(Serie_Historica!L1069/Serie_Historica!L1068,"")</f>
        <v>4.511045198990659E-2</v>
      </c>
      <c r="J323" s="31">
        <f>IFERROR(Serie_Historica!M1069/Serie_Historica!M1068,"")</f>
        <v>4.208116376603116E-2</v>
      </c>
      <c r="K323" s="31">
        <f>IFERROR(Serie_Historica!N1069/Serie_Historica!N1068,"")</f>
        <v>4.2323998762668999E-2</v>
      </c>
      <c r="L323" s="31">
        <f>IFERROR(Serie_Historica!O1069/Serie_Historica!O1068,"")</f>
        <v>3.545709847973768E-2</v>
      </c>
      <c r="M323" s="31">
        <f>IFERROR(Serie_Historica!P1069/Serie_Historica!P1068,"")</f>
        <v>3.7985827476222776E-2</v>
      </c>
      <c r="N323" s="31">
        <f>IFERROR(Serie_Historica!Q1069/Serie_Historica!Q1068,"")</f>
        <v>4.4628076371261448E-2</v>
      </c>
      <c r="O323" s="31">
        <f>IFERROR(Serie_Historica!R1069/Serie_Historica!R1068,"")</f>
        <v>4.3979069987688225E-2</v>
      </c>
      <c r="P323" s="31">
        <f>IFERROR(Serie_Historica!S1069/Serie_Historica!S1068,"")</f>
        <v>4.877946656617678E-2</v>
      </c>
      <c r="Q323" s="31">
        <f>IFERROR(Serie_Historica!T1069/Serie_Historica!T1068,"")</f>
        <v>6.0112899934902791E-2</v>
      </c>
      <c r="R323" s="31">
        <f>IFERROR(Serie_Historica!U1069/Serie_Historica!U1068,"")</f>
        <v>6.8391296294662937E-2</v>
      </c>
      <c r="S323" s="31">
        <f>IFERROR(Serie_Historica!V1069/Serie_Historica!V1068,"")</f>
        <v>5.879939718687207E-2</v>
      </c>
      <c r="T323" s="31">
        <f>IFERROR(Serie_Historica!W1069/Serie_Historica!W1068,"")</f>
        <v>4.7017852854054923E-2</v>
      </c>
      <c r="U323" s="31">
        <f>IFERROR(Serie_Historica!X1069/Serie_Historica!X1068,"")</f>
        <v>4.096117785957358E-2</v>
      </c>
      <c r="V323" s="31">
        <f>IFERROR(Serie_Historica!Y1069/Serie_Historica!Y1068,"")</f>
        <v>3.8533912522086357E-2</v>
      </c>
      <c r="W323" s="31">
        <f>IFERROR(Serie_Historica!Z1069/Serie_Historica!Z1068,"")</f>
        <v>4.1931415821894552E-2</v>
      </c>
      <c r="X323" s="19">
        <f>IFERROR((W323-D323)*100,"")</f>
        <v>-1.9558060256342227</v>
      </c>
    </row>
    <row r="324" spans="1:24">
      <c r="A324" s="28" t="s">
        <v>209</v>
      </c>
      <c r="B324" s="28" t="s">
        <v>210</v>
      </c>
      <c r="C324" s="28" t="s">
        <v>505</v>
      </c>
      <c r="D324" s="31">
        <f>IFERROR(Serie_Historica!G1070/Serie_Historica!G1068,"")</f>
        <v>0.19612951246743579</v>
      </c>
      <c r="E324" s="31">
        <f>IFERROR(Serie_Historica!H1070/Serie_Historica!H1068,"")</f>
        <v>0.19422741409390881</v>
      </c>
      <c r="F324" s="31">
        <f>IFERROR(Serie_Historica!I1070/Serie_Historica!I1068,"")</f>
        <v>0.20014493253735463</v>
      </c>
      <c r="G324" s="31">
        <f>IFERROR(Serie_Historica!J1070/Serie_Historica!J1068,"")</f>
        <v>0.19079222553749198</v>
      </c>
      <c r="H324" s="31">
        <f>IFERROR(Serie_Historica!K1070/Serie_Historica!K1068,"")</f>
        <v>0.19235135518660423</v>
      </c>
      <c r="I324" s="31">
        <f>IFERROR(Serie_Historica!L1070/Serie_Historica!L1068,"")</f>
        <v>0.19046881225375181</v>
      </c>
      <c r="J324" s="31">
        <f>IFERROR(Serie_Historica!M1070/Serie_Historica!M1068,"")</f>
        <v>0.17187025143343396</v>
      </c>
      <c r="K324" s="31">
        <f>IFERROR(Serie_Historica!N1070/Serie_Historica!N1068,"")</f>
        <v>0.18339792929017232</v>
      </c>
      <c r="L324" s="31">
        <f>IFERROR(Serie_Historica!O1070/Serie_Historica!O1068,"")</f>
        <v>0.19397856885109588</v>
      </c>
      <c r="M324" s="31">
        <f>IFERROR(Serie_Historica!P1070/Serie_Historica!P1068,"")</f>
        <v>0.1898714081600254</v>
      </c>
      <c r="N324" s="31">
        <f>IFERROR(Serie_Historica!Q1070/Serie_Historica!Q1068,"")</f>
        <v>0.19926056726630614</v>
      </c>
      <c r="O324" s="31">
        <f>IFERROR(Serie_Historica!R1070/Serie_Historica!R1068,"")</f>
        <v>0.19684629226252487</v>
      </c>
      <c r="P324" s="31">
        <f>IFERROR(Serie_Historica!S1070/Serie_Historica!S1068,"")</f>
        <v>0.19947242808692375</v>
      </c>
      <c r="Q324" s="31">
        <f>IFERROR(Serie_Historica!T1070/Serie_Historica!T1068,"")</f>
        <v>0.21023483575099833</v>
      </c>
      <c r="R324" s="31">
        <f>IFERROR(Serie_Historica!U1070/Serie_Historica!U1068,"")</f>
        <v>0.21305908605801882</v>
      </c>
      <c r="S324" s="31">
        <f>IFERROR(Serie_Historica!V1070/Serie_Historica!V1068,"")</f>
        <v>0.20994641661085064</v>
      </c>
      <c r="T324" s="31">
        <f>IFERROR(Serie_Historica!W1070/Serie_Historica!W1068,"")</f>
        <v>0.25632055079657351</v>
      </c>
      <c r="U324" s="31">
        <f>IFERROR(Serie_Historica!X1070/Serie_Historica!X1068,"")</f>
        <v>0.2584901729286756</v>
      </c>
      <c r="V324" s="31">
        <f>IFERROR(Serie_Historica!Y1070/Serie_Historica!Y1068,"")</f>
        <v>0.26169380816605115</v>
      </c>
      <c r="W324" s="31">
        <f>IFERROR(Serie_Historica!Z1070/Serie_Historica!Z1068,"")</f>
        <v>0.25342557113062036</v>
      </c>
      <c r="X324" s="19">
        <f>IFERROR((W324-D324)*100,"")</f>
        <v>5.7296058663184573</v>
      </c>
    </row>
    <row r="325" spans="1:24">
      <c r="A325" s="28" t="s">
        <v>209</v>
      </c>
      <c r="B325" s="28" t="s">
        <v>210</v>
      </c>
      <c r="C325" s="28" t="s">
        <v>506</v>
      </c>
      <c r="D325" s="31">
        <f>IFERROR(Serie_Historica!G1071/Serie_Historica!G1068,"")</f>
        <v>0.67171153289500884</v>
      </c>
      <c r="E325" s="31">
        <f>IFERROR(Serie_Historica!H1071/Serie_Historica!H1068,"")</f>
        <v>0.64761435181673366</v>
      </c>
      <c r="F325" s="31">
        <f>IFERROR(Serie_Historica!I1071/Serie_Historica!I1068,"")</f>
        <v>0.64070533834845922</v>
      </c>
      <c r="G325" s="31">
        <f>IFERROR(Serie_Historica!J1071/Serie_Historica!J1068,"")</f>
        <v>0.63191210507236273</v>
      </c>
      <c r="H325" s="31">
        <f>IFERROR(Serie_Historica!K1071/Serie_Historica!K1068,"")</f>
        <v>0.61515538527032776</v>
      </c>
      <c r="I325" s="31">
        <f>IFERROR(Serie_Historica!L1071/Serie_Historica!L1068,"")</f>
        <v>0.66643056354862984</v>
      </c>
      <c r="J325" s="31">
        <f>IFERROR(Serie_Historica!M1071/Serie_Historica!M1068,"")</f>
        <v>0.67830297627489511</v>
      </c>
      <c r="K325" s="31">
        <f>IFERROR(Serie_Historica!N1071/Serie_Historica!N1068,"")</f>
        <v>0.65183689065997052</v>
      </c>
      <c r="L325" s="31">
        <f>IFERROR(Serie_Historica!O1071/Serie_Historica!O1068,"")</f>
        <v>0.65688197179121099</v>
      </c>
      <c r="M325" s="31">
        <f>IFERROR(Serie_Historica!P1071/Serie_Historica!P1068,"")</f>
        <v>0.65352364733218837</v>
      </c>
      <c r="N325" s="31">
        <f>IFERROR(Serie_Historica!Q1071/Serie_Historica!Q1068,"")</f>
        <v>0.65278390906081007</v>
      </c>
      <c r="O325" s="31">
        <f>IFERROR(Serie_Historica!R1071/Serie_Historica!R1068,"")</f>
        <v>0.66474097925939957</v>
      </c>
      <c r="P325" s="31">
        <f>IFERROR(Serie_Historica!S1071/Serie_Historica!S1068,"")</f>
        <v>0.66938826780555205</v>
      </c>
      <c r="Q325" s="31">
        <f>IFERROR(Serie_Historica!T1071/Serie_Historica!T1068,"")</f>
        <v>0.6543338223720645</v>
      </c>
      <c r="R325" s="31">
        <f>IFERROR(Serie_Historica!U1071/Serie_Historica!U1068,"")</f>
        <v>0.64048263757199431</v>
      </c>
      <c r="S325" s="31">
        <f>IFERROR(Serie_Historica!V1071/Serie_Historica!V1068,"")</f>
        <v>0.64886135298057601</v>
      </c>
      <c r="T325" s="31">
        <f>IFERROR(Serie_Historica!W1071/Serie_Historica!W1068,"")</f>
        <v>0.61714834680970299</v>
      </c>
      <c r="U325" s="31">
        <f>IFERROR(Serie_Historica!X1071/Serie_Historica!X1068,"")</f>
        <v>0.62012639766650457</v>
      </c>
      <c r="V325" s="31">
        <f>IFERROR(Serie_Historica!Y1071/Serie_Historica!Y1068,"")</f>
        <v>0.59514833738382733</v>
      </c>
      <c r="W325" s="31">
        <f>IFERROR(Serie_Historica!Z1071/Serie_Historica!Z1068,"")</f>
        <v>0.60135446476208954</v>
      </c>
      <c r="X325" s="19">
        <f>IFERROR((W325-D325)*100,"")</f>
        <v>-7.0357068132919309</v>
      </c>
    </row>
    <row r="326" spans="1:24">
      <c r="A326" s="28" t="s">
        <v>133</v>
      </c>
      <c r="B326" s="28" t="s">
        <v>134</v>
      </c>
      <c r="C326" s="28" t="s">
        <v>504</v>
      </c>
      <c r="D326" s="31">
        <f>IFERROR(Serie_Historica!G1079/Serie_Historica!G1078,"")</f>
        <v>0.59847391719044241</v>
      </c>
      <c r="E326" s="31">
        <f>IFERROR(Serie_Historica!H1079/Serie_Historica!H1078,"")</f>
        <v>0.5324211432627084</v>
      </c>
      <c r="F326" s="31">
        <f>IFERROR(Serie_Historica!I1079/Serie_Historica!I1078,"")</f>
        <v>0.51681969863411192</v>
      </c>
      <c r="G326" s="31">
        <f>IFERROR(Serie_Historica!J1079/Serie_Historica!J1078,"")</f>
        <v>0.55706036562529937</v>
      </c>
      <c r="H326" s="31">
        <f>IFERROR(Serie_Historica!K1079/Serie_Historica!K1078,"")</f>
        <v>0.58022726458042084</v>
      </c>
      <c r="I326" s="31">
        <f>IFERROR(Serie_Historica!L1079/Serie_Historica!L1078,"")</f>
        <v>0.56721174338239688</v>
      </c>
      <c r="J326" s="31">
        <f>IFERROR(Serie_Historica!M1079/Serie_Historica!M1078,"")</f>
        <v>0.58968395770481241</v>
      </c>
      <c r="K326" s="31">
        <f>IFERROR(Serie_Historica!N1079/Serie_Historica!N1078,"")</f>
        <v>0.42177988572282182</v>
      </c>
      <c r="L326" s="31">
        <f>IFERROR(Serie_Historica!O1079/Serie_Historica!O1078,"")</f>
        <v>0.4943531854849445</v>
      </c>
      <c r="M326" s="31">
        <f>IFERROR(Serie_Historica!P1079/Serie_Historica!P1078,"")</f>
        <v>0.54908394966635488</v>
      </c>
      <c r="N326" s="31">
        <f>IFERROR(Serie_Historica!Q1079/Serie_Historica!Q1078,"")</f>
        <v>0.57822270981897972</v>
      </c>
      <c r="O326" s="31">
        <f>IFERROR(Serie_Historica!R1079/Serie_Historica!R1078,"")</f>
        <v>0.54631489293133906</v>
      </c>
      <c r="P326" s="31">
        <f>IFERROR(Serie_Historica!S1079/Serie_Historica!S1078,"")</f>
        <v>0.49766464577162345</v>
      </c>
      <c r="Q326" s="31">
        <f>IFERROR(Serie_Historica!T1079/Serie_Historica!T1078,"")</f>
        <v>0.41299904407364518</v>
      </c>
      <c r="R326" s="31">
        <f>IFERROR(Serie_Historica!U1079/Serie_Historica!U1078,"")</f>
        <v>0.24179803797159452</v>
      </c>
      <c r="S326" s="31">
        <f>IFERROR(Serie_Historica!V1079/Serie_Historica!V1078,"")</f>
        <v>0.33129074517646878</v>
      </c>
      <c r="T326" s="31">
        <f>IFERROR(Serie_Historica!W1079/Serie_Historica!W1078,"")</f>
        <v>0.30377930920871998</v>
      </c>
      <c r="U326" s="31">
        <f>IFERROR(Serie_Historica!X1079/Serie_Historica!X1078,"")</f>
        <v>0.31360074987600145</v>
      </c>
      <c r="V326" s="31">
        <f>IFERROR(Serie_Historica!Y1079/Serie_Historica!Y1078,"")</f>
        <v>0.29103426449677505</v>
      </c>
      <c r="W326" s="31">
        <f>IFERROR(Serie_Historica!Z1079/Serie_Historica!Z1078,"")</f>
        <v>0.31771108723214336</v>
      </c>
      <c r="X326" s="19">
        <f>IFERROR((W326-D326)*100,"")</f>
        <v>-28.076282995829903</v>
      </c>
    </row>
    <row r="327" spans="1:24">
      <c r="A327" s="28" t="s">
        <v>133</v>
      </c>
      <c r="B327" s="28" t="s">
        <v>134</v>
      </c>
      <c r="C327" s="28" t="s">
        <v>505</v>
      </c>
      <c r="D327" s="31">
        <f>IFERROR(Serie_Historica!G1080/Serie_Historica!G1078,"")</f>
        <v>0.16898187776663651</v>
      </c>
      <c r="E327" s="31">
        <f>IFERROR(Serie_Historica!H1080/Serie_Historica!H1078,"")</f>
        <v>0.17096582777758387</v>
      </c>
      <c r="F327" s="31">
        <f>IFERROR(Serie_Historica!I1080/Serie_Historica!I1078,"")</f>
        <v>0.20098658983978279</v>
      </c>
      <c r="G327" s="31">
        <f>IFERROR(Serie_Historica!J1080/Serie_Historica!J1078,"")</f>
        <v>0.17601052109008247</v>
      </c>
      <c r="H327" s="31">
        <f>IFERROR(Serie_Historica!K1080/Serie_Historica!K1078,"")</f>
        <v>0.17741692655124208</v>
      </c>
      <c r="I327" s="31">
        <f>IFERROR(Serie_Historica!L1080/Serie_Historica!L1078,"")</f>
        <v>0.16775881185226496</v>
      </c>
      <c r="J327" s="31">
        <f>IFERROR(Serie_Historica!M1080/Serie_Historica!M1078,"")</f>
        <v>0.14774025365396445</v>
      </c>
      <c r="K327" s="31">
        <f>IFERROR(Serie_Historica!N1080/Serie_Historica!N1078,"")</f>
        <v>0.17585241065093177</v>
      </c>
      <c r="L327" s="31">
        <f>IFERROR(Serie_Historica!O1080/Serie_Historica!O1078,"")</f>
        <v>0.1825510502915258</v>
      </c>
      <c r="M327" s="31">
        <f>IFERROR(Serie_Historica!P1080/Serie_Historica!P1078,"")</f>
        <v>0.18949784250693621</v>
      </c>
      <c r="N327" s="31">
        <f>IFERROR(Serie_Historica!Q1080/Serie_Historica!Q1078,"")</f>
        <v>0.18180116808105579</v>
      </c>
      <c r="O327" s="31">
        <f>IFERROR(Serie_Historica!R1080/Serie_Historica!R1078,"")</f>
        <v>0.19587723791053538</v>
      </c>
      <c r="P327" s="31">
        <f>IFERROR(Serie_Historica!S1080/Serie_Historica!S1078,"")</f>
        <v>0.18915049840681342</v>
      </c>
      <c r="Q327" s="31">
        <f>IFERROR(Serie_Historica!T1080/Serie_Historica!T1078,"")</f>
        <v>0.19887931235476525</v>
      </c>
      <c r="R327" s="31">
        <f>IFERROR(Serie_Historica!U1080/Serie_Historica!U1078,"")</f>
        <v>0.22153350578359118</v>
      </c>
      <c r="S327" s="31">
        <f>IFERROR(Serie_Historica!V1080/Serie_Historica!V1078,"")</f>
        <v>0.21723525809477298</v>
      </c>
      <c r="T327" s="31">
        <f>IFERROR(Serie_Historica!W1080/Serie_Historica!W1078,"")</f>
        <v>0.16280224406494243</v>
      </c>
      <c r="U327" s="31">
        <f>IFERROR(Serie_Historica!X1080/Serie_Historica!X1078,"")</f>
        <v>0.17648356914075308</v>
      </c>
      <c r="V327" s="31">
        <f>IFERROR(Serie_Historica!Y1080/Serie_Historica!Y1078,"")</f>
        <v>0.17934145482586933</v>
      </c>
      <c r="W327" s="31">
        <f>IFERROR(Serie_Historica!Z1080/Serie_Historica!Z1078,"")</f>
        <v>0.14855276399051665</v>
      </c>
      <c r="X327" s="19">
        <f>IFERROR((W327-D327)*100,"")</f>
        <v>-2.0429113776119863</v>
      </c>
    </row>
    <row r="328" spans="1:24">
      <c r="A328" s="28" t="s">
        <v>133</v>
      </c>
      <c r="B328" s="28" t="s">
        <v>134</v>
      </c>
      <c r="C328" s="28" t="s">
        <v>506</v>
      </c>
      <c r="D328" s="31">
        <f>IFERROR(Serie_Historica!G1081/Serie_Historica!G1078,"")</f>
        <v>0.16416395607620632</v>
      </c>
      <c r="E328" s="31">
        <f>IFERROR(Serie_Historica!H1081/Serie_Historica!H1078,"")</f>
        <v>0.17634123355090928</v>
      </c>
      <c r="F328" s="31">
        <f>IFERROR(Serie_Historica!I1081/Serie_Historica!I1078,"")</f>
        <v>0.18041536261321947</v>
      </c>
      <c r="G328" s="31">
        <f>IFERROR(Serie_Historica!J1081/Serie_Historica!J1078,"")</f>
        <v>0.18127106613132202</v>
      </c>
      <c r="H328" s="31">
        <f>IFERROR(Serie_Historica!K1081/Serie_Historica!K1078,"")</f>
        <v>0.16654837437717318</v>
      </c>
      <c r="I328" s="31">
        <f>IFERROR(Serie_Historica!L1081/Serie_Historica!L1078,"")</f>
        <v>0.19543091600772799</v>
      </c>
      <c r="J328" s="31">
        <f>IFERROR(Serie_Historica!M1081/Serie_Historica!M1078,"")</f>
        <v>0.19674877713013678</v>
      </c>
      <c r="K328" s="31">
        <f>IFERROR(Serie_Historica!N1081/Serie_Historica!N1078,"")</f>
        <v>0.28714195018112559</v>
      </c>
      <c r="L328" s="31">
        <f>IFERROR(Serie_Historica!O1081/Serie_Historica!O1078,"")</f>
        <v>0.23989244162828466</v>
      </c>
      <c r="M328" s="31">
        <f>IFERROR(Serie_Historica!P1081/Serie_Historica!P1078,"")</f>
        <v>0.2003246064245349</v>
      </c>
      <c r="N328" s="31">
        <f>IFERROR(Serie_Historica!Q1081/Serie_Historica!Q1078,"")</f>
        <v>0.18114613920170372</v>
      </c>
      <c r="O328" s="31">
        <f>IFERROR(Serie_Historica!R1081/Serie_Historica!R1078,"")</f>
        <v>0.19111223650060138</v>
      </c>
      <c r="P328" s="31">
        <f>IFERROR(Serie_Historica!S1081/Serie_Historica!S1078,"")</f>
        <v>0.22470857549989115</v>
      </c>
      <c r="Q328" s="31">
        <f>IFERROR(Serie_Historica!T1081/Serie_Historica!T1078,"")</f>
        <v>0.28094520132741646</v>
      </c>
      <c r="R328" s="31">
        <f>IFERROR(Serie_Historica!U1081/Serie_Historica!U1078,"")</f>
        <v>0.3631997657279516</v>
      </c>
      <c r="S328" s="31">
        <f>IFERROR(Serie_Historica!V1081/Serie_Historica!V1078,"")</f>
        <v>0.3156709533886809</v>
      </c>
      <c r="T328" s="31">
        <f>IFERROR(Serie_Historica!W1081/Serie_Historica!W1078,"")</f>
        <v>0.19123057492724177</v>
      </c>
      <c r="U328" s="31">
        <f>IFERROR(Serie_Historica!X1081/Serie_Historica!X1078,"")</f>
        <v>0.1923932141265878</v>
      </c>
      <c r="V328" s="31">
        <f>IFERROR(Serie_Historica!Y1081/Serie_Historica!Y1078,"")</f>
        <v>0.20985277008865888</v>
      </c>
      <c r="W328" s="31">
        <f>IFERROR(Serie_Historica!Z1081/Serie_Historica!Z1078,"")</f>
        <v>0.1394659639427587</v>
      </c>
      <c r="X328" s="19">
        <f>IFERROR((W328-D328)*100,"")</f>
        <v>-2.4697992133447615</v>
      </c>
    </row>
    <row r="329" spans="1:24">
      <c r="A329" s="28" t="s">
        <v>409</v>
      </c>
      <c r="B329" s="28" t="s">
        <v>410</v>
      </c>
      <c r="C329" s="28" t="s">
        <v>504</v>
      </c>
      <c r="D329" s="31">
        <f>IFERROR(Serie_Historica!G1089/Serie_Historica!G1088,"")</f>
        <v>4.9207673060884069E-2</v>
      </c>
      <c r="E329" s="31">
        <f>IFERROR(Serie_Historica!H1089/Serie_Historica!H1088,"")</f>
        <v>3.5990071704357418E-2</v>
      </c>
      <c r="F329" s="31">
        <f>IFERROR(Serie_Historica!I1089/Serie_Historica!I1088,"")</f>
        <v>3.7633163501621124E-2</v>
      </c>
      <c r="G329" s="31">
        <f>IFERROR(Serie_Historica!J1089/Serie_Historica!J1088,"")</f>
        <v>3.889255108767304E-2</v>
      </c>
      <c r="H329" s="31">
        <f>IFERROR(Serie_Historica!K1089/Serie_Historica!K1088,"")</f>
        <v>3.6399321973414223E-2</v>
      </c>
      <c r="I329" s="31">
        <f>IFERROR(Serie_Historica!L1089/Serie_Historica!L1088,"")</f>
        <v>3.7783580871552147E-2</v>
      </c>
      <c r="J329" s="31">
        <f>IFERROR(Serie_Historica!M1089/Serie_Historica!M1088,"")</f>
        <v>3.4402252283183408E-2</v>
      </c>
      <c r="K329" s="31">
        <f>IFERROR(Serie_Historica!N1089/Serie_Historica!N1088,"")</f>
        <v>3.6171861033311485E-2</v>
      </c>
      <c r="L329" s="31">
        <f>IFERROR(Serie_Historica!O1089/Serie_Historica!O1088,"")</f>
        <v>3.7192699637284818E-2</v>
      </c>
      <c r="M329" s="31">
        <f>IFERROR(Serie_Historica!P1089/Serie_Historica!P1088,"")</f>
        <v>3.7527301608312927E-2</v>
      </c>
      <c r="N329" s="31">
        <f>IFERROR(Serie_Historica!Q1089/Serie_Historica!Q1088,"")</f>
        <v>4.2144914690892973E-2</v>
      </c>
      <c r="O329" s="31">
        <f>IFERROR(Serie_Historica!R1089/Serie_Historica!R1088,"")</f>
        <v>3.4062044555486157E-2</v>
      </c>
      <c r="P329" s="31">
        <f>IFERROR(Serie_Historica!S1089/Serie_Historica!S1088,"")</f>
        <v>3.2277710109622409E-2</v>
      </c>
      <c r="Q329" s="31">
        <f>IFERROR(Serie_Historica!T1089/Serie_Historica!T1088,"")</f>
        <v>7.416710735060815E-2</v>
      </c>
      <c r="R329" s="31">
        <f>IFERROR(Serie_Historica!U1089/Serie_Historica!U1088,"")</f>
        <v>2.9347964782442261E-2</v>
      </c>
      <c r="S329" s="31">
        <f>IFERROR(Serie_Historica!V1089/Serie_Historica!V1088,"")</f>
        <v>1.9606100992151636E-2</v>
      </c>
      <c r="T329" s="31">
        <f>IFERROR(Serie_Historica!W1089/Serie_Historica!W1088,"")</f>
        <v>1.735357917570499E-2</v>
      </c>
      <c r="U329" s="31">
        <f>IFERROR(Serie_Historica!X1089/Serie_Historica!X1088,"")</f>
        <v>2.0756631395854472E-2</v>
      </c>
      <c r="V329" s="31">
        <f>IFERROR(Serie_Historica!Y1089/Serie_Historica!Y1088,"")</f>
        <v>2.7346637102734665E-2</v>
      </c>
      <c r="W329" s="31">
        <f>IFERROR(Serie_Historica!Z1089/Serie_Historica!Z1088,"")</f>
        <v>3.2649135683733642E-2</v>
      </c>
      <c r="X329" s="19">
        <f>IFERROR((W329-D329)*100,"")</f>
        <v>-1.6558537377150426</v>
      </c>
    </row>
    <row r="330" spans="1:24">
      <c r="A330" s="28" t="s">
        <v>409</v>
      </c>
      <c r="B330" s="28" t="s">
        <v>410</v>
      </c>
      <c r="C330" s="28" t="s">
        <v>505</v>
      </c>
      <c r="D330" s="31">
        <f>IFERROR(Serie_Historica!G1090/Serie_Historica!G1088,"")</f>
        <v>0.16530442035029191</v>
      </c>
      <c r="E330" s="31">
        <f>IFERROR(Serie_Historica!H1090/Serie_Historica!H1088,"")</f>
        <v>0.1934638720353006</v>
      </c>
      <c r="F330" s="31">
        <f>IFERROR(Serie_Historica!I1090/Serie_Historica!I1088,"")</f>
        <v>0.19685039370078741</v>
      </c>
      <c r="G330" s="31">
        <f>IFERROR(Serie_Historica!J1090/Serie_Historica!J1088,"")</f>
        <v>0.1963304768182817</v>
      </c>
      <c r="H330" s="31">
        <f>IFERROR(Serie_Historica!K1090/Serie_Historica!K1088,"")</f>
        <v>0.19091801231153538</v>
      </c>
      <c r="I330" s="31">
        <f>IFERROR(Serie_Historica!L1090/Serie_Historica!L1088,"")</f>
        <v>0.19887383711441162</v>
      </c>
      <c r="J330" s="31">
        <f>IFERROR(Serie_Historica!M1090/Serie_Historica!M1088,"")</f>
        <v>0.1901393943555586</v>
      </c>
      <c r="K330" s="31">
        <f>IFERROR(Serie_Historica!N1090/Serie_Historica!N1088,"")</f>
        <v>0.21720993981288361</v>
      </c>
      <c r="L330" s="31">
        <f>IFERROR(Serie_Historica!O1090/Serie_Historica!O1088,"")</f>
        <v>0.22787725257642927</v>
      </c>
      <c r="M330" s="31">
        <f>IFERROR(Serie_Historica!P1090/Serie_Historica!P1088,"")</f>
        <v>0.50863723608445299</v>
      </c>
      <c r="N330" s="31">
        <f>IFERROR(Serie_Historica!Q1090/Serie_Historica!Q1088,"")</f>
        <v>0.32089519166851316</v>
      </c>
      <c r="O330" s="31">
        <f>IFERROR(Serie_Historica!R1090/Serie_Historica!R1088,"")</f>
        <v>0.29768894440974392</v>
      </c>
      <c r="P330" s="31">
        <f>IFERROR(Serie_Historica!S1090/Serie_Historica!S1088,"")</f>
        <v>0.29766425449595185</v>
      </c>
      <c r="Q330" s="31">
        <f>IFERROR(Serie_Historica!T1090/Serie_Historica!T1088,"")</f>
        <v>0.25842808038075094</v>
      </c>
      <c r="R330" s="31">
        <f>IFERROR(Serie_Historica!U1090/Serie_Historica!U1088,"")</f>
        <v>0.28052826336608394</v>
      </c>
      <c r="S330" s="31">
        <f>IFERROR(Serie_Historica!V1090/Serie_Historica!V1088,"")</f>
        <v>0.27143491781430473</v>
      </c>
      <c r="T330" s="31">
        <f>IFERROR(Serie_Historica!W1090/Serie_Historica!W1088,"")</f>
        <v>0.26092770332511217</v>
      </c>
      <c r="U330" s="31">
        <f>IFERROR(Serie_Historica!X1090/Serie_Historica!X1088,"")</f>
        <v>0.2698072184374547</v>
      </c>
      <c r="V330" s="31">
        <f>IFERROR(Serie_Historica!Y1090/Serie_Historica!Y1088,"")</f>
        <v>0.31225628870708771</v>
      </c>
      <c r="W330" s="31">
        <f>IFERROR(Serie_Historica!Z1090/Serie_Historica!Z1088,"")</f>
        <v>0.28424995570853684</v>
      </c>
      <c r="X330" s="19">
        <f>IFERROR((W330-D330)*100,"")</f>
        <v>11.894553535824492</v>
      </c>
    </row>
    <row r="331" spans="1:24">
      <c r="A331" s="28" t="s">
        <v>409</v>
      </c>
      <c r="B331" s="28" t="s">
        <v>410</v>
      </c>
      <c r="C331" s="28" t="s">
        <v>506</v>
      </c>
      <c r="D331" s="31">
        <f>IFERROR(Serie_Historica!G1091/Serie_Historica!G1088,"")</f>
        <v>0.64453711426188487</v>
      </c>
      <c r="E331" s="31">
        <f>IFERROR(Serie_Historica!H1091/Serie_Historica!H1088,"")</f>
        <v>0.61431329288472147</v>
      </c>
      <c r="F331" s="31">
        <f>IFERROR(Serie_Historica!I1091/Serie_Historica!I1088,"")</f>
        <v>0.61880500231588698</v>
      </c>
      <c r="G331" s="31">
        <f>IFERROR(Serie_Historica!J1091/Serie_Historica!J1088,"")</f>
        <v>0.67754339705559219</v>
      </c>
      <c r="H331" s="31">
        <f>IFERROR(Serie_Historica!K1091/Serie_Historica!K1088,"")</f>
        <v>0.65153002051922559</v>
      </c>
      <c r="I331" s="31">
        <f>IFERROR(Serie_Historica!L1091/Serie_Historica!L1088,"")</f>
        <v>0.6768402154398564</v>
      </c>
      <c r="J331" s="31">
        <f>IFERROR(Serie_Historica!M1091/Serie_Historica!M1088,"")</f>
        <v>0.65069010506077041</v>
      </c>
      <c r="K331" s="31">
        <f>IFERROR(Serie_Historica!N1091/Serie_Historica!N1088,"")</f>
        <v>0.63643406233239974</v>
      </c>
      <c r="L331" s="31">
        <f>IFERROR(Serie_Historica!O1091/Serie_Historica!O1088,"")</f>
        <v>0.66877770740975295</v>
      </c>
      <c r="M331" s="31">
        <f>IFERROR(Serie_Historica!P1091/Serie_Historica!P1088,"")</f>
        <v>0.42064332517042824</v>
      </c>
      <c r="N331" s="31">
        <f>IFERROR(Serie_Historica!Q1091/Serie_Historica!Q1088,"")</f>
        <v>0.60757810768889875</v>
      </c>
      <c r="O331" s="31">
        <f>IFERROR(Serie_Historica!R1091/Serie_Historica!R1088,"")</f>
        <v>0.63722673329169266</v>
      </c>
      <c r="P331" s="31">
        <f>IFERROR(Serie_Historica!S1091/Serie_Historica!S1088,"")</f>
        <v>0.60783119581571976</v>
      </c>
      <c r="Q331" s="31">
        <f>IFERROR(Serie_Historica!T1091/Serie_Historica!T1088,"")</f>
        <v>0.62037281861448967</v>
      </c>
      <c r="R331" s="31">
        <f>IFERROR(Serie_Historica!U1091/Serie_Historica!U1088,"")</f>
        <v>0.64622942452469057</v>
      </c>
      <c r="S331" s="31">
        <f>IFERROR(Serie_Historica!V1091/Serie_Historica!V1088,"")</f>
        <v>0.64765289500962531</v>
      </c>
      <c r="T331" s="31">
        <f>IFERROR(Serie_Historica!W1091/Serie_Historica!W1088,"")</f>
        <v>0.66430927406174789</v>
      </c>
      <c r="U331" s="31">
        <f>IFERROR(Serie_Historica!X1091/Serie_Historica!X1088,"")</f>
        <v>0.66760400057979419</v>
      </c>
      <c r="V331" s="31">
        <f>IFERROR(Serie_Historica!Y1091/Serie_Historica!Y1088,"")</f>
        <v>0.61959375079644219</v>
      </c>
      <c r="W331" s="31">
        <f>IFERROR(Serie_Historica!Z1091/Serie_Historica!Z1088,"")</f>
        <v>0.63640505175773832</v>
      </c>
      <c r="X331" s="19">
        <f>IFERROR((W331-D331)*100,"")</f>
        <v>-0.81320625041465533</v>
      </c>
    </row>
    <row r="332" spans="1:24">
      <c r="A332" s="28" t="s">
        <v>247</v>
      </c>
      <c r="B332" s="28" t="s">
        <v>248</v>
      </c>
      <c r="C332" s="28" t="s">
        <v>504</v>
      </c>
      <c r="D332" s="31">
        <f>IFERROR(Serie_Historica!G1099/Serie_Historica!G1098,"")</f>
        <v>4.0595533498759308E-2</v>
      </c>
      <c r="E332" s="31">
        <f>IFERROR(Serie_Historica!H1099/Serie_Historica!H1098,"")</f>
        <v>2.798913043478261E-2</v>
      </c>
      <c r="F332" s="31">
        <f>IFERROR(Serie_Historica!I1099/Serie_Historica!I1098,"")</f>
        <v>3.0510686898352096E-2</v>
      </c>
      <c r="G332" s="31">
        <f>IFERROR(Serie_Historica!J1099/Serie_Historica!J1098,"")</f>
        <v>3.1033463597254604E-2</v>
      </c>
      <c r="H332" s="31">
        <f>IFERROR(Serie_Historica!K1099/Serie_Historica!K1098,"")</f>
        <v>3.1712056777536822E-2</v>
      </c>
      <c r="I332" s="31">
        <f>IFERROR(Serie_Historica!L1099/Serie_Historica!L1098,"")</f>
        <v>3.2452694549282395E-2</v>
      </c>
      <c r="J332" s="31">
        <f>IFERROR(Serie_Historica!M1099/Serie_Historica!M1098,"")</f>
        <v>3.0162752168404638E-2</v>
      </c>
      <c r="K332" s="31">
        <f>IFERROR(Serie_Historica!N1099/Serie_Historica!N1098,"")</f>
        <v>3.1387072746834395E-2</v>
      </c>
      <c r="L332" s="31">
        <f>IFERROR(Serie_Historica!O1099/Serie_Historica!O1098,"")</f>
        <v>2.5214405083282831E-2</v>
      </c>
      <c r="M332" s="31">
        <f>IFERROR(Serie_Historica!P1099/Serie_Historica!P1098,"")</f>
        <v>2.7030976037405025E-2</v>
      </c>
      <c r="N332" s="31">
        <f>IFERROR(Serie_Historica!Q1099/Serie_Historica!Q1098,"")</f>
        <v>4.7019076142281763E-2</v>
      </c>
      <c r="O332" s="31">
        <f>IFERROR(Serie_Historica!R1099/Serie_Historica!R1098,"")</f>
        <v>5.1336244763881288E-2</v>
      </c>
      <c r="P332" s="31">
        <f>IFERROR(Serie_Historica!S1099/Serie_Historica!S1098,"")</f>
        <v>7.4860322162994417E-2</v>
      </c>
      <c r="Q332" s="31">
        <f>IFERROR(Serie_Historica!T1099/Serie_Historica!T1098,"")</f>
        <v>4.6260175434640449E-2</v>
      </c>
      <c r="R332" s="31">
        <f>IFERROR(Serie_Historica!U1099/Serie_Historica!U1098,"")</f>
        <v>4.1382388573614745E-2</v>
      </c>
      <c r="S332" s="31">
        <f>IFERROR(Serie_Historica!V1099/Serie_Historica!V1098,"")</f>
        <v>4.1714438584422531E-2</v>
      </c>
      <c r="T332" s="31">
        <f>IFERROR(Serie_Historica!W1099/Serie_Historica!W1098,"")</f>
        <v>2.9588427293972226E-2</v>
      </c>
      <c r="U332" s="31">
        <f>IFERROR(Serie_Historica!X1099/Serie_Historica!X1098,"")</f>
        <v>2.971075933323427E-2</v>
      </c>
      <c r="V332" s="31">
        <f>IFERROR(Serie_Historica!Y1099/Serie_Historica!Y1098,"")</f>
        <v>4.9374342182200909E-2</v>
      </c>
      <c r="W332" s="31">
        <f>IFERROR(Serie_Historica!Z1099/Serie_Historica!Z1098,"")</f>
        <v>4.2144628587174743E-2</v>
      </c>
      <c r="X332" s="19">
        <f>IFERROR((W332-D332)*100,"")</f>
        <v>0.1549095088415435</v>
      </c>
    </row>
    <row r="333" spans="1:24">
      <c r="A333" s="28" t="s">
        <v>247</v>
      </c>
      <c r="B333" s="28" t="s">
        <v>248</v>
      </c>
      <c r="C333" s="28" t="s">
        <v>505</v>
      </c>
      <c r="D333" s="31">
        <f>IFERROR(Serie_Historica!G1100/Serie_Historica!G1098,"")</f>
        <v>0.24387096774193548</v>
      </c>
      <c r="E333" s="31">
        <f>IFERROR(Serie_Historica!H1100/Serie_Historica!H1098,"")</f>
        <v>0.21938405797101448</v>
      </c>
      <c r="F333" s="31">
        <f>IFERROR(Serie_Historica!I1100/Serie_Historica!I1098,"")</f>
        <v>0.2216103768967205</v>
      </c>
      <c r="G333" s="31">
        <f>IFERROR(Serie_Historica!J1100/Serie_Historica!J1098,"")</f>
        <v>0.23220912285310827</v>
      </c>
      <c r="H333" s="31">
        <f>IFERROR(Serie_Historica!K1100/Serie_Historica!K1098,"")</f>
        <v>0.22894077224209311</v>
      </c>
      <c r="I333" s="31">
        <f>IFERROR(Serie_Historica!L1100/Serie_Historica!L1098,"")</f>
        <v>0.22901743305348018</v>
      </c>
      <c r="J333" s="31">
        <f>IFERROR(Serie_Historica!M1100/Serie_Historica!M1098,"")</f>
        <v>0.16552967547022707</v>
      </c>
      <c r="K333" s="31">
        <f>IFERROR(Serie_Historica!N1100/Serie_Historica!N1098,"")</f>
        <v>0.17710833402300752</v>
      </c>
      <c r="L333" s="31">
        <f>IFERROR(Serie_Historica!O1100/Serie_Historica!O1098,"")</f>
        <v>0.19045782601509559</v>
      </c>
      <c r="M333" s="31">
        <f>IFERROR(Serie_Historica!P1100/Serie_Historica!P1098,"")</f>
        <v>0.18512565751022794</v>
      </c>
      <c r="N333" s="31">
        <f>IFERROR(Serie_Historica!Q1100/Serie_Historica!Q1098,"")</f>
        <v>0.19172039362063115</v>
      </c>
      <c r="O333" s="31">
        <f>IFERROR(Serie_Historica!R1100/Serie_Historica!R1098,"")</f>
        <v>0.19635604334042092</v>
      </c>
      <c r="P333" s="31">
        <f>IFERROR(Serie_Historica!S1100/Serie_Historica!S1098,"")</f>
        <v>0.19053340020762133</v>
      </c>
      <c r="Q333" s="31">
        <f>IFERROR(Serie_Historica!T1100/Serie_Historica!T1098,"")</f>
        <v>0.18453333934651725</v>
      </c>
      <c r="R333" s="31">
        <f>IFERROR(Serie_Historica!U1100/Serie_Historica!U1098,"")</f>
        <v>0.1842972220451019</v>
      </c>
      <c r="S333" s="31">
        <f>IFERROR(Serie_Historica!V1100/Serie_Historica!V1098,"")</f>
        <v>0.18510662692043109</v>
      </c>
      <c r="T333" s="31">
        <f>IFERROR(Serie_Historica!W1100/Serie_Historica!W1098,"")</f>
        <v>0.18677211889448983</v>
      </c>
      <c r="U333" s="31">
        <f>IFERROR(Serie_Historica!X1100/Serie_Historica!X1098,"")</f>
        <v>0.17836070732410864</v>
      </c>
      <c r="V333" s="31">
        <f>IFERROR(Serie_Historica!Y1100/Serie_Historica!Y1098,"")</f>
        <v>0.18410322379448799</v>
      </c>
      <c r="W333" s="31">
        <f>IFERROR(Serie_Historica!Z1100/Serie_Historica!Z1098,"")</f>
        <v>0.18893831437231823</v>
      </c>
      <c r="X333" s="19">
        <f>IFERROR((W333-D333)*100,"")</f>
        <v>-5.4932653369617253</v>
      </c>
    </row>
    <row r="334" spans="1:24">
      <c r="A334" s="28" t="s">
        <v>247</v>
      </c>
      <c r="B334" s="28" t="s">
        <v>248</v>
      </c>
      <c r="C334" s="28" t="s">
        <v>506</v>
      </c>
      <c r="D334" s="31">
        <f>IFERROR(Serie_Historica!G1101/Serie_Historica!G1098,"")</f>
        <v>0.64377171215880891</v>
      </c>
      <c r="E334" s="31">
        <f>IFERROR(Serie_Historica!H1101/Serie_Historica!H1098,"")</f>
        <v>0.64162137681159426</v>
      </c>
      <c r="F334" s="31">
        <f>IFERROR(Serie_Historica!I1101/Serie_Historica!I1098,"")</f>
        <v>0.64149942894436285</v>
      </c>
      <c r="G334" s="31">
        <f>IFERROR(Serie_Historica!J1101/Serie_Historica!J1098,"")</f>
        <v>0.64483924994253061</v>
      </c>
      <c r="H334" s="31">
        <f>IFERROR(Serie_Historica!K1101/Serie_Historica!K1098,"")</f>
        <v>0.63486073168670965</v>
      </c>
      <c r="I334" s="31">
        <f>IFERROR(Serie_Historica!L1101/Serie_Historica!L1098,"")</f>
        <v>0.65151865259698583</v>
      </c>
      <c r="J334" s="31">
        <f>IFERROR(Serie_Historica!M1101/Serie_Historica!M1098,"")</f>
        <v>0.69627716596822919</v>
      </c>
      <c r="K334" s="31">
        <f>IFERROR(Serie_Historica!N1101/Serie_Historica!N1098,"")</f>
        <v>0.69047421997848213</v>
      </c>
      <c r="L334" s="31">
        <f>IFERROR(Serie_Historica!O1101/Serie_Historica!O1098,"")</f>
        <v>0.70442399867775884</v>
      </c>
      <c r="M334" s="31">
        <f>IFERROR(Serie_Historica!P1101/Serie_Historica!P1098,"")</f>
        <v>0.70806545879602567</v>
      </c>
      <c r="N334" s="31">
        <f>IFERROR(Serie_Historica!Q1101/Serie_Historica!Q1098,"")</f>
        <v>0.69923724937666898</v>
      </c>
      <c r="O334" s="31">
        <f>IFERROR(Serie_Historica!R1101/Serie_Historica!R1098,"")</f>
        <v>0.69102761614952701</v>
      </c>
      <c r="P334" s="31">
        <f>IFERROR(Serie_Historica!S1101/Serie_Historica!S1098,"")</f>
        <v>0.69009599570760383</v>
      </c>
      <c r="Q334" s="31">
        <f>IFERROR(Serie_Historica!T1101/Serie_Historica!T1098,"")</f>
        <v>0.70959704151351843</v>
      </c>
      <c r="R334" s="31">
        <f>IFERROR(Serie_Historica!U1101/Serie_Historica!U1098,"")</f>
        <v>0.70753894875555268</v>
      </c>
      <c r="S334" s="31">
        <f>IFERROR(Serie_Historica!V1101/Serie_Historica!V1098,"")</f>
        <v>0.708256898264924</v>
      </c>
      <c r="T334" s="31">
        <f>IFERROR(Serie_Historica!W1101/Serie_Historica!W1098,"")</f>
        <v>0.72294648202870004</v>
      </c>
      <c r="U334" s="31">
        <f>IFERROR(Serie_Historica!X1101/Serie_Historica!X1098,"")</f>
        <v>0.72150205851245164</v>
      </c>
      <c r="V334" s="31">
        <f>IFERROR(Serie_Historica!Y1101/Serie_Historica!Y1098,"")</f>
        <v>0.66833508751413095</v>
      </c>
      <c r="W334" s="31">
        <f>IFERROR(Serie_Historica!Z1101/Serie_Historica!Z1098,"")</f>
        <v>0.67687281029799629</v>
      </c>
      <c r="X334" s="19">
        <f>IFERROR((W334-D334)*100,"")</f>
        <v>3.3101098139187379</v>
      </c>
    </row>
    <row r="335" spans="1:24">
      <c r="A335" s="28" t="s">
        <v>317</v>
      </c>
      <c r="B335" s="28" t="s">
        <v>318</v>
      </c>
      <c r="C335" s="28" t="s">
        <v>504</v>
      </c>
      <c r="D335" s="31">
        <f>IFERROR(Serie_Historica!G1109/Serie_Historica!G1108,"")</f>
        <v>6.8204927649589367E-2</v>
      </c>
      <c r="E335" s="31">
        <f>IFERROR(Serie_Historica!H1109/Serie_Historica!H1108,"")</f>
        <v>5.6297709923664119E-2</v>
      </c>
      <c r="F335" s="31">
        <f>IFERROR(Serie_Historica!I1109/Serie_Historica!I1108,"")</f>
        <v>8.8001526038023775E-2</v>
      </c>
      <c r="G335" s="31">
        <f>IFERROR(Serie_Historica!J1109/Serie_Historica!J1108,"")</f>
        <v>5.6846599573040564E-2</v>
      </c>
      <c r="H335" s="31">
        <f>IFERROR(Serie_Historica!K1109/Serie_Historica!K1108,"")</f>
        <v>4.8319661286054513E-2</v>
      </c>
      <c r="I335" s="31">
        <f>IFERROR(Serie_Historica!L1109/Serie_Historica!L1108,"")</f>
        <v>5.7933627738183724E-2</v>
      </c>
      <c r="J335" s="31">
        <f>IFERROR(Serie_Historica!M1109/Serie_Historica!M1108,"")</f>
        <v>4.8537847486862691E-2</v>
      </c>
      <c r="K335" s="31">
        <f>IFERROR(Serie_Historica!N1109/Serie_Historica!N1108,"")</f>
        <v>5.9970274100445892E-2</v>
      </c>
      <c r="L335" s="31">
        <f>IFERROR(Serie_Historica!O1109/Serie_Historica!O1108,"")</f>
        <v>0.15482922415743045</v>
      </c>
      <c r="M335" s="31">
        <f>IFERROR(Serie_Historica!P1109/Serie_Historica!P1108,"")</f>
        <v>0.10850455553477437</v>
      </c>
      <c r="N335" s="31">
        <f>IFERROR(Serie_Historica!Q1109/Serie_Historica!Q1108,"")</f>
        <v>0.13002521528141206</v>
      </c>
      <c r="O335" s="31">
        <f>IFERROR(Serie_Historica!R1109/Serie_Historica!R1108,"")</f>
        <v>0.11102379883251011</v>
      </c>
      <c r="P335" s="31">
        <f>IFERROR(Serie_Historica!S1109/Serie_Historica!S1108,"")</f>
        <v>0.10340669940371799</v>
      </c>
      <c r="Q335" s="31">
        <f>IFERROR(Serie_Historica!T1109/Serie_Historica!T1108,"")</f>
        <v>0.12197450988034454</v>
      </c>
      <c r="R335" s="31">
        <f>IFERROR(Serie_Historica!U1109/Serie_Historica!U1108,"")</f>
        <v>0.10245031465789323</v>
      </c>
      <c r="S335" s="31">
        <f>IFERROR(Serie_Historica!V1109/Serie_Historica!V1108,"")</f>
        <v>0.14479770277008785</v>
      </c>
      <c r="T335" s="31">
        <f>IFERROR(Serie_Historica!W1109/Serie_Historica!W1108,"")</f>
        <v>0.13099592684290393</v>
      </c>
      <c r="U335" s="31">
        <f>IFERROR(Serie_Historica!X1109/Serie_Historica!X1108,"")</f>
        <v>8.6511474327224697E-2</v>
      </c>
      <c r="V335" s="31">
        <f>IFERROR(Serie_Historica!Y1109/Serie_Historica!Y1108,"")</f>
        <v>8.4509336452888301E-2</v>
      </c>
      <c r="W335" s="31">
        <f>IFERROR(Serie_Historica!Z1109/Serie_Historica!Z1108,"")</f>
        <v>8.0383195874915062E-2</v>
      </c>
      <c r="X335" s="19">
        <f>IFERROR((W335-D335)*100,"")</f>
        <v>1.2178268225325695</v>
      </c>
    </row>
    <row r="336" spans="1:24">
      <c r="A336" s="28" t="s">
        <v>317</v>
      </c>
      <c r="B336" s="28" t="s">
        <v>318</v>
      </c>
      <c r="C336" s="28" t="s">
        <v>505</v>
      </c>
      <c r="D336" s="31">
        <f>IFERROR(Serie_Historica!G1110/Serie_Historica!G1108,"")</f>
        <v>0.21603441533046538</v>
      </c>
      <c r="E336" s="31">
        <f>IFERROR(Serie_Historica!H1110/Serie_Historica!H1108,"")</f>
        <v>0.22673223722842042</v>
      </c>
      <c r="F336" s="31">
        <f>IFERROR(Serie_Historica!I1110/Serie_Historica!I1108,"")</f>
        <v>0.22019456984803204</v>
      </c>
      <c r="G336" s="31">
        <f>IFERROR(Serie_Historica!J1110/Serie_Historica!J1108,"")</f>
        <v>0.22464165904239097</v>
      </c>
      <c r="H336" s="31">
        <f>IFERROR(Serie_Historica!K1110/Serie_Historica!K1108,"")</f>
        <v>0.22820852077269119</v>
      </c>
      <c r="I336" s="31">
        <f>IFERROR(Serie_Historica!L1110/Serie_Historica!L1108,"")</f>
        <v>0.22167810764723886</v>
      </c>
      <c r="J336" s="31">
        <f>IFERROR(Serie_Historica!M1110/Serie_Historica!M1108,"")</f>
        <v>0.20048938986722292</v>
      </c>
      <c r="K336" s="31">
        <f>IFERROR(Serie_Historica!N1110/Serie_Historica!N1108,"")</f>
        <v>0.2038643669420345</v>
      </c>
      <c r="L336" s="31">
        <f>IFERROR(Serie_Historica!O1110/Serie_Historica!O1108,"")</f>
        <v>0.20340420719294278</v>
      </c>
      <c r="M336" s="31">
        <f>IFERROR(Serie_Historica!P1110/Serie_Historica!P1108,"")</f>
        <v>0.20501242418574825</v>
      </c>
      <c r="N336" s="31">
        <f>IFERROR(Serie_Historica!Q1110/Serie_Historica!Q1108,"")</f>
        <v>0.20357771540035205</v>
      </c>
      <c r="O336" s="31">
        <f>IFERROR(Serie_Historica!R1110/Serie_Historica!R1108,"")</f>
        <v>0.20449034575662325</v>
      </c>
      <c r="P336" s="31">
        <f>IFERROR(Serie_Historica!S1110/Serie_Historica!S1108,"")</f>
        <v>0.19298053314626448</v>
      </c>
      <c r="Q336" s="31">
        <f>IFERROR(Serie_Historica!T1110/Serie_Historica!T1108,"")</f>
        <v>0.20721440542541997</v>
      </c>
      <c r="R336" s="31">
        <f>IFERROR(Serie_Historica!U1110/Serie_Historica!U1108,"")</f>
        <v>0.22305323361196655</v>
      </c>
      <c r="S336" s="31">
        <f>IFERROR(Serie_Historica!V1110/Serie_Historica!V1108,"")</f>
        <v>0.20755884932166377</v>
      </c>
      <c r="T336" s="31">
        <f>IFERROR(Serie_Historica!W1110/Serie_Historica!W1108,"")</f>
        <v>0.26232729015254375</v>
      </c>
      <c r="U336" s="31">
        <f>IFERROR(Serie_Historica!X1110/Serie_Historica!X1108,"")</f>
        <v>0.27263721914539152</v>
      </c>
      <c r="V336" s="31">
        <f>IFERROR(Serie_Historica!Y1110/Serie_Historica!Y1108,"")</f>
        <v>0.26571500496068473</v>
      </c>
      <c r="W336" s="31">
        <f>IFERROR(Serie_Historica!Z1110/Serie_Historica!Z1108,"")</f>
        <v>0.28006875141566628</v>
      </c>
      <c r="X336" s="19">
        <f>IFERROR((W336-D336)*100,"")</f>
        <v>6.40343360852009</v>
      </c>
    </row>
    <row r="337" spans="1:24">
      <c r="A337" s="28" t="s">
        <v>317</v>
      </c>
      <c r="B337" s="28" t="s">
        <v>318</v>
      </c>
      <c r="C337" s="28" t="s">
        <v>506</v>
      </c>
      <c r="D337" s="31">
        <f>IFERROR(Serie_Historica!G1111/Serie_Historica!G1108,"")</f>
        <v>0.63582323034806409</v>
      </c>
      <c r="E337" s="31">
        <f>IFERROR(Serie_Historica!H1111/Serie_Historica!H1108,"")</f>
        <v>0.63578978273634768</v>
      </c>
      <c r="F337" s="31">
        <f>IFERROR(Serie_Historica!I1111/Serie_Historica!I1108,"")</f>
        <v>0.59731671647485218</v>
      </c>
      <c r="G337" s="31">
        <f>IFERROR(Serie_Historica!J1111/Serie_Historica!J1108,"")</f>
        <v>0.66294602012808779</v>
      </c>
      <c r="H337" s="31">
        <f>IFERROR(Serie_Historica!K1111/Serie_Historica!K1108,"")</f>
        <v>0.65387668695422074</v>
      </c>
      <c r="I337" s="31">
        <f>IFERROR(Serie_Historica!L1111/Serie_Historica!L1108,"")</f>
        <v>0.66481570547855362</v>
      </c>
      <c r="J337" s="31">
        <f>IFERROR(Serie_Historica!M1111/Serie_Historica!M1108,"")</f>
        <v>0.66376509286373298</v>
      </c>
      <c r="K337" s="31">
        <f>IFERROR(Serie_Historica!N1111/Serie_Historica!N1108,"")</f>
        <v>0.64363485534547715</v>
      </c>
      <c r="L337" s="31">
        <f>IFERROR(Serie_Historica!O1111/Serie_Historica!O1108,"")</f>
        <v>0.61035399230943221</v>
      </c>
      <c r="M337" s="31">
        <f>IFERROR(Serie_Historica!P1111/Serie_Historica!P1108,"")</f>
        <v>0.64416063269831936</v>
      </c>
      <c r="N337" s="31">
        <f>IFERROR(Serie_Historica!Q1111/Serie_Historica!Q1108,"")</f>
        <v>0.64301346400875403</v>
      </c>
      <c r="O337" s="31">
        <f>IFERROR(Serie_Historica!R1111/Serie_Historica!R1108,"")</f>
        <v>0.65788055680287383</v>
      </c>
      <c r="P337" s="31">
        <f>IFERROR(Serie_Historica!S1111/Serie_Historica!S1108,"")</f>
        <v>0.66358295334970185</v>
      </c>
      <c r="Q337" s="31">
        <f>IFERROR(Serie_Historica!T1111/Serie_Historica!T1108,"")</f>
        <v>0.64836107105273411</v>
      </c>
      <c r="R337" s="31">
        <f>IFERROR(Serie_Historica!U1111/Serie_Historica!U1108,"")</f>
        <v>0.65471795558446033</v>
      </c>
      <c r="S337" s="31">
        <f>IFERROR(Serie_Historica!V1111/Serie_Historica!V1108,"")</f>
        <v>0.6294341179909555</v>
      </c>
      <c r="T337" s="31">
        <f>IFERROR(Serie_Historica!W1111/Serie_Historica!W1108,"")</f>
        <v>0.5836754252855203</v>
      </c>
      <c r="U337" s="31">
        <f>IFERROR(Serie_Historica!X1111/Serie_Historica!X1108,"")</f>
        <v>0.61487084815465198</v>
      </c>
      <c r="V337" s="31">
        <f>IFERROR(Serie_Historica!Y1111/Serie_Historica!Y1108,"")</f>
        <v>0.6174793798403696</v>
      </c>
      <c r="W337" s="31">
        <f>IFERROR(Serie_Historica!Z1111/Serie_Historica!Z1108,"")</f>
        <v>0.60654470840605967</v>
      </c>
      <c r="X337" s="19">
        <f>IFERROR((W337-D337)*100,"")</f>
        <v>-2.9278521942004421</v>
      </c>
    </row>
    <row r="338" spans="1:24">
      <c r="A338" s="28" t="s">
        <v>229</v>
      </c>
      <c r="B338" s="28" t="s">
        <v>230</v>
      </c>
      <c r="C338" s="28" t="s">
        <v>504</v>
      </c>
      <c r="D338" s="31">
        <f>IFERROR(Serie_Historica!G1119/Serie_Historica!G1118,"")</f>
        <v>0.77430422389220011</v>
      </c>
      <c r="E338" s="31">
        <f>IFERROR(Serie_Historica!H1119/Serie_Historica!H1118,"")</f>
        <v>0.77111112968892381</v>
      </c>
      <c r="F338" s="31">
        <f>IFERROR(Serie_Historica!I1119/Serie_Historica!I1118,"")</f>
        <v>0.75314678899082566</v>
      </c>
      <c r="G338" s="31">
        <f>IFERROR(Serie_Historica!J1119/Serie_Historica!J1118,"")</f>
        <v>0.80422625152388882</v>
      </c>
      <c r="H338" s="31">
        <f>IFERROR(Serie_Historica!K1119/Serie_Historica!K1118,"")</f>
        <v>0.78473050253418608</v>
      </c>
      <c r="I338" s="31">
        <f>IFERROR(Serie_Historica!L1119/Serie_Historica!L1118,"")</f>
        <v>0.77037484885126961</v>
      </c>
      <c r="J338" s="31">
        <f>IFERROR(Serie_Historica!M1119/Serie_Historica!M1118,"")</f>
        <v>0.78436887482812956</v>
      </c>
      <c r="K338" s="31">
        <f>IFERROR(Serie_Historica!N1119/Serie_Historica!N1118,"")</f>
        <v>0.68016176240588067</v>
      </c>
      <c r="L338" s="31">
        <f>IFERROR(Serie_Historica!O1119/Serie_Historica!O1118,"")</f>
        <v>0.70785776886173546</v>
      </c>
      <c r="M338" s="31">
        <f>IFERROR(Serie_Historica!P1119/Serie_Historica!P1118,"")</f>
        <v>0.73346282546566899</v>
      </c>
      <c r="N338" s="31">
        <f>IFERROR(Serie_Historica!Q1119/Serie_Historica!Q1118,"")</f>
        <v>0.73069962909787034</v>
      </c>
      <c r="O338" s="31">
        <f>IFERROR(Serie_Historica!R1119/Serie_Historica!R1118,"")</f>
        <v>0.68261280077823239</v>
      </c>
      <c r="P338" s="31">
        <f>IFERROR(Serie_Historica!S1119/Serie_Historica!S1118,"")</f>
        <v>0.64510534303001632</v>
      </c>
      <c r="Q338" s="31">
        <f>IFERROR(Serie_Historica!T1119/Serie_Historica!T1118,"")</f>
        <v>0.50463255688476361</v>
      </c>
      <c r="R338" s="31">
        <f>IFERROR(Serie_Historica!U1119/Serie_Historica!U1118,"")</f>
        <v>0.31468531468531469</v>
      </c>
      <c r="S338" s="31">
        <f>IFERROR(Serie_Historica!V1119/Serie_Historica!V1118,"")</f>
        <v>0.37816081896928866</v>
      </c>
      <c r="T338" s="31">
        <f>IFERROR(Serie_Historica!W1119/Serie_Historica!W1118,"")</f>
        <v>0.47579168802465766</v>
      </c>
      <c r="U338" s="31">
        <f>IFERROR(Serie_Historica!X1119/Serie_Historica!X1118,"")</f>
        <v>0.4344143841371198</v>
      </c>
      <c r="V338" s="31">
        <f>IFERROR(Serie_Historica!Y1119/Serie_Historica!Y1118,"")</f>
        <v>0.34960462162494366</v>
      </c>
      <c r="W338" s="31">
        <f>IFERROR(Serie_Historica!Z1119/Serie_Historica!Z1118,"")</f>
        <v>0.41787650865838727</v>
      </c>
      <c r="X338" s="19">
        <f>IFERROR((W338-D338)*100,"")</f>
        <v>-35.642771523381285</v>
      </c>
    </row>
    <row r="339" spans="1:24">
      <c r="A339" s="28" t="s">
        <v>229</v>
      </c>
      <c r="B339" s="28" t="s">
        <v>230</v>
      </c>
      <c r="C339" s="28" t="s">
        <v>505</v>
      </c>
      <c r="D339" s="31">
        <f>IFERROR(Serie_Historica!G1120/Serie_Historica!G1118,"")</f>
        <v>0.15333506089660534</v>
      </c>
      <c r="E339" s="31">
        <f>IFERROR(Serie_Historica!H1120/Serie_Historica!H1118,"")</f>
        <v>0.1539998495197171</v>
      </c>
      <c r="F339" s="31">
        <f>IFERROR(Serie_Historica!I1120/Serie_Historica!I1118,"")</f>
        <v>0.20196330275229357</v>
      </c>
      <c r="G339" s="31">
        <f>IFERROR(Serie_Historica!J1120/Serie_Historica!J1118,"")</f>
        <v>0.1573524004876444</v>
      </c>
      <c r="H339" s="31">
        <f>IFERROR(Serie_Historica!K1120/Serie_Historica!K1118,"")</f>
        <v>0.16311420753719161</v>
      </c>
      <c r="I339" s="31">
        <f>IFERROR(Serie_Historica!L1120/Serie_Historica!L1118,"")</f>
        <v>0.15885731559854896</v>
      </c>
      <c r="J339" s="31">
        <f>IFERROR(Serie_Historica!M1120/Serie_Historica!M1118,"")</f>
        <v>0.13208848248279206</v>
      </c>
      <c r="K339" s="31">
        <f>IFERROR(Serie_Historica!N1120/Serie_Historica!N1118,"")</f>
        <v>0.16550111341987472</v>
      </c>
      <c r="L339" s="31">
        <f>IFERROR(Serie_Historica!O1120/Serie_Historica!O1118,"")</f>
        <v>0.1749975936817682</v>
      </c>
      <c r="M339" s="31">
        <f>IFERROR(Serie_Historica!P1120/Serie_Historica!P1118,"")</f>
        <v>0.17485387255676352</v>
      </c>
      <c r="N339" s="31">
        <f>IFERROR(Serie_Historica!Q1120/Serie_Historica!Q1118,"")</f>
        <v>0.17100756759990429</v>
      </c>
      <c r="O339" s="31">
        <f>IFERROR(Serie_Historica!R1120/Serie_Historica!R1118,"")</f>
        <v>0.19290680421978526</v>
      </c>
      <c r="P339" s="31">
        <f>IFERROR(Serie_Historica!S1120/Serie_Historica!S1118,"")</f>
        <v>0.18834624253532786</v>
      </c>
      <c r="Q339" s="31">
        <f>IFERROR(Serie_Historica!T1120/Serie_Historica!T1118,"")</f>
        <v>0.20647124779753323</v>
      </c>
      <c r="R339" s="31">
        <f>IFERROR(Serie_Historica!U1120/Serie_Historica!U1118,"")</f>
        <v>0.20971581609879483</v>
      </c>
      <c r="S339" s="31">
        <f>IFERROR(Serie_Historica!V1120/Serie_Historica!V1118,"")</f>
        <v>0.21010587102983638</v>
      </c>
      <c r="T339" s="31">
        <f>IFERROR(Serie_Historica!W1120/Serie_Historica!W1118,"")</f>
        <v>0.20357216560043137</v>
      </c>
      <c r="U339" s="31">
        <f>IFERROR(Serie_Historica!X1120/Serie_Historica!X1118,"")</f>
        <v>0.21557385313392707</v>
      </c>
      <c r="V339" s="31">
        <f>IFERROR(Serie_Historica!Y1120/Serie_Historica!Y1118,"")</f>
        <v>0.23313803417052484</v>
      </c>
      <c r="W339" s="31">
        <f>IFERROR(Serie_Historica!Z1120/Serie_Historica!Z1118,"")</f>
        <v>0.21721882105999651</v>
      </c>
      <c r="X339" s="19">
        <f>IFERROR((W339-D339)*100,"")</f>
        <v>6.3883760163391177</v>
      </c>
    </row>
    <row r="340" spans="1:24">
      <c r="A340" s="28" t="s">
        <v>229</v>
      </c>
      <c r="B340" s="28" t="s">
        <v>230</v>
      </c>
      <c r="C340" s="28" t="s">
        <v>506</v>
      </c>
      <c r="D340" s="31">
        <f>IFERROR(Serie_Historica!G1121/Serie_Historica!G1118,"")</f>
        <v>6.0025913449080072E-2</v>
      </c>
      <c r="E340" s="31">
        <f>IFERROR(Serie_Historica!H1121/Serie_Historica!H1118,"")</f>
        <v>5.603718534990846E-2</v>
      </c>
      <c r="F340" s="31">
        <f>IFERROR(Serie_Historica!I1121/Serie_Historica!I1118,"")</f>
        <v>3.5155963302752294E-2</v>
      </c>
      <c r="G340" s="31">
        <f>IFERROR(Serie_Historica!J1121/Serie_Historica!J1118,"")</f>
        <v>3.1161509633557159E-2</v>
      </c>
      <c r="H340" s="31">
        <f>IFERROR(Serie_Historica!K1121/Serie_Historica!K1118,"")</f>
        <v>4.3141930842834478E-2</v>
      </c>
      <c r="I340" s="31">
        <f>IFERROR(Serie_Historica!L1121/Serie_Historica!L1118,"")</f>
        <v>6.0321299015373982E-2</v>
      </c>
      <c r="J340" s="31">
        <f>IFERROR(Serie_Historica!M1121/Serie_Historica!M1118,"")</f>
        <v>7.2555468720614844E-2</v>
      </c>
      <c r="K340" s="31">
        <f>IFERROR(Serie_Historica!N1121/Serie_Historica!N1118,"")</f>
        <v>0.1271681897058933</v>
      </c>
      <c r="L340" s="31">
        <f>IFERROR(Serie_Historica!O1121/Serie_Historica!O1118,"")</f>
        <v>0.10001671757929452</v>
      </c>
      <c r="M340" s="31">
        <f>IFERROR(Serie_Historica!P1121/Serie_Historica!P1118,"")</f>
        <v>7.6765377489911107E-2</v>
      </c>
      <c r="N340" s="31">
        <f>IFERROR(Serie_Historica!Q1121/Serie_Historica!Q1118,"")</f>
        <v>8.3733399138549894E-2</v>
      </c>
      <c r="O340" s="31">
        <f>IFERROR(Serie_Historica!R1121/Serie_Historica!R1118,"")</f>
        <v>0.10348365262387751</v>
      </c>
      <c r="P340" s="31">
        <f>IFERROR(Serie_Historica!S1121/Serie_Historica!S1118,"")</f>
        <v>0.14164646524369814</v>
      </c>
      <c r="Q340" s="31">
        <f>IFERROR(Serie_Historica!T1121/Serie_Historica!T1118,"")</f>
        <v>0.24940775774130183</v>
      </c>
      <c r="R340" s="31">
        <f>IFERROR(Serie_Historica!U1121/Serie_Historica!U1118,"")</f>
        <v>0.41046719238208601</v>
      </c>
      <c r="S340" s="31">
        <f>IFERROR(Serie_Historica!V1121/Serie_Historica!V1118,"")</f>
        <v>0.33941727185230552</v>
      </c>
      <c r="T340" s="31">
        <f>IFERROR(Serie_Historica!W1121/Serie_Historica!W1118,"")</f>
        <v>0.26615496248760129</v>
      </c>
      <c r="U340" s="31">
        <f>IFERROR(Serie_Historica!X1121/Serie_Historica!X1118,"")</f>
        <v>0.28844900016803898</v>
      </c>
      <c r="V340" s="31">
        <f>IFERROR(Serie_Historica!Y1121/Serie_Historica!Y1118,"")</f>
        <v>0.34925226369484164</v>
      </c>
      <c r="W340" s="31">
        <f>IFERROR(Serie_Historica!Z1121/Serie_Historica!Z1118,"")</f>
        <v>0.31126814762987581</v>
      </c>
      <c r="X340" s="19">
        <f>IFERROR((W340-D340)*100,"")</f>
        <v>25.124223418079573</v>
      </c>
    </row>
    <row r="341" spans="1:24">
      <c r="A341" s="28" t="s">
        <v>275</v>
      </c>
      <c r="B341" s="28" t="s">
        <v>276</v>
      </c>
      <c r="C341" s="28" t="s">
        <v>504</v>
      </c>
      <c r="D341" s="31">
        <f>IFERROR(Serie_Historica!G1129/Serie_Historica!G1128,"")</f>
        <v>6.3266370988781628E-2</v>
      </c>
      <c r="E341" s="31">
        <f>IFERROR(Serie_Historica!H1129/Serie_Historica!H1128,"")</f>
        <v>3.9933521074742628E-2</v>
      </c>
      <c r="F341" s="31">
        <f>IFERROR(Serie_Historica!I1129/Serie_Historica!I1128,"")</f>
        <v>4.1272262348032836E-2</v>
      </c>
      <c r="G341" s="31">
        <f>IFERROR(Serie_Historica!J1129/Serie_Historica!J1128,"")</f>
        <v>4.1816453865542745E-2</v>
      </c>
      <c r="H341" s="31">
        <f>IFERROR(Serie_Historica!K1129/Serie_Historica!K1128,"")</f>
        <v>4.2629666847027903E-2</v>
      </c>
      <c r="I341" s="31">
        <f>IFERROR(Serie_Historica!L1129/Serie_Historica!L1128,"")</f>
        <v>4.2031686859273068E-2</v>
      </c>
      <c r="J341" s="31">
        <f>IFERROR(Serie_Historica!M1129/Serie_Historica!M1128,"")</f>
        <v>3.7916110944772582E-2</v>
      </c>
      <c r="K341" s="31">
        <f>IFERROR(Serie_Historica!N1129/Serie_Historica!N1128,"")</f>
        <v>3.8259683006192924E-2</v>
      </c>
      <c r="L341" s="31">
        <f>IFERROR(Serie_Historica!O1129/Serie_Historica!O1128,"")</f>
        <v>3.35136759843703E-2</v>
      </c>
      <c r="M341" s="31">
        <f>IFERROR(Serie_Historica!P1129/Serie_Historica!P1128,"")</f>
        <v>3.4745171049569465E-2</v>
      </c>
      <c r="N341" s="31">
        <f>IFERROR(Serie_Historica!Q1129/Serie_Historica!Q1128,"")</f>
        <v>3.7043280374225634E-2</v>
      </c>
      <c r="O341" s="31">
        <f>IFERROR(Serie_Historica!R1129/Serie_Historica!R1128,"")</f>
        <v>3.3126059920859242E-2</v>
      </c>
      <c r="P341" s="31">
        <f>IFERROR(Serie_Historica!S1129/Serie_Historica!S1128,"")</f>
        <v>3.2665458808483427E-2</v>
      </c>
      <c r="Q341" s="31">
        <f>IFERROR(Serie_Historica!T1129/Serie_Historica!T1128,"")</f>
        <v>3.555076757339079E-2</v>
      </c>
      <c r="R341" s="31">
        <f>IFERROR(Serie_Historica!U1129/Serie_Historica!U1128,"")</f>
        <v>4.0607078723281002E-2</v>
      </c>
      <c r="S341" s="31">
        <f>IFERROR(Serie_Historica!V1129/Serie_Historica!V1128,"")</f>
        <v>3.8538611601396093E-2</v>
      </c>
      <c r="T341" s="31">
        <f>IFERROR(Serie_Historica!W1129/Serie_Historica!W1128,"")</f>
        <v>4.0922580309262248E-2</v>
      </c>
      <c r="U341" s="31">
        <f>IFERROR(Serie_Historica!X1129/Serie_Historica!X1128,"")</f>
        <v>4.7667390137459451E-2</v>
      </c>
      <c r="V341" s="31">
        <f>IFERROR(Serie_Historica!Y1129/Serie_Historica!Y1128,"")</f>
        <v>7.1659046718167002E-2</v>
      </c>
      <c r="W341" s="31">
        <f>IFERROR(Serie_Historica!Z1129/Serie_Historica!Z1128,"")</f>
        <v>7.2591082003215818E-2</v>
      </c>
      <c r="X341" s="19">
        <f>IFERROR((W341-D341)*100,"")</f>
        <v>0.93247110144341894</v>
      </c>
    </row>
    <row r="342" spans="1:24">
      <c r="A342" s="28" t="s">
        <v>275</v>
      </c>
      <c r="B342" s="28" t="s">
        <v>276</v>
      </c>
      <c r="C342" s="28" t="s">
        <v>505</v>
      </c>
      <c r="D342" s="31">
        <f>IFERROR(Serie_Historica!G1130/Serie_Historica!G1128,"")</f>
        <v>0.19299504304722151</v>
      </c>
      <c r="E342" s="31">
        <f>IFERROR(Serie_Historica!H1130/Serie_Historica!H1128,"")</f>
        <v>0.18807995937399011</v>
      </c>
      <c r="F342" s="31">
        <f>IFERROR(Serie_Historica!I1130/Serie_Historica!I1128,"")</f>
        <v>0.18653268135121798</v>
      </c>
      <c r="G342" s="31">
        <f>IFERROR(Serie_Historica!J1130/Serie_Historica!J1128,"")</f>
        <v>0.19209950002066031</v>
      </c>
      <c r="H342" s="31">
        <f>IFERROR(Serie_Historica!K1130/Serie_Historica!K1128,"")</f>
        <v>0.20433639947437582</v>
      </c>
      <c r="I342" s="31">
        <f>IFERROR(Serie_Historica!L1130/Serie_Historica!L1128,"")</f>
        <v>0.19111525318421871</v>
      </c>
      <c r="J342" s="31">
        <f>IFERROR(Serie_Historica!M1130/Serie_Historica!M1128,"")</f>
        <v>0.17180652712376493</v>
      </c>
      <c r="K342" s="31">
        <f>IFERROR(Serie_Historica!N1130/Serie_Historica!N1128,"")</f>
        <v>0.17573737797837724</v>
      </c>
      <c r="L342" s="31">
        <f>IFERROR(Serie_Historica!O1130/Serie_Historica!O1128,"")</f>
        <v>0.20195872157098488</v>
      </c>
      <c r="M342" s="31">
        <f>IFERROR(Serie_Historica!P1130/Serie_Historica!P1128,"")</f>
        <v>0.19574121480102397</v>
      </c>
      <c r="N342" s="31">
        <f>IFERROR(Serie_Historica!Q1130/Serie_Historica!Q1128,"")</f>
        <v>0.20949049686038182</v>
      </c>
      <c r="O342" s="31">
        <f>IFERROR(Serie_Historica!R1130/Serie_Historica!R1128,"")</f>
        <v>0.19651403806293574</v>
      </c>
      <c r="P342" s="31">
        <f>IFERROR(Serie_Historica!S1130/Serie_Historica!S1128,"")</f>
        <v>0.19883477210558101</v>
      </c>
      <c r="Q342" s="31">
        <f>IFERROR(Serie_Historica!T1130/Serie_Historica!T1128,"")</f>
        <v>0.21262337415440186</v>
      </c>
      <c r="R342" s="31">
        <f>IFERROR(Serie_Historica!U1130/Serie_Historica!U1128,"")</f>
        <v>0.21605456757226438</v>
      </c>
      <c r="S342" s="31">
        <f>IFERROR(Serie_Historica!V1130/Serie_Historica!V1128,"")</f>
        <v>0.21396626544397701</v>
      </c>
      <c r="T342" s="31">
        <f>IFERROR(Serie_Historica!W1130/Serie_Historica!W1128,"")</f>
        <v>0.22342114853959494</v>
      </c>
      <c r="U342" s="31">
        <f>IFERROR(Serie_Historica!X1130/Serie_Historica!X1128,"")</f>
        <v>0.23403113258185723</v>
      </c>
      <c r="V342" s="31">
        <f>IFERROR(Serie_Historica!Y1130/Serie_Historica!Y1128,"")</f>
        <v>0.24169425613537232</v>
      </c>
      <c r="W342" s="31">
        <f>IFERROR(Serie_Historica!Z1130/Serie_Historica!Z1128,"")</f>
        <v>0.26265735911212207</v>
      </c>
      <c r="X342" s="19">
        <f>IFERROR((W342-D342)*100,"")</f>
        <v>6.966231606490056</v>
      </c>
    </row>
    <row r="343" spans="1:24">
      <c r="A343" s="28" t="s">
        <v>275</v>
      </c>
      <c r="B343" s="28" t="s">
        <v>276</v>
      </c>
      <c r="C343" s="28" t="s">
        <v>506</v>
      </c>
      <c r="D343" s="31">
        <f>IFERROR(Serie_Historica!G1131/Serie_Historica!G1128,"")</f>
        <v>0.54291677537177141</v>
      </c>
      <c r="E343" s="31">
        <f>IFERROR(Serie_Historica!H1131/Serie_Historica!H1128,"")</f>
        <v>0.44176169151932043</v>
      </c>
      <c r="F343" s="31">
        <f>IFERROR(Serie_Historica!I1131/Serie_Historica!I1128,"")</f>
        <v>0.48616033376699114</v>
      </c>
      <c r="G343" s="31">
        <f>IFERROR(Serie_Historica!J1131/Serie_Historica!J1128,"")</f>
        <v>0.52638320730548327</v>
      </c>
      <c r="H343" s="31">
        <f>IFERROR(Serie_Historica!K1131/Serie_Historica!K1128,"")</f>
        <v>0.57818659658344285</v>
      </c>
      <c r="I343" s="31">
        <f>IFERROR(Serie_Historica!L1131/Serie_Historica!L1128,"")</f>
        <v>0.58769804287045668</v>
      </c>
      <c r="J343" s="31">
        <f>IFERROR(Serie_Historica!M1131/Serie_Historica!M1128,"")</f>
        <v>0.57396771822858539</v>
      </c>
      <c r="K343" s="31">
        <f>IFERROR(Serie_Historica!N1131/Serie_Historica!N1128,"")</f>
        <v>0.61858402435184212</v>
      </c>
      <c r="L343" s="31">
        <f>IFERROR(Serie_Historica!O1131/Serie_Historica!O1128,"")</f>
        <v>0.66764352269311689</v>
      </c>
      <c r="M343" s="31">
        <f>IFERROR(Serie_Historica!P1131/Serie_Historica!P1128,"")</f>
        <v>0.65452641377705378</v>
      </c>
      <c r="N343" s="31">
        <f>IFERROR(Serie_Historica!Q1131/Serie_Historica!Q1128,"")</f>
        <v>0.67080365797125885</v>
      </c>
      <c r="O343" s="31">
        <f>IFERROR(Serie_Historica!R1131/Serie_Historica!R1128,"")</f>
        <v>0.71121160731109856</v>
      </c>
      <c r="P343" s="31">
        <f>IFERROR(Serie_Historica!S1131/Serie_Historica!S1128,"")</f>
        <v>0.71185477281608578</v>
      </c>
      <c r="Q343" s="31">
        <f>IFERROR(Serie_Historica!T1131/Serie_Historica!T1128,"")</f>
        <v>0.70507438095087216</v>
      </c>
      <c r="R343" s="31">
        <f>IFERROR(Serie_Historica!U1131/Serie_Historica!U1128,"")</f>
        <v>0.6964461565197243</v>
      </c>
      <c r="S343" s="31">
        <f>IFERROR(Serie_Historica!V1131/Serie_Historica!V1128,"")</f>
        <v>0.69644207928018786</v>
      </c>
      <c r="T343" s="31">
        <f>IFERROR(Serie_Historica!W1131/Serie_Historica!W1128,"")</f>
        <v>0.68338366220648716</v>
      </c>
      <c r="U343" s="31">
        <f>IFERROR(Serie_Historica!X1131/Serie_Historica!X1128,"")</f>
        <v>0.66839366146234447</v>
      </c>
      <c r="V343" s="31">
        <f>IFERROR(Serie_Historica!Y1131/Serie_Historica!Y1128,"")</f>
        <v>0.61860318461295916</v>
      </c>
      <c r="W343" s="31">
        <f>IFERROR(Serie_Historica!Z1131/Serie_Historica!Z1128,"")</f>
        <v>0.61184752343229143</v>
      </c>
      <c r="X343" s="19">
        <f>IFERROR((W343-D343)*100,"")</f>
        <v>6.8930748060520024</v>
      </c>
    </row>
    <row r="344" spans="1:24">
      <c r="A344" s="28" t="s">
        <v>211</v>
      </c>
      <c r="B344" s="28" t="s">
        <v>212</v>
      </c>
      <c r="C344" s="28" t="s">
        <v>504</v>
      </c>
      <c r="D344" s="31">
        <f>IFERROR(Serie_Historica!G1139/Serie_Historica!G1138,"")</f>
        <v>0.1018774157923799</v>
      </c>
      <c r="E344" s="31">
        <f>IFERROR(Serie_Historica!H1139/Serie_Historica!H1138,"")</f>
        <v>7.582965552817103E-2</v>
      </c>
      <c r="F344" s="31">
        <f>IFERROR(Serie_Historica!I1139/Serie_Historica!I1138,"")</f>
        <v>9.1899525875113491E-2</v>
      </c>
      <c r="G344" s="31">
        <f>IFERROR(Serie_Historica!J1139/Serie_Historica!J1138,"")</f>
        <v>7.3688076764152247E-2</v>
      </c>
      <c r="H344" s="31">
        <f>IFERROR(Serie_Historica!K1139/Serie_Historica!K1138,"")</f>
        <v>5.8692596063730083E-2</v>
      </c>
      <c r="I344" s="31">
        <f>IFERROR(Serie_Historica!L1139/Serie_Historica!L1138,"")</f>
        <v>5.4318637615146673E-2</v>
      </c>
      <c r="J344" s="31">
        <f>IFERROR(Serie_Historica!M1139/Serie_Historica!M1138,"")</f>
        <v>5.0462878925394805E-2</v>
      </c>
      <c r="K344" s="31">
        <f>IFERROR(Serie_Historica!N1139/Serie_Historica!N1138,"")</f>
        <v>4.7810398556667216E-2</v>
      </c>
      <c r="L344" s="31">
        <f>IFERROR(Serie_Historica!O1139/Serie_Historica!O1138,"")</f>
        <v>4.2874652925432126E-2</v>
      </c>
      <c r="M344" s="31">
        <f>IFERROR(Serie_Historica!P1139/Serie_Historica!P1138,"")</f>
        <v>4.0848976109215014E-2</v>
      </c>
      <c r="N344" s="31">
        <f>IFERROR(Serie_Historica!Q1139/Serie_Historica!Q1138,"")</f>
        <v>5.532380637700314E-2</v>
      </c>
      <c r="O344" s="31">
        <f>IFERROR(Serie_Historica!R1139/Serie_Historica!R1138,"")</f>
        <v>3.8639797633397283E-2</v>
      </c>
      <c r="P344" s="31">
        <f>IFERROR(Serie_Historica!S1139/Serie_Historica!S1138,"")</f>
        <v>3.3745429218178649E-2</v>
      </c>
      <c r="Q344" s="31">
        <f>IFERROR(Serie_Historica!T1139/Serie_Historica!T1138,"")</f>
        <v>3.2892160701699431E-2</v>
      </c>
      <c r="R344" s="31">
        <f>IFERROR(Serie_Historica!U1139/Serie_Historica!U1138,"")</f>
        <v>3.7250449551760802E-2</v>
      </c>
      <c r="S344" s="31">
        <f>IFERROR(Serie_Historica!V1139/Serie_Historica!V1138,"")</f>
        <v>3.2569624352331607E-2</v>
      </c>
      <c r="T344" s="31">
        <f>IFERROR(Serie_Historica!W1139/Serie_Historica!W1138,"")</f>
        <v>2.9648464923545829E-2</v>
      </c>
      <c r="U344" s="31">
        <f>IFERROR(Serie_Historica!X1139/Serie_Historica!X1138,"")</f>
        <v>2.8854168369098012E-2</v>
      </c>
      <c r="V344" s="31">
        <f>IFERROR(Serie_Historica!Y1139/Serie_Historica!Y1138,"")</f>
        <v>2.7411927670248214E-2</v>
      </c>
      <c r="W344" s="31">
        <f>IFERROR(Serie_Historica!Z1139/Serie_Historica!Z1138,"")</f>
        <v>3.0942812399766043E-2</v>
      </c>
      <c r="X344" s="19">
        <f>IFERROR((W344-D344)*100,"")</f>
        <v>-7.0934603392613855</v>
      </c>
    </row>
    <row r="345" spans="1:24">
      <c r="A345" s="28" t="s">
        <v>211</v>
      </c>
      <c r="B345" s="28" t="s">
        <v>212</v>
      </c>
      <c r="C345" s="28" t="s">
        <v>505</v>
      </c>
      <c r="D345" s="31">
        <f>IFERROR(Serie_Historica!G1140/Serie_Historica!G1138,"")</f>
        <v>0.17766427388183323</v>
      </c>
      <c r="E345" s="31">
        <f>IFERROR(Serie_Historica!H1140/Serie_Historica!H1138,"")</f>
        <v>0.17355419269788502</v>
      </c>
      <c r="F345" s="31">
        <f>IFERROR(Serie_Historica!I1140/Serie_Historica!I1138,"")</f>
        <v>0.1823867648542318</v>
      </c>
      <c r="G345" s="31">
        <f>IFERROR(Serie_Historica!J1140/Serie_Historica!J1138,"")</f>
        <v>0.17923878609797531</v>
      </c>
      <c r="H345" s="31">
        <f>IFERROR(Serie_Historica!K1140/Serie_Historica!K1138,"")</f>
        <v>0.17318806622930336</v>
      </c>
      <c r="I345" s="31">
        <f>IFERROR(Serie_Historica!L1140/Serie_Historica!L1138,"")</f>
        <v>0.15996464869642069</v>
      </c>
      <c r="J345" s="31">
        <f>IFERROR(Serie_Historica!M1140/Serie_Historica!M1138,"")</f>
        <v>0.14796998850366067</v>
      </c>
      <c r="K345" s="31">
        <f>IFERROR(Serie_Historica!N1140/Serie_Historica!N1138,"")</f>
        <v>0.14731288611885626</v>
      </c>
      <c r="L345" s="31">
        <f>IFERROR(Serie_Historica!O1140/Serie_Historica!O1138,"")</f>
        <v>0.15538934887560346</v>
      </c>
      <c r="M345" s="31">
        <f>IFERROR(Serie_Historica!P1140/Serie_Historica!P1138,"")</f>
        <v>0.17408276450511945</v>
      </c>
      <c r="N345" s="31">
        <f>IFERROR(Serie_Historica!Q1140/Serie_Historica!Q1138,"")</f>
        <v>0.18127374855443582</v>
      </c>
      <c r="O345" s="31">
        <f>IFERROR(Serie_Historica!R1140/Serie_Historica!R1138,"")</f>
        <v>0.18219785070369932</v>
      </c>
      <c r="P345" s="31">
        <f>IFERROR(Serie_Historica!S1140/Serie_Historica!S1138,"")</f>
        <v>0.16790875848859482</v>
      </c>
      <c r="Q345" s="31">
        <f>IFERROR(Serie_Historica!T1140/Serie_Historica!T1138,"")</f>
        <v>0.17271516955125696</v>
      </c>
      <c r="R345" s="31">
        <f>IFERROR(Serie_Historica!U1140/Serie_Historica!U1138,"")</f>
        <v>0.16903146206045652</v>
      </c>
      <c r="S345" s="31">
        <f>IFERROR(Serie_Historica!V1140/Serie_Historica!V1138,"")</f>
        <v>0.14285945595854924</v>
      </c>
      <c r="T345" s="31">
        <f>IFERROR(Serie_Historica!W1140/Serie_Historica!W1138,"")</f>
        <v>0.16042533518261673</v>
      </c>
      <c r="U345" s="31">
        <f>IFERROR(Serie_Historica!X1140/Serie_Historica!X1138,"")</f>
        <v>0.16637521042051417</v>
      </c>
      <c r="V345" s="31">
        <f>IFERROR(Serie_Historica!Y1140/Serie_Historica!Y1138,"")</f>
        <v>0.17025944367489049</v>
      </c>
      <c r="W345" s="31">
        <f>IFERROR(Serie_Historica!Z1140/Serie_Historica!Z1138,"")</f>
        <v>0.15319836732640266</v>
      </c>
      <c r="X345" s="19">
        <f>IFERROR((W345-D345)*100,"")</f>
        <v>-2.4465906555430572</v>
      </c>
    </row>
    <row r="346" spans="1:24">
      <c r="A346" s="28" t="s">
        <v>211</v>
      </c>
      <c r="B346" s="28" t="s">
        <v>212</v>
      </c>
      <c r="C346" s="28" t="s">
        <v>506</v>
      </c>
      <c r="D346" s="31">
        <f>IFERROR(Serie_Historica!G1141/Serie_Historica!G1138,"")</f>
        <v>0.57178354500276085</v>
      </c>
      <c r="E346" s="31">
        <f>IFERROR(Serie_Historica!H1141/Serie_Historica!H1138,"")</f>
        <v>0.53894652375766605</v>
      </c>
      <c r="F346" s="31">
        <f>IFERROR(Serie_Historica!I1141/Serie_Historica!I1138,"")</f>
        <v>0.52970846363361246</v>
      </c>
      <c r="G346" s="31">
        <f>IFERROR(Serie_Historica!J1141/Serie_Historica!J1138,"")</f>
        <v>0.57513429135485061</v>
      </c>
      <c r="H346" s="31">
        <f>IFERROR(Serie_Historica!K1141/Serie_Historica!K1138,"")</f>
        <v>0.55131208997188375</v>
      </c>
      <c r="I346" s="31">
        <f>IFERROR(Serie_Historica!L1141/Serie_Historica!L1138,"")</f>
        <v>0.61759407185832282</v>
      </c>
      <c r="J346" s="31">
        <f>IFERROR(Serie_Historica!M1141/Serie_Historica!M1138,"")</f>
        <v>0.6254008592000968</v>
      </c>
      <c r="K346" s="31">
        <f>IFERROR(Serie_Historica!N1141/Serie_Historica!N1138,"")</f>
        <v>0.6165600568585643</v>
      </c>
      <c r="L346" s="31">
        <f>IFERROR(Serie_Historica!O1141/Serie_Historica!O1138,"")</f>
        <v>0.62053180578832834</v>
      </c>
      <c r="M346" s="31">
        <f>IFERROR(Serie_Historica!P1141/Serie_Historica!P1138,"")</f>
        <v>0.61226535836177476</v>
      </c>
      <c r="N346" s="31">
        <f>IFERROR(Serie_Historica!Q1141/Serie_Historica!Q1138,"")</f>
        <v>0.62415331240707084</v>
      </c>
      <c r="O346" s="31">
        <f>IFERROR(Serie_Historica!R1141/Serie_Historica!R1138,"")</f>
        <v>0.60801656961445083</v>
      </c>
      <c r="P346" s="31">
        <f>IFERROR(Serie_Historica!S1141/Serie_Historica!S1138,"")</f>
        <v>0.68779383597422949</v>
      </c>
      <c r="Q346" s="31">
        <f>IFERROR(Serie_Historica!T1141/Serie_Historica!T1138,"")</f>
        <v>0.64515623776333308</v>
      </c>
      <c r="R346" s="31">
        <f>IFERROR(Serie_Historica!U1141/Serie_Historica!U1138,"")</f>
        <v>0.58998254295352226</v>
      </c>
      <c r="S346" s="31">
        <f>IFERROR(Serie_Historica!V1141/Serie_Historica!V1138,"")</f>
        <v>0.41551165803108808</v>
      </c>
      <c r="T346" s="31">
        <f>IFERROR(Serie_Historica!W1141/Serie_Historica!W1138,"")</f>
        <v>0.43779216109313196</v>
      </c>
      <c r="U346" s="31">
        <f>IFERROR(Serie_Historica!X1141/Serie_Historica!X1138,"")</f>
        <v>0.45360942683903444</v>
      </c>
      <c r="V346" s="31">
        <f>IFERROR(Serie_Historica!Y1141/Serie_Historica!Y1138,"")</f>
        <v>0.43862828048369584</v>
      </c>
      <c r="W346" s="31">
        <f>IFERROR(Serie_Historica!Z1141/Serie_Historica!Z1138,"")</f>
        <v>0.39871574750161948</v>
      </c>
      <c r="X346" s="19">
        <f>IFERROR((W346-D346)*100,"")</f>
        <v>-17.306779750114138</v>
      </c>
    </row>
    <row r="347" spans="1:24">
      <c r="A347" s="28" t="s">
        <v>365</v>
      </c>
      <c r="B347" s="28" t="s">
        <v>366</v>
      </c>
      <c r="C347" s="28" t="s">
        <v>504</v>
      </c>
      <c r="D347" s="31">
        <f>IFERROR(Serie_Historica!G1149/Serie_Historica!G1148,"")</f>
        <v>7.0042002497445799E-2</v>
      </c>
      <c r="E347" s="31">
        <f>IFERROR(Serie_Historica!H1149/Serie_Historica!H1148,"")</f>
        <v>4.8785445675373511E-2</v>
      </c>
      <c r="F347" s="31">
        <f>IFERROR(Serie_Historica!I1149/Serie_Historica!I1148,"")</f>
        <v>0.15501757126122609</v>
      </c>
      <c r="G347" s="31">
        <f>IFERROR(Serie_Historica!J1149/Serie_Historica!J1148,"")</f>
        <v>9.3631250949992403E-2</v>
      </c>
      <c r="H347" s="31">
        <f>IFERROR(Serie_Historica!K1149/Serie_Historica!K1148,"")</f>
        <v>3.5609581694672862E-2</v>
      </c>
      <c r="I347" s="31">
        <f>IFERROR(Serie_Historica!L1149/Serie_Historica!L1148,"")</f>
        <v>3.4947261405515316E-2</v>
      </c>
      <c r="J347" s="31">
        <f>IFERROR(Serie_Historica!M1149/Serie_Historica!M1148,"")</f>
        <v>3.334742946897843E-2</v>
      </c>
      <c r="K347" s="31">
        <f>IFERROR(Serie_Historica!N1149/Serie_Historica!N1148,"")</f>
        <v>2.9550521022344341E-2</v>
      </c>
      <c r="L347" s="31">
        <f>IFERROR(Serie_Historica!O1149/Serie_Historica!O1148,"")</f>
        <v>3.5831548893647397E-2</v>
      </c>
      <c r="M347" s="31">
        <f>IFERROR(Serie_Historica!P1149/Serie_Historica!P1148,"")</f>
        <v>4.5090093973618413E-2</v>
      </c>
      <c r="N347" s="31">
        <f>IFERROR(Serie_Historica!Q1149/Serie_Historica!Q1148,"")</f>
        <v>3.6307716887681737E-2</v>
      </c>
      <c r="O347" s="31">
        <f>IFERROR(Serie_Historica!R1149/Serie_Historica!R1148,"")</f>
        <v>3.3133168491699047E-2</v>
      </c>
      <c r="P347" s="31">
        <f>IFERROR(Serie_Historica!S1149/Serie_Historica!S1148,"")</f>
        <v>4.9404470549845002E-2</v>
      </c>
      <c r="Q347" s="31">
        <f>IFERROR(Serie_Historica!T1149/Serie_Historica!T1148,"")</f>
        <v>6.8991268382352935E-2</v>
      </c>
      <c r="R347" s="31">
        <f>IFERROR(Serie_Historica!U1149/Serie_Historica!U1148,"")</f>
        <v>6.5880276039159039E-2</v>
      </c>
      <c r="S347" s="31">
        <f>IFERROR(Serie_Historica!V1149/Serie_Historica!V1148,"")</f>
        <v>3.6231325053356987E-2</v>
      </c>
      <c r="T347" s="31">
        <f>IFERROR(Serie_Historica!W1149/Serie_Historica!W1148,"")</f>
        <v>3.0263646490902338E-2</v>
      </c>
      <c r="U347" s="31">
        <f>IFERROR(Serie_Historica!X1149/Serie_Historica!X1148,"")</f>
        <v>4.5474516695957819E-2</v>
      </c>
      <c r="V347" s="31">
        <f>IFERROR(Serie_Historica!Y1149/Serie_Historica!Y1148,"")</f>
        <v>3.6619185680070589E-2</v>
      </c>
      <c r="W347" s="31">
        <f>IFERROR(Serie_Historica!Z1149/Serie_Historica!Z1148,"")</f>
        <v>3.7642088321094461E-2</v>
      </c>
      <c r="X347" s="19">
        <f>IFERROR((W347-D347)*100,"")</f>
        <v>-3.2399914176351339</v>
      </c>
    </row>
    <row r="348" spans="1:24">
      <c r="A348" s="28" t="s">
        <v>365</v>
      </c>
      <c r="B348" s="28" t="s">
        <v>366</v>
      </c>
      <c r="C348" s="28" t="s">
        <v>505</v>
      </c>
      <c r="D348" s="31">
        <f>IFERROR(Serie_Historica!G1150/Serie_Historica!G1148,"")</f>
        <v>0.18901123850607332</v>
      </c>
      <c r="E348" s="31">
        <f>IFERROR(Serie_Historica!H1150/Serie_Historica!H1148,"")</f>
        <v>0.1833519666632788</v>
      </c>
      <c r="F348" s="31">
        <f>IFERROR(Serie_Historica!I1150/Serie_Historica!I1148,"")</f>
        <v>0.1861772745021476</v>
      </c>
      <c r="G348" s="31">
        <f>IFERROR(Serie_Historica!J1150/Serie_Historica!J1148,"")</f>
        <v>0.18429852561179511</v>
      </c>
      <c r="H348" s="31">
        <f>IFERROR(Serie_Historica!K1150/Serie_Historica!K1148,"")</f>
        <v>0.19306399713979264</v>
      </c>
      <c r="I348" s="31">
        <f>IFERROR(Serie_Historica!L1150/Serie_Historica!L1148,"")</f>
        <v>0.19996187571483034</v>
      </c>
      <c r="J348" s="31">
        <f>IFERROR(Serie_Historica!M1150/Serie_Historica!M1148,"")</f>
        <v>0.17833625324714553</v>
      </c>
      <c r="K348" s="31">
        <f>IFERROR(Serie_Historica!N1150/Serie_Historica!N1148,"")</f>
        <v>0.18119135258437452</v>
      </c>
      <c r="L348" s="31">
        <f>IFERROR(Serie_Historica!O1150/Serie_Historica!O1148,"")</f>
        <v>0.19557458957887222</v>
      </c>
      <c r="M348" s="31">
        <f>IFERROR(Serie_Historica!P1150/Serie_Historica!P1148,"")</f>
        <v>0.21842400206914389</v>
      </c>
      <c r="N348" s="31">
        <f>IFERROR(Serie_Historica!Q1150/Serie_Historica!Q1148,"")</f>
        <v>0.25874740373861638</v>
      </c>
      <c r="O348" s="31">
        <f>IFERROR(Serie_Historica!R1150/Serie_Historica!R1148,"")</f>
        <v>0.23542917696926882</v>
      </c>
      <c r="P348" s="31">
        <f>IFERROR(Serie_Historica!S1150/Serie_Historica!S1148,"")</f>
        <v>0.22548539729156469</v>
      </c>
      <c r="Q348" s="31">
        <f>IFERROR(Serie_Historica!T1150/Serie_Historica!T1148,"")</f>
        <v>0.26197725183823528</v>
      </c>
      <c r="R348" s="31">
        <f>IFERROR(Serie_Historica!U1150/Serie_Historica!U1148,"")</f>
        <v>0.27999786016155781</v>
      </c>
      <c r="S348" s="31">
        <f>IFERROR(Serie_Historica!V1150/Serie_Historica!V1148,"")</f>
        <v>0.27437064465530098</v>
      </c>
      <c r="T348" s="31">
        <f>IFERROR(Serie_Historica!W1150/Serie_Historica!W1148,"")</f>
        <v>0.3183717044188637</v>
      </c>
      <c r="U348" s="31">
        <f>IFERROR(Serie_Historica!X1150/Serie_Historica!X1148,"")</f>
        <v>0.30781674388880015</v>
      </c>
      <c r="V348" s="31">
        <f>IFERROR(Serie_Historica!Y1150/Serie_Historica!Y1148,"")</f>
        <v>0.30665153998067146</v>
      </c>
      <c r="W348" s="31">
        <f>IFERROR(Serie_Historica!Z1150/Serie_Historica!Z1148,"")</f>
        <v>0.33376923850719242</v>
      </c>
      <c r="X348" s="19">
        <f>IFERROR((W348-D348)*100,"")</f>
        <v>14.47580000011191</v>
      </c>
    </row>
    <row r="349" spans="1:24">
      <c r="A349" s="28" t="s">
        <v>365</v>
      </c>
      <c r="B349" s="28" t="s">
        <v>366</v>
      </c>
      <c r="C349" s="28" t="s">
        <v>506</v>
      </c>
      <c r="D349" s="31">
        <f>IFERROR(Serie_Historica!G1151/Serie_Historica!G1148,"")</f>
        <v>0.58042910659552727</v>
      </c>
      <c r="E349" s="31">
        <f>IFERROR(Serie_Historica!H1151/Serie_Historica!H1148,"")</f>
        <v>0.5429413558288444</v>
      </c>
      <c r="F349" s="31">
        <f>IFERROR(Serie_Historica!I1151/Serie_Historica!I1148,"")</f>
        <v>0.48996485747754781</v>
      </c>
      <c r="G349" s="31">
        <f>IFERROR(Serie_Historica!J1151/Serie_Historica!J1148,"")</f>
        <v>0.56459948320413433</v>
      </c>
      <c r="H349" s="31">
        <f>IFERROR(Serie_Historica!K1151/Serie_Historica!K1148,"")</f>
        <v>0.62431176260278876</v>
      </c>
      <c r="I349" s="31">
        <f>IFERROR(Serie_Historica!L1151/Serie_Historica!L1148,"")</f>
        <v>0.64290252891091626</v>
      </c>
      <c r="J349" s="31">
        <f>IFERROR(Serie_Historica!M1151/Serie_Historica!M1148,"")</f>
        <v>0.62774119494955594</v>
      </c>
      <c r="K349" s="31">
        <f>IFERROR(Serie_Historica!N1151/Serie_Historica!N1148,"")</f>
        <v>0.61506558141946188</v>
      </c>
      <c r="L349" s="31">
        <f>IFERROR(Serie_Historica!O1151/Serie_Historica!O1148,"")</f>
        <v>0.62488698548655719</v>
      </c>
      <c r="M349" s="31">
        <f>IFERROR(Serie_Historica!P1151/Serie_Historica!P1148,"")</f>
        <v>0.59599965514268471</v>
      </c>
      <c r="N349" s="31">
        <f>IFERROR(Serie_Historica!Q1151/Serie_Historica!Q1148,"")</f>
        <v>0.58811311711135961</v>
      </c>
      <c r="O349" s="31">
        <f>IFERROR(Serie_Historica!R1151/Serie_Historica!R1148,"")</f>
        <v>0.60678205581066758</v>
      </c>
      <c r="P349" s="31">
        <f>IFERROR(Serie_Historica!S1151/Serie_Historica!S1148,"")</f>
        <v>0.61187795725240657</v>
      </c>
      <c r="Q349" s="31">
        <f>IFERROR(Serie_Historica!T1151/Serie_Historica!T1148,"")</f>
        <v>0.57140395220588236</v>
      </c>
      <c r="R349" s="31">
        <f>IFERROR(Serie_Historica!U1151/Serie_Historica!U1148,"")</f>
        <v>0.56066441983630233</v>
      </c>
      <c r="S349" s="31">
        <f>IFERROR(Serie_Historica!V1151/Serie_Historica!V1148,"")</f>
        <v>0.5776183496618581</v>
      </c>
      <c r="T349" s="31">
        <f>IFERROR(Serie_Historica!W1151/Serie_Historica!W1148,"")</f>
        <v>0.53279335313776455</v>
      </c>
      <c r="U349" s="31">
        <f>IFERROR(Serie_Historica!X1151/Serie_Historica!X1148,"")</f>
        <v>0.54591388400702989</v>
      </c>
      <c r="V349" s="31">
        <f>IFERROR(Serie_Historica!Y1151/Serie_Historica!Y1148,"")</f>
        <v>0.55290138241102571</v>
      </c>
      <c r="W349" s="31">
        <f>IFERROR(Serie_Historica!Z1151/Serie_Historica!Z1148,"")</f>
        <v>0.51630620661905235</v>
      </c>
      <c r="X349" s="19">
        <f>IFERROR((W349-D349)*100,"")</f>
        <v>-6.4122899976474912</v>
      </c>
    </row>
    <row r="350" spans="1:24">
      <c r="A350" s="28" t="s">
        <v>403</v>
      </c>
      <c r="B350" s="28" t="s">
        <v>404</v>
      </c>
      <c r="C350" s="28" t="s">
        <v>504</v>
      </c>
      <c r="D350" s="31">
        <f>IFERROR(Serie_Historica!G1159/Serie_Historica!G1158,"")</f>
        <v>5.109880293014115E-2</v>
      </c>
      <c r="E350" s="31">
        <f>IFERROR(Serie_Historica!H1159/Serie_Historica!H1158,"")</f>
        <v>3.5301668806161743E-2</v>
      </c>
      <c r="F350" s="31">
        <f>IFERROR(Serie_Historica!I1159/Serie_Historica!I1158,"")</f>
        <v>3.9385474860335196E-2</v>
      </c>
      <c r="G350" s="31">
        <f>IFERROR(Serie_Historica!J1159/Serie_Historica!J1158,"")</f>
        <v>3.7155119558553037E-2</v>
      </c>
      <c r="H350" s="31">
        <f>IFERROR(Serie_Historica!K1159/Serie_Historica!K1158,"")</f>
        <v>3.5830277632268204E-2</v>
      </c>
      <c r="I350" s="31">
        <f>IFERROR(Serie_Historica!L1159/Serie_Historica!L1158,"")</f>
        <v>3.4831559503914152E-2</v>
      </c>
      <c r="J350" s="31">
        <f>IFERROR(Serie_Historica!M1159/Serie_Historica!M1158,"")</f>
        <v>3.1515795868772782E-2</v>
      </c>
      <c r="K350" s="31">
        <f>IFERROR(Serie_Historica!N1159/Serie_Historica!N1158,"")</f>
        <v>3.1929696082021237E-2</v>
      </c>
      <c r="L350" s="31">
        <f>IFERROR(Serie_Historica!O1159/Serie_Historica!O1158,"")</f>
        <v>2.8905465499928274E-2</v>
      </c>
      <c r="M350" s="31">
        <f>IFERROR(Serie_Historica!P1159/Serie_Historica!P1158,"")</f>
        <v>3.4125000000000003E-2</v>
      </c>
      <c r="N350" s="31">
        <f>IFERROR(Serie_Historica!Q1159/Serie_Historica!Q1158,"")</f>
        <v>3.8868090728914333E-2</v>
      </c>
      <c r="O350" s="31">
        <f>IFERROR(Serie_Historica!R1159/Serie_Historica!R1158,"")</f>
        <v>2.9971153376032855E-2</v>
      </c>
      <c r="P350" s="31">
        <f>IFERROR(Serie_Historica!S1159/Serie_Historica!S1158,"")</f>
        <v>3.4143354996703401E-2</v>
      </c>
      <c r="Q350" s="31">
        <f>IFERROR(Serie_Historica!T1159/Serie_Historica!T1158,"")</f>
        <v>2.9656306967231337E-2</v>
      </c>
      <c r="R350" s="31">
        <f>IFERROR(Serie_Historica!U1159/Serie_Historica!U1158,"")</f>
        <v>3.3492822966507178E-2</v>
      </c>
      <c r="S350" s="31">
        <f>IFERROR(Serie_Historica!V1159/Serie_Historica!V1158,"")</f>
        <v>3.3935685828116104E-2</v>
      </c>
      <c r="T350" s="31">
        <f>IFERROR(Serie_Historica!W1159/Serie_Historica!W1158,"")</f>
        <v>3.3355528076349915E-2</v>
      </c>
      <c r="U350" s="31">
        <f>IFERROR(Serie_Historica!X1159/Serie_Historica!X1158,"")</f>
        <v>8.4600544711756695E-2</v>
      </c>
      <c r="V350" s="31">
        <f>IFERROR(Serie_Historica!Y1159/Serie_Historica!Y1158,"")</f>
        <v>8.1136814276272312E-2</v>
      </c>
      <c r="W350" s="31">
        <f>IFERROR(Serie_Historica!Z1159/Serie_Historica!Z1158,"")</f>
        <v>9.0928699820251646E-2</v>
      </c>
      <c r="X350" s="19">
        <f>IFERROR((W350-D350)*100,"")</f>
        <v>3.9829896890110494</v>
      </c>
    </row>
    <row r="351" spans="1:24">
      <c r="A351" s="28" t="s">
        <v>403</v>
      </c>
      <c r="B351" s="28" t="s">
        <v>404</v>
      </c>
      <c r="C351" s="28" t="s">
        <v>505</v>
      </c>
      <c r="D351" s="31">
        <f>IFERROR(Serie_Historica!G1160/Serie_Historica!G1158,"")</f>
        <v>0.18956583884223691</v>
      </c>
      <c r="E351" s="31">
        <f>IFERROR(Serie_Historica!H1160/Serie_Historica!H1158,"")</f>
        <v>0.1959242618741977</v>
      </c>
      <c r="F351" s="31">
        <f>IFERROR(Serie_Historica!I1160/Serie_Historica!I1158,"")</f>
        <v>0.21131284916201118</v>
      </c>
      <c r="G351" s="31">
        <f>IFERROR(Serie_Historica!J1160/Serie_Historica!J1158,"")</f>
        <v>0.20269773145309625</v>
      </c>
      <c r="H351" s="31">
        <f>IFERROR(Serie_Historica!K1160/Serie_Historica!K1158,"")</f>
        <v>0.19518072289156627</v>
      </c>
      <c r="I351" s="31">
        <f>IFERROR(Serie_Historica!L1160/Serie_Historica!L1158,"")</f>
        <v>0.19526783358254904</v>
      </c>
      <c r="J351" s="31">
        <f>IFERROR(Serie_Historica!M1160/Serie_Historica!M1158,"")</f>
        <v>0.17907047387606317</v>
      </c>
      <c r="K351" s="31">
        <f>IFERROR(Serie_Historica!N1160/Serie_Historica!N1158,"")</f>
        <v>0.17920175759794946</v>
      </c>
      <c r="L351" s="31">
        <f>IFERROR(Serie_Historica!O1160/Serie_Historica!O1158,"")</f>
        <v>0.19925405250322767</v>
      </c>
      <c r="M351" s="31">
        <f>IFERROR(Serie_Historica!P1160/Serie_Historica!P1158,"")</f>
        <v>0.2223125</v>
      </c>
      <c r="N351" s="31">
        <f>IFERROR(Serie_Historica!Q1160/Serie_Historica!Q1158,"")</f>
        <v>0.24097115172869413</v>
      </c>
      <c r="O351" s="31">
        <f>IFERROR(Serie_Historica!R1160/Serie_Historica!R1158,"")</f>
        <v>0.23321762088691145</v>
      </c>
      <c r="P351" s="31">
        <f>IFERROR(Serie_Historica!S1160/Serie_Historica!S1158,"")</f>
        <v>0.20669680700762927</v>
      </c>
      <c r="Q351" s="31">
        <f>IFERROR(Serie_Historica!T1160/Serie_Historica!T1158,"")</f>
        <v>0.21737583922457873</v>
      </c>
      <c r="R351" s="31">
        <f>IFERROR(Serie_Historica!U1160/Serie_Historica!U1158,"")</f>
        <v>0.22422441734835621</v>
      </c>
      <c r="S351" s="31">
        <f>IFERROR(Serie_Historica!V1160/Serie_Historica!V1158,"")</f>
        <v>0.22421030165054071</v>
      </c>
      <c r="T351" s="31">
        <f>IFERROR(Serie_Historica!W1160/Serie_Historica!W1158,"")</f>
        <v>0.25419322109134723</v>
      </c>
      <c r="U351" s="31">
        <f>IFERROR(Serie_Historica!X1160/Serie_Historica!X1158,"")</f>
        <v>0.23811280072628235</v>
      </c>
      <c r="V351" s="31">
        <f>IFERROR(Serie_Historica!Y1160/Serie_Historica!Y1158,"")</f>
        <v>0.23413086582947787</v>
      </c>
      <c r="W351" s="31">
        <f>IFERROR(Serie_Historica!Z1160/Serie_Historica!Z1158,"")</f>
        <v>0.22969442780107849</v>
      </c>
      <c r="X351" s="19">
        <f>IFERROR((W351-D351)*100,"")</f>
        <v>4.0128588958841584</v>
      </c>
    </row>
    <row r="352" spans="1:24">
      <c r="A352" s="28" t="s">
        <v>403</v>
      </c>
      <c r="B352" s="28" t="s">
        <v>404</v>
      </c>
      <c r="C352" s="28" t="s">
        <v>506</v>
      </c>
      <c r="D352" s="31">
        <f>IFERROR(Serie_Historica!G1161/Serie_Historica!G1158,"")</f>
        <v>0.65767375379667681</v>
      </c>
      <c r="E352" s="31">
        <f>IFERROR(Serie_Historica!H1161/Serie_Historica!H1158,"")</f>
        <v>0.6386392811296534</v>
      </c>
      <c r="F352" s="31">
        <f>IFERROR(Serie_Historica!I1161/Serie_Historica!I1158,"")</f>
        <v>0.61270949720670387</v>
      </c>
      <c r="G352" s="31">
        <f>IFERROR(Serie_Historica!J1161/Serie_Historica!J1158,"")</f>
        <v>0.65248313917841816</v>
      </c>
      <c r="H352" s="31">
        <f>IFERROR(Serie_Historica!K1161/Serie_Historica!K1158,"")</f>
        <v>0.64148768988999472</v>
      </c>
      <c r="I352" s="31">
        <f>IFERROR(Serie_Historica!L1161/Serie_Historica!L1158,"")</f>
        <v>0.69179347348051723</v>
      </c>
      <c r="J352" s="31">
        <f>IFERROR(Serie_Historica!M1161/Serie_Historica!M1158,"")</f>
        <v>0.66783110571081405</v>
      </c>
      <c r="K352" s="31">
        <f>IFERROR(Serie_Historica!N1161/Serie_Historica!N1158,"")</f>
        <v>0.67594287806664222</v>
      </c>
      <c r="L352" s="31">
        <f>IFERROR(Serie_Historica!O1161/Serie_Historica!O1158,"")</f>
        <v>0.6861282455888682</v>
      </c>
      <c r="M352" s="31">
        <f>IFERROR(Serie_Historica!P1161/Serie_Historica!P1158,"")</f>
        <v>0.66312499999999996</v>
      </c>
      <c r="N352" s="31">
        <f>IFERROR(Serie_Historica!Q1161/Serie_Historica!Q1158,"")</f>
        <v>0.66620788372605155</v>
      </c>
      <c r="O352" s="31">
        <f>IFERROR(Serie_Historica!R1161/Serie_Historica!R1158,"")</f>
        <v>0.68884760181880411</v>
      </c>
      <c r="P352" s="31">
        <f>IFERROR(Serie_Historica!S1161/Serie_Historica!S1158,"")</f>
        <v>0.70161062447018929</v>
      </c>
      <c r="Q352" s="31">
        <f>IFERROR(Serie_Historica!T1161/Serie_Historica!T1158,"")</f>
        <v>0.70156951669556711</v>
      </c>
      <c r="R352" s="31">
        <f>IFERROR(Serie_Historica!U1161/Serie_Historica!U1158,"")</f>
        <v>0.69717549004475998</v>
      </c>
      <c r="S352" s="31">
        <f>IFERROR(Serie_Historica!V1161/Serie_Historica!V1158,"")</f>
        <v>0.69450768355150827</v>
      </c>
      <c r="T352" s="31">
        <f>IFERROR(Serie_Historica!W1161/Serie_Historica!W1158,"")</f>
        <v>0.64998890262849174</v>
      </c>
      <c r="U352" s="31">
        <f>IFERROR(Serie_Historica!X1161/Serie_Historica!X1158,"")</f>
        <v>0.615354062641852</v>
      </c>
      <c r="V352" s="31">
        <f>IFERROR(Serie_Historica!Y1161/Serie_Historica!Y1158,"")</f>
        <v>0.60087243886318575</v>
      </c>
      <c r="W352" s="31">
        <f>IFERROR(Serie_Historica!Z1161/Serie_Historica!Z1158,"")</f>
        <v>0.60045536249251052</v>
      </c>
      <c r="X352" s="19">
        <f>IFERROR((W352-D352)*100,"")</f>
        <v>-5.7218391304166278</v>
      </c>
    </row>
    <row r="353" spans="1:24">
      <c r="A353" s="28" t="s">
        <v>415</v>
      </c>
      <c r="B353" s="28" t="s">
        <v>416</v>
      </c>
      <c r="C353" s="28" t="s">
        <v>504</v>
      </c>
      <c r="D353" s="31">
        <f>IFERROR(Serie_Historica!G1169/Serie_Historica!G1168,"")</f>
        <v>5.1665404996214991E-2</v>
      </c>
      <c r="E353" s="31">
        <f>IFERROR(Serie_Historica!H1169/Serie_Historica!H1168,"")</f>
        <v>4.1426324069218666E-2</v>
      </c>
      <c r="F353" s="31">
        <f>IFERROR(Serie_Historica!I1169/Serie_Historica!I1168,"")</f>
        <v>4.3761638733705775E-2</v>
      </c>
      <c r="G353" s="31">
        <f>IFERROR(Serie_Historica!J1169/Serie_Historica!J1168,"")</f>
        <v>5.4183158182066329E-2</v>
      </c>
      <c r="H353" s="31">
        <f>IFERROR(Serie_Historica!K1169/Serie_Historica!K1168,"")</f>
        <v>4.9910233393177739E-2</v>
      </c>
      <c r="I353" s="31">
        <f>IFERROR(Serie_Historica!L1169/Serie_Historica!L1168,"")</f>
        <v>3.9199176723734679E-2</v>
      </c>
      <c r="J353" s="31">
        <f>IFERROR(Serie_Historica!M1169/Serie_Historica!M1168,"")</f>
        <v>3.6036036036036036E-2</v>
      </c>
      <c r="K353" s="31">
        <f>IFERROR(Serie_Historica!N1169/Serie_Historica!N1168,"")</f>
        <v>3.6765816095425036E-2</v>
      </c>
      <c r="L353" s="31">
        <f>IFERROR(Serie_Historica!O1169/Serie_Historica!O1168,"")</f>
        <v>3.2217910229186499E-2</v>
      </c>
      <c r="M353" s="31">
        <f>IFERROR(Serie_Historica!P1169/Serie_Historica!P1168,"")</f>
        <v>3.4568651275820171E-2</v>
      </c>
      <c r="N353" s="31">
        <f>IFERROR(Serie_Historica!Q1169/Serie_Historica!Q1168,"")</f>
        <v>4.2344227982611497E-2</v>
      </c>
      <c r="O353" s="31">
        <f>IFERROR(Serie_Historica!R1169/Serie_Historica!R1168,"")</f>
        <v>3.436328254781907E-2</v>
      </c>
      <c r="P353" s="31">
        <f>IFERROR(Serie_Historica!S1169/Serie_Historica!S1168,"")</f>
        <v>3.1552118122692915E-2</v>
      </c>
      <c r="Q353" s="31">
        <f>IFERROR(Serie_Historica!T1169/Serie_Historica!T1168,"")</f>
        <v>4.7989415868179452E-2</v>
      </c>
      <c r="R353" s="31">
        <f>IFERROR(Serie_Historica!U1169/Serie_Historica!U1168,"")</f>
        <v>5.5697894619583382E-2</v>
      </c>
      <c r="S353" s="31">
        <f>IFERROR(Serie_Historica!V1169/Serie_Historica!V1168,"")</f>
        <v>5.6734223547752996E-2</v>
      </c>
      <c r="T353" s="31">
        <f>IFERROR(Serie_Historica!W1169/Serie_Historica!W1168,"")</f>
        <v>5.3484923381117155E-2</v>
      </c>
      <c r="U353" s="31">
        <f>IFERROR(Serie_Historica!X1169/Serie_Historica!X1168,"")</f>
        <v>4.9471878667509253E-2</v>
      </c>
      <c r="V353" s="31">
        <f>IFERROR(Serie_Historica!Y1169/Serie_Historica!Y1168,"")</f>
        <v>4.4587272308047037E-2</v>
      </c>
      <c r="W353" s="31">
        <f>IFERROR(Serie_Historica!Z1169/Serie_Historica!Z1168,"")</f>
        <v>4.6476222111498641E-2</v>
      </c>
      <c r="X353" s="19">
        <f>IFERROR((W353-D353)*100,"")</f>
        <v>-0.5189182884716349</v>
      </c>
    </row>
    <row r="354" spans="1:24">
      <c r="A354" s="28" t="s">
        <v>415</v>
      </c>
      <c r="B354" s="28" t="s">
        <v>416</v>
      </c>
      <c r="C354" s="28" t="s">
        <v>505</v>
      </c>
      <c r="D354" s="31">
        <f>IFERROR(Serie_Historica!G1170/Serie_Historica!G1168,"")</f>
        <v>0.20098410295230887</v>
      </c>
      <c r="E354" s="31">
        <f>IFERROR(Serie_Historica!H1170/Serie_Historica!H1168,"")</f>
        <v>0.2025869603216221</v>
      </c>
      <c r="F354" s="31">
        <f>IFERROR(Serie_Historica!I1170/Serie_Historica!I1168,"")</f>
        <v>0.21073867163252638</v>
      </c>
      <c r="G354" s="31">
        <f>IFERROR(Serie_Historica!J1170/Serie_Historica!J1168,"")</f>
        <v>0.20881670533642691</v>
      </c>
      <c r="H354" s="31">
        <f>IFERROR(Serie_Historica!K1170/Serie_Historica!K1168,"")</f>
        <v>0.20825852782764812</v>
      </c>
      <c r="I354" s="31">
        <f>IFERROR(Serie_Historica!L1170/Serie_Historica!L1168,"")</f>
        <v>0.19730564131349987</v>
      </c>
      <c r="J354" s="31">
        <f>IFERROR(Serie_Historica!M1170/Serie_Historica!M1168,"")</f>
        <v>0.17641277641277642</v>
      </c>
      <c r="K354" s="31">
        <f>IFERROR(Serie_Historica!N1170/Serie_Historica!N1168,"")</f>
        <v>0.17922391665408424</v>
      </c>
      <c r="L354" s="31">
        <f>IFERROR(Serie_Historica!O1170/Serie_Historica!O1168,"")</f>
        <v>0.19030533792194479</v>
      </c>
      <c r="M354" s="31">
        <f>IFERROR(Serie_Historica!P1170/Serie_Historica!P1168,"")</f>
        <v>0.21069258809234509</v>
      </c>
      <c r="N354" s="31">
        <f>IFERROR(Serie_Historica!Q1170/Serie_Historica!Q1168,"")</f>
        <v>0.22717758815005634</v>
      </c>
      <c r="O354" s="31">
        <f>IFERROR(Serie_Historica!R1170/Serie_Historica!R1168,"")</f>
        <v>0.22041862451943614</v>
      </c>
      <c r="P354" s="31">
        <f>IFERROR(Serie_Historica!S1170/Serie_Historica!S1168,"")</f>
        <v>0.21198804710845492</v>
      </c>
      <c r="Q354" s="31">
        <f>IFERROR(Serie_Historica!T1170/Serie_Historica!T1168,"")</f>
        <v>0.21432866936615483</v>
      </c>
      <c r="R354" s="31">
        <f>IFERROR(Serie_Historica!U1170/Serie_Historica!U1168,"")</f>
        <v>0.2248709665441313</v>
      </c>
      <c r="S354" s="31">
        <f>IFERROR(Serie_Historica!V1170/Serie_Historica!V1168,"")</f>
        <v>0.21100793059038839</v>
      </c>
      <c r="T354" s="31">
        <f>IFERROR(Serie_Historica!W1170/Serie_Historica!W1168,"")</f>
        <v>0.22217828307793705</v>
      </c>
      <c r="U354" s="31">
        <f>IFERROR(Serie_Historica!X1170/Serie_Historica!X1168,"")</f>
        <v>0.22391742649935301</v>
      </c>
      <c r="V354" s="31">
        <f>IFERROR(Serie_Historica!Y1170/Serie_Historica!Y1168,"")</f>
        <v>0.2189589578049343</v>
      </c>
      <c r="W354" s="31">
        <f>IFERROR(Serie_Historica!Z1170/Serie_Historica!Z1168,"")</f>
        <v>0.21325361235675136</v>
      </c>
      <c r="X354" s="19">
        <f>IFERROR((W354-D354)*100,"")</f>
        <v>1.2269509404442491</v>
      </c>
    </row>
    <row r="355" spans="1:24">
      <c r="A355" s="28" t="s">
        <v>415</v>
      </c>
      <c r="B355" s="28" t="s">
        <v>416</v>
      </c>
      <c r="C355" s="28" t="s">
        <v>506</v>
      </c>
      <c r="D355" s="31">
        <f>IFERROR(Serie_Historica!G1171/Serie_Historica!G1168,"")</f>
        <v>0.6464799394398183</v>
      </c>
      <c r="E355" s="31">
        <f>IFERROR(Serie_Historica!H1171/Serie_Historica!H1168,"")</f>
        <v>0.62873623492396435</v>
      </c>
      <c r="F355" s="31">
        <f>IFERROR(Serie_Historica!I1171/Serie_Historica!I1168,"")</f>
        <v>0.62135319677219114</v>
      </c>
      <c r="G355" s="31">
        <f>IFERROR(Serie_Historica!J1171/Serie_Historica!J1168,"")</f>
        <v>0.64951549065101677</v>
      </c>
      <c r="H355" s="31">
        <f>IFERROR(Serie_Historica!K1171/Serie_Historica!K1168,"")</f>
        <v>0.64943147815679236</v>
      </c>
      <c r="I355" s="31">
        <f>IFERROR(Serie_Historica!L1171/Serie_Historica!L1168,"")</f>
        <v>0.69753952661614749</v>
      </c>
      <c r="J355" s="31">
        <f>IFERROR(Serie_Historica!M1171/Serie_Historica!M1168,"")</f>
        <v>0.6852579852579852</v>
      </c>
      <c r="K355" s="31">
        <f>IFERROR(Serie_Historica!N1171/Serie_Historica!N1168,"")</f>
        <v>0.6796013890985958</v>
      </c>
      <c r="L355" s="31">
        <f>IFERROR(Serie_Historica!O1171/Serie_Historica!O1168,"")</f>
        <v>0.71560371970418102</v>
      </c>
      <c r="M355" s="31">
        <f>IFERROR(Serie_Historica!P1171/Serie_Historica!P1168,"")</f>
        <v>0.68499392466585662</v>
      </c>
      <c r="N355" s="31">
        <f>IFERROR(Serie_Historica!Q1171/Serie_Historica!Q1168,"")</f>
        <v>0.68781194654644984</v>
      </c>
      <c r="O355" s="31">
        <f>IFERROR(Serie_Historica!R1171/Serie_Historica!R1168,"")</f>
        <v>0.70027053965541797</v>
      </c>
      <c r="P355" s="31">
        <f>IFERROR(Serie_Historica!S1171/Serie_Historica!S1168,"")</f>
        <v>0.70245210054491125</v>
      </c>
      <c r="Q355" s="31">
        <f>IFERROR(Serie_Historica!T1171/Serie_Historica!T1168,"")</f>
        <v>0.69017359579842041</v>
      </c>
      <c r="R355" s="31">
        <f>IFERROR(Serie_Historica!U1171/Serie_Historica!U1168,"")</f>
        <v>0.68218781330065725</v>
      </c>
      <c r="S355" s="31">
        <f>IFERROR(Serie_Historica!V1171/Serie_Historica!V1168,"")</f>
        <v>0.68874127296143162</v>
      </c>
      <c r="T355" s="31">
        <f>IFERROR(Serie_Historica!W1171/Serie_Historica!W1168,"")</f>
        <v>0.67035755478662051</v>
      </c>
      <c r="U355" s="31">
        <f>IFERROR(Serie_Historica!X1171/Serie_Historica!X1168,"")</f>
        <v>0.67506244169600671</v>
      </c>
      <c r="V355" s="31">
        <f>IFERROR(Serie_Historica!Y1171/Serie_Historica!Y1168,"")</f>
        <v>0.68172123587733457</v>
      </c>
      <c r="W355" s="31">
        <f>IFERROR(Serie_Historica!Z1171/Serie_Historica!Z1168,"")</f>
        <v>0.68659691081215746</v>
      </c>
      <c r="X355" s="19">
        <f>IFERROR((W355-D355)*100,"")</f>
        <v>4.0116971372339165</v>
      </c>
    </row>
    <row r="356" spans="1:24">
      <c r="A356" s="28" t="s">
        <v>401</v>
      </c>
      <c r="B356" s="28" t="s">
        <v>402</v>
      </c>
      <c r="C356" s="28" t="s">
        <v>504</v>
      </c>
      <c r="D356" s="31">
        <f>IFERROR(Serie_Historica!G1179/Serie_Historica!G1178,"")</f>
        <v>5.1462421325435027E-2</v>
      </c>
      <c r="E356" s="31">
        <f>IFERROR(Serie_Historica!H1179/Serie_Historica!H1178,"")</f>
        <v>3.4322217410134255E-2</v>
      </c>
      <c r="F356" s="31">
        <f>IFERROR(Serie_Historica!I1179/Serie_Historica!I1178,"")</f>
        <v>3.7969853081473E-2</v>
      </c>
      <c r="G356" s="31">
        <f>IFERROR(Serie_Historica!J1179/Serie_Historica!J1178,"")</f>
        <v>3.7856966504814418E-2</v>
      </c>
      <c r="H356" s="31">
        <f>IFERROR(Serie_Historica!K1179/Serie_Historica!K1178,"")</f>
        <v>3.5142814416031107E-2</v>
      </c>
      <c r="I356" s="31">
        <f>IFERROR(Serie_Historica!L1179/Serie_Historica!L1178,"")</f>
        <v>3.5267857142857142E-2</v>
      </c>
      <c r="J356" s="31">
        <f>IFERROR(Serie_Historica!M1179/Serie_Historica!M1178,"")</f>
        <v>3.1508264462809916E-2</v>
      </c>
      <c r="K356" s="31">
        <f>IFERROR(Serie_Historica!N1179/Serie_Historica!N1178,"")</f>
        <v>3.213784163335854E-2</v>
      </c>
      <c r="L356" s="31">
        <f>IFERROR(Serie_Historica!O1179/Serie_Historica!O1178,"")</f>
        <v>2.9241822840777771E-2</v>
      </c>
      <c r="M356" s="31">
        <f>IFERROR(Serie_Historica!P1179/Serie_Historica!P1178,"")</f>
        <v>2.8898582333696837E-2</v>
      </c>
      <c r="N356" s="31">
        <f>IFERROR(Serie_Historica!Q1179/Serie_Historica!Q1178,"")</f>
        <v>3.2260781671159026E-2</v>
      </c>
      <c r="O356" s="31">
        <f>IFERROR(Serie_Historica!R1179/Serie_Historica!R1178,"")</f>
        <v>2.4228902458118054E-2</v>
      </c>
      <c r="P356" s="31">
        <f>IFERROR(Serie_Historica!S1179/Serie_Historica!S1178,"")</f>
        <v>2.6019567275660134E-2</v>
      </c>
      <c r="Q356" s="31">
        <f>IFERROR(Serie_Historica!T1179/Serie_Historica!T1178,"")</f>
        <v>2.1247405635487389E-2</v>
      </c>
      <c r="R356" s="31">
        <f>IFERROR(Serie_Historica!U1179/Serie_Historica!U1178,"")</f>
        <v>2.6875318931791122E-2</v>
      </c>
      <c r="S356" s="31">
        <f>IFERROR(Serie_Historica!V1179/Serie_Historica!V1178,"")</f>
        <v>2.706938775510204E-2</v>
      </c>
      <c r="T356" s="31">
        <f>IFERROR(Serie_Historica!W1179/Serie_Historica!W1178,"")</f>
        <v>2.6000742878367955E-2</v>
      </c>
      <c r="U356" s="31">
        <f>IFERROR(Serie_Historica!X1179/Serie_Historica!X1178,"")</f>
        <v>2.8132062238615994E-2</v>
      </c>
      <c r="V356" s="31">
        <f>IFERROR(Serie_Historica!Y1179/Serie_Historica!Y1178,"")</f>
        <v>2.3099925242960378E-2</v>
      </c>
      <c r="W356" s="31">
        <f>IFERROR(Serie_Historica!Z1179/Serie_Historica!Z1178,"")</f>
        <v>2.6975683890577508E-2</v>
      </c>
      <c r="X356" s="19">
        <f>IFERROR((W356-D356)*100,"")</f>
        <v>-2.448673743485752</v>
      </c>
    </row>
    <row r="357" spans="1:24">
      <c r="A357" s="28" t="s">
        <v>401</v>
      </c>
      <c r="B357" s="28" t="s">
        <v>402</v>
      </c>
      <c r="C357" s="28" t="s">
        <v>505</v>
      </c>
      <c r="D357" s="31">
        <f>IFERROR(Serie_Historica!G1180/Serie_Historica!G1178,"")</f>
        <v>0.19326175490559053</v>
      </c>
      <c r="E357" s="31">
        <f>IFERROR(Serie_Historica!H1180/Serie_Historica!H1178,"")</f>
        <v>0.20918146383715894</v>
      </c>
      <c r="F357" s="31">
        <f>IFERROR(Serie_Historica!I1180/Serie_Historica!I1178,"")</f>
        <v>0.21245945430261401</v>
      </c>
      <c r="G357" s="31">
        <f>IFERROR(Serie_Historica!J1180/Serie_Historica!J1178,"")</f>
        <v>0.20352234384001316</v>
      </c>
      <c r="H357" s="31">
        <f>IFERROR(Serie_Historica!K1180/Serie_Historica!K1178,"")</f>
        <v>0.19822042769552864</v>
      </c>
      <c r="I357" s="31">
        <f>IFERROR(Serie_Historica!L1180/Serie_Historica!L1178,"")</f>
        <v>0.20184948979591838</v>
      </c>
      <c r="J357" s="31">
        <f>IFERROR(Serie_Historica!M1180/Serie_Historica!M1178,"")</f>
        <v>0.17688246097337007</v>
      </c>
      <c r="K357" s="31">
        <f>IFERROR(Serie_Historica!N1180/Serie_Historica!N1178,"")</f>
        <v>0.18099816355190668</v>
      </c>
      <c r="L357" s="31">
        <f>IFERROR(Serie_Historica!O1180/Serie_Historica!O1178,"")</f>
        <v>0.19655328342460934</v>
      </c>
      <c r="M357" s="31">
        <f>IFERROR(Serie_Historica!P1180/Serie_Historica!P1178,"")</f>
        <v>0.19452017448200654</v>
      </c>
      <c r="N357" s="31">
        <f>IFERROR(Serie_Historica!Q1180/Serie_Historica!Q1178,"")</f>
        <v>0.21222203504043127</v>
      </c>
      <c r="O357" s="31">
        <f>IFERROR(Serie_Historica!R1180/Serie_Historica!R1178,"")</f>
        <v>0.20118991701894473</v>
      </c>
      <c r="P357" s="31">
        <f>IFERROR(Serie_Historica!S1180/Serie_Historica!S1178,"")</f>
        <v>0.18736192446610794</v>
      </c>
      <c r="Q357" s="31">
        <f>IFERROR(Serie_Historica!T1180/Serie_Historica!T1178,"")</f>
        <v>0.20994125303408731</v>
      </c>
      <c r="R357" s="31">
        <f>IFERROR(Serie_Historica!U1180/Serie_Historica!U1178,"")</f>
        <v>0.21309746555536657</v>
      </c>
      <c r="S357" s="31">
        <f>IFERROR(Serie_Historica!V1180/Serie_Historica!V1178,"")</f>
        <v>0.20976326530612244</v>
      </c>
      <c r="T357" s="31">
        <f>IFERROR(Serie_Historica!W1180/Serie_Historica!W1178,"")</f>
        <v>0.22946369896282751</v>
      </c>
      <c r="U357" s="31">
        <f>IFERROR(Serie_Historica!X1180/Serie_Historica!X1178,"")</f>
        <v>0.23492739694002129</v>
      </c>
      <c r="V357" s="31">
        <f>IFERROR(Serie_Historica!Y1180/Serie_Historica!Y1178,"")</f>
        <v>0.22763518564664839</v>
      </c>
      <c r="W357" s="31">
        <f>IFERROR(Serie_Historica!Z1180/Serie_Historica!Z1178,"")</f>
        <v>0.22506648936170212</v>
      </c>
      <c r="X357" s="19">
        <f>IFERROR((W357-D357)*100,"")</f>
        <v>3.1804734456111596</v>
      </c>
    </row>
    <row r="358" spans="1:24">
      <c r="A358" s="28" t="s">
        <v>401</v>
      </c>
      <c r="B358" s="28" t="s">
        <v>402</v>
      </c>
      <c r="C358" s="28" t="s">
        <v>506</v>
      </c>
      <c r="D358" s="31">
        <f>IFERROR(Serie_Historica!G1181/Serie_Historica!G1178,"")</f>
        <v>0.62853264223127236</v>
      </c>
      <c r="E358" s="31">
        <f>IFERROR(Serie_Historica!H1181/Serie_Historica!H1178,"")</f>
        <v>0.62851883932438279</v>
      </c>
      <c r="F358" s="31">
        <f>IFERROR(Serie_Historica!I1181/Serie_Historica!I1178,"")</f>
        <v>0.63012783819881701</v>
      </c>
      <c r="G358" s="31">
        <f>IFERROR(Serie_Historica!J1181/Serie_Historica!J1178,"")</f>
        <v>0.66644720599127649</v>
      </c>
      <c r="H358" s="31">
        <f>IFERROR(Serie_Historica!K1181/Serie_Historica!K1178,"")</f>
        <v>0.66666666666666663</v>
      </c>
      <c r="I358" s="31">
        <f>IFERROR(Serie_Historica!L1181/Serie_Historica!L1178,"")</f>
        <v>0.69904336734693873</v>
      </c>
      <c r="J358" s="31">
        <f>IFERROR(Serie_Historica!M1181/Serie_Historica!M1178,"")</f>
        <v>0.6767676767676768</v>
      </c>
      <c r="K358" s="31">
        <f>IFERROR(Serie_Historica!N1181/Serie_Historica!N1178,"")</f>
        <v>0.69579777465701631</v>
      </c>
      <c r="L358" s="31">
        <f>IFERROR(Serie_Historica!O1181/Serie_Historica!O1178,"")</f>
        <v>0.69185549917097922</v>
      </c>
      <c r="M358" s="31">
        <f>IFERROR(Serie_Historica!P1181/Serie_Historica!P1178,"")</f>
        <v>0.69620138131588516</v>
      </c>
      <c r="N358" s="31">
        <f>IFERROR(Serie_Historica!Q1181/Serie_Historica!Q1178,"")</f>
        <v>0.69680761455525608</v>
      </c>
      <c r="O358" s="31">
        <f>IFERROR(Serie_Historica!R1181/Serie_Historica!R1178,"")</f>
        <v>0.70995772663222168</v>
      </c>
      <c r="P358" s="31">
        <f>IFERROR(Serie_Historica!S1181/Serie_Historica!S1178,"")</f>
        <v>0.70568432864607078</v>
      </c>
      <c r="Q358" s="31">
        <f>IFERROR(Serie_Historica!T1181/Serie_Historica!T1178,"")</f>
        <v>0.71752207408449709</v>
      </c>
      <c r="R358" s="31">
        <f>IFERROR(Serie_Historica!U1181/Serie_Historica!U1178,"")</f>
        <v>0.71566592957986053</v>
      </c>
      <c r="S358" s="31">
        <f>IFERROR(Serie_Historica!V1181/Serie_Historica!V1178,"")</f>
        <v>0.71869387755102043</v>
      </c>
      <c r="T358" s="31">
        <f>IFERROR(Serie_Historica!W1181/Serie_Historica!W1178,"")</f>
        <v>0.68819109117403354</v>
      </c>
      <c r="U358" s="31">
        <f>IFERROR(Serie_Historica!X1181/Serie_Historica!X1178,"")</f>
        <v>0.68922253682105095</v>
      </c>
      <c r="V358" s="31">
        <f>IFERROR(Serie_Historica!Y1181/Serie_Historica!Y1178,"")</f>
        <v>0.69252429603787691</v>
      </c>
      <c r="W358" s="31">
        <f>IFERROR(Serie_Historica!Z1181/Serie_Historica!Z1178,"")</f>
        <v>0.68142097264437695</v>
      </c>
      <c r="X358" s="19">
        <f>IFERROR((W358-D358)*100,"")</f>
        <v>5.2888330413104594</v>
      </c>
    </row>
    <row r="359" spans="1:24">
      <c r="A359" s="28" t="s">
        <v>201</v>
      </c>
      <c r="B359" s="28" t="s">
        <v>202</v>
      </c>
      <c r="C359" s="28" t="s">
        <v>504</v>
      </c>
      <c r="D359" s="31">
        <f>IFERROR(Serie_Historica!G1189/Serie_Historica!G1188,"")</f>
        <v>9.0980392156862738E-2</v>
      </c>
      <c r="E359" s="31">
        <f>IFERROR(Serie_Historica!H1189/Serie_Historica!H1188,"")</f>
        <v>6.2873310279786238E-2</v>
      </c>
      <c r="F359" s="31">
        <f>IFERROR(Serie_Historica!I1189/Serie_Historica!I1188,"")</f>
        <v>5.2776864935918502E-2</v>
      </c>
      <c r="G359" s="31">
        <f>IFERROR(Serie_Historica!J1189/Serie_Historica!J1188,"")</f>
        <v>4.8239035219295616E-2</v>
      </c>
      <c r="H359" s="31">
        <f>IFERROR(Serie_Historica!K1189/Serie_Historica!K1188,"")</f>
        <v>5.1334702258726897E-2</v>
      </c>
      <c r="I359" s="31">
        <f>IFERROR(Serie_Historica!L1189/Serie_Historica!L1188,"")</f>
        <v>4.8151442002286875E-2</v>
      </c>
      <c r="J359" s="31">
        <f>IFERROR(Serie_Historica!M1189/Serie_Historica!M1188,"")</f>
        <v>4.1598631521654612E-2</v>
      </c>
      <c r="K359" s="31">
        <f>IFERROR(Serie_Historica!N1189/Serie_Historica!N1188,"")</f>
        <v>3.791677341433957E-2</v>
      </c>
      <c r="L359" s="31">
        <f>IFERROR(Serie_Historica!O1189/Serie_Historica!O1188,"")</f>
        <v>3.9799047432635216E-2</v>
      </c>
      <c r="M359" s="31">
        <f>IFERROR(Serie_Historica!P1189/Serie_Historica!P1188,"")</f>
        <v>0.10990310226951448</v>
      </c>
      <c r="N359" s="31">
        <f>IFERROR(Serie_Historica!Q1189/Serie_Historica!Q1188,"")</f>
        <v>9.8621662193513163E-2</v>
      </c>
      <c r="O359" s="31">
        <f>IFERROR(Serie_Historica!R1189/Serie_Historica!R1188,"")</f>
        <v>6.8448008060115029E-2</v>
      </c>
      <c r="P359" s="31">
        <f>IFERROR(Serie_Historica!S1189/Serie_Historica!S1188,"")</f>
        <v>5.7669595852433093E-2</v>
      </c>
      <c r="Q359" s="31">
        <f>IFERROR(Serie_Historica!T1189/Serie_Historica!T1188,"")</f>
        <v>4.631166088399457E-2</v>
      </c>
      <c r="R359" s="31">
        <f>IFERROR(Serie_Historica!U1189/Serie_Historica!U1188,"")</f>
        <v>3.9450100060906636E-2</v>
      </c>
      <c r="S359" s="31">
        <f>IFERROR(Serie_Historica!V1189/Serie_Historica!V1188,"")</f>
        <v>3.3916510700626575E-2</v>
      </c>
      <c r="T359" s="31">
        <f>IFERROR(Serie_Historica!W1189/Serie_Historica!W1188,"")</f>
        <v>3.657262277951933E-2</v>
      </c>
      <c r="U359" s="31">
        <f>IFERROR(Serie_Historica!X1189/Serie_Historica!X1188,"")</f>
        <v>3.7151839229051589E-2</v>
      </c>
      <c r="V359" s="31">
        <f>IFERROR(Serie_Historica!Y1189/Serie_Historica!Y1188,"")</f>
        <v>4.3775110300460919E-2</v>
      </c>
      <c r="W359" s="31">
        <f>IFERROR(Serie_Historica!Z1189/Serie_Historica!Z1188,"")</f>
        <v>0.47051580698835277</v>
      </c>
      <c r="X359" s="19">
        <f>IFERROR((W359-D359)*100,"")</f>
        <v>37.953541483149003</v>
      </c>
    </row>
    <row r="360" spans="1:24">
      <c r="A360" s="28" t="s">
        <v>201</v>
      </c>
      <c r="B360" s="28" t="s">
        <v>202</v>
      </c>
      <c r="C360" s="28" t="s">
        <v>505</v>
      </c>
      <c r="D360" s="31">
        <f>IFERROR(Serie_Historica!G1190/Serie_Historica!G1188,"")</f>
        <v>0.19625272331154683</v>
      </c>
      <c r="E360" s="31">
        <f>IFERROR(Serie_Historica!H1190/Serie_Historica!H1188,"")</f>
        <v>0.19254951273184534</v>
      </c>
      <c r="F360" s="31">
        <f>IFERROR(Serie_Historica!I1190/Serie_Historica!I1188,"")</f>
        <v>0.19960565231679264</v>
      </c>
      <c r="G360" s="31">
        <f>IFERROR(Serie_Historica!J1190/Serie_Historica!J1188,"")</f>
        <v>0.19415611687766246</v>
      </c>
      <c r="H360" s="31">
        <f>IFERROR(Serie_Historica!K1190/Serie_Historica!K1188,"")</f>
        <v>0.20036744839511511</v>
      </c>
      <c r="I360" s="31">
        <f>IFERROR(Serie_Historica!L1190/Serie_Historica!L1188,"")</f>
        <v>0.18252657434464067</v>
      </c>
      <c r="J360" s="31">
        <f>IFERROR(Serie_Historica!M1190/Serie_Historica!M1188,"")</f>
        <v>0.16472280538060805</v>
      </c>
      <c r="K360" s="31">
        <f>IFERROR(Serie_Historica!N1190/Serie_Historica!N1188,"")</f>
        <v>0.16744134977857483</v>
      </c>
      <c r="L360" s="31">
        <f>IFERROR(Serie_Historica!O1190/Serie_Historica!O1188,"")</f>
        <v>0.1800091342076075</v>
      </c>
      <c r="M360" s="31">
        <f>IFERROR(Serie_Historica!P1190/Serie_Historica!P1188,"")</f>
        <v>0.1995784820212301</v>
      </c>
      <c r="N360" s="31">
        <f>IFERROR(Serie_Historica!Q1190/Serie_Historica!Q1188,"")</f>
        <v>0.25642541964245097</v>
      </c>
      <c r="O360" s="31">
        <f>IFERROR(Serie_Historica!R1190/Serie_Historica!R1188,"")</f>
        <v>0.25676923722765627</v>
      </c>
      <c r="P360" s="31">
        <f>IFERROR(Serie_Historica!S1190/Serie_Historica!S1188,"")</f>
        <v>0.26202534179394277</v>
      </c>
      <c r="Q360" s="31">
        <f>IFERROR(Serie_Historica!T1190/Serie_Historica!T1188,"")</f>
        <v>0.27149645497058378</v>
      </c>
      <c r="R360" s="31">
        <f>IFERROR(Serie_Historica!U1190/Serie_Historica!U1188,"")</f>
        <v>0.2868528669624989</v>
      </c>
      <c r="S360" s="31">
        <f>IFERROR(Serie_Historica!V1190/Serie_Historica!V1188,"")</f>
        <v>0.27691431361380098</v>
      </c>
      <c r="T360" s="31">
        <f>IFERROR(Serie_Historica!W1190/Serie_Historica!W1188,"")</f>
        <v>0.26788258763180395</v>
      </c>
      <c r="U360" s="31">
        <f>IFERROR(Serie_Historica!X1190/Serie_Historica!X1188,"")</f>
        <v>0.27372487953931129</v>
      </c>
      <c r="V360" s="31">
        <f>IFERROR(Serie_Historica!Y1190/Serie_Historica!Y1188,"")</f>
        <v>0.3465776046930073</v>
      </c>
      <c r="W360" s="31">
        <f>IFERROR(Serie_Historica!Z1190/Serie_Historica!Z1188,"")</f>
        <v>0.22037160288408209</v>
      </c>
      <c r="X360" s="19">
        <f>IFERROR((W360-D360)*100,"")</f>
        <v>2.411887957253525</v>
      </c>
    </row>
    <row r="361" spans="1:24">
      <c r="A361" s="28" t="s">
        <v>201</v>
      </c>
      <c r="B361" s="28" t="s">
        <v>202</v>
      </c>
      <c r="C361" s="28" t="s">
        <v>506</v>
      </c>
      <c r="D361" s="31">
        <f>IFERROR(Serie_Historica!G1191/Serie_Historica!G1188,"")</f>
        <v>0.5864923747276688</v>
      </c>
      <c r="E361" s="31">
        <f>IFERROR(Serie_Historica!H1191/Serie_Historica!H1188,"")</f>
        <v>0.59226658283558631</v>
      </c>
      <c r="F361" s="31">
        <f>IFERROR(Serie_Historica!I1191/Serie_Historica!I1188,"")</f>
        <v>0.55530726256983243</v>
      </c>
      <c r="G361" s="31">
        <f>IFERROR(Serie_Historica!J1191/Serie_Historica!J1188,"")</f>
        <v>0.59872802543949122</v>
      </c>
      <c r="H361" s="31">
        <f>IFERROR(Serie_Historica!K1191/Serie_Historica!K1188,"")</f>
        <v>0.6307683994380201</v>
      </c>
      <c r="I361" s="31">
        <f>IFERROR(Serie_Historica!L1191/Serie_Historica!L1188,"")</f>
        <v>0.68483462499470626</v>
      </c>
      <c r="J361" s="31">
        <f>IFERROR(Serie_Historica!M1191/Serie_Historica!M1188,"")</f>
        <v>0.6801181867661924</v>
      </c>
      <c r="K361" s="31">
        <f>IFERROR(Serie_Historica!N1191/Serie_Historica!N1188,"")</f>
        <v>0.72400541668191631</v>
      </c>
      <c r="L361" s="31">
        <f>IFERROR(Serie_Historica!O1191/Serie_Historica!O1188,"")</f>
        <v>0.72603901611535204</v>
      </c>
      <c r="M361" s="31">
        <f>IFERROR(Serie_Historica!P1191/Serie_Historica!P1188,"")</f>
        <v>0.63793147762613411</v>
      </c>
      <c r="N361" s="31">
        <f>IFERROR(Serie_Historica!Q1191/Serie_Historica!Q1188,"")</f>
        <v>0.61920574989764821</v>
      </c>
      <c r="O361" s="31">
        <f>IFERROR(Serie_Historica!R1191/Serie_Historica!R1188,"")</f>
        <v>0.6436757482893245</v>
      </c>
      <c r="P361" s="31">
        <f>IFERROR(Serie_Historica!S1191/Serie_Historica!S1188,"")</f>
        <v>0.65594411193626523</v>
      </c>
      <c r="Q361" s="31">
        <f>IFERROR(Serie_Historica!T1191/Serie_Historica!T1188,"")</f>
        <v>0.65569844622114948</v>
      </c>
      <c r="R361" s="31">
        <f>IFERROR(Serie_Historica!U1191/Serie_Historica!U1188,"")</f>
        <v>0.64736796310797873</v>
      </c>
      <c r="S361" s="31">
        <f>IFERROR(Serie_Historica!V1191/Serie_Historica!V1188,"")</f>
        <v>0.66316217755716489</v>
      </c>
      <c r="T361" s="31">
        <f>IFERROR(Serie_Historica!W1191/Serie_Historica!W1188,"")</f>
        <v>0.67594439694753172</v>
      </c>
      <c r="U361" s="31">
        <f>IFERROR(Serie_Historica!X1191/Serie_Historica!X1188,"")</f>
        <v>0.66533964038077331</v>
      </c>
      <c r="V361" s="31">
        <f>IFERROR(Serie_Historica!Y1191/Serie_Historica!Y1188,"")</f>
        <v>0.57584235044736387</v>
      </c>
      <c r="W361" s="31">
        <f>IFERROR(Serie_Historica!Z1191/Serie_Historica!Z1188,"")</f>
        <v>0.29742096505823629</v>
      </c>
      <c r="X361" s="19">
        <f>IFERROR((W361-D361)*100,"")</f>
        <v>-28.907140966943253</v>
      </c>
    </row>
    <row r="362" spans="1:24">
      <c r="A362" s="28" t="s">
        <v>349</v>
      </c>
      <c r="B362" s="28" t="s">
        <v>350</v>
      </c>
      <c r="C362" s="28" t="s">
        <v>504</v>
      </c>
      <c r="D362" s="31">
        <f>IFERROR(Serie_Historica!G1199/Serie_Historica!G1198,"")</f>
        <v>5.3339834227206243E-2</v>
      </c>
      <c r="E362" s="31">
        <f>IFERROR(Serie_Historica!H1199/Serie_Historica!H1198,"")</f>
        <v>3.9097469626381658E-2</v>
      </c>
      <c r="F362" s="31">
        <f>IFERROR(Serie_Historica!I1199/Serie_Historica!I1198,"")</f>
        <v>4.3531288113331457E-2</v>
      </c>
      <c r="G362" s="31">
        <f>IFERROR(Serie_Historica!J1199/Serie_Historica!J1198,"")</f>
        <v>5.0517914756325354E-2</v>
      </c>
      <c r="H362" s="31">
        <f>IFERROR(Serie_Historica!K1199/Serie_Historica!K1198,"")</f>
        <v>3.8183773816840814E-2</v>
      </c>
      <c r="I362" s="31">
        <f>IFERROR(Serie_Historica!L1199/Serie_Historica!L1198,"")</f>
        <v>3.6129115061284731E-2</v>
      </c>
      <c r="J362" s="31">
        <f>IFERROR(Serie_Historica!M1199/Serie_Historica!M1198,"")</f>
        <v>3.37986337986338E-2</v>
      </c>
      <c r="K362" s="31">
        <f>IFERROR(Serie_Historica!N1199/Serie_Historica!N1198,"")</f>
        <v>3.395142334813267E-2</v>
      </c>
      <c r="L362" s="31">
        <f>IFERROR(Serie_Historica!O1199/Serie_Historica!O1198,"")</f>
        <v>3.200285830951409E-2</v>
      </c>
      <c r="M362" s="31">
        <f>IFERROR(Serie_Historica!P1199/Serie_Historica!P1198,"")</f>
        <v>3.6093898412411236E-2</v>
      </c>
      <c r="N362" s="31">
        <f>IFERROR(Serie_Historica!Q1199/Serie_Historica!Q1198,"")</f>
        <v>4.2321698196997957E-2</v>
      </c>
      <c r="O362" s="31">
        <f>IFERROR(Serie_Historica!R1199/Serie_Historica!R1198,"")</f>
        <v>3.9900157838710863E-2</v>
      </c>
      <c r="P362" s="31">
        <f>IFERROR(Serie_Historica!S1199/Serie_Historica!S1198,"")</f>
        <v>3.4200485605272286E-2</v>
      </c>
      <c r="Q362" s="31">
        <f>IFERROR(Serie_Historica!T1199/Serie_Historica!T1198,"")</f>
        <v>3.6038592508513052E-2</v>
      </c>
      <c r="R362" s="31">
        <f>IFERROR(Serie_Historica!U1199/Serie_Historica!U1198,"")</f>
        <v>4.2449669317950064E-2</v>
      </c>
      <c r="S362" s="31">
        <f>IFERROR(Serie_Historica!V1199/Serie_Historica!V1198,"")</f>
        <v>4.0683628887175534E-2</v>
      </c>
      <c r="T362" s="31">
        <f>IFERROR(Serie_Historica!W1199/Serie_Historica!W1198,"")</f>
        <v>3.6815068493150686E-2</v>
      </c>
      <c r="U362" s="31">
        <f>IFERROR(Serie_Historica!X1199/Serie_Historica!X1198,"")</f>
        <v>3.7648415477919195E-2</v>
      </c>
      <c r="V362" s="31">
        <f>IFERROR(Serie_Historica!Y1199/Serie_Historica!Y1198,"")</f>
        <v>3.6534032245254547E-2</v>
      </c>
      <c r="W362" s="31">
        <f>IFERROR(Serie_Historica!Z1199/Serie_Historica!Z1198,"")</f>
        <v>3.7241796138941234E-2</v>
      </c>
      <c r="X362" s="19">
        <f>IFERROR((W362-D362)*100,"")</f>
        <v>-1.6098038088265008</v>
      </c>
    </row>
    <row r="363" spans="1:24">
      <c r="A363" s="28" t="s">
        <v>349</v>
      </c>
      <c r="B363" s="28" t="s">
        <v>350</v>
      </c>
      <c r="C363" s="28" t="s">
        <v>505</v>
      </c>
      <c r="D363" s="31">
        <f>IFERROR(Serie_Historica!G1200/Serie_Historica!G1198,"")</f>
        <v>0.22564602632862019</v>
      </c>
      <c r="E363" s="31">
        <f>IFERROR(Serie_Historica!H1200/Serie_Historica!H1198,"")</f>
        <v>0.22983465789714078</v>
      </c>
      <c r="F363" s="31">
        <f>IFERROR(Serie_Historica!I1200/Serie_Historica!I1198,"")</f>
        <v>0.23623229195984613</v>
      </c>
      <c r="G363" s="31">
        <f>IFERROR(Serie_Historica!J1200/Serie_Historica!J1198,"")</f>
        <v>0.22779758872474104</v>
      </c>
      <c r="H363" s="31">
        <f>IFERROR(Serie_Historica!K1200/Serie_Historica!K1198,"")</f>
        <v>0.2312538414259373</v>
      </c>
      <c r="I363" s="31">
        <f>IFERROR(Serie_Historica!L1200/Serie_Historica!L1198,"")</f>
        <v>0.21953410768144774</v>
      </c>
      <c r="J363" s="31">
        <f>IFERROR(Serie_Historica!M1200/Serie_Historica!M1198,"")</f>
        <v>0.20243540243540242</v>
      </c>
      <c r="K363" s="31">
        <f>IFERROR(Serie_Historica!N1200/Serie_Historica!N1198,"")</f>
        <v>0.20141028989292242</v>
      </c>
      <c r="L363" s="31">
        <f>IFERROR(Serie_Historica!O1200/Serie_Historica!O1198,"")</f>
        <v>0.21718048182931809</v>
      </c>
      <c r="M363" s="31">
        <f>IFERROR(Serie_Historica!P1200/Serie_Historica!P1198,"")</f>
        <v>0.20186349450450042</v>
      </c>
      <c r="N363" s="31">
        <f>IFERROR(Serie_Historica!Q1200/Serie_Historica!Q1198,"")</f>
        <v>0.21636024513722354</v>
      </c>
      <c r="O363" s="31">
        <f>IFERROR(Serie_Historica!R1200/Serie_Historica!R1198,"")</f>
        <v>0.22468156957750615</v>
      </c>
      <c r="P363" s="31">
        <f>IFERROR(Serie_Historica!S1200/Serie_Historica!S1198,"")</f>
        <v>0.20353798126951092</v>
      </c>
      <c r="Q363" s="31">
        <f>IFERROR(Serie_Historica!T1200/Serie_Historica!T1198,"")</f>
        <v>0.22761382267625174</v>
      </c>
      <c r="R363" s="31">
        <f>IFERROR(Serie_Historica!U1200/Serie_Historica!U1198,"")</f>
        <v>0.22378579960959125</v>
      </c>
      <c r="S363" s="31">
        <f>IFERROR(Serie_Historica!V1200/Serie_Historica!V1198,"")</f>
        <v>0.2215111796453354</v>
      </c>
      <c r="T363" s="31">
        <f>IFERROR(Serie_Historica!W1200/Serie_Historica!W1198,"")</f>
        <v>0.29257682339874119</v>
      </c>
      <c r="U363" s="31">
        <f>IFERROR(Serie_Historica!X1200/Serie_Historica!X1198,"")</f>
        <v>0.29172717177756896</v>
      </c>
      <c r="V363" s="31">
        <f>IFERROR(Serie_Historica!Y1200/Serie_Historica!Y1198,"")</f>
        <v>0.28174886823921846</v>
      </c>
      <c r="W363" s="31">
        <f>IFERROR(Serie_Historica!Z1200/Serie_Historica!Z1198,"")</f>
        <v>0.27489600739502967</v>
      </c>
      <c r="X363" s="19">
        <f>IFERROR((W363-D363)*100,"")</f>
        <v>4.9249981066409489</v>
      </c>
    </row>
    <row r="364" spans="1:24">
      <c r="A364" s="28" t="s">
        <v>349</v>
      </c>
      <c r="B364" s="28" t="s">
        <v>350</v>
      </c>
      <c r="C364" s="28" t="s">
        <v>506</v>
      </c>
      <c r="D364" s="31">
        <f>IFERROR(Serie_Historica!G1201/Serie_Historica!G1198,"")</f>
        <v>0.56655290102389078</v>
      </c>
      <c r="E364" s="31">
        <f>IFERROR(Serie_Historica!H1201/Serie_Historica!H1198,"")</f>
        <v>0.5565908468073445</v>
      </c>
      <c r="F364" s="31">
        <f>IFERROR(Serie_Historica!I1201/Serie_Historica!I1198,"")</f>
        <v>0.58279388310348068</v>
      </c>
      <c r="G364" s="31">
        <f>IFERROR(Serie_Historica!J1201/Serie_Historica!J1198,"")</f>
        <v>0.59925284428595682</v>
      </c>
      <c r="H364" s="31">
        <f>IFERROR(Serie_Historica!K1201/Serie_Historica!K1198,"")</f>
        <v>0.60817455439459123</v>
      </c>
      <c r="I364" s="31">
        <f>IFERROR(Serie_Historica!L1201/Serie_Historica!L1198,"")</f>
        <v>0.65853815054867482</v>
      </c>
      <c r="J364" s="31">
        <f>IFERROR(Serie_Historica!M1201/Serie_Historica!M1198,"")</f>
        <v>0.66427086427086424</v>
      </c>
      <c r="K364" s="31">
        <f>IFERROR(Serie_Historica!N1201/Serie_Historica!N1198,"")</f>
        <v>0.66241838600156699</v>
      </c>
      <c r="L364" s="31">
        <f>IFERROR(Serie_Historica!O1201/Serie_Historica!O1198,"")</f>
        <v>0.66966108615761533</v>
      </c>
      <c r="M364" s="31">
        <f>IFERROR(Serie_Historica!P1201/Serie_Historica!P1198,"")</f>
        <v>0.66334976706318693</v>
      </c>
      <c r="N364" s="31">
        <f>IFERROR(Serie_Historica!Q1201/Serie_Historica!Q1198,"")</f>
        <v>0.66950883737454481</v>
      </c>
      <c r="O364" s="31">
        <f>IFERROR(Serie_Historica!R1201/Serie_Historica!R1198,"")</f>
        <v>0.65782035752303347</v>
      </c>
      <c r="P364" s="31">
        <f>IFERROR(Serie_Historica!S1201/Serie_Historica!S1198,"")</f>
        <v>0.67682969129379122</v>
      </c>
      <c r="Q364" s="31">
        <f>IFERROR(Serie_Historica!T1201/Serie_Historica!T1198,"")</f>
        <v>0.65503216042376089</v>
      </c>
      <c r="R364" s="31">
        <f>IFERROR(Serie_Historica!U1201/Serie_Historica!U1198,"")</f>
        <v>0.65888762637298603</v>
      </c>
      <c r="S364" s="31">
        <f>IFERROR(Serie_Historica!V1201/Serie_Historica!V1198,"")</f>
        <v>0.65317399126188636</v>
      </c>
      <c r="T364" s="31">
        <f>IFERROR(Serie_Historica!W1201/Serie_Historica!W1198,"")</f>
        <v>0.59464087375046282</v>
      </c>
      <c r="U364" s="31">
        <f>IFERROR(Serie_Historica!X1201/Serie_Historica!X1198,"")</f>
        <v>0.59927820961817713</v>
      </c>
      <c r="V364" s="31">
        <f>IFERROR(Serie_Historica!Y1201/Serie_Historica!Y1198,"")</f>
        <v>0.58299579064411089</v>
      </c>
      <c r="W364" s="31">
        <f>IFERROR(Serie_Historica!Z1201/Serie_Historica!Z1198,"")</f>
        <v>0.58922032211042774</v>
      </c>
      <c r="X364" s="19">
        <f>IFERROR((W364-D364)*100,"")</f>
        <v>2.2667421086536965</v>
      </c>
    </row>
    <row r="365" spans="1:24">
      <c r="A365" s="28" t="s">
        <v>265</v>
      </c>
      <c r="B365" s="28" t="s">
        <v>266</v>
      </c>
      <c r="C365" s="28" t="s">
        <v>504</v>
      </c>
      <c r="D365" s="31">
        <f>IFERROR(Serie_Historica!G1209/Serie_Historica!G1208,"")</f>
        <v>0.34023469112489885</v>
      </c>
      <c r="E365" s="31">
        <f>IFERROR(Serie_Historica!H1209/Serie_Historica!H1208,"")</f>
        <v>0.30876544782774878</v>
      </c>
      <c r="F365" s="31">
        <f>IFERROR(Serie_Historica!I1209/Serie_Historica!I1208,"")</f>
        <v>0.32489610880241782</v>
      </c>
      <c r="G365" s="31">
        <f>IFERROR(Serie_Historica!J1209/Serie_Historica!J1208,"")</f>
        <v>0.380482503803521</v>
      </c>
      <c r="H365" s="31">
        <f>IFERROR(Serie_Historica!K1209/Serie_Historica!K1208,"")</f>
        <v>0.40793609703783146</v>
      </c>
      <c r="I365" s="31">
        <f>IFERROR(Serie_Historica!L1209/Serie_Historica!L1208,"")</f>
        <v>0.53219370412335587</v>
      </c>
      <c r="J365" s="31">
        <f>IFERROR(Serie_Historica!M1209/Serie_Historica!M1208,"")</f>
        <v>0.55818323571157269</v>
      </c>
      <c r="K365" s="31">
        <f>IFERROR(Serie_Historica!N1209/Serie_Historica!N1208,"")</f>
        <v>0.40242809654574363</v>
      </c>
      <c r="L365" s="31">
        <f>IFERROR(Serie_Historica!O1209/Serie_Historica!O1208,"")</f>
        <v>0.40879746142904039</v>
      </c>
      <c r="M365" s="31">
        <f>IFERROR(Serie_Historica!P1209/Serie_Historica!P1208,"")</f>
        <v>0.35360409645936364</v>
      </c>
      <c r="N365" s="31">
        <f>IFERROR(Serie_Historica!Q1209/Serie_Historica!Q1208,"")</f>
        <v>0.27801147227533463</v>
      </c>
      <c r="O365" s="31">
        <f>IFERROR(Serie_Historica!R1209/Serie_Historica!R1208,"")</f>
        <v>0.2442723641570578</v>
      </c>
      <c r="P365" s="31">
        <f>IFERROR(Serie_Historica!S1209/Serie_Historica!S1208,"")</f>
        <v>0.20439743656541448</v>
      </c>
      <c r="Q365" s="31">
        <f>IFERROR(Serie_Historica!T1209/Serie_Historica!T1208,"")</f>
        <v>0.15895216648126542</v>
      </c>
      <c r="R365" s="31">
        <f>IFERROR(Serie_Historica!U1209/Serie_Historica!U1208,"")</f>
        <v>8.8511333946373574E-2</v>
      </c>
      <c r="S365" s="31">
        <f>IFERROR(Serie_Historica!V1209/Serie_Historica!V1208,"")</f>
        <v>0.10274482685249216</v>
      </c>
      <c r="T365" s="31">
        <f>IFERROR(Serie_Historica!W1209/Serie_Historica!W1208,"")</f>
        <v>0.14798449108670694</v>
      </c>
      <c r="U365" s="31">
        <f>IFERROR(Serie_Historica!X1209/Serie_Historica!X1208,"")</f>
        <v>0.13613671466294655</v>
      </c>
      <c r="V365" s="31">
        <f>IFERROR(Serie_Historica!Y1209/Serie_Historica!Y1208,"")</f>
        <v>6.2210877367993821E-2</v>
      </c>
      <c r="W365" s="31">
        <f>IFERROR(Serie_Historica!Z1209/Serie_Historica!Z1208,"")</f>
        <v>6.4069062965758858E-2</v>
      </c>
      <c r="X365" s="19">
        <f>IFERROR((W365-D365)*100,"")</f>
        <v>-27.616562815913998</v>
      </c>
    </row>
    <row r="366" spans="1:24">
      <c r="A366" s="28" t="s">
        <v>265</v>
      </c>
      <c r="B366" s="28" t="s">
        <v>266</v>
      </c>
      <c r="C366" s="28" t="s">
        <v>505</v>
      </c>
      <c r="D366" s="31">
        <f>IFERROR(Serie_Historica!G1210/Serie_Historica!G1208,"")</f>
        <v>0.28061775020231994</v>
      </c>
      <c r="E366" s="31">
        <f>IFERROR(Serie_Historica!H1210/Serie_Historica!H1208,"")</f>
        <v>0.29500573321442219</v>
      </c>
      <c r="F366" s="31">
        <f>IFERROR(Serie_Historica!I1210/Serie_Historica!I1208,"")</f>
        <v>0.30562901397808839</v>
      </c>
      <c r="G366" s="31">
        <f>IFERROR(Serie_Historica!J1210/Serie_Historica!J1208,"")</f>
        <v>0.2652466855031515</v>
      </c>
      <c r="H366" s="31">
        <f>IFERROR(Serie_Historica!K1210/Serie_Historica!K1208,"")</f>
        <v>0.24203986538959357</v>
      </c>
      <c r="I366" s="31">
        <f>IFERROR(Serie_Historica!L1210/Serie_Historica!L1208,"")</f>
        <v>0.23621853293265679</v>
      </c>
      <c r="J366" s="31">
        <f>IFERROR(Serie_Historica!M1210/Serie_Historica!M1208,"")</f>
        <v>0.24214861163864623</v>
      </c>
      <c r="K366" s="31">
        <f>IFERROR(Serie_Historica!N1210/Serie_Historica!N1208,"")</f>
        <v>0.27027027027027029</v>
      </c>
      <c r="L366" s="31">
        <f>IFERROR(Serie_Historica!O1210/Serie_Historica!O1208,"")</f>
        <v>0.28184155815734763</v>
      </c>
      <c r="M366" s="31">
        <f>IFERROR(Serie_Historica!P1210/Serie_Historica!P1208,"")</f>
        <v>0.27541686725896103</v>
      </c>
      <c r="N366" s="31">
        <f>IFERROR(Serie_Historica!Q1210/Serie_Historica!Q1208,"")</f>
        <v>0.35298491608243043</v>
      </c>
      <c r="O366" s="31">
        <f>IFERROR(Serie_Historica!R1210/Serie_Historica!R1208,"")</f>
        <v>0.36619187580073859</v>
      </c>
      <c r="P366" s="31">
        <f>IFERROR(Serie_Historica!S1210/Serie_Historica!S1208,"")</f>
        <v>0.32855728651070704</v>
      </c>
      <c r="Q366" s="31">
        <f>IFERROR(Serie_Historica!T1210/Serie_Historica!T1208,"")</f>
        <v>0.33172802995360445</v>
      </c>
      <c r="R366" s="31">
        <f>IFERROR(Serie_Historica!U1210/Serie_Historica!U1208,"")</f>
        <v>0.34385719081607335</v>
      </c>
      <c r="S366" s="31">
        <f>IFERROR(Serie_Historica!V1210/Serie_Historica!V1208,"")</f>
        <v>0.38020639395712535</v>
      </c>
      <c r="T366" s="31">
        <f>IFERROR(Serie_Historica!W1210/Serie_Historica!W1208,"")</f>
        <v>0.34666536703706108</v>
      </c>
      <c r="U366" s="31">
        <f>IFERROR(Serie_Historica!X1210/Serie_Historica!X1208,"")</f>
        <v>0.35392357132180757</v>
      </c>
      <c r="V366" s="31">
        <f>IFERROR(Serie_Historica!Y1210/Serie_Historica!Y1208,"")</f>
        <v>0.36653659204490996</v>
      </c>
      <c r="W366" s="31">
        <f>IFERROR(Serie_Historica!Z1210/Serie_Historica!Z1208,"")</f>
        <v>0.41884907961210149</v>
      </c>
      <c r="X366" s="19">
        <f>IFERROR((W366-D366)*100,"")</f>
        <v>13.823132940978155</v>
      </c>
    </row>
    <row r="367" spans="1:24">
      <c r="A367" s="28" t="s">
        <v>265</v>
      </c>
      <c r="B367" s="28" t="s">
        <v>266</v>
      </c>
      <c r="C367" s="28" t="s">
        <v>506</v>
      </c>
      <c r="D367" s="31">
        <f>IFERROR(Serie_Historica!G1211/Serie_Historica!G1208,"")</f>
        <v>0.30934718100890207</v>
      </c>
      <c r="E367" s="31">
        <f>IFERROR(Serie_Historica!H1211/Serie_Historica!H1208,"")</f>
        <v>0.33290865078353932</v>
      </c>
      <c r="F367" s="31">
        <f>IFERROR(Serie_Historica!I1211/Serie_Historica!I1208,"")</f>
        <v>0.31723244643531762</v>
      </c>
      <c r="G367" s="31">
        <f>IFERROR(Serie_Historica!J1211/Serie_Historica!J1208,"")</f>
        <v>0.30684633775266246</v>
      </c>
      <c r="H367" s="31">
        <f>IFERROR(Serie_Historica!K1211/Serie_Historica!K1208,"")</f>
        <v>0.30568396139196036</v>
      </c>
      <c r="I367" s="31">
        <f>IFERROR(Serie_Historica!L1211/Serie_Historica!L1208,"")</f>
        <v>0.20385240652248879</v>
      </c>
      <c r="J367" s="31">
        <f>IFERROR(Serie_Historica!M1211/Serie_Historica!M1208,"")</f>
        <v>0.17541930711872539</v>
      </c>
      <c r="K367" s="31">
        <f>IFERROR(Serie_Historica!N1211/Serie_Historica!N1208,"")</f>
        <v>0.28345136580430697</v>
      </c>
      <c r="L367" s="31">
        <f>IFERROR(Serie_Historica!O1211/Serie_Historica!O1208,"")</f>
        <v>0.27716380347959296</v>
      </c>
      <c r="M367" s="31">
        <f>IFERROR(Serie_Historica!P1211/Serie_Historica!P1208,"")</f>
        <v>0.32671014048754871</v>
      </c>
      <c r="N367" s="31">
        <f>IFERROR(Serie_Historica!Q1211/Serie_Historica!Q1208,"")</f>
        <v>0.33654132143615889</v>
      </c>
      <c r="O367" s="31">
        <f>IFERROR(Serie_Historica!R1211/Serie_Historica!R1208,"")</f>
        <v>0.34927274097520539</v>
      </c>
      <c r="P367" s="31">
        <f>IFERROR(Serie_Historica!S1211/Serie_Historica!S1208,"")</f>
        <v>0.37117699161152501</v>
      </c>
      <c r="Q367" s="31">
        <f>IFERROR(Serie_Historica!T1211/Serie_Historica!T1208,"")</f>
        <v>0.32581327834604012</v>
      </c>
      <c r="R367" s="31">
        <f>IFERROR(Serie_Historica!U1211/Serie_Historica!U1208,"")</f>
        <v>0.35187050254703622</v>
      </c>
      <c r="S367" s="31">
        <f>IFERROR(Serie_Historica!V1211/Serie_Historica!V1208,"")</f>
        <v>0.35172083621469225</v>
      </c>
      <c r="T367" s="31">
        <f>IFERROR(Serie_Historica!W1211/Serie_Historica!W1208,"")</f>
        <v>0.30840210539996099</v>
      </c>
      <c r="U367" s="31">
        <f>IFERROR(Serie_Historica!X1211/Serie_Historica!X1208,"")</f>
        <v>0.29415574709780279</v>
      </c>
      <c r="V367" s="31">
        <f>IFERROR(Serie_Historica!Y1211/Serie_Historica!Y1208,"")</f>
        <v>0.30739664935598393</v>
      </c>
      <c r="W367" s="31">
        <f>IFERROR(Serie_Historica!Z1211/Serie_Historica!Z1208,"")</f>
        <v>0.35196368774558195</v>
      </c>
      <c r="X367" s="19">
        <f>IFERROR((W367-D367)*100,"")</f>
        <v>4.2616506736679884</v>
      </c>
    </row>
    <row r="368" spans="1:24">
      <c r="A368" s="28" t="s">
        <v>251</v>
      </c>
      <c r="B368" s="28" t="s">
        <v>252</v>
      </c>
      <c r="C368" s="28" t="s">
        <v>504</v>
      </c>
      <c r="D368" s="31">
        <f>IFERROR(Serie_Historica!G1219/Serie_Historica!G1218,"")</f>
        <v>6.749929834409206E-2</v>
      </c>
      <c r="E368" s="31">
        <f>IFERROR(Serie_Historica!H1219/Serie_Historica!H1218,"")</f>
        <v>3.4757766932508032E-2</v>
      </c>
      <c r="F368" s="31">
        <f>IFERROR(Serie_Historica!I1219/Serie_Historica!I1218,"")</f>
        <v>4.1411346115833171E-2</v>
      </c>
      <c r="G368" s="31">
        <f>IFERROR(Serie_Historica!J1219/Serie_Historica!J1218,"")</f>
        <v>3.8242758379277153E-2</v>
      </c>
      <c r="H368" s="31">
        <f>IFERROR(Serie_Historica!K1219/Serie_Historica!K1218,"")</f>
        <v>2.8503562945368172E-2</v>
      </c>
      <c r="I368" s="31">
        <f>IFERROR(Serie_Historica!L1219/Serie_Historica!L1218,"")</f>
        <v>3.8092530736976764E-2</v>
      </c>
      <c r="J368" s="31">
        <f>IFERROR(Serie_Historica!M1219/Serie_Historica!M1218,"")</f>
        <v>3.2023289665211063E-2</v>
      </c>
      <c r="K368" s="31">
        <f>IFERROR(Serie_Historica!N1219/Serie_Historica!N1218,"")</f>
        <v>3.5630291627469425E-2</v>
      </c>
      <c r="L368" s="31">
        <f>IFERROR(Serie_Historica!O1219/Serie_Historica!O1218,"")</f>
        <v>3.0798277184494662E-2</v>
      </c>
      <c r="M368" s="31">
        <f>IFERROR(Serie_Historica!P1219/Serie_Historica!P1218,"")</f>
        <v>2.6664723881684393E-2</v>
      </c>
      <c r="N368" s="31">
        <f>IFERROR(Serie_Historica!Q1219/Serie_Historica!Q1218,"")</f>
        <v>3.1201831005651829E-2</v>
      </c>
      <c r="O368" s="31">
        <f>IFERROR(Serie_Historica!R1219/Serie_Historica!R1218,"")</f>
        <v>3.3026412484329748E-2</v>
      </c>
      <c r="P368" s="31">
        <f>IFERROR(Serie_Historica!S1219/Serie_Historica!S1218,"")</f>
        <v>2.713644380311047E-2</v>
      </c>
      <c r="Q368" s="31">
        <f>IFERROR(Serie_Historica!T1219/Serie_Historica!T1218,"")</f>
        <v>3.5366440765840834E-2</v>
      </c>
      <c r="R368" s="31">
        <f>IFERROR(Serie_Historica!U1219/Serie_Historica!U1218,"")</f>
        <v>4.0635686984510158E-2</v>
      </c>
      <c r="S368" s="31">
        <f>IFERROR(Serie_Historica!V1219/Serie_Historica!V1218,"")</f>
        <v>3.0625832223701729E-2</v>
      </c>
      <c r="T368" s="31">
        <f>IFERROR(Serie_Historica!W1219/Serie_Historica!W1218,"")</f>
        <v>2.8249665966787556E-2</v>
      </c>
      <c r="U368" s="31">
        <f>IFERROR(Serie_Historica!X1219/Serie_Historica!X1218,"")</f>
        <v>2.9666325019929392E-2</v>
      </c>
      <c r="V368" s="31">
        <f>IFERROR(Serie_Historica!Y1219/Serie_Historica!Y1218,"")</f>
        <v>2.8503748438150771E-2</v>
      </c>
      <c r="W368" s="31">
        <f>IFERROR(Serie_Historica!Z1219/Serie_Historica!Z1218,"")</f>
        <v>0.68346546778819817</v>
      </c>
      <c r="X368" s="19">
        <f>IFERROR((W368-D368)*100,"")</f>
        <v>61.596616944410613</v>
      </c>
    </row>
    <row r="369" spans="1:24">
      <c r="A369" s="28" t="s">
        <v>251</v>
      </c>
      <c r="B369" s="28" t="s">
        <v>252</v>
      </c>
      <c r="C369" s="28" t="s">
        <v>505</v>
      </c>
      <c r="D369" s="31">
        <f>IFERROR(Serie_Historica!G1220/Serie_Historica!G1218,"")</f>
        <v>0.16180185237159697</v>
      </c>
      <c r="E369" s="31">
        <f>IFERROR(Serie_Historica!H1220/Serie_Historica!H1218,"")</f>
        <v>0.16938459707177717</v>
      </c>
      <c r="F369" s="31">
        <f>IFERROR(Serie_Historica!I1220/Serie_Historica!I1218,"")</f>
        <v>0.17898794228108322</v>
      </c>
      <c r="G369" s="31">
        <f>IFERROR(Serie_Historica!J1220/Serie_Historica!J1218,"")</f>
        <v>0.18088737201365188</v>
      </c>
      <c r="H369" s="31">
        <f>IFERROR(Serie_Historica!K1220/Serie_Historica!K1218,"")</f>
        <v>0.1803587517405193</v>
      </c>
      <c r="I369" s="31">
        <f>IFERROR(Serie_Historica!L1220/Serie_Historica!L1218,"")</f>
        <v>0.17759931774571813</v>
      </c>
      <c r="J369" s="31">
        <f>IFERROR(Serie_Historica!M1220/Serie_Historica!M1218,"")</f>
        <v>0.16214163660527814</v>
      </c>
      <c r="K369" s="31">
        <f>IFERROR(Serie_Historica!N1220/Serie_Historica!N1218,"")</f>
        <v>0.1698024459078081</v>
      </c>
      <c r="L369" s="31">
        <f>IFERROR(Serie_Historica!O1220/Serie_Historica!O1218,"")</f>
        <v>0.17953861584754263</v>
      </c>
      <c r="M369" s="31">
        <f>IFERROR(Serie_Historica!P1220/Serie_Historica!P1218,"")</f>
        <v>0.17553062314828308</v>
      </c>
      <c r="N369" s="31">
        <f>IFERROR(Serie_Historica!Q1220/Serie_Historica!Q1218,"")</f>
        <v>0.1883320099023775</v>
      </c>
      <c r="O369" s="31">
        <f>IFERROR(Serie_Historica!R1220/Serie_Historica!R1218,"")</f>
        <v>0.18363376993904812</v>
      </c>
      <c r="P369" s="31">
        <f>IFERROR(Serie_Historica!S1220/Serie_Historica!S1218,"")</f>
        <v>0.17548500881834214</v>
      </c>
      <c r="Q369" s="31">
        <f>IFERROR(Serie_Historica!T1220/Serie_Historica!T1218,"")</f>
        <v>0.18627559900751769</v>
      </c>
      <c r="R369" s="31">
        <f>IFERROR(Serie_Historica!U1220/Serie_Historica!U1218,"")</f>
        <v>0.19439415275263194</v>
      </c>
      <c r="S369" s="31">
        <f>IFERROR(Serie_Historica!V1220/Serie_Historica!V1218,"")</f>
        <v>0.18723752944791561</v>
      </c>
      <c r="T369" s="31">
        <f>IFERROR(Serie_Historica!W1220/Serie_Historica!W1218,"")</f>
        <v>0.20080167970986829</v>
      </c>
      <c r="U369" s="31">
        <f>IFERROR(Serie_Historica!X1220/Serie_Historica!X1218,"")</f>
        <v>0.20857533310556883</v>
      </c>
      <c r="V369" s="31">
        <f>IFERROR(Serie_Historica!Y1220/Serie_Historica!Y1218,"")</f>
        <v>0.21176072469804247</v>
      </c>
      <c r="W369" s="31">
        <f>IFERROR(Serie_Historica!Z1220/Serie_Historica!Z1218,"")</f>
        <v>6.9668697025363366E-2</v>
      </c>
      <c r="X369" s="19">
        <f>IFERROR((W369-D369)*100,"")</f>
        <v>-9.2133155346233604</v>
      </c>
    </row>
    <row r="370" spans="1:24">
      <c r="A370" s="28" t="s">
        <v>251</v>
      </c>
      <c r="B370" s="28" t="s">
        <v>252</v>
      </c>
      <c r="C370" s="28" t="s">
        <v>506</v>
      </c>
      <c r="D370" s="31">
        <f>IFERROR(Serie_Historica!G1221/Serie_Historica!G1218,"")</f>
        <v>0.67443165871456634</v>
      </c>
      <c r="E370" s="31">
        <f>IFERROR(Serie_Historica!H1221/Serie_Historica!H1218,"")</f>
        <v>0.67289608379954768</v>
      </c>
      <c r="F370" s="31">
        <f>IFERROR(Serie_Historica!I1221/Serie_Historica!I1218,"")</f>
        <v>0.63767542992686299</v>
      </c>
      <c r="G370" s="31">
        <f>IFERROR(Serie_Historica!J1221/Serie_Historica!J1218,"")</f>
        <v>0.69554563752515974</v>
      </c>
      <c r="H370" s="31">
        <f>IFERROR(Serie_Historica!K1221/Serie_Historica!K1218,"")</f>
        <v>0.71897780325989025</v>
      </c>
      <c r="I370" s="31">
        <f>IFERROR(Serie_Historica!L1221/Serie_Historica!L1218,"")</f>
        <v>0.71906758581479635</v>
      </c>
      <c r="J370" s="31">
        <f>IFERROR(Serie_Historica!M1221/Serie_Historica!M1218,"")</f>
        <v>0.70274033289032345</v>
      </c>
      <c r="K370" s="31">
        <f>IFERROR(Serie_Historica!N1221/Serie_Historica!N1218,"")</f>
        <v>0.73224365004703673</v>
      </c>
      <c r="L370" s="31">
        <f>IFERROR(Serie_Historica!O1221/Serie_Historica!O1218,"")</f>
        <v>0.73656262906366154</v>
      </c>
      <c r="M370" s="31">
        <f>IFERROR(Serie_Historica!P1221/Serie_Historica!P1218,"")</f>
        <v>0.69891689737238327</v>
      </c>
      <c r="N370" s="31">
        <f>IFERROR(Serie_Historica!Q1221/Serie_Historica!Q1218,"")</f>
        <v>0.74683544303797467</v>
      </c>
      <c r="O370" s="31">
        <f>IFERROR(Serie_Historica!R1221/Serie_Historica!R1218,"")</f>
        <v>0.7449098690182856</v>
      </c>
      <c r="P370" s="31">
        <f>IFERROR(Serie_Historica!S1221/Serie_Historica!S1218,"")</f>
        <v>0.76651434984768319</v>
      </c>
      <c r="Q370" s="31">
        <f>IFERROR(Serie_Historica!T1221/Serie_Historica!T1218,"")</f>
        <v>0.7462504166203755</v>
      </c>
      <c r="R370" s="31">
        <f>IFERROR(Serie_Historica!U1221/Serie_Historica!U1218,"")</f>
        <v>0.73298464427009991</v>
      </c>
      <c r="S370" s="31">
        <f>IFERROR(Serie_Historica!V1221/Serie_Historica!V1218,"")</f>
        <v>0.75028167571443205</v>
      </c>
      <c r="T370" s="31">
        <f>IFERROR(Serie_Historica!W1221/Serie_Historica!W1218,"")</f>
        <v>0.74126741744607749</v>
      </c>
      <c r="U370" s="31">
        <f>IFERROR(Serie_Historica!X1221/Serie_Historica!X1218,"")</f>
        <v>0.72124473294613367</v>
      </c>
      <c r="V370" s="31">
        <f>IFERROR(Serie_Historica!Y1221/Serie_Historica!Y1218,"")</f>
        <v>0.69624635568513116</v>
      </c>
      <c r="W370" s="31">
        <f>IFERROR(Serie_Historica!Z1221/Serie_Historica!Z1218,"")</f>
        <v>0.22953527345386573</v>
      </c>
      <c r="X370" s="19">
        <f>IFERROR((W370-D370)*100,"")</f>
        <v>-44.489638526070067</v>
      </c>
    </row>
    <row r="371" spans="1:24">
      <c r="A371" s="28" t="s">
        <v>141</v>
      </c>
      <c r="B371" s="28" t="s">
        <v>142</v>
      </c>
      <c r="C371" s="28" t="s">
        <v>504</v>
      </c>
      <c r="D371" s="31">
        <f>IFERROR(Serie_Historica!G1229/Serie_Historica!G1228,"")</f>
        <v>9.7659571294321221E-2</v>
      </c>
      <c r="E371" s="31">
        <f>IFERROR(Serie_Historica!H1229/Serie_Historica!H1228,"")</f>
        <v>8.1937298483913013E-2</v>
      </c>
      <c r="F371" s="31">
        <f>IFERROR(Serie_Historica!I1229/Serie_Historica!I1228,"")</f>
        <v>7.0719631548647091E-2</v>
      </c>
      <c r="G371" s="31">
        <f>IFERROR(Serie_Historica!J1229/Serie_Historica!J1228,"")</f>
        <v>6.7176233359022813E-2</v>
      </c>
      <c r="H371" s="31">
        <f>IFERROR(Serie_Historica!K1229/Serie_Historica!K1228,"")</f>
        <v>5.6845097110374228E-2</v>
      </c>
      <c r="I371" s="31">
        <f>IFERROR(Serie_Historica!L1229/Serie_Historica!L1228,"")</f>
        <v>6.2222824873177422E-2</v>
      </c>
      <c r="J371" s="31">
        <f>IFERROR(Serie_Historica!M1229/Serie_Historica!M1228,"")</f>
        <v>6.4167304634591596E-2</v>
      </c>
      <c r="K371" s="31">
        <f>IFERROR(Serie_Historica!N1229/Serie_Historica!N1228,"")</f>
        <v>6.2616625929722197E-2</v>
      </c>
      <c r="L371" s="31">
        <f>IFERROR(Serie_Historica!O1229/Serie_Historica!O1228,"")</f>
        <v>7.046391694661977E-2</v>
      </c>
      <c r="M371" s="31">
        <f>IFERROR(Serie_Historica!P1229/Serie_Historica!P1228,"")</f>
        <v>5.8046194623248767E-2</v>
      </c>
      <c r="N371" s="31">
        <f>IFERROR(Serie_Historica!Q1229/Serie_Historica!Q1228,"")</f>
        <v>5.8928827414843211E-2</v>
      </c>
      <c r="O371" s="31">
        <f>IFERROR(Serie_Historica!R1229/Serie_Historica!R1228,"")</f>
        <v>5.9221418097535596E-2</v>
      </c>
      <c r="P371" s="31">
        <f>IFERROR(Serie_Historica!S1229/Serie_Historica!S1228,"")</f>
        <v>5.6165395305831346E-2</v>
      </c>
      <c r="Q371" s="31">
        <f>IFERROR(Serie_Historica!T1229/Serie_Historica!T1228,"")</f>
        <v>5.2725716167270335E-2</v>
      </c>
      <c r="R371" s="31">
        <f>IFERROR(Serie_Historica!U1229/Serie_Historica!U1228,"")</f>
        <v>6.2980740313015024E-2</v>
      </c>
      <c r="S371" s="31">
        <f>IFERROR(Serie_Historica!V1229/Serie_Historica!V1228,"")</f>
        <v>6.3585969885541757E-2</v>
      </c>
      <c r="T371" s="31">
        <f>IFERROR(Serie_Historica!W1229/Serie_Historica!W1228,"")</f>
        <v>6.4486336839188765E-2</v>
      </c>
      <c r="U371" s="31">
        <f>IFERROR(Serie_Historica!X1229/Serie_Historica!X1228,"")</f>
        <v>6.6639446297863864E-2</v>
      </c>
      <c r="V371" s="31">
        <f>IFERROR(Serie_Historica!Y1229/Serie_Historica!Y1228,"")</f>
        <v>5.9560466099136629E-2</v>
      </c>
      <c r="W371" s="31">
        <f>IFERROR(Serie_Historica!Z1229/Serie_Historica!Z1228,"")</f>
        <v>5.603230963278473E-2</v>
      </c>
      <c r="X371" s="19">
        <f>IFERROR((W371-D371)*100,"")</f>
        <v>-4.1627261661536492</v>
      </c>
    </row>
    <row r="372" spans="1:24">
      <c r="A372" s="28" t="s">
        <v>141</v>
      </c>
      <c r="B372" s="28" t="s">
        <v>142</v>
      </c>
      <c r="C372" s="28" t="s">
        <v>505</v>
      </c>
      <c r="D372" s="31">
        <f>IFERROR(Serie_Historica!G1230/Serie_Historica!G1228,"")</f>
        <v>0.35166097346320796</v>
      </c>
      <c r="E372" s="31">
        <f>IFERROR(Serie_Historica!H1230/Serie_Historica!H1228,"")</f>
        <v>0.34367839747547507</v>
      </c>
      <c r="F372" s="31">
        <f>IFERROR(Serie_Historica!I1230/Serie_Historica!I1228,"")</f>
        <v>0.34780656303972368</v>
      </c>
      <c r="G372" s="31">
        <f>IFERROR(Serie_Historica!J1230/Serie_Historica!J1228,"")</f>
        <v>0.34339797932876553</v>
      </c>
      <c r="H372" s="31">
        <f>IFERROR(Serie_Historica!K1230/Serie_Historica!K1228,"")</f>
        <v>0.36403097477740504</v>
      </c>
      <c r="I372" s="31">
        <f>IFERROR(Serie_Historica!L1230/Serie_Historica!L1228,"")</f>
        <v>0.35694572950898129</v>
      </c>
      <c r="J372" s="31">
        <f>IFERROR(Serie_Historica!M1230/Serie_Historica!M1228,"")</f>
        <v>0.33341675990813263</v>
      </c>
      <c r="K372" s="31">
        <f>IFERROR(Serie_Historica!N1230/Serie_Historica!N1228,"")</f>
        <v>0.33503508633604034</v>
      </c>
      <c r="L372" s="31">
        <f>IFERROR(Serie_Historica!O1230/Serie_Historica!O1228,"")</f>
        <v>0.36971225689021719</v>
      </c>
      <c r="M372" s="31">
        <f>IFERROR(Serie_Historica!P1230/Serie_Historica!P1228,"")</f>
        <v>0.45380537675123062</v>
      </c>
      <c r="N372" s="31">
        <f>IFERROR(Serie_Historica!Q1230/Serie_Historica!Q1228,"")</f>
        <v>0.49459855839033734</v>
      </c>
      <c r="O372" s="31">
        <f>IFERROR(Serie_Historica!R1230/Serie_Historica!R1228,"")</f>
        <v>0.49866136890402535</v>
      </c>
      <c r="P372" s="31">
        <f>IFERROR(Serie_Historica!S1230/Serie_Historica!S1228,"")</f>
        <v>0.5123302268152834</v>
      </c>
      <c r="Q372" s="31">
        <f>IFERROR(Serie_Historica!T1230/Serie_Historica!T1228,"")</f>
        <v>0.50590187685215671</v>
      </c>
      <c r="R372" s="31">
        <f>IFERROR(Serie_Historica!U1230/Serie_Historica!U1228,"")</f>
        <v>0.51669613964175298</v>
      </c>
      <c r="S372" s="31">
        <f>IFERROR(Serie_Historica!V1230/Serie_Historica!V1228,"")</f>
        <v>0.56971467958488253</v>
      </c>
      <c r="T372" s="31">
        <f>IFERROR(Serie_Historica!W1230/Serie_Historica!W1228,"")</f>
        <v>0.51231740489001965</v>
      </c>
      <c r="U372" s="31">
        <f>IFERROR(Serie_Historica!X1230/Serie_Historica!X1228,"")</f>
        <v>0.50251456455708809</v>
      </c>
      <c r="V372" s="31">
        <f>IFERROR(Serie_Historica!Y1230/Serie_Historica!Y1228,"")</f>
        <v>0.49840570850691301</v>
      </c>
      <c r="W372" s="31">
        <f>IFERROR(Serie_Historica!Z1230/Serie_Historica!Z1228,"")</f>
        <v>0.48134499073304904</v>
      </c>
      <c r="X372" s="19">
        <f>IFERROR((W372-D372)*100,"")</f>
        <v>12.968401726984109</v>
      </c>
    </row>
    <row r="373" spans="1:24">
      <c r="A373" s="28" t="s">
        <v>141</v>
      </c>
      <c r="B373" s="28" t="s">
        <v>142</v>
      </c>
      <c r="C373" s="28" t="s">
        <v>506</v>
      </c>
      <c r="D373" s="31">
        <f>IFERROR(Serie_Historica!G1231/Serie_Historica!G1228,"")</f>
        <v>0.50255821238383624</v>
      </c>
      <c r="E373" s="31">
        <f>IFERROR(Serie_Historica!H1231/Serie_Historica!H1228,"")</f>
        <v>0.49584962612334499</v>
      </c>
      <c r="F373" s="31">
        <f>IFERROR(Serie_Historica!I1231/Serie_Historica!I1228,"")</f>
        <v>0.4714910765687968</v>
      </c>
      <c r="G373" s="31">
        <f>IFERROR(Serie_Historica!J1231/Serie_Historica!J1228,"")</f>
        <v>0.50300355781716832</v>
      </c>
      <c r="H373" s="31">
        <f>IFERROR(Serie_Historica!K1231/Serie_Historica!K1228,"")</f>
        <v>0.52507274818975436</v>
      </c>
      <c r="I373" s="31">
        <f>IFERROR(Serie_Historica!L1231/Serie_Historica!L1228,"")</f>
        <v>0.52747822480298634</v>
      </c>
      <c r="J373" s="31">
        <f>IFERROR(Serie_Historica!M1231/Serie_Historica!M1228,"")</f>
        <v>0.54761203698250982</v>
      </c>
      <c r="K373" s="31">
        <f>IFERROR(Serie_Historica!N1231/Serie_Historica!N1228,"")</f>
        <v>0.55463349890930114</v>
      </c>
      <c r="L373" s="31">
        <f>IFERROR(Serie_Historica!O1231/Serie_Historica!O1228,"")</f>
        <v>0.51944878262530481</v>
      </c>
      <c r="M373" s="31">
        <f>IFERROR(Serie_Historica!P1231/Serie_Historica!P1228,"")</f>
        <v>0.44344734738524971</v>
      </c>
      <c r="N373" s="31">
        <f>IFERROR(Serie_Historica!Q1231/Serie_Historica!Q1228,"")</f>
        <v>0.42540717570215064</v>
      </c>
      <c r="O373" s="31">
        <f>IFERROR(Serie_Historica!R1231/Serie_Historica!R1228,"")</f>
        <v>0.42182489002412377</v>
      </c>
      <c r="P373" s="31">
        <f>IFERROR(Serie_Historica!S1231/Serie_Historica!S1228,"")</f>
        <v>0.41302031358354618</v>
      </c>
      <c r="Q373" s="31">
        <f>IFERROR(Serie_Historica!T1231/Serie_Historica!T1228,"")</f>
        <v>0.42294632861376358</v>
      </c>
      <c r="R373" s="31">
        <f>IFERROR(Serie_Historica!U1231/Serie_Historica!U1228,"")</f>
        <v>0.40179965594812755</v>
      </c>
      <c r="S373" s="31">
        <f>IFERROR(Serie_Historica!V1231/Serie_Historica!V1228,"")</f>
        <v>0.35078586892152963</v>
      </c>
      <c r="T373" s="31">
        <f>IFERROR(Serie_Historica!W1231/Serie_Historica!W1228,"")</f>
        <v>0.39911558328184132</v>
      </c>
      <c r="U373" s="31">
        <f>IFERROR(Serie_Historica!X1231/Serie_Historica!X1228,"")</f>
        <v>0.39865757108001793</v>
      </c>
      <c r="V373" s="31">
        <f>IFERROR(Serie_Historica!Y1231/Serie_Historica!Y1228,"")</f>
        <v>0.40474815854615709</v>
      </c>
      <c r="W373" s="31">
        <f>IFERROR(Serie_Historica!Z1231/Serie_Historica!Z1228,"")</f>
        <v>0.40201343124783578</v>
      </c>
      <c r="X373" s="19">
        <f>IFERROR((W373-D373)*100,"")</f>
        <v>-10.054478113600046</v>
      </c>
    </row>
    <row r="374" spans="1:24">
      <c r="A374" s="28" t="s">
        <v>231</v>
      </c>
      <c r="B374" s="28" t="s">
        <v>232</v>
      </c>
      <c r="C374" s="28" t="s">
        <v>504</v>
      </c>
      <c r="D374" s="31">
        <f>IFERROR(Serie_Historica!G1239/Serie_Historica!G1238,"")</f>
        <v>5.2879824619677142E-2</v>
      </c>
      <c r="E374" s="31">
        <f>IFERROR(Serie_Historica!H1239/Serie_Historica!H1238,"")</f>
        <v>2.9486471562672558E-2</v>
      </c>
      <c r="F374" s="31">
        <f>IFERROR(Serie_Historica!I1239/Serie_Historica!I1238,"")</f>
        <v>3.4892553478228908E-2</v>
      </c>
      <c r="G374" s="31">
        <f>IFERROR(Serie_Historica!J1239/Serie_Historica!J1238,"")</f>
        <v>3.4546875990449429E-2</v>
      </c>
      <c r="H374" s="31">
        <f>IFERROR(Serie_Historica!K1239/Serie_Historica!K1238,"")</f>
        <v>3.2669073739758366E-2</v>
      </c>
      <c r="I374" s="31">
        <f>IFERROR(Serie_Historica!L1239/Serie_Historica!L1238,"")</f>
        <v>4.290100546595587E-2</v>
      </c>
      <c r="J374" s="31">
        <f>IFERROR(Serie_Historica!M1239/Serie_Historica!M1238,"")</f>
        <v>3.6233694837323208E-2</v>
      </c>
      <c r="K374" s="31">
        <f>IFERROR(Serie_Historica!N1239/Serie_Historica!N1238,"")</f>
        <v>3.9705757050754069E-2</v>
      </c>
      <c r="L374" s="31">
        <f>IFERROR(Serie_Historica!O1239/Serie_Historica!O1238,"")</f>
        <v>3.4144014549032174E-2</v>
      </c>
      <c r="M374" s="31">
        <f>IFERROR(Serie_Historica!P1239/Serie_Historica!P1238,"")</f>
        <v>3.2289323412355075E-2</v>
      </c>
      <c r="N374" s="31">
        <f>IFERROR(Serie_Historica!Q1239/Serie_Historica!Q1238,"")</f>
        <v>3.6175916040071782E-2</v>
      </c>
      <c r="O374" s="31">
        <f>IFERROR(Serie_Historica!R1239/Serie_Historica!R1238,"")</f>
        <v>5.1942951400967267E-2</v>
      </c>
      <c r="P374" s="31">
        <f>IFERROR(Serie_Historica!S1239/Serie_Historica!S1238,"")</f>
        <v>0.18948082739207292</v>
      </c>
      <c r="Q374" s="31">
        <f>IFERROR(Serie_Historica!T1239/Serie_Historica!T1238,"")</f>
        <v>0.10281649139405408</v>
      </c>
      <c r="R374" s="31">
        <f>IFERROR(Serie_Historica!U1239/Serie_Historica!U1238,"")</f>
        <v>5.2108439362517051E-2</v>
      </c>
      <c r="S374" s="31">
        <f>IFERROR(Serie_Historica!V1239/Serie_Historica!V1238,"")</f>
        <v>3.999661619152356E-2</v>
      </c>
      <c r="T374" s="31">
        <f>IFERROR(Serie_Historica!W1239/Serie_Historica!W1238,"")</f>
        <v>4.7826015646782898E-2</v>
      </c>
      <c r="U374" s="31">
        <f>IFERROR(Serie_Historica!X1239/Serie_Historica!X1238,"")</f>
        <v>3.634861946260546E-2</v>
      </c>
      <c r="V374" s="31">
        <f>IFERROR(Serie_Historica!Y1239/Serie_Historica!Y1238,"")</f>
        <v>3.6357493316097188E-2</v>
      </c>
      <c r="W374" s="31">
        <f>IFERROR(Serie_Historica!Z1239/Serie_Historica!Z1238,"")</f>
        <v>3.8104464357794465E-2</v>
      </c>
      <c r="X374" s="19">
        <f>IFERROR((W374-D374)*100,"")</f>
        <v>-1.4775360261882677</v>
      </c>
    </row>
    <row r="375" spans="1:24">
      <c r="A375" s="28" t="s">
        <v>231</v>
      </c>
      <c r="B375" s="28" t="s">
        <v>232</v>
      </c>
      <c r="C375" s="28" t="s">
        <v>505</v>
      </c>
      <c r="D375" s="31">
        <f>IFERROR(Serie_Historica!G1240/Serie_Historica!G1238,"")</f>
        <v>0.30814455590247791</v>
      </c>
      <c r="E375" s="31">
        <f>IFERROR(Serie_Historica!H1240/Serie_Historica!H1238,"")</f>
        <v>0.33702374378796246</v>
      </c>
      <c r="F375" s="31">
        <f>IFERROR(Serie_Historica!I1240/Serie_Historica!I1238,"")</f>
        <v>0.3251329298473451</v>
      </c>
      <c r="G375" s="31">
        <f>IFERROR(Serie_Historica!J1240/Serie_Historica!J1238,"")</f>
        <v>0.36182306083208315</v>
      </c>
      <c r="H375" s="31">
        <f>IFERROR(Serie_Historica!K1240/Serie_Historica!K1238,"")</f>
        <v>0.40169768087765589</v>
      </c>
      <c r="I375" s="31">
        <f>IFERROR(Serie_Historica!L1240/Serie_Historica!L1238,"")</f>
        <v>0.3947972197854106</v>
      </c>
      <c r="J375" s="31">
        <f>IFERROR(Serie_Historica!M1240/Serie_Historica!M1238,"")</f>
        <v>0.34132973495260466</v>
      </c>
      <c r="K375" s="31">
        <f>IFERROR(Serie_Historica!N1240/Serie_Historica!N1238,"")</f>
        <v>0.37471953193785679</v>
      </c>
      <c r="L375" s="31">
        <f>IFERROR(Serie_Historica!O1240/Serie_Historica!O1238,"")</f>
        <v>0.65815737103758754</v>
      </c>
      <c r="M375" s="31">
        <f>IFERROR(Serie_Historica!P1240/Serie_Historica!P1238,"")</f>
        <v>0.42357962738651439</v>
      </c>
      <c r="N375" s="31">
        <f>IFERROR(Serie_Historica!Q1240/Serie_Historica!Q1238,"")</f>
        <v>0.37760387087980735</v>
      </c>
      <c r="O375" s="31">
        <f>IFERROR(Serie_Historica!R1240/Serie_Historica!R1238,"")</f>
        <v>0.26733395423993178</v>
      </c>
      <c r="P375" s="31">
        <f>IFERROR(Serie_Historica!S1240/Serie_Historica!S1238,"")</f>
        <v>0.2691872690867354</v>
      </c>
      <c r="Q375" s="31">
        <f>IFERROR(Serie_Historica!T1240/Serie_Historica!T1238,"")</f>
        <v>0.2645009279138314</v>
      </c>
      <c r="R375" s="31">
        <f>IFERROR(Serie_Historica!U1240/Serie_Historica!U1238,"")</f>
        <v>0.27791790445229153</v>
      </c>
      <c r="S375" s="31">
        <f>IFERROR(Serie_Historica!V1240/Serie_Historica!V1238,"")</f>
        <v>0.27908806361559935</v>
      </c>
      <c r="T375" s="31">
        <f>IFERROR(Serie_Historica!W1240/Serie_Historica!W1238,"")</f>
        <v>0.28589821390497122</v>
      </c>
      <c r="U375" s="31">
        <f>IFERROR(Serie_Historica!X1240/Serie_Historica!X1238,"")</f>
        <v>0.2907580798295652</v>
      </c>
      <c r="V375" s="31">
        <f>IFERROR(Serie_Historica!Y1240/Serie_Historica!Y1238,"")</f>
        <v>0.31346035196991512</v>
      </c>
      <c r="W375" s="31">
        <f>IFERROR(Serie_Historica!Z1240/Serie_Historica!Z1238,"")</f>
        <v>0.29417204253726414</v>
      </c>
      <c r="X375" s="19">
        <f>IFERROR((W375-D375)*100,"")</f>
        <v>-1.3972513365213768</v>
      </c>
    </row>
    <row r="376" spans="1:24">
      <c r="A376" s="28" t="s">
        <v>231</v>
      </c>
      <c r="B376" s="28" t="s">
        <v>232</v>
      </c>
      <c r="C376" s="28" t="s">
        <v>506</v>
      </c>
      <c r="D376" s="31">
        <f>IFERROR(Serie_Historica!G1241/Serie_Historica!G1238,"")</f>
        <v>0.55653358134591113</v>
      </c>
      <c r="E376" s="31">
        <f>IFERROR(Serie_Historica!H1241/Serie_Historica!H1238,"")</f>
        <v>0.52291551628934285</v>
      </c>
      <c r="F376" s="31">
        <f>IFERROR(Serie_Historica!I1241/Serie_Historica!I1238,"")</f>
        <v>0.49859106613413051</v>
      </c>
      <c r="G376" s="31">
        <f>IFERROR(Serie_Historica!J1241/Serie_Historica!J1238,"")</f>
        <v>0.50586346060388365</v>
      </c>
      <c r="H376" s="31">
        <f>IFERROR(Serie_Historica!K1241/Serie_Historica!K1238,"")</f>
        <v>0.47474309123732816</v>
      </c>
      <c r="I376" s="31">
        <f>IFERROR(Serie_Historica!L1241/Serie_Historica!L1238,"")</f>
        <v>0.4857952628382482</v>
      </c>
      <c r="J376" s="31">
        <f>IFERROR(Serie_Historica!M1241/Serie_Historica!M1238,"")</f>
        <v>0.53617538774218265</v>
      </c>
      <c r="K376" s="31">
        <f>IFERROR(Serie_Historica!N1241/Serie_Historica!N1238,"")</f>
        <v>0.49754324178477094</v>
      </c>
      <c r="L376" s="31">
        <f>IFERROR(Serie_Historica!O1241/Serie_Historica!O1238,"")</f>
        <v>0.26987262143448093</v>
      </c>
      <c r="M376" s="31">
        <f>IFERROR(Serie_Historica!P1241/Serie_Historica!P1238,"")</f>
        <v>0.47091192247793734</v>
      </c>
      <c r="N376" s="31">
        <f>IFERROR(Serie_Historica!Q1241/Serie_Historica!Q1238,"")</f>
        <v>0.52172826605483746</v>
      </c>
      <c r="O376" s="31">
        <f>IFERROR(Serie_Historica!R1241/Serie_Historica!R1238,"")</f>
        <v>0.60339778044593062</v>
      </c>
      <c r="P376" s="31">
        <f>IFERROR(Serie_Historica!S1241/Serie_Historica!S1238,"")</f>
        <v>0.47620284342719266</v>
      </c>
      <c r="Q376" s="31">
        <f>IFERROR(Serie_Historica!T1241/Serie_Historica!T1238,"")</f>
        <v>0.554792402023216</v>
      </c>
      <c r="R376" s="31">
        <f>IFERROR(Serie_Historica!U1241/Serie_Historica!U1238,"")</f>
        <v>0.5849541318685425</v>
      </c>
      <c r="S376" s="31">
        <f>IFERROR(Serie_Historica!V1241/Serie_Historica!V1238,"")</f>
        <v>0.57271804415870065</v>
      </c>
      <c r="T376" s="31">
        <f>IFERROR(Serie_Historica!W1241/Serie_Historica!W1238,"")</f>
        <v>0.55589542569418249</v>
      </c>
      <c r="U376" s="31">
        <f>IFERROR(Serie_Historica!X1241/Serie_Historica!X1238,"")</f>
        <v>0.55813540613349188</v>
      </c>
      <c r="V376" s="31">
        <f>IFERROR(Serie_Historica!Y1241/Serie_Historica!Y1238,"")</f>
        <v>0.52725710256485592</v>
      </c>
      <c r="W376" s="31">
        <f>IFERROR(Serie_Historica!Z1241/Serie_Historica!Z1238,"")</f>
        <v>0.55680075152102282</v>
      </c>
      <c r="X376" s="19">
        <f>IFERROR((W376-D376)*100,"")</f>
        <v>2.6717017511168617E-2</v>
      </c>
    </row>
    <row r="377" spans="1:24">
      <c r="A377" s="28" t="s">
        <v>417</v>
      </c>
      <c r="B377" s="28" t="s">
        <v>418</v>
      </c>
      <c r="C377" s="28" t="s">
        <v>504</v>
      </c>
      <c r="D377" s="31">
        <f>IFERROR(Serie_Historica!G1249/Serie_Historica!G1248,"")</f>
        <v>9.9983636066110299E-2</v>
      </c>
      <c r="E377" s="31">
        <f>IFERROR(Serie_Historica!H1249/Serie_Historica!H1248,"")</f>
        <v>7.1637652133723612E-2</v>
      </c>
      <c r="F377" s="31">
        <f>IFERROR(Serie_Historica!I1249/Serie_Historica!I1248,"")</f>
        <v>8.8939243733182266E-2</v>
      </c>
      <c r="G377" s="31">
        <f>IFERROR(Serie_Historica!J1249/Serie_Historica!J1248,"")</f>
        <v>7.4243490499648138E-2</v>
      </c>
      <c r="H377" s="31">
        <f>IFERROR(Serie_Historica!K1249/Serie_Historica!K1248,"")</f>
        <v>8.1518151815181517E-2</v>
      </c>
      <c r="I377" s="31">
        <f>IFERROR(Serie_Historica!L1249/Serie_Historica!L1248,"")</f>
        <v>8.7467940214026707E-2</v>
      </c>
      <c r="J377" s="31">
        <f>IFERROR(Serie_Historica!M1249/Serie_Historica!M1248,"")</f>
        <v>7.3300477196276304E-2</v>
      </c>
      <c r="K377" s="31">
        <f>IFERROR(Serie_Historica!N1249/Serie_Historica!N1248,"")</f>
        <v>7.9773440698785308E-2</v>
      </c>
      <c r="L377" s="31">
        <f>IFERROR(Serie_Historica!O1249/Serie_Historica!O1248,"")</f>
        <v>0.11242639105876698</v>
      </c>
      <c r="M377" s="31">
        <f>IFERROR(Serie_Historica!P1249/Serie_Historica!P1248,"")</f>
        <v>0.16230213015438733</v>
      </c>
      <c r="N377" s="31">
        <f>IFERROR(Serie_Historica!Q1249/Serie_Historica!Q1248,"")</f>
        <v>0.29758823750046887</v>
      </c>
      <c r="O377" s="31">
        <f>IFERROR(Serie_Historica!R1249/Serie_Historica!R1248,"")</f>
        <v>0.24164330386025448</v>
      </c>
      <c r="P377" s="31">
        <f>IFERROR(Serie_Historica!S1249/Serie_Historica!S1248,"")</f>
        <v>0.23767783227242686</v>
      </c>
      <c r="Q377" s="31">
        <f>IFERROR(Serie_Historica!T1249/Serie_Historica!T1248,"")</f>
        <v>0.17866119857123958</v>
      </c>
      <c r="R377" s="31">
        <f>IFERROR(Serie_Historica!U1249/Serie_Historica!U1248,"")</f>
        <v>0.24224806201550386</v>
      </c>
      <c r="S377" s="31">
        <f>IFERROR(Serie_Historica!V1249/Serie_Historica!V1248,"")</f>
        <v>0.27020606596320645</v>
      </c>
      <c r="T377" s="31">
        <f>IFERROR(Serie_Historica!W1249/Serie_Historica!W1248,"")</f>
        <v>0.20763456762563831</v>
      </c>
      <c r="U377" s="31">
        <f>IFERROR(Serie_Historica!X1249/Serie_Historica!X1248,"")</f>
        <v>0.15780957247487651</v>
      </c>
      <c r="V377" s="31">
        <f>IFERROR(Serie_Historica!Y1249/Serie_Historica!Y1248,"")</f>
        <v>0.11830765997057323</v>
      </c>
      <c r="W377" s="31">
        <f>IFERROR(Serie_Historica!Z1249/Serie_Historica!Z1248,"")</f>
        <v>9.5042398633982575E-2</v>
      </c>
      <c r="X377" s="19">
        <f>IFERROR((W377-D377)*100,"")</f>
        <v>-0.49412374321277236</v>
      </c>
    </row>
    <row r="378" spans="1:24">
      <c r="A378" s="28" t="s">
        <v>417</v>
      </c>
      <c r="B378" s="28" t="s">
        <v>418</v>
      </c>
      <c r="C378" s="28" t="s">
        <v>505</v>
      </c>
      <c r="D378" s="31">
        <f>IFERROR(Serie_Historica!G1250/Serie_Historica!G1248,"")</f>
        <v>0.18016691212567501</v>
      </c>
      <c r="E378" s="31">
        <f>IFERROR(Serie_Historica!H1250/Serie_Historica!H1248,"")</f>
        <v>0.17824680326606071</v>
      </c>
      <c r="F378" s="31">
        <f>IFERROR(Serie_Historica!I1250/Serie_Historica!I1248,"")</f>
        <v>0.18722560543832317</v>
      </c>
      <c r="G378" s="31">
        <f>IFERROR(Serie_Historica!J1250/Serie_Historica!J1248,"")</f>
        <v>0.17886464930799906</v>
      </c>
      <c r="H378" s="31">
        <f>IFERROR(Serie_Historica!K1250/Serie_Historica!K1248,"")</f>
        <v>0.17293729372937294</v>
      </c>
      <c r="I378" s="31">
        <f>IFERROR(Serie_Historica!L1250/Serie_Historica!L1248,"")</f>
        <v>0.16644556469443708</v>
      </c>
      <c r="J378" s="31">
        <f>IFERROR(Serie_Historica!M1250/Serie_Historica!M1248,"")</f>
        <v>0.1442540874599077</v>
      </c>
      <c r="K378" s="31">
        <f>IFERROR(Serie_Historica!N1250/Serie_Historica!N1248,"")</f>
        <v>0.1464446567490105</v>
      </c>
      <c r="L378" s="31">
        <f>IFERROR(Serie_Historica!O1250/Serie_Historica!O1248,"")</f>
        <v>0.1564715779353443</v>
      </c>
      <c r="M378" s="31">
        <f>IFERROR(Serie_Historica!P1250/Serie_Historica!P1248,"")</f>
        <v>0.16655266757865936</v>
      </c>
      <c r="N378" s="31">
        <f>IFERROR(Serie_Historica!Q1250/Serie_Historica!Q1248,"")</f>
        <v>0.16912343873073027</v>
      </c>
      <c r="O378" s="31">
        <f>IFERROR(Serie_Historica!R1250/Serie_Historica!R1248,"")</f>
        <v>0.17622744590611747</v>
      </c>
      <c r="P378" s="31">
        <f>IFERROR(Serie_Historica!S1250/Serie_Historica!S1248,"")</f>
        <v>0.16143170197224252</v>
      </c>
      <c r="Q378" s="31">
        <f>IFERROR(Serie_Historica!T1250/Serie_Historica!T1248,"")</f>
        <v>0.18765709749966927</v>
      </c>
      <c r="R378" s="31">
        <f>IFERROR(Serie_Historica!U1250/Serie_Historica!U1248,"")</f>
        <v>0.19482444140446875</v>
      </c>
      <c r="S378" s="31">
        <f>IFERROR(Serie_Historica!V1250/Serie_Historica!V1248,"")</f>
        <v>0.18827689077951495</v>
      </c>
      <c r="T378" s="31">
        <f>IFERROR(Serie_Historica!W1250/Serie_Historica!W1248,"")</f>
        <v>0.21801490080084829</v>
      </c>
      <c r="U378" s="31">
        <f>IFERROR(Serie_Historica!X1250/Serie_Historica!X1248,"")</f>
        <v>0.23905637881110545</v>
      </c>
      <c r="V378" s="31">
        <f>IFERROR(Serie_Historica!Y1250/Serie_Historica!Y1248,"")</f>
        <v>0.24382187790889709</v>
      </c>
      <c r="W378" s="31">
        <f>IFERROR(Serie_Historica!Z1250/Serie_Historica!Z1248,"")</f>
        <v>0.22492981796081382</v>
      </c>
      <c r="X378" s="19">
        <f>IFERROR((W378-D378)*100,"")</f>
        <v>4.4762905835138813</v>
      </c>
    </row>
    <row r="379" spans="1:24">
      <c r="A379" s="28" t="s">
        <v>417</v>
      </c>
      <c r="B379" s="28" t="s">
        <v>418</v>
      </c>
      <c r="C379" s="28" t="s">
        <v>506</v>
      </c>
      <c r="D379" s="31">
        <f>IFERROR(Serie_Historica!G1251/Serie_Historica!G1248,"")</f>
        <v>0.58533791523482248</v>
      </c>
      <c r="E379" s="31">
        <f>IFERROR(Serie_Historica!H1251/Serie_Historica!H1248,"")</f>
        <v>0.59205053150516096</v>
      </c>
      <c r="F379" s="31">
        <f>IFERROR(Serie_Historica!I1251/Serie_Historica!I1248,"")</f>
        <v>0.56606712930179859</v>
      </c>
      <c r="G379" s="31">
        <f>IFERROR(Serie_Historica!J1251/Serie_Historica!J1248,"")</f>
        <v>0.58562045507858318</v>
      </c>
      <c r="H379" s="31">
        <f>IFERROR(Serie_Historica!K1251/Serie_Historica!K1248,"")</f>
        <v>0.57139713971397144</v>
      </c>
      <c r="I379" s="31">
        <f>IFERROR(Serie_Historica!L1251/Serie_Historica!L1248,"")</f>
        <v>0.62996373927655436</v>
      </c>
      <c r="J379" s="31">
        <f>IFERROR(Serie_Historica!M1251/Serie_Historica!M1248,"")</f>
        <v>0.6253618086521161</v>
      </c>
      <c r="K379" s="31">
        <f>IFERROR(Serie_Historica!N1251/Serie_Historica!N1248,"")</f>
        <v>0.59499112870206083</v>
      </c>
      <c r="L379" s="31">
        <f>IFERROR(Serie_Historica!O1251/Serie_Historica!O1248,"")</f>
        <v>0.54777070063694266</v>
      </c>
      <c r="M379" s="31">
        <f>IFERROR(Serie_Historica!P1251/Serie_Historica!P1248,"")</f>
        <v>0.4991205784639437</v>
      </c>
      <c r="N379" s="31">
        <f>IFERROR(Serie_Historica!Q1251/Serie_Historica!Q1248,"")</f>
        <v>0.41930160159033797</v>
      </c>
      <c r="O379" s="31">
        <f>IFERROR(Serie_Historica!R1251/Serie_Historica!R1248,"")</f>
        <v>0.46261950974049315</v>
      </c>
      <c r="P379" s="31">
        <f>IFERROR(Serie_Historica!S1251/Serie_Historica!S1248,"")</f>
        <v>0.48029496678145328</v>
      </c>
      <c r="Q379" s="31">
        <f>IFERROR(Serie_Historica!T1251/Serie_Historica!T1248,"")</f>
        <v>0.50112448736605375</v>
      </c>
      <c r="R379" s="31">
        <f>IFERROR(Serie_Historica!U1251/Serie_Historica!U1248,"")</f>
        <v>0.45157888736890106</v>
      </c>
      <c r="S379" s="31">
        <f>IFERROR(Serie_Historica!V1251/Serie_Historica!V1248,"")</f>
        <v>0.43130213800342521</v>
      </c>
      <c r="T379" s="31">
        <f>IFERROR(Serie_Historica!W1251/Serie_Historica!W1248,"")</f>
        <v>0.46002734603900997</v>
      </c>
      <c r="U379" s="31">
        <f>IFERROR(Serie_Historica!X1251/Serie_Historica!X1248,"")</f>
        <v>0.53335604383126101</v>
      </c>
      <c r="V379" s="31">
        <f>IFERROR(Serie_Historica!Y1251/Serie_Historica!Y1248,"")</f>
        <v>0.56613518301654508</v>
      </c>
      <c r="W379" s="31">
        <f>IFERROR(Serie_Historica!Z1251/Serie_Historica!Z1248,"")</f>
        <v>0.59792203281914735</v>
      </c>
      <c r="X379" s="19">
        <f>IFERROR((W379-D379)*100,"")</f>
        <v>1.2584117584324872</v>
      </c>
    </row>
    <row r="380" spans="1:24">
      <c r="A380" s="28" t="s">
        <v>177</v>
      </c>
      <c r="B380" s="28" t="s">
        <v>178</v>
      </c>
      <c r="C380" s="28" t="s">
        <v>504</v>
      </c>
      <c r="D380" s="31">
        <f>IFERROR(Serie_Historica!G1259/Serie_Historica!G1258,"")</f>
        <v>0.19156242892881511</v>
      </c>
      <c r="E380" s="31">
        <f>IFERROR(Serie_Historica!H1259/Serie_Historica!H1258,"")</f>
        <v>0.16260859492644503</v>
      </c>
      <c r="F380" s="31">
        <f>IFERROR(Serie_Historica!I1259/Serie_Historica!I1258,"")</f>
        <v>0.17654141581897448</v>
      </c>
      <c r="G380" s="31">
        <f>IFERROR(Serie_Historica!J1259/Serie_Historica!J1258,"")</f>
        <v>0.162201329637882</v>
      </c>
      <c r="H380" s="31">
        <f>IFERROR(Serie_Historica!K1259/Serie_Historica!K1258,"")</f>
        <v>0.13729317863383764</v>
      </c>
      <c r="I380" s="31">
        <f>IFERROR(Serie_Historica!L1259/Serie_Historica!L1258,"")</f>
        <v>0.16269369074861065</v>
      </c>
      <c r="J380" s="31">
        <f>IFERROR(Serie_Historica!M1259/Serie_Historica!M1258,"")</f>
        <v>0.13603422788948044</v>
      </c>
      <c r="K380" s="31">
        <f>IFERROR(Serie_Historica!N1259/Serie_Historica!N1258,"")</f>
        <v>0.10760699865410497</v>
      </c>
      <c r="L380" s="31">
        <f>IFERROR(Serie_Historica!O1259/Serie_Historica!O1258,"")</f>
        <v>0.11265682510784818</v>
      </c>
      <c r="M380" s="31">
        <f>IFERROR(Serie_Historica!P1259/Serie_Historica!P1258,"")</f>
        <v>0.11508434465508384</v>
      </c>
      <c r="N380" s="31">
        <f>IFERROR(Serie_Historica!Q1259/Serie_Historica!Q1258,"")</f>
        <v>0.12314295401306867</v>
      </c>
      <c r="O380" s="31">
        <f>IFERROR(Serie_Historica!R1259/Serie_Historica!R1258,"")</f>
        <v>8.2364552903691629E-2</v>
      </c>
      <c r="P380" s="31">
        <f>IFERROR(Serie_Historica!S1259/Serie_Historica!S1258,"")</f>
        <v>7.9614008018313115E-2</v>
      </c>
      <c r="Q380" s="31">
        <f>IFERROR(Serie_Historica!T1259/Serie_Historica!T1258,"")</f>
        <v>6.5916741472172358E-2</v>
      </c>
      <c r="R380" s="31">
        <f>IFERROR(Serie_Historica!U1259/Serie_Historica!U1258,"")</f>
        <v>6.7588411385661379E-2</v>
      </c>
      <c r="S380" s="31">
        <f>IFERROR(Serie_Historica!V1259/Serie_Historica!V1258,"")</f>
        <v>5.9420107092969111E-2</v>
      </c>
      <c r="T380" s="31">
        <f>IFERROR(Serie_Historica!W1259/Serie_Historica!W1258,"")</f>
        <v>4.6580521264365342E-2</v>
      </c>
      <c r="U380" s="31">
        <f>IFERROR(Serie_Historica!X1259/Serie_Historica!X1258,"")</f>
        <v>5.0382579850926465E-2</v>
      </c>
      <c r="V380" s="31">
        <f>IFERROR(Serie_Historica!Y1259/Serie_Historica!Y1258,"")</f>
        <v>3.9334772515562388E-2</v>
      </c>
      <c r="W380" s="31">
        <f>IFERROR(Serie_Historica!Z1259/Serie_Historica!Z1258,"")</f>
        <v>4.1031614819423995E-2</v>
      </c>
      <c r="X380" s="19">
        <f>IFERROR((W380-D380)*100,"")</f>
        <v>-15.053081410939113</v>
      </c>
    </row>
    <row r="381" spans="1:24">
      <c r="A381" s="28" t="s">
        <v>177</v>
      </c>
      <c r="B381" s="28" t="s">
        <v>178</v>
      </c>
      <c r="C381" s="28" t="s">
        <v>505</v>
      </c>
      <c r="D381" s="31">
        <f>IFERROR(Serie_Historica!G1260/Serie_Historica!G1258,"")</f>
        <v>0.25806231521491924</v>
      </c>
      <c r="E381" s="31">
        <f>IFERROR(Serie_Historica!H1260/Serie_Historica!H1258,"")</f>
        <v>0.25930730916251593</v>
      </c>
      <c r="F381" s="31">
        <f>IFERROR(Serie_Historica!I1260/Serie_Historica!I1258,"")</f>
        <v>0.2602034461282956</v>
      </c>
      <c r="G381" s="31">
        <f>IFERROR(Serie_Historica!J1260/Serie_Historica!J1258,"")</f>
        <v>0.25857290364654095</v>
      </c>
      <c r="H381" s="31">
        <f>IFERROR(Serie_Historica!K1260/Serie_Historica!K1258,"")</f>
        <v>0.2647156058626281</v>
      </c>
      <c r="I381" s="31">
        <f>IFERROR(Serie_Historica!L1260/Serie_Historica!L1258,"")</f>
        <v>0.24642039882314482</v>
      </c>
      <c r="J381" s="31">
        <f>IFERROR(Serie_Historica!M1260/Serie_Historica!M1258,"")</f>
        <v>0.22996863244678933</v>
      </c>
      <c r="K381" s="31">
        <f>IFERROR(Serie_Historica!N1260/Serie_Historica!N1258,"")</f>
        <v>0.2385464333781965</v>
      </c>
      <c r="L381" s="31">
        <f>IFERROR(Serie_Historica!O1260/Serie_Historica!O1258,"")</f>
        <v>0.24329164522895477</v>
      </c>
      <c r="M381" s="31">
        <f>IFERROR(Serie_Historica!P1260/Serie_Historica!P1258,"")</f>
        <v>0.25709328864147418</v>
      </c>
      <c r="N381" s="31">
        <f>IFERROR(Serie_Historica!Q1260/Serie_Historica!Q1258,"")</f>
        <v>0.27143693749229442</v>
      </c>
      <c r="O381" s="31">
        <f>IFERROR(Serie_Historica!R1260/Serie_Historica!R1258,"")</f>
        <v>0.28470552387008735</v>
      </c>
      <c r="P381" s="31">
        <f>IFERROR(Serie_Historica!S1260/Serie_Historica!S1258,"")</f>
        <v>0.2911950321870771</v>
      </c>
      <c r="Q381" s="31">
        <f>IFERROR(Serie_Historica!T1260/Serie_Historica!T1258,"")</f>
        <v>0.30458931777378817</v>
      </c>
      <c r="R381" s="31">
        <f>IFERROR(Serie_Historica!U1260/Serie_Historica!U1258,"")</f>
        <v>0.33055964280278044</v>
      </c>
      <c r="S381" s="31">
        <f>IFERROR(Serie_Historica!V1260/Serie_Historica!V1258,"")</f>
        <v>0.30937645506751515</v>
      </c>
      <c r="T381" s="31">
        <f>IFERROR(Serie_Historica!W1260/Serie_Historica!W1258,"")</f>
        <v>0.38428714751359566</v>
      </c>
      <c r="U381" s="31">
        <f>IFERROR(Serie_Historica!X1260/Serie_Historica!X1258,"")</f>
        <v>0.38281735523123023</v>
      </c>
      <c r="V381" s="31">
        <f>IFERROR(Serie_Historica!Y1260/Serie_Historica!Y1258,"")</f>
        <v>0.39120743446052847</v>
      </c>
      <c r="W381" s="31">
        <f>IFERROR(Serie_Historica!Z1260/Serie_Historica!Z1258,"")</f>
        <v>0.41031614819423995</v>
      </c>
      <c r="X381" s="19">
        <f>IFERROR((W381-D381)*100,"")</f>
        <v>15.225383297932071</v>
      </c>
    </row>
    <row r="382" spans="1:24">
      <c r="A382" s="28" t="s">
        <v>177</v>
      </c>
      <c r="B382" s="28" t="s">
        <v>178</v>
      </c>
      <c r="C382" s="28" t="s">
        <v>506</v>
      </c>
      <c r="D382" s="31">
        <f>IFERROR(Serie_Historica!G1261/Serie_Historica!G1258,"")</f>
        <v>0.51739822606322494</v>
      </c>
      <c r="E382" s="31">
        <f>IFERROR(Serie_Historica!H1261/Serie_Historica!H1258,"")</f>
        <v>0.516830765666628</v>
      </c>
      <c r="F382" s="31">
        <f>IFERROR(Serie_Historica!I1261/Serie_Historica!I1258,"")</f>
        <v>0.50606186423084909</v>
      </c>
      <c r="G382" s="31">
        <f>IFERROR(Serie_Historica!J1261/Serie_Historica!J1258,"")</f>
        <v>0.53413763744724019</v>
      </c>
      <c r="H382" s="31">
        <f>IFERROR(Serie_Historica!K1261/Serie_Historica!K1258,"")</f>
        <v>0.54056138914689633</v>
      </c>
      <c r="I382" s="31">
        <f>IFERROR(Serie_Historica!L1261/Serie_Historica!L1258,"")</f>
        <v>0.54457012095456037</v>
      </c>
      <c r="J382" s="31">
        <f>IFERROR(Serie_Historica!M1261/Serie_Historica!M1258,"")</f>
        <v>0.56985590154674481</v>
      </c>
      <c r="K382" s="31">
        <f>IFERROR(Serie_Historica!N1261/Serie_Historica!N1258,"")</f>
        <v>0.57574158815612386</v>
      </c>
      <c r="L382" s="31">
        <f>IFERROR(Serie_Historica!O1261/Serie_Historica!O1258,"")</f>
        <v>0.58622907349507258</v>
      </c>
      <c r="M382" s="31">
        <f>IFERROR(Serie_Historica!P1261/Serie_Historica!P1258,"")</f>
        <v>0.56658722071097112</v>
      </c>
      <c r="N382" s="31">
        <f>IFERROR(Serie_Historica!Q1261/Serie_Historica!Q1258,"")</f>
        <v>0.56464215263222783</v>
      </c>
      <c r="O382" s="31">
        <f>IFERROR(Serie_Historica!R1261/Serie_Historica!R1258,"")</f>
        <v>0.57805555003543918</v>
      </c>
      <c r="P382" s="31">
        <f>IFERROR(Serie_Historica!S1261/Serie_Historica!S1258,"")</f>
        <v>0.58319948399499166</v>
      </c>
      <c r="Q382" s="31">
        <f>IFERROR(Serie_Historica!T1261/Serie_Historica!T1258,"")</f>
        <v>0.57046117594254941</v>
      </c>
      <c r="R382" s="31">
        <f>IFERROR(Serie_Historica!U1261/Serie_Historica!U1258,"")</f>
        <v>0.54882033588715817</v>
      </c>
      <c r="S382" s="31">
        <f>IFERROR(Serie_Historica!V1261/Serie_Historica!V1258,"")</f>
        <v>0.57256421697966786</v>
      </c>
      <c r="T382" s="31">
        <f>IFERROR(Serie_Historica!W1261/Serie_Historica!W1258,"")</f>
        <v>0.5107193758261821</v>
      </c>
      <c r="U382" s="31">
        <f>IFERROR(Serie_Historica!X1261/Serie_Historica!X1258,"")</f>
        <v>0.51688061846120958</v>
      </c>
      <c r="V382" s="31">
        <f>IFERROR(Serie_Historica!Y1261/Serie_Historica!Y1258,"")</f>
        <v>0.50323076695598168</v>
      </c>
      <c r="W382" s="31">
        <f>IFERROR(Serie_Historica!Z1261/Serie_Historica!Z1258,"")</f>
        <v>0.51530093589126735</v>
      </c>
      <c r="X382" s="19">
        <f>IFERROR((W382-D382)*100,"")</f>
        <v>-0.20972901719575887</v>
      </c>
    </row>
    <row r="383" spans="1:24">
      <c r="A383" s="28" t="s">
        <v>153</v>
      </c>
      <c r="B383" s="28" t="s">
        <v>154</v>
      </c>
      <c r="C383" s="28" t="s">
        <v>504</v>
      </c>
      <c r="D383" s="31">
        <f>IFERROR(Serie_Historica!G1269/Serie_Historica!G1268,"")</f>
        <v>4.8560135516657256E-2</v>
      </c>
      <c r="E383" s="31">
        <f>IFERROR(Serie_Historica!H1269/Serie_Historica!H1268,"")</f>
        <v>4.8362068965517244E-2</v>
      </c>
      <c r="F383" s="31">
        <f>IFERROR(Serie_Historica!I1269/Serie_Historica!I1268,"")</f>
        <v>5.0272798129384254E-2</v>
      </c>
      <c r="G383" s="31">
        <f>IFERROR(Serie_Historica!J1269/Serie_Historica!J1268,"")</f>
        <v>0.35416960632143363</v>
      </c>
      <c r="H383" s="31">
        <f>IFERROR(Serie_Historica!K1269/Serie_Historica!K1268,"")</f>
        <v>6.1911610878661087E-2</v>
      </c>
      <c r="I383" s="31">
        <f>IFERROR(Serie_Historica!L1269/Serie_Historica!L1268,"")</f>
        <v>4.7578382335000613E-2</v>
      </c>
      <c r="J383" s="31">
        <f>IFERROR(Serie_Historica!M1269/Serie_Historica!M1268,"")</f>
        <v>4.2548350398179752E-2</v>
      </c>
      <c r="K383" s="31">
        <f>IFERROR(Serie_Historica!N1269/Serie_Historica!N1268,"")</f>
        <v>4.4853254942866627E-2</v>
      </c>
      <c r="L383" s="31">
        <f>IFERROR(Serie_Historica!O1269/Serie_Historica!O1268,"")</f>
        <v>4.1840624432746415E-2</v>
      </c>
      <c r="M383" s="31">
        <f>IFERROR(Serie_Historica!P1269/Serie_Historica!P1268,"")</f>
        <v>3.8852639606812983E-2</v>
      </c>
      <c r="N383" s="31">
        <f>IFERROR(Serie_Historica!Q1269/Serie_Historica!Q1268,"")</f>
        <v>4.0128722084367248E-2</v>
      </c>
      <c r="O383" s="31">
        <f>IFERROR(Serie_Historica!R1269/Serie_Historica!R1268,"")</f>
        <v>3.085767146821726E-2</v>
      </c>
      <c r="P383" s="31">
        <f>IFERROR(Serie_Historica!S1269/Serie_Historica!S1268,"")</f>
        <v>2.6534710269650028E-2</v>
      </c>
      <c r="Q383" s="31">
        <f>IFERROR(Serie_Historica!T1269/Serie_Historica!T1268,"")</f>
        <v>0.43299153986427907</v>
      </c>
      <c r="R383" s="31">
        <f>IFERROR(Serie_Historica!U1269/Serie_Historica!U1268,"")</f>
        <v>0.58658860876914509</v>
      </c>
      <c r="S383" s="31">
        <f>IFERROR(Serie_Historica!V1269/Serie_Historica!V1268,"")</f>
        <v>0.61673789299050907</v>
      </c>
      <c r="T383" s="31">
        <f>IFERROR(Serie_Historica!W1269/Serie_Historica!W1268,"")</f>
        <v>0.59234086768389893</v>
      </c>
      <c r="U383" s="31">
        <f>IFERROR(Serie_Historica!X1269/Serie_Historica!X1268,"")</f>
        <v>0.83017937102610906</v>
      </c>
      <c r="V383" s="31">
        <f>IFERROR(Serie_Historica!Y1269/Serie_Historica!Y1268,"")</f>
        <v>0.84277978816133547</v>
      </c>
      <c r="W383" s="31">
        <f>IFERROR(Serie_Historica!Z1269/Serie_Historica!Z1268,"")</f>
        <v>0.88742809705205272</v>
      </c>
      <c r="X383" s="19">
        <f>IFERROR((W383-D383)*100,"")</f>
        <v>83.886796153539549</v>
      </c>
    </row>
    <row r="384" spans="1:24">
      <c r="A384" s="28" t="s">
        <v>153</v>
      </c>
      <c r="B384" s="28" t="s">
        <v>154</v>
      </c>
      <c r="C384" s="28" t="s">
        <v>505</v>
      </c>
      <c r="D384" s="31">
        <f>IFERROR(Serie_Historica!G1270/Serie_Historica!G1268,"")</f>
        <v>0.18430265386787126</v>
      </c>
      <c r="E384" s="31">
        <f>IFERROR(Serie_Historica!H1270/Serie_Historica!H1268,"")</f>
        <v>0.15655172413793103</v>
      </c>
      <c r="F384" s="31">
        <f>IFERROR(Serie_Historica!I1270/Serie_Historica!I1268,"")</f>
        <v>0.18846453624318005</v>
      </c>
      <c r="G384" s="31">
        <f>IFERROR(Serie_Historica!J1270/Serie_Historica!J1268,"")</f>
        <v>0.14933446216076385</v>
      </c>
      <c r="H384" s="31">
        <f>IFERROR(Serie_Historica!K1270/Serie_Historica!K1268,"")</f>
        <v>0.1656642259414226</v>
      </c>
      <c r="I384" s="31">
        <f>IFERROR(Serie_Historica!L1270/Serie_Historica!L1268,"")</f>
        <v>0.1520678296937904</v>
      </c>
      <c r="J384" s="31">
        <f>IFERROR(Serie_Historica!M1270/Serie_Historica!M1268,"")</f>
        <v>0.14323094425483504</v>
      </c>
      <c r="K384" s="31">
        <f>IFERROR(Serie_Historica!N1270/Serie_Historica!N1268,"")</f>
        <v>0.1388269878147077</v>
      </c>
      <c r="L384" s="31">
        <f>IFERROR(Serie_Historica!O1270/Serie_Historica!O1268,"")</f>
        <v>0.15588128516972227</v>
      </c>
      <c r="M384" s="31">
        <f>IFERROR(Serie_Historica!P1270/Serie_Historica!P1268,"")</f>
        <v>0.16129988983984409</v>
      </c>
      <c r="N384" s="31">
        <f>IFERROR(Serie_Historica!Q1270/Serie_Historica!Q1268,"")</f>
        <v>0.18218827543424318</v>
      </c>
      <c r="O384" s="31">
        <f>IFERROR(Serie_Historica!R1270/Serie_Historica!R1268,"")</f>
        <v>0.19922029866525703</v>
      </c>
      <c r="P384" s="31">
        <f>IFERROR(Serie_Historica!S1270/Serie_Historica!S1268,"")</f>
        <v>0.17306368330464716</v>
      </c>
      <c r="Q384" s="31">
        <f>IFERROR(Serie_Historica!T1270/Serie_Historica!T1268,"")</f>
        <v>0.10754536486203702</v>
      </c>
      <c r="R384" s="31">
        <f>IFERROR(Serie_Historica!U1270/Serie_Historica!U1268,"")</f>
        <v>0.10225515862381727</v>
      </c>
      <c r="S384" s="31">
        <f>IFERROR(Serie_Historica!V1270/Serie_Historica!V1268,"")</f>
        <v>0.16392606531717699</v>
      </c>
      <c r="T384" s="31">
        <f>IFERROR(Serie_Historica!W1270/Serie_Historica!W1268,"")</f>
        <v>0.1537591095422455</v>
      </c>
      <c r="U384" s="31">
        <f>IFERROR(Serie_Historica!X1270/Serie_Historica!X1268,"")</f>
        <v>5.7946621086325027E-2</v>
      </c>
      <c r="V384" s="31">
        <f>IFERROR(Serie_Historica!Y1270/Serie_Historica!Y1268,"")</f>
        <v>5.7027391109115401E-2</v>
      </c>
      <c r="W384" s="31">
        <f>IFERROR(Serie_Historica!Z1270/Serie_Historica!Z1268,"")</f>
        <v>3.8389452468005521E-2</v>
      </c>
      <c r="X384" s="19">
        <f>IFERROR((W384-D384)*100,"")</f>
        <v>-14.591320139986575</v>
      </c>
    </row>
    <row r="385" spans="1:24">
      <c r="A385" s="28" t="s">
        <v>153</v>
      </c>
      <c r="B385" s="28" t="s">
        <v>154</v>
      </c>
      <c r="C385" s="28" t="s">
        <v>506</v>
      </c>
      <c r="D385" s="31">
        <f>IFERROR(Serie_Historica!G1271/Serie_Historica!G1268,"")</f>
        <v>0.51902879728966689</v>
      </c>
      <c r="E385" s="31">
        <f>IFERROR(Serie_Historica!H1271/Serie_Historica!H1268,"")</f>
        <v>0.43931034482758619</v>
      </c>
      <c r="F385" s="31">
        <f>IFERROR(Serie_Historica!I1271/Serie_Historica!I1268,"")</f>
        <v>0.43421667965705379</v>
      </c>
      <c r="G385" s="31">
        <f>IFERROR(Serie_Historica!J1271/Serie_Historica!J1268,"")</f>
        <v>0.30840506090964676</v>
      </c>
      <c r="H385" s="31">
        <f>IFERROR(Serie_Historica!K1271/Serie_Historica!K1268,"")</f>
        <v>0.50339958158995812</v>
      </c>
      <c r="I385" s="31">
        <f>IFERROR(Serie_Historica!L1271/Serie_Historica!L1268,"")</f>
        <v>0.5509332682688789</v>
      </c>
      <c r="J385" s="31">
        <f>IFERROR(Serie_Historica!M1271/Serie_Historica!M1268,"")</f>
        <v>0.56786120591581346</v>
      </c>
      <c r="K385" s="31">
        <f>IFERROR(Serie_Historica!N1271/Serie_Historica!N1268,"")</f>
        <v>0.53951922621023185</v>
      </c>
      <c r="L385" s="31">
        <f>IFERROR(Serie_Historica!O1271/Serie_Historica!O1268,"")</f>
        <v>0.53453439825739701</v>
      </c>
      <c r="M385" s="31">
        <f>IFERROR(Serie_Historica!P1271/Serie_Historica!P1268,"")</f>
        <v>0.54974154732649771</v>
      </c>
      <c r="N385" s="31">
        <f>IFERROR(Serie_Historica!Q1271/Serie_Historica!Q1268,"")</f>
        <v>0.5050015508684863</v>
      </c>
      <c r="O385" s="31">
        <f>IFERROR(Serie_Historica!R1271/Serie_Historica!R1268,"")</f>
        <v>0.46375710321131225</v>
      </c>
      <c r="P385" s="31">
        <f>IFERROR(Serie_Historica!S1271/Serie_Historica!S1268,"")</f>
        <v>0.44331612162937462</v>
      </c>
      <c r="Q385" s="31">
        <f>IFERROR(Serie_Historica!T1271/Serie_Historica!T1268,"")</f>
        <v>0.27229380287584826</v>
      </c>
      <c r="R385" s="31">
        <f>IFERROR(Serie_Historica!U1271/Serie_Historica!U1268,"")</f>
        <v>0.20212941394735215</v>
      </c>
      <c r="S385" s="31">
        <f>IFERROR(Serie_Historica!V1271/Serie_Historica!V1268,"")</f>
        <v>0.13653177632003188</v>
      </c>
      <c r="T385" s="31">
        <f>IFERROR(Serie_Historica!W1271/Serie_Historica!W1268,"")</f>
        <v>0.16897489182418585</v>
      </c>
      <c r="U385" s="31">
        <f>IFERROR(Serie_Historica!X1271/Serie_Historica!X1268,"")</f>
        <v>7.3994538484531025E-2</v>
      </c>
      <c r="V385" s="31">
        <f>IFERROR(Serie_Historica!Y1271/Serie_Historica!Y1268,"")</f>
        <v>6.4790406508359974E-2</v>
      </c>
      <c r="W385" s="31">
        <f>IFERROR(Serie_Historica!Z1271/Serie_Historica!Z1268,"")</f>
        <v>5.3473616450884227E-2</v>
      </c>
      <c r="X385" s="19">
        <f>IFERROR((W385-D385)*100,"")</f>
        <v>-46.555518083878269</v>
      </c>
    </row>
    <row r="386" spans="1:24">
      <c r="A386" s="28" t="s">
        <v>391</v>
      </c>
      <c r="B386" s="28" t="s">
        <v>392</v>
      </c>
      <c r="C386" s="28" t="s">
        <v>504</v>
      </c>
      <c r="D386" s="31">
        <f>IFERROR(Serie_Historica!G1279/Serie_Historica!G1278,"")</f>
        <v>7.3374013990177109E-2</v>
      </c>
      <c r="E386" s="31">
        <f>IFERROR(Serie_Historica!H1279/Serie_Historica!H1278,"")</f>
        <v>3.1133888532991674E-2</v>
      </c>
      <c r="F386" s="31">
        <f>IFERROR(Serie_Historica!I1279/Serie_Historica!I1278,"")</f>
        <v>4.0783199756518208E-2</v>
      </c>
      <c r="G386" s="31">
        <f>IFERROR(Serie_Historica!J1279/Serie_Historica!J1278,"")</f>
        <v>4.7459629775502166E-2</v>
      </c>
      <c r="H386" s="31">
        <f>IFERROR(Serie_Historica!K1279/Serie_Historica!K1278,"")</f>
        <v>3.5563592525617839E-2</v>
      </c>
      <c r="I386" s="31">
        <f>IFERROR(Serie_Historica!L1279/Serie_Historica!L1278,"")</f>
        <v>4.1666666666666664E-2</v>
      </c>
      <c r="J386" s="31">
        <f>IFERROR(Serie_Historica!M1279/Serie_Historica!M1278,"")</f>
        <v>3.3152994464016101E-2</v>
      </c>
      <c r="K386" s="31">
        <f>IFERROR(Serie_Historica!N1279/Serie_Historica!N1278,"")</f>
        <v>3.7374248299893213E-2</v>
      </c>
      <c r="L386" s="31">
        <f>IFERROR(Serie_Historica!O1279/Serie_Historica!O1278,"")</f>
        <v>4.0751628335927145E-2</v>
      </c>
      <c r="M386" s="31">
        <f>IFERROR(Serie_Historica!P1279/Serie_Historica!P1278,"")</f>
        <v>3.8375999621445132E-2</v>
      </c>
      <c r="N386" s="31">
        <f>IFERROR(Serie_Historica!Q1279/Serie_Historica!Q1278,"")</f>
        <v>4.4183030752130419E-2</v>
      </c>
      <c r="O386" s="31">
        <f>IFERROR(Serie_Historica!R1279/Serie_Historica!R1278,"")</f>
        <v>3.9454976303317534E-2</v>
      </c>
      <c r="P386" s="31">
        <f>IFERROR(Serie_Historica!S1279/Serie_Historica!S1278,"")</f>
        <v>3.8530265802993076E-2</v>
      </c>
      <c r="Q386" s="31">
        <f>IFERROR(Serie_Historica!T1279/Serie_Historica!T1278,"")</f>
        <v>4.790439549215212E-2</v>
      </c>
      <c r="R386" s="31">
        <f>IFERROR(Serie_Historica!U1279/Serie_Historica!U1278,"")</f>
        <v>5.259933216922464E-2</v>
      </c>
      <c r="S386" s="31">
        <f>IFERROR(Serie_Historica!V1279/Serie_Historica!V1278,"")</f>
        <v>4.2570022266494784E-2</v>
      </c>
      <c r="T386" s="31">
        <f>IFERROR(Serie_Historica!W1279/Serie_Historica!W1278,"")</f>
        <v>3.6063870509104826E-2</v>
      </c>
      <c r="U386" s="31">
        <f>IFERROR(Serie_Historica!X1279/Serie_Historica!X1278,"")</f>
        <v>3.3137787258799574E-2</v>
      </c>
      <c r="V386" s="31">
        <f>IFERROR(Serie_Historica!Y1279/Serie_Historica!Y1278,"")</f>
        <v>3.255525433074484E-2</v>
      </c>
      <c r="W386" s="31">
        <f>IFERROR(Serie_Historica!Z1279/Serie_Historica!Z1278,"")</f>
        <v>3.9335743334839586E-2</v>
      </c>
      <c r="X386" s="19">
        <f>IFERROR((W386-D386)*100,"")</f>
        <v>-3.4038270655337524</v>
      </c>
    </row>
    <row r="387" spans="1:24">
      <c r="A387" s="28" t="s">
        <v>391</v>
      </c>
      <c r="B387" s="28" t="s">
        <v>392</v>
      </c>
      <c r="C387" s="28" t="s">
        <v>505</v>
      </c>
      <c r="D387" s="31">
        <f>IFERROR(Serie_Historica!G1280/Serie_Historica!G1278,"")</f>
        <v>0.16222652180383987</v>
      </c>
      <c r="E387" s="31">
        <f>IFERROR(Serie_Historica!H1280/Serie_Historica!H1278,"")</f>
        <v>0.1601537475976938</v>
      </c>
      <c r="F387" s="31">
        <f>IFERROR(Serie_Historica!I1280/Serie_Historica!I1278,"")</f>
        <v>0.17490108552297859</v>
      </c>
      <c r="G387" s="31">
        <f>IFERROR(Serie_Historica!J1280/Serie_Historica!J1278,"")</f>
        <v>0.17191807798345807</v>
      </c>
      <c r="H387" s="31">
        <f>IFERROR(Serie_Historica!K1280/Serie_Historica!K1278,"")</f>
        <v>0.17721518987341772</v>
      </c>
      <c r="I387" s="31">
        <f>IFERROR(Serie_Historica!L1280/Serie_Historica!L1278,"")</f>
        <v>0.16187821612349915</v>
      </c>
      <c r="J387" s="31">
        <f>IFERROR(Serie_Historica!M1280/Serie_Historica!M1278,"")</f>
        <v>0.14349521892299949</v>
      </c>
      <c r="K387" s="31">
        <f>IFERROR(Serie_Historica!N1280/Serie_Historica!N1278,"")</f>
        <v>0.15545439217669871</v>
      </c>
      <c r="L387" s="31">
        <f>IFERROR(Serie_Historica!O1280/Serie_Historica!O1278,"")</f>
        <v>0.15879877802755202</v>
      </c>
      <c r="M387" s="31">
        <f>IFERROR(Serie_Historica!P1280/Serie_Historica!P1278,"")</f>
        <v>0.15695831164529409</v>
      </c>
      <c r="N387" s="31">
        <f>IFERROR(Serie_Historica!Q1280/Serie_Historica!Q1278,"")</f>
        <v>0.16038347536124489</v>
      </c>
      <c r="O387" s="31">
        <f>IFERROR(Serie_Historica!R1280/Serie_Historica!R1278,"")</f>
        <v>0.16488941548183253</v>
      </c>
      <c r="P387" s="31">
        <f>IFERROR(Serie_Historica!S1280/Serie_Historica!S1278,"")</f>
        <v>0.16409798227980046</v>
      </c>
      <c r="Q387" s="31">
        <f>IFERROR(Serie_Historica!T1280/Serie_Historica!T1278,"")</f>
        <v>0.17612611078955431</v>
      </c>
      <c r="R387" s="31">
        <f>IFERROR(Serie_Historica!U1280/Serie_Historica!U1278,"")</f>
        <v>0.18549152957755108</v>
      </c>
      <c r="S387" s="31">
        <f>IFERROR(Serie_Historica!V1280/Serie_Historica!V1278,"")</f>
        <v>0.17819055431852807</v>
      </c>
      <c r="T387" s="31">
        <f>IFERROR(Serie_Historica!W1280/Serie_Historica!W1278,"")</f>
        <v>0.18494012139771424</v>
      </c>
      <c r="U387" s="31">
        <f>IFERROR(Serie_Historica!X1280/Serie_Historica!X1278,"")</f>
        <v>0.1849122466789489</v>
      </c>
      <c r="V387" s="31">
        <f>IFERROR(Serie_Historica!Y1280/Serie_Historica!Y1278,"")</f>
        <v>0.18722143086890594</v>
      </c>
      <c r="W387" s="31">
        <f>IFERROR(Serie_Historica!Z1280/Serie_Historica!Z1278,"")</f>
        <v>0.18348395842747403</v>
      </c>
      <c r="X387" s="19">
        <f>IFERROR((W387-D387)*100,"")</f>
        <v>2.1257436623634165</v>
      </c>
    </row>
    <row r="388" spans="1:24">
      <c r="A388" s="28" t="s">
        <v>391</v>
      </c>
      <c r="B388" s="28" t="s">
        <v>392</v>
      </c>
      <c r="C388" s="28" t="s">
        <v>506</v>
      </c>
      <c r="D388" s="31">
        <f>IFERROR(Serie_Historica!G1281/Serie_Historica!G1278,"")</f>
        <v>0.67108200625093017</v>
      </c>
      <c r="E388" s="31">
        <f>IFERROR(Serie_Historica!H1281/Serie_Historica!H1278,"")</f>
        <v>0.63177450352338249</v>
      </c>
      <c r="F388" s="31">
        <f>IFERROR(Serie_Historica!I1281/Serie_Historica!I1278,"")</f>
        <v>0.59024043826722128</v>
      </c>
      <c r="G388" s="31">
        <f>IFERROR(Serie_Historica!J1281/Serie_Historica!J1278,"")</f>
        <v>0.65084679007483259</v>
      </c>
      <c r="H388" s="31">
        <f>IFERROR(Serie_Historica!K1281/Serie_Historica!K1278,"")</f>
        <v>0.69232756393696715</v>
      </c>
      <c r="I388" s="31">
        <f>IFERROR(Serie_Historica!L1281/Serie_Historica!L1278,"")</f>
        <v>0.72241280731846769</v>
      </c>
      <c r="J388" s="31">
        <f>IFERROR(Serie_Historica!M1281/Serie_Historica!M1278,"")</f>
        <v>0.68595873175641675</v>
      </c>
      <c r="K388" s="31">
        <f>IFERROR(Serie_Historica!N1281/Serie_Historica!N1278,"")</f>
        <v>0.73720002248075089</v>
      </c>
      <c r="L388" s="31">
        <f>IFERROR(Serie_Historica!O1281/Serie_Historica!O1278,"")</f>
        <v>0.75208945760562573</v>
      </c>
      <c r="M388" s="31">
        <f>IFERROR(Serie_Historica!P1281/Serie_Historica!P1278,"")</f>
        <v>0.71542137888610235</v>
      </c>
      <c r="N388" s="31">
        <f>IFERROR(Serie_Historica!Q1281/Serie_Historica!Q1278,"")</f>
        <v>0.76523712486105966</v>
      </c>
      <c r="O388" s="31">
        <f>IFERROR(Serie_Historica!R1281/Serie_Historica!R1278,"")</f>
        <v>0.76903633491311219</v>
      </c>
      <c r="P388" s="31">
        <f>IFERROR(Serie_Historica!S1281/Serie_Historica!S1278,"")</f>
        <v>0.77484922939468392</v>
      </c>
      <c r="Q388" s="31">
        <f>IFERROR(Serie_Historica!T1281/Serie_Historica!T1278,"")</f>
        <v>0.7521705083245378</v>
      </c>
      <c r="R388" s="31">
        <f>IFERROR(Serie_Historica!U1281/Serie_Historica!U1278,"")</f>
        <v>0.73764666237784515</v>
      </c>
      <c r="S388" s="31">
        <f>IFERROR(Serie_Historica!V1281/Serie_Historica!V1278,"")</f>
        <v>0.75662135239657802</v>
      </c>
      <c r="T388" s="31">
        <f>IFERROR(Serie_Historica!W1281/Serie_Historica!W1278,"")</f>
        <v>0.74927544157051462</v>
      </c>
      <c r="U388" s="31">
        <f>IFERROR(Serie_Historica!X1281/Serie_Historica!X1278,"")</f>
        <v>0.70374769708135365</v>
      </c>
      <c r="V388" s="31">
        <f>IFERROR(Serie_Historica!Y1281/Serie_Historica!Y1278,"")</f>
        <v>0.69335569544639986</v>
      </c>
      <c r="W388" s="31">
        <f>IFERROR(Serie_Historica!Z1281/Serie_Historica!Z1278,"")</f>
        <v>0.69961590600994128</v>
      </c>
      <c r="X388" s="19">
        <f>IFERROR((W388-D388)*100,"")</f>
        <v>2.8533899759011105</v>
      </c>
    </row>
    <row r="389" spans="1:24">
      <c r="A389" s="28" t="s">
        <v>337</v>
      </c>
      <c r="B389" s="28" t="s">
        <v>338</v>
      </c>
      <c r="C389" s="28" t="s">
        <v>504</v>
      </c>
      <c r="D389" s="31">
        <f>IFERROR(Serie_Historica!G1289/Serie_Historica!G1288,"")</f>
        <v>5.6757385438474063E-2</v>
      </c>
      <c r="E389" s="31">
        <f>IFERROR(Serie_Historica!H1289/Serie_Historica!H1288,"")</f>
        <v>4.6320222030816344E-2</v>
      </c>
      <c r="F389" s="31">
        <f>IFERROR(Serie_Historica!I1289/Serie_Historica!I1288,"")</f>
        <v>5.0598854365561531E-2</v>
      </c>
      <c r="G389" s="31">
        <f>IFERROR(Serie_Historica!J1289/Serie_Historica!J1288,"")</f>
        <v>6.3538461538461544E-2</v>
      </c>
      <c r="H389" s="31">
        <f>IFERROR(Serie_Historica!K1289/Serie_Historica!K1288,"")</f>
        <v>6.1456953642384106E-2</v>
      </c>
      <c r="I389" s="31">
        <f>IFERROR(Serie_Historica!L1289/Serie_Historica!L1288,"")</f>
        <v>0.10168468087675865</v>
      </c>
      <c r="J389" s="31">
        <f>IFERROR(Serie_Historica!M1289/Serie_Historica!M1288,"")</f>
        <v>7.0064433737737269E-2</v>
      </c>
      <c r="K389" s="31">
        <f>IFERROR(Serie_Historica!N1289/Serie_Historica!N1288,"")</f>
        <v>0.1137811102579159</v>
      </c>
      <c r="L389" s="31">
        <f>IFERROR(Serie_Historica!O1289/Serie_Historica!O1288,"")</f>
        <v>0.11735544848035583</v>
      </c>
      <c r="M389" s="31">
        <f>IFERROR(Serie_Historica!P1289/Serie_Historica!P1288,"")</f>
        <v>0.13187718128700834</v>
      </c>
      <c r="N389" s="31">
        <f>IFERROR(Serie_Historica!Q1289/Serie_Historica!Q1288,"")</f>
        <v>0.17980107115531752</v>
      </c>
      <c r="O389" s="31">
        <f>IFERROR(Serie_Historica!R1289/Serie_Historica!R1288,"")</f>
        <v>0.15294559750245706</v>
      </c>
      <c r="P389" s="31">
        <f>IFERROR(Serie_Historica!S1289/Serie_Historica!S1288,"")</f>
        <v>0.13768172479259316</v>
      </c>
      <c r="Q389" s="31">
        <f>IFERROR(Serie_Historica!T1289/Serie_Historica!T1288,"")</f>
        <v>0.17408806169293742</v>
      </c>
      <c r="R389" s="31">
        <f>IFERROR(Serie_Historica!U1289/Serie_Historica!U1288,"")</f>
        <v>0.22831613002619011</v>
      </c>
      <c r="S389" s="31">
        <f>IFERROR(Serie_Historica!V1289/Serie_Historica!V1288,"")</f>
        <v>0.16017938374388466</v>
      </c>
      <c r="T389" s="31">
        <f>IFERROR(Serie_Historica!W1289/Serie_Historica!W1288,"")</f>
        <v>0.16191564699027386</v>
      </c>
      <c r="U389" s="31">
        <f>IFERROR(Serie_Historica!X1289/Serie_Historica!X1288,"")</f>
        <v>0.15236759447660062</v>
      </c>
      <c r="V389" s="31">
        <f>IFERROR(Serie_Historica!Y1289/Serie_Historica!Y1288,"")</f>
        <v>0.13114538520786759</v>
      </c>
      <c r="W389" s="31">
        <f>IFERROR(Serie_Historica!Z1289/Serie_Historica!Z1288,"")</f>
        <v>0.14158834899686729</v>
      </c>
      <c r="X389" s="19">
        <f>IFERROR((W389-D389)*100,"")</f>
        <v>8.4830963558393222</v>
      </c>
    </row>
    <row r="390" spans="1:24">
      <c r="A390" s="28" t="s">
        <v>337</v>
      </c>
      <c r="B390" s="28" t="s">
        <v>338</v>
      </c>
      <c r="C390" s="28" t="s">
        <v>505</v>
      </c>
      <c r="D390" s="31">
        <f>IFERROR(Serie_Historica!G1290/Serie_Historica!G1288,"")</f>
        <v>0.16724819725517562</v>
      </c>
      <c r="E390" s="31">
        <f>IFERROR(Serie_Historica!H1290/Serie_Historica!H1288,"")</f>
        <v>0.17207388266819792</v>
      </c>
      <c r="F390" s="31">
        <f>IFERROR(Serie_Historica!I1290/Serie_Historica!I1288,"")</f>
        <v>0.1839958340565874</v>
      </c>
      <c r="G390" s="31">
        <f>IFERROR(Serie_Historica!J1290/Serie_Historica!J1288,"")</f>
        <v>0.21161538461538462</v>
      </c>
      <c r="H390" s="31">
        <f>IFERROR(Serie_Historica!K1290/Serie_Historica!K1288,"")</f>
        <v>0.23490066225165562</v>
      </c>
      <c r="I390" s="31">
        <f>IFERROR(Serie_Historica!L1290/Serie_Historica!L1288,"")</f>
        <v>0.21816315439888895</v>
      </c>
      <c r="J390" s="31">
        <f>IFERROR(Serie_Historica!M1290/Serie_Historica!M1288,"")</f>
        <v>0.16967550937481859</v>
      </c>
      <c r="K390" s="31">
        <f>IFERROR(Serie_Historica!N1290/Serie_Historica!N1288,"")</f>
        <v>0.23122092235421654</v>
      </c>
      <c r="L390" s="31">
        <f>IFERROR(Serie_Historica!O1290/Serie_Historica!O1288,"")</f>
        <v>0.23494255003706449</v>
      </c>
      <c r="M390" s="31">
        <f>IFERROR(Serie_Historica!P1290/Serie_Historica!P1288,"")</f>
        <v>0.24900984275126464</v>
      </c>
      <c r="N390" s="31">
        <f>IFERROR(Serie_Historica!Q1290/Serie_Historica!Q1288,"")</f>
        <v>0.27713648913875122</v>
      </c>
      <c r="O390" s="31">
        <f>IFERROR(Serie_Historica!R1290/Serie_Historica!R1288,"")</f>
        <v>0.23267040527259061</v>
      </c>
      <c r="P390" s="31">
        <f>IFERROR(Serie_Historica!S1290/Serie_Historica!S1288,"")</f>
        <v>0.25708044004057112</v>
      </c>
      <c r="Q390" s="31">
        <f>IFERROR(Serie_Historica!T1290/Serie_Historica!T1288,"")</f>
        <v>0.23731879961102692</v>
      </c>
      <c r="R390" s="31">
        <f>IFERROR(Serie_Historica!U1290/Serie_Historica!U1288,"")</f>
        <v>0.17311882386601227</v>
      </c>
      <c r="S390" s="31">
        <f>IFERROR(Serie_Historica!V1290/Serie_Historica!V1288,"")</f>
        <v>0.22223414299201785</v>
      </c>
      <c r="T390" s="31">
        <f>IFERROR(Serie_Historica!W1290/Serie_Historica!W1288,"")</f>
        <v>0.19779480973510824</v>
      </c>
      <c r="U390" s="31">
        <f>IFERROR(Serie_Historica!X1290/Serie_Historica!X1288,"")</f>
        <v>0.20862882993224155</v>
      </c>
      <c r="V390" s="31">
        <f>IFERROR(Serie_Historica!Y1290/Serie_Historica!Y1288,"")</f>
        <v>0.21175630741485224</v>
      </c>
      <c r="W390" s="31">
        <f>IFERROR(Serie_Historica!Z1290/Serie_Historica!Z1288,"")</f>
        <v>0.19639405452242883</v>
      </c>
      <c r="X390" s="19">
        <f>IFERROR((W390-D390)*100,"")</f>
        <v>2.9145857267253215</v>
      </c>
    </row>
    <row r="391" spans="1:24">
      <c r="A391" s="28" t="s">
        <v>337</v>
      </c>
      <c r="B391" s="28" t="s">
        <v>338</v>
      </c>
      <c r="C391" s="28" t="s">
        <v>506</v>
      </c>
      <c r="D391" s="31">
        <f>IFERROR(Serie_Historica!G1291/Serie_Historica!G1288,"")</f>
        <v>0.49395208187950684</v>
      </c>
      <c r="E391" s="31">
        <f>IFERROR(Serie_Historica!H1291/Serie_Historica!H1288,"")</f>
        <v>0.46932720834529618</v>
      </c>
      <c r="F391" s="31">
        <f>IFERROR(Serie_Historica!I1291/Serie_Historica!I1288,"")</f>
        <v>0.45669154660649192</v>
      </c>
      <c r="G391" s="31">
        <f>IFERROR(Serie_Historica!J1291/Serie_Historica!J1288,"")</f>
        <v>0.44715384615384618</v>
      </c>
      <c r="H391" s="31">
        <f>IFERROR(Serie_Historica!K1291/Serie_Historica!K1288,"")</f>
        <v>0.44430463576158941</v>
      </c>
      <c r="I391" s="31">
        <f>IFERROR(Serie_Historica!L1291/Serie_Historica!L1288,"")</f>
        <v>0.49652798744037197</v>
      </c>
      <c r="J391" s="31">
        <f>IFERROR(Serie_Historica!M1291/Serie_Historica!M1288,"")</f>
        <v>0.54350728507575319</v>
      </c>
      <c r="K391" s="31">
        <f>IFERROR(Serie_Historica!N1291/Serie_Historica!N1288,"")</f>
        <v>0.45679569989611096</v>
      </c>
      <c r="L391" s="31">
        <f>IFERROR(Serie_Historica!O1291/Serie_Historica!O1288,"")</f>
        <v>0.48577650111193477</v>
      </c>
      <c r="M391" s="31">
        <f>IFERROR(Serie_Historica!P1291/Serie_Historica!P1288,"")</f>
        <v>0.46958942786557389</v>
      </c>
      <c r="N391" s="31">
        <f>IFERROR(Serie_Historica!Q1291/Serie_Historica!Q1288,"")</f>
        <v>0.43787631815308869</v>
      </c>
      <c r="O391" s="31">
        <f>IFERROR(Serie_Historica!R1291/Serie_Historica!R1288,"")</f>
        <v>0.46161184020350349</v>
      </c>
      <c r="P391" s="31">
        <f>IFERROR(Serie_Historica!S1291/Serie_Historica!S1288,"")</f>
        <v>0.44568411744818082</v>
      </c>
      <c r="Q391" s="31">
        <f>IFERROR(Serie_Historica!T1291/Serie_Historica!T1288,"")</f>
        <v>0.41384925032225967</v>
      </c>
      <c r="R391" s="31">
        <f>IFERROR(Serie_Historica!U1291/Serie_Historica!U1288,"")</f>
        <v>0.43950965072517995</v>
      </c>
      <c r="S391" s="31">
        <f>IFERROR(Serie_Historica!V1291/Serie_Historica!V1288,"")</f>
        <v>0.46633336194318087</v>
      </c>
      <c r="T391" s="31">
        <f>IFERROR(Serie_Historica!W1291/Serie_Historica!W1288,"")</f>
        <v>0.47680516337232753</v>
      </c>
      <c r="U391" s="31">
        <f>IFERROR(Serie_Historica!X1291/Serie_Historica!X1288,"")</f>
        <v>0.47620552735030919</v>
      </c>
      <c r="V391" s="31">
        <f>IFERROR(Serie_Historica!Y1291/Serie_Historica!Y1288,"")</f>
        <v>0.47402829178486222</v>
      </c>
      <c r="W391" s="31">
        <f>IFERROR(Serie_Historica!Z1291/Serie_Historica!Z1288,"")</f>
        <v>0.44322802106245418</v>
      </c>
      <c r="X391" s="19">
        <f>IFERROR((W391-D391)*100,"")</f>
        <v>-5.0724060817052665</v>
      </c>
    </row>
    <row r="392" spans="1:24">
      <c r="A392" s="28" t="s">
        <v>361</v>
      </c>
      <c r="B392" s="28" t="s">
        <v>362</v>
      </c>
      <c r="C392" s="28" t="s">
        <v>504</v>
      </c>
      <c r="D392" s="31">
        <f>IFERROR(Serie_Historica!G1299/Serie_Historica!G1298,"")</f>
        <v>6.5403248788828722E-2</v>
      </c>
      <c r="E392" s="31">
        <f>IFERROR(Serie_Historica!H1299/Serie_Historica!H1298,"")</f>
        <v>4.6810767802678691E-2</v>
      </c>
      <c r="F392" s="31">
        <f>IFERROR(Serie_Historica!I1299/Serie_Historica!I1298,"")</f>
        <v>4.7009985414562999E-2</v>
      </c>
      <c r="G392" s="31">
        <f>IFERROR(Serie_Historica!J1299/Serie_Historica!J1298,"")</f>
        <v>5.6652191077773389E-2</v>
      </c>
      <c r="H392" s="31">
        <f>IFERROR(Serie_Historica!K1299/Serie_Historica!K1298,"")</f>
        <v>5.6553620531622363E-2</v>
      </c>
      <c r="I392" s="31">
        <f>IFERROR(Serie_Historica!L1299/Serie_Historica!L1298,"")</f>
        <v>6.6077245230339698E-2</v>
      </c>
      <c r="J392" s="31">
        <f>IFERROR(Serie_Historica!M1299/Serie_Historica!M1298,"")</f>
        <v>5.8180345572354214E-2</v>
      </c>
      <c r="K392" s="31">
        <f>IFERROR(Serie_Historica!N1299/Serie_Historica!N1298,"")</f>
        <v>6.9855777790966828E-2</v>
      </c>
      <c r="L392" s="31">
        <f>IFERROR(Serie_Historica!O1299/Serie_Historica!O1298,"")</f>
        <v>7.8011294172439891E-2</v>
      </c>
      <c r="M392" s="31">
        <f>IFERROR(Serie_Historica!P1299/Serie_Historica!P1298,"")</f>
        <v>9.5042122591265613E-2</v>
      </c>
      <c r="N392" s="31">
        <f>IFERROR(Serie_Historica!Q1299/Serie_Historica!Q1298,"")</f>
        <v>0.11098512336719885</v>
      </c>
      <c r="O392" s="31">
        <f>IFERROR(Serie_Historica!R1299/Serie_Historica!R1298,"")</f>
        <v>8.8621281037953914E-2</v>
      </c>
      <c r="P392" s="31">
        <f>IFERROR(Serie_Historica!S1299/Serie_Historica!S1298,"")</f>
        <v>7.7917503258304266E-2</v>
      </c>
      <c r="Q392" s="31">
        <f>IFERROR(Serie_Historica!T1299/Serie_Historica!T1298,"")</f>
        <v>8.3698567410217833E-2</v>
      </c>
      <c r="R392" s="31">
        <f>IFERROR(Serie_Historica!U1299/Serie_Historica!U1298,"")</f>
        <v>0.23479754245077644</v>
      </c>
      <c r="S392" s="31">
        <f>IFERROR(Serie_Historica!V1299/Serie_Historica!V1298,"")</f>
        <v>0.14774190087963956</v>
      </c>
      <c r="T392" s="31">
        <f>IFERROR(Serie_Historica!W1299/Serie_Historica!W1298,"")</f>
        <v>0.12449392712550607</v>
      </c>
      <c r="U392" s="31">
        <f>IFERROR(Serie_Historica!X1299/Serie_Historica!X1298,"")</f>
        <v>9.8271002482015896E-2</v>
      </c>
      <c r="V392" s="31">
        <f>IFERROR(Serie_Historica!Y1299/Serie_Historica!Y1298,"")</f>
        <v>6.6036170565787297E-2</v>
      </c>
      <c r="W392" s="31">
        <f>IFERROR(Serie_Historica!Z1299/Serie_Historica!Z1298,"")</f>
        <v>6.9144405729771583E-2</v>
      </c>
      <c r="X392" s="19">
        <f>IFERROR((W392-D392)*100,"")</f>
        <v>0.37411569409428608</v>
      </c>
    </row>
    <row r="393" spans="1:24">
      <c r="A393" s="28" t="s">
        <v>361</v>
      </c>
      <c r="B393" s="28" t="s">
        <v>362</v>
      </c>
      <c r="C393" s="28" t="s">
        <v>505</v>
      </c>
      <c r="D393" s="31">
        <f>IFERROR(Serie_Historica!G1300/Serie_Historica!G1298,"")</f>
        <v>0.22641778284411512</v>
      </c>
      <c r="E393" s="31">
        <f>IFERROR(Serie_Historica!H1300/Serie_Historica!H1298,"")</f>
        <v>0.21999734783185254</v>
      </c>
      <c r="F393" s="31">
        <f>IFERROR(Serie_Historica!I1300/Serie_Historica!I1298,"")</f>
        <v>0.2278694042409963</v>
      </c>
      <c r="G393" s="31">
        <f>IFERROR(Serie_Historica!J1300/Serie_Historica!J1298,"")</f>
        <v>0.22256217923410976</v>
      </c>
      <c r="H393" s="31">
        <f>IFERROR(Serie_Historica!K1300/Serie_Historica!K1298,"")</f>
        <v>0.21512373968835929</v>
      </c>
      <c r="I393" s="31">
        <f>IFERROR(Serie_Historica!L1300/Serie_Historica!L1298,"")</f>
        <v>0.22653947572514349</v>
      </c>
      <c r="J393" s="31">
        <f>IFERROR(Serie_Historica!M1300/Serie_Historica!M1298,"")</f>
        <v>0.214835313174946</v>
      </c>
      <c r="K393" s="31">
        <f>IFERROR(Serie_Historica!N1300/Serie_Historica!N1298,"")</f>
        <v>0.21277227135141552</v>
      </c>
      <c r="L393" s="31">
        <f>IFERROR(Serie_Historica!O1300/Serie_Historica!O1298,"")</f>
        <v>0.25999883565232579</v>
      </c>
      <c r="M393" s="31">
        <f>IFERROR(Serie_Historica!P1300/Serie_Historica!P1298,"")</f>
        <v>0.2362254284884284</v>
      </c>
      <c r="N393" s="31">
        <f>IFERROR(Serie_Historica!Q1300/Serie_Historica!Q1298,"")</f>
        <v>0.25394593613933236</v>
      </c>
      <c r="O393" s="31">
        <f>IFERROR(Serie_Historica!R1300/Serie_Historica!R1298,"")</f>
        <v>0.22802177317127731</v>
      </c>
      <c r="P393" s="31">
        <f>IFERROR(Serie_Historica!S1300/Serie_Historica!S1298,"")</f>
        <v>0.21152559089788298</v>
      </c>
      <c r="Q393" s="31">
        <f>IFERROR(Serie_Historica!T1300/Serie_Historica!T1298,"")</f>
        <v>0.23569045594295807</v>
      </c>
      <c r="R393" s="31">
        <f>IFERROR(Serie_Historica!U1300/Serie_Historica!U1298,"")</f>
        <v>0.2260171254414397</v>
      </c>
      <c r="S393" s="31">
        <f>IFERROR(Serie_Historica!V1300/Serie_Historica!V1298,"")</f>
        <v>0.20813666595151256</v>
      </c>
      <c r="T393" s="31">
        <f>IFERROR(Serie_Historica!W1300/Serie_Historica!W1298,"")</f>
        <v>0.27615476628634522</v>
      </c>
      <c r="U393" s="31">
        <f>IFERROR(Serie_Historica!X1300/Serie_Historica!X1298,"")</f>
        <v>0.29376130579277271</v>
      </c>
      <c r="V393" s="31">
        <f>IFERROR(Serie_Historica!Y1300/Serie_Historica!Y1298,"")</f>
        <v>0.30193296830927491</v>
      </c>
      <c r="W393" s="31">
        <f>IFERROR(Serie_Historica!Z1300/Serie_Historica!Z1298,"")</f>
        <v>0.28782423538521101</v>
      </c>
      <c r="X393" s="19">
        <f>IFERROR((W393-D393)*100,"")</f>
        <v>6.1406452541095895</v>
      </c>
    </row>
    <row r="394" spans="1:24">
      <c r="A394" s="28" t="s">
        <v>361</v>
      </c>
      <c r="B394" s="28" t="s">
        <v>362</v>
      </c>
      <c r="C394" s="28" t="s">
        <v>506</v>
      </c>
      <c r="D394" s="31">
        <f>IFERROR(Serie_Historica!G1301/Serie_Historica!G1298,"")</f>
        <v>0.62881162724422912</v>
      </c>
      <c r="E394" s="31">
        <f>IFERROR(Serie_Historica!H1301/Serie_Historica!H1298,"")</f>
        <v>0.63413340405781726</v>
      </c>
      <c r="F394" s="31">
        <f>IFERROR(Serie_Historica!I1301/Serie_Historica!I1298,"")</f>
        <v>0.62930550880736003</v>
      </c>
      <c r="G394" s="31">
        <f>IFERROR(Serie_Historica!J1301/Serie_Historica!J1298,"")</f>
        <v>0.66058033951835771</v>
      </c>
      <c r="H394" s="31">
        <f>IFERROR(Serie_Historica!K1301/Serie_Historica!K1298,"")</f>
        <v>0.66067827681026581</v>
      </c>
      <c r="I394" s="31">
        <f>IFERROR(Serie_Historica!L1301/Serie_Historica!L1298,"")</f>
        <v>0.64169381107491852</v>
      </c>
      <c r="J394" s="31">
        <f>IFERROR(Serie_Historica!M1301/Serie_Historica!M1298,"")</f>
        <v>0.62284017278617709</v>
      </c>
      <c r="K394" s="31">
        <f>IFERROR(Serie_Historica!N1301/Serie_Historica!N1298,"")</f>
        <v>0.63077927473440565</v>
      </c>
      <c r="L394" s="31">
        <f>IFERROR(Serie_Historica!O1301/Serie_Historica!O1298,"")</f>
        <v>0.60505326890609534</v>
      </c>
      <c r="M394" s="31">
        <f>IFERROR(Serie_Historica!P1301/Serie_Historica!P1298,"")</f>
        <v>0.61048707272199088</v>
      </c>
      <c r="N394" s="31">
        <f>IFERROR(Serie_Historica!Q1301/Serie_Historica!Q1298,"")</f>
        <v>0.59152757619738749</v>
      </c>
      <c r="O394" s="31">
        <f>IFERROR(Serie_Historica!R1301/Serie_Historica!R1298,"")</f>
        <v>0.63995973454626798</v>
      </c>
      <c r="P394" s="31">
        <f>IFERROR(Serie_Historica!S1301/Serie_Historica!S1298,"")</f>
        <v>0.65662756701539327</v>
      </c>
      <c r="Q394" s="31">
        <f>IFERROR(Serie_Historica!T1301/Serie_Historica!T1298,"")</f>
        <v>0.63612873683521942</v>
      </c>
      <c r="R394" s="31">
        <f>IFERROR(Serie_Historica!U1301/Serie_Historica!U1298,"")</f>
        <v>0.50377340235111989</v>
      </c>
      <c r="S394" s="31">
        <f>IFERROR(Serie_Historica!V1301/Serie_Historica!V1298,"")</f>
        <v>0.60212400772366448</v>
      </c>
      <c r="T394" s="31">
        <f>IFERROR(Serie_Historica!W1301/Serie_Historica!W1298,"")</f>
        <v>0.56236198012513805</v>
      </c>
      <c r="U394" s="31">
        <f>IFERROR(Serie_Historica!X1301/Serie_Historica!X1298,"")</f>
        <v>0.57012746624037691</v>
      </c>
      <c r="V394" s="31">
        <f>IFERROR(Serie_Historica!Y1301/Serie_Historica!Y1298,"")</f>
        <v>0.58729467396714785</v>
      </c>
      <c r="W394" s="31">
        <f>IFERROR(Serie_Historica!Z1301/Serie_Historica!Z1298,"")</f>
        <v>0.59576074332171891</v>
      </c>
      <c r="X394" s="19">
        <f>IFERROR((W394-D394)*100,"")</f>
        <v>-3.305088392251021</v>
      </c>
    </row>
    <row r="395" spans="1:24">
      <c r="A395" s="28" t="s">
        <v>109</v>
      </c>
      <c r="B395" s="28" t="s">
        <v>110</v>
      </c>
      <c r="C395" s="28" t="s">
        <v>504</v>
      </c>
      <c r="D395" s="31">
        <f>IFERROR(Serie_Historica!G1309/Serie_Historica!G1308,"")</f>
        <v>0.55429311512083124</v>
      </c>
      <c r="E395" s="31">
        <f>IFERROR(Serie_Historica!H1309/Serie_Historica!H1308,"")</f>
        <v>0.55272686824788009</v>
      </c>
      <c r="F395" s="31">
        <f>IFERROR(Serie_Historica!I1309/Serie_Historica!I1308,"")</f>
        <v>0.49544309496916134</v>
      </c>
      <c r="G395" s="31">
        <f>IFERROR(Serie_Historica!J1309/Serie_Historica!J1308,"")</f>
        <v>0.53467039370207081</v>
      </c>
      <c r="H395" s="31">
        <f>IFERROR(Serie_Historica!K1309/Serie_Historica!K1308,"")</f>
        <v>0.53506872005043271</v>
      </c>
      <c r="I395" s="31">
        <f>IFERROR(Serie_Historica!L1309/Serie_Historica!L1308,"")</f>
        <v>0.56077924350611219</v>
      </c>
      <c r="J395" s="31">
        <f>IFERROR(Serie_Historica!M1309/Serie_Historica!M1308,"")</f>
        <v>0.5785542116123753</v>
      </c>
      <c r="K395" s="31">
        <f>IFERROR(Serie_Historica!N1309/Serie_Historica!N1308,"")</f>
        <v>0.43700554845940637</v>
      </c>
      <c r="L395" s="31">
        <f>IFERROR(Serie_Historica!O1309/Serie_Historica!O1308,"")</f>
        <v>0.51819692288707409</v>
      </c>
      <c r="M395" s="31">
        <f>IFERROR(Serie_Historica!P1309/Serie_Historica!P1308,"")</f>
        <v>0.44880151240634902</v>
      </c>
      <c r="N395" s="31">
        <f>IFERROR(Serie_Historica!Q1309/Serie_Historica!Q1308,"")</f>
        <v>0.4006203260348204</v>
      </c>
      <c r="O395" s="31">
        <f>IFERROR(Serie_Historica!R1309/Serie_Historica!R1308,"")</f>
        <v>0.40709811629561082</v>
      </c>
      <c r="P395" s="31">
        <f>IFERROR(Serie_Historica!S1309/Serie_Historica!S1308,"")</f>
        <v>0.36300625758928984</v>
      </c>
      <c r="Q395" s="31">
        <f>IFERROR(Serie_Historica!T1309/Serie_Historica!T1308,"")</f>
        <v>0.29456743373143024</v>
      </c>
      <c r="R395" s="31">
        <f>IFERROR(Serie_Historica!U1309/Serie_Historica!U1308,"")</f>
        <v>8.3516859116180245E-2</v>
      </c>
      <c r="S395" s="31">
        <f>IFERROR(Serie_Historica!V1309/Serie_Historica!V1308,"")</f>
        <v>0.11405038978822689</v>
      </c>
      <c r="T395" s="31">
        <f>IFERROR(Serie_Historica!W1309/Serie_Historica!W1308,"")</f>
        <v>0.1170374924295553</v>
      </c>
      <c r="U395" s="31">
        <f>IFERROR(Serie_Historica!X1309/Serie_Historica!X1308,"")</f>
        <v>0.13408358536867093</v>
      </c>
      <c r="V395" s="31">
        <f>IFERROR(Serie_Historica!Y1309/Serie_Historica!Y1308,"")</f>
        <v>0.10503247559412827</v>
      </c>
      <c r="W395" s="31">
        <f>IFERROR(Serie_Historica!Z1309/Serie_Historica!Z1308,"")</f>
        <v>0.10126662376534329</v>
      </c>
      <c r="X395" s="19">
        <f>IFERROR((W395-D395)*100,"")</f>
        <v>-45.302649135548798</v>
      </c>
    </row>
    <row r="396" spans="1:24">
      <c r="A396" s="28" t="s">
        <v>109</v>
      </c>
      <c r="B396" s="28" t="s">
        <v>110</v>
      </c>
      <c r="C396" s="28" t="s">
        <v>505</v>
      </c>
      <c r="D396" s="31">
        <f>IFERROR(Serie_Historica!G1310/Serie_Historica!G1308,"")</f>
        <v>0.22765363444726469</v>
      </c>
      <c r="E396" s="31">
        <f>IFERROR(Serie_Historica!H1310/Serie_Historica!H1308,"")</f>
        <v>0.2205270402599647</v>
      </c>
      <c r="F396" s="31">
        <f>IFERROR(Serie_Historica!I1310/Serie_Historica!I1308,"")</f>
        <v>0.25959220745950606</v>
      </c>
      <c r="G396" s="31">
        <f>IFERROR(Serie_Historica!J1310/Serie_Historica!J1308,"")</f>
        <v>0.22325702690148078</v>
      </c>
      <c r="H396" s="31">
        <f>IFERROR(Serie_Historica!K1310/Serie_Historica!K1308,"")</f>
        <v>0.22787011107006053</v>
      </c>
      <c r="I396" s="31">
        <f>IFERROR(Serie_Historica!L1310/Serie_Historica!L1308,"")</f>
        <v>0.22229807986773906</v>
      </c>
      <c r="J396" s="31">
        <f>IFERROR(Serie_Historica!M1310/Serie_Historica!M1308,"")</f>
        <v>0.20558488183350451</v>
      </c>
      <c r="K396" s="31">
        <f>IFERROR(Serie_Historica!N1310/Serie_Historica!N1308,"")</f>
        <v>0.27518011036335088</v>
      </c>
      <c r="L396" s="31">
        <f>IFERROR(Serie_Historica!O1310/Serie_Historica!O1308,"")</f>
        <v>0.24690415643827043</v>
      </c>
      <c r="M396" s="31">
        <f>IFERROR(Serie_Historica!P1310/Serie_Historica!P1308,"")</f>
        <v>0.28725664738266959</v>
      </c>
      <c r="N396" s="31">
        <f>IFERROR(Serie_Historica!Q1310/Serie_Historica!Q1308,"")</f>
        <v>0.30305016649742267</v>
      </c>
      <c r="O396" s="31">
        <f>IFERROR(Serie_Historica!R1310/Serie_Historica!R1308,"")</f>
        <v>0.31282953354798743</v>
      </c>
      <c r="P396" s="31">
        <f>IFERROR(Serie_Historica!S1310/Serie_Historica!S1308,"")</f>
        <v>0.35855482158374491</v>
      </c>
      <c r="Q396" s="31">
        <f>IFERROR(Serie_Historica!T1310/Serie_Historica!T1308,"")</f>
        <v>0.42190661386699835</v>
      </c>
      <c r="R396" s="31">
        <f>IFERROR(Serie_Historica!U1310/Serie_Historica!U1308,"")</f>
        <v>0.53116823421257342</v>
      </c>
      <c r="S396" s="31">
        <f>IFERROR(Serie_Historica!V1310/Serie_Historica!V1308,"")</f>
        <v>0.50379260786532365</v>
      </c>
      <c r="T396" s="31">
        <f>IFERROR(Serie_Historica!W1310/Serie_Historica!W1308,"")</f>
        <v>0.52246514078389361</v>
      </c>
      <c r="U396" s="31">
        <f>IFERROR(Serie_Historica!X1310/Serie_Historica!X1308,"")</f>
        <v>0.53117419786758069</v>
      </c>
      <c r="V396" s="31">
        <f>IFERROR(Serie_Historica!Y1310/Serie_Historica!Y1308,"")</f>
        <v>0.51064945383860816</v>
      </c>
      <c r="W396" s="31">
        <f>IFERROR(Serie_Historica!Z1310/Serie_Historica!Z1308,"")</f>
        <v>0.52417079661549149</v>
      </c>
      <c r="X396" s="19">
        <f>IFERROR((W396-D396)*100,"")</f>
        <v>29.651716216822678</v>
      </c>
    </row>
    <row r="397" spans="1:24">
      <c r="A397" s="28" t="s">
        <v>109</v>
      </c>
      <c r="B397" s="28" t="s">
        <v>110</v>
      </c>
      <c r="C397" s="28" t="s">
        <v>506</v>
      </c>
      <c r="D397" s="31">
        <f>IFERROR(Serie_Historica!G1311/Serie_Historica!G1308,"")</f>
        <v>0.20158768614895539</v>
      </c>
      <c r="E397" s="31">
        <f>IFERROR(Serie_Historica!H1311/Serie_Historica!H1308,"")</f>
        <v>0.20245385368644145</v>
      </c>
      <c r="F397" s="31">
        <f>IFERROR(Serie_Historica!I1311/Serie_Historica!I1308,"")</f>
        <v>0.21978333352740936</v>
      </c>
      <c r="G397" s="31">
        <f>IFERROR(Serie_Historica!J1311/Serie_Historica!J1308,"")</f>
        <v>0.2183771097003431</v>
      </c>
      <c r="H397" s="31">
        <f>IFERROR(Serie_Historica!K1311/Serie_Historica!K1308,"")</f>
        <v>0.21377862076448395</v>
      </c>
      <c r="I397" s="31">
        <f>IFERROR(Serie_Historica!L1311/Serie_Historica!L1308,"")</f>
        <v>0.20039121054219156</v>
      </c>
      <c r="J397" s="31">
        <f>IFERROR(Serie_Historica!M1311/Serie_Historica!M1308,"")</f>
        <v>0.19861027020908256</v>
      </c>
      <c r="K397" s="31">
        <f>IFERROR(Serie_Historica!N1311/Serie_Historica!N1308,"")</f>
        <v>0.26250170391724265</v>
      </c>
      <c r="L397" s="31">
        <f>IFERROR(Serie_Historica!O1311/Serie_Historica!O1308,"")</f>
        <v>0.2181321369231515</v>
      </c>
      <c r="M397" s="31">
        <f>IFERROR(Serie_Historica!P1311/Serie_Historica!P1308,"")</f>
        <v>0.24272652867066338</v>
      </c>
      <c r="N397" s="31">
        <f>IFERROR(Serie_Historica!Q1311/Serie_Historica!Q1308,"")</f>
        <v>0.27695191414496184</v>
      </c>
      <c r="O397" s="31">
        <f>IFERROR(Serie_Historica!R1311/Serie_Historica!R1308,"")</f>
        <v>0.26407807086644286</v>
      </c>
      <c r="P397" s="31">
        <f>IFERROR(Serie_Historica!S1311/Serie_Historica!S1308,"")</f>
        <v>0.26485013972464333</v>
      </c>
      <c r="Q397" s="31">
        <f>IFERROR(Serie_Historica!T1311/Serie_Historica!T1308,"")</f>
        <v>0.26735474186683039</v>
      </c>
      <c r="R397" s="31">
        <f>IFERROR(Serie_Historica!U1311/Serie_Historica!U1308,"")</f>
        <v>0.3657677270752725</v>
      </c>
      <c r="S397" s="31">
        <f>IFERROR(Serie_Historica!V1311/Serie_Historica!V1308,"")</f>
        <v>0.36282706222808986</v>
      </c>
      <c r="T397" s="31">
        <f>IFERROR(Serie_Historica!W1311/Serie_Historica!W1308,"")</f>
        <v>0.33790315036011048</v>
      </c>
      <c r="U397" s="31">
        <f>IFERROR(Serie_Historica!X1311/Serie_Historica!X1308,"")</f>
        <v>0.31248099421752751</v>
      </c>
      <c r="V397" s="31">
        <f>IFERROR(Serie_Historica!Y1311/Serie_Historica!Y1308,"")</f>
        <v>0.35437125818016718</v>
      </c>
      <c r="W397" s="31">
        <f>IFERROR(Serie_Historica!Z1311/Serie_Historica!Z1308,"")</f>
        <v>0.35161076958526999</v>
      </c>
      <c r="X397" s="19">
        <f>IFERROR((W397-D397)*100,"")</f>
        <v>15.00230834363146</v>
      </c>
    </row>
    <row r="398" spans="1:24">
      <c r="A398" s="28" t="s">
        <v>303</v>
      </c>
      <c r="B398" s="28" t="s">
        <v>304</v>
      </c>
      <c r="C398" s="28" t="s">
        <v>504</v>
      </c>
      <c r="D398" s="31">
        <f>IFERROR(Serie_Historica!G1319/Serie_Historica!G1318,"")</f>
        <v>5.3798703833840868E-2</v>
      </c>
      <c r="E398" s="31">
        <f>IFERROR(Serie_Historica!H1319/Serie_Historica!H1318,"")</f>
        <v>3.3723182894453613E-2</v>
      </c>
      <c r="F398" s="31">
        <f>IFERROR(Serie_Historica!I1319/Serie_Historica!I1318,"")</f>
        <v>3.980132450331126E-2</v>
      </c>
      <c r="G398" s="31">
        <f>IFERROR(Serie_Historica!J1319/Serie_Historica!J1318,"")</f>
        <v>3.6418246667918153E-2</v>
      </c>
      <c r="H398" s="31">
        <f>IFERROR(Serie_Historica!K1319/Serie_Historica!K1318,"")</f>
        <v>3.6563481381785556E-2</v>
      </c>
      <c r="I398" s="31">
        <f>IFERROR(Serie_Historica!L1319/Serie_Historica!L1318,"")</f>
        <v>3.6281063428075723E-2</v>
      </c>
      <c r="J398" s="31">
        <f>IFERROR(Serie_Historica!M1319/Serie_Historica!M1318,"")</f>
        <v>3.3395435491383324E-2</v>
      </c>
      <c r="K398" s="31">
        <f>IFERROR(Serie_Historica!N1319/Serie_Historica!N1318,"")</f>
        <v>3.2757593805836809E-2</v>
      </c>
      <c r="L398" s="31">
        <f>IFERROR(Serie_Historica!O1319/Serie_Historica!O1318,"")</f>
        <v>2.9224210181102651E-2</v>
      </c>
      <c r="M398" s="31">
        <f>IFERROR(Serie_Historica!P1319/Serie_Historica!P1318,"")</f>
        <v>2.8679413072476657E-2</v>
      </c>
      <c r="N398" s="31">
        <f>IFERROR(Serie_Historica!Q1319/Serie_Historica!Q1318,"")</f>
        <v>3.544956493715759E-2</v>
      </c>
      <c r="O398" s="31">
        <f>IFERROR(Serie_Historica!R1319/Serie_Historica!R1318,"")</f>
        <v>3.3701961569255402E-2</v>
      </c>
      <c r="P398" s="31">
        <f>IFERROR(Serie_Historica!S1319/Serie_Historica!S1318,"")</f>
        <v>2.9733181947204087E-2</v>
      </c>
      <c r="Q398" s="31">
        <f>IFERROR(Serie_Historica!T1319/Serie_Historica!T1318,"")</f>
        <v>3.8383144886180783E-2</v>
      </c>
      <c r="R398" s="31">
        <f>IFERROR(Serie_Historica!U1319/Serie_Historica!U1318,"")</f>
        <v>4.4077191123428359E-2</v>
      </c>
      <c r="S398" s="31">
        <f>IFERROR(Serie_Historica!V1319/Serie_Historica!V1318,"")</f>
        <v>4.3148103451476953E-2</v>
      </c>
      <c r="T398" s="31">
        <f>IFERROR(Serie_Historica!W1319/Serie_Historica!W1318,"")</f>
        <v>4.3779036250805384E-2</v>
      </c>
      <c r="U398" s="31">
        <f>IFERROR(Serie_Historica!X1319/Serie_Historica!X1318,"")</f>
        <v>3.9592514991691349E-2</v>
      </c>
      <c r="V398" s="31">
        <f>IFERROR(Serie_Historica!Y1319/Serie_Historica!Y1318,"")</f>
        <v>3.7501857530767464E-2</v>
      </c>
      <c r="W398" s="31">
        <f>IFERROR(Serie_Historica!Z1319/Serie_Historica!Z1318,"")</f>
        <v>4.0036477397945615E-2</v>
      </c>
      <c r="X398" s="19">
        <f>IFERROR((W398-D398)*100,"")</f>
        <v>-1.3762226435895253</v>
      </c>
    </row>
    <row r="399" spans="1:24">
      <c r="A399" s="28" t="s">
        <v>303</v>
      </c>
      <c r="B399" s="28" t="s">
        <v>304</v>
      </c>
      <c r="C399" s="28" t="s">
        <v>505</v>
      </c>
      <c r="D399" s="31">
        <f>IFERROR(Serie_Historica!G1320/Serie_Historica!G1318,"")</f>
        <v>0.24962910908097136</v>
      </c>
      <c r="E399" s="31">
        <f>IFERROR(Serie_Historica!H1320/Serie_Historica!H1318,"")</f>
        <v>0.23785606658534836</v>
      </c>
      <c r="F399" s="31">
        <f>IFERROR(Serie_Historica!I1320/Serie_Historica!I1318,"")</f>
        <v>0.23437086092715231</v>
      </c>
      <c r="G399" s="31">
        <f>IFERROR(Serie_Historica!J1320/Serie_Historica!J1318,"")</f>
        <v>0.21719541956072835</v>
      </c>
      <c r="H399" s="31">
        <f>IFERROR(Serie_Historica!K1320/Serie_Historica!K1318,"")</f>
        <v>0.21399730820995963</v>
      </c>
      <c r="I399" s="31">
        <f>IFERROR(Serie_Historica!L1320/Serie_Historica!L1318,"")</f>
        <v>0.22355462570801654</v>
      </c>
      <c r="J399" s="31">
        <f>IFERROR(Serie_Historica!M1320/Serie_Historica!M1318,"")</f>
        <v>0.20917559385188636</v>
      </c>
      <c r="K399" s="31">
        <f>IFERROR(Serie_Historica!N1320/Serie_Historica!N1318,"")</f>
        <v>0.21485010919197936</v>
      </c>
      <c r="L399" s="31">
        <f>IFERROR(Serie_Historica!O1320/Serie_Historica!O1318,"")</f>
        <v>0.24443391757460919</v>
      </c>
      <c r="M399" s="31">
        <f>IFERROR(Serie_Historica!P1320/Serie_Historica!P1318,"")</f>
        <v>0.25312837451565773</v>
      </c>
      <c r="N399" s="31">
        <f>IFERROR(Serie_Historica!Q1320/Serie_Historica!Q1318,"")</f>
        <v>0.26979755661676386</v>
      </c>
      <c r="O399" s="31">
        <f>IFERROR(Serie_Historica!R1320/Serie_Historica!R1318,"")</f>
        <v>0.26678843074459568</v>
      </c>
      <c r="P399" s="31">
        <f>IFERROR(Serie_Historica!S1320/Serie_Historica!S1318,"")</f>
        <v>0.23923739237392375</v>
      </c>
      <c r="Q399" s="31">
        <f>IFERROR(Serie_Historica!T1320/Serie_Historica!T1318,"")</f>
        <v>0.24639018215366132</v>
      </c>
      <c r="R399" s="31">
        <f>IFERROR(Serie_Historica!U1320/Serie_Historica!U1318,"")</f>
        <v>0.25107492918712937</v>
      </c>
      <c r="S399" s="31">
        <f>IFERROR(Serie_Historica!V1320/Serie_Historica!V1318,"")</f>
        <v>0.2569762908226732</v>
      </c>
      <c r="T399" s="31">
        <f>IFERROR(Serie_Historica!W1320/Serie_Historica!W1318,"")</f>
        <v>0.28195259249211568</v>
      </c>
      <c r="U399" s="31">
        <f>IFERROR(Serie_Historica!X1320/Serie_Historica!X1318,"")</f>
        <v>0.27431543963586447</v>
      </c>
      <c r="V399" s="31">
        <f>IFERROR(Serie_Historica!Y1320/Serie_Historica!Y1318,"")</f>
        <v>0.2601488726476906</v>
      </c>
      <c r="W399" s="31">
        <f>IFERROR(Serie_Historica!Z1320/Serie_Historica!Z1318,"")</f>
        <v>0.24319531873393033</v>
      </c>
      <c r="X399" s="19">
        <f>IFERROR((W399-D399)*100,"")</f>
        <v>-0.64337903470410296</v>
      </c>
    </row>
    <row r="400" spans="1:24">
      <c r="A400" s="28" t="s">
        <v>303</v>
      </c>
      <c r="B400" s="28" t="s">
        <v>304</v>
      </c>
      <c r="C400" s="28" t="s">
        <v>506</v>
      </c>
      <c r="D400" s="31">
        <f>IFERROR(Serie_Historica!G1321/Serie_Historica!G1318,"")</f>
        <v>0.55977199968767077</v>
      </c>
      <c r="E400" s="31">
        <f>IFERROR(Serie_Historica!H1321/Serie_Historica!H1318,"")</f>
        <v>0.56281839707254067</v>
      </c>
      <c r="F400" s="31">
        <f>IFERROR(Serie_Historica!I1321/Serie_Historica!I1318,"")</f>
        <v>0.56086092715231783</v>
      </c>
      <c r="G400" s="31">
        <f>IFERROR(Serie_Historica!J1321/Serie_Historica!J1318,"")</f>
        <v>0.57436956385708027</v>
      </c>
      <c r="H400" s="31">
        <f>IFERROR(Serie_Historica!K1321/Serie_Historica!K1318,"")</f>
        <v>0.56965006729475098</v>
      </c>
      <c r="I400" s="31">
        <f>IFERROR(Serie_Historica!L1321/Serie_Historica!L1318,"")</f>
        <v>0.61887023524008777</v>
      </c>
      <c r="J400" s="31">
        <f>IFERROR(Serie_Historica!M1321/Serie_Historica!M1318,"")</f>
        <v>0.60917559385188635</v>
      </c>
      <c r="K400" s="31">
        <f>IFERROR(Serie_Historica!N1321/Serie_Historica!N1318,"")</f>
        <v>0.60472503474290251</v>
      </c>
      <c r="L400" s="31">
        <f>IFERROR(Serie_Historica!O1321/Serie_Historica!O1318,"")</f>
        <v>0.59935138286630474</v>
      </c>
      <c r="M400" s="31">
        <f>IFERROR(Serie_Historica!P1321/Serie_Historica!P1318,"")</f>
        <v>0.58689576319634118</v>
      </c>
      <c r="N400" s="31">
        <f>IFERROR(Serie_Historica!Q1321/Serie_Historica!Q1318,"")</f>
        <v>0.58644127384056488</v>
      </c>
      <c r="O400" s="31">
        <f>IFERROR(Serie_Historica!R1321/Serie_Historica!R1318,"")</f>
        <v>0.57405924739791836</v>
      </c>
      <c r="P400" s="31">
        <f>IFERROR(Serie_Historica!S1321/Serie_Historica!S1318,"")</f>
        <v>0.5874254896395118</v>
      </c>
      <c r="Q400" s="31">
        <f>IFERROR(Serie_Historica!T1321/Serie_Historica!T1318,"")</f>
        <v>0.56976120491750515</v>
      </c>
      <c r="R400" s="31">
        <f>IFERROR(Serie_Historica!U1321/Serie_Historica!U1318,"")</f>
        <v>0.57355368532594297</v>
      </c>
      <c r="S400" s="31">
        <f>IFERROR(Serie_Historica!V1321/Serie_Historica!V1318,"")</f>
        <v>0.57514713800337902</v>
      </c>
      <c r="T400" s="31">
        <f>IFERROR(Serie_Historica!W1321/Serie_Historica!W1318,"")</f>
        <v>0.53686120248228153</v>
      </c>
      <c r="U400" s="31">
        <f>IFERROR(Serie_Historica!X1321/Serie_Historica!X1318,"")</f>
        <v>0.5019146015461311</v>
      </c>
      <c r="V400" s="31">
        <f>IFERROR(Serie_Historica!Y1321/Serie_Historica!Y1318,"")</f>
        <v>0.48509247125893301</v>
      </c>
      <c r="W400" s="31">
        <f>IFERROR(Serie_Historica!Z1321/Serie_Historica!Z1318,"")</f>
        <v>0.4679112889947184</v>
      </c>
      <c r="X400" s="19">
        <f>IFERROR((W400-D400)*100,"")</f>
        <v>-9.1860710692952381</v>
      </c>
    </row>
    <row r="401" spans="1:24">
      <c r="A401" s="28" t="s">
        <v>121</v>
      </c>
      <c r="B401" s="28" t="s">
        <v>122</v>
      </c>
      <c r="C401" s="28" t="s">
        <v>504</v>
      </c>
      <c r="D401" s="31">
        <f>IFERROR(Serie_Historica!G1329/Serie_Historica!G1328,"")</f>
        <v>0.22220083478542774</v>
      </c>
      <c r="E401" s="31">
        <f>IFERROR(Serie_Historica!H1329/Serie_Historica!H1328,"")</f>
        <v>0.20313538618254648</v>
      </c>
      <c r="F401" s="31">
        <f>IFERROR(Serie_Historica!I1329/Serie_Historica!I1328,"")</f>
        <v>0.20593700569743692</v>
      </c>
      <c r="G401" s="31">
        <f>IFERROR(Serie_Historica!J1329/Serie_Historica!J1328,"")</f>
        <v>0.23261428383796057</v>
      </c>
      <c r="H401" s="31">
        <f>IFERROR(Serie_Historica!K1329/Serie_Historica!K1328,"")</f>
        <v>0.26346033792842305</v>
      </c>
      <c r="I401" s="31">
        <f>IFERROR(Serie_Historica!L1329/Serie_Historica!L1328,"")</f>
        <v>0.31231499557471532</v>
      </c>
      <c r="J401" s="31">
        <f>IFERROR(Serie_Historica!M1329/Serie_Historica!M1328,"")</f>
        <v>0.2899953912940057</v>
      </c>
      <c r="K401" s="31">
        <f>IFERROR(Serie_Historica!N1329/Serie_Historica!N1328,"")</f>
        <v>0.22361099430942169</v>
      </c>
      <c r="L401" s="31">
        <f>IFERROR(Serie_Historica!O1329/Serie_Historica!O1328,"")</f>
        <v>0.28694332696156954</v>
      </c>
      <c r="M401" s="31">
        <f>IFERROR(Serie_Historica!P1329/Serie_Historica!P1328,"")</f>
        <v>0.29906755232485271</v>
      </c>
      <c r="N401" s="31">
        <f>IFERROR(Serie_Historica!Q1329/Serie_Historica!Q1328,"")</f>
        <v>0.32112687804318585</v>
      </c>
      <c r="O401" s="31">
        <f>IFERROR(Serie_Historica!R1329/Serie_Historica!R1328,"")</f>
        <v>0.28359745240642537</v>
      </c>
      <c r="P401" s="31">
        <f>IFERROR(Serie_Historica!S1329/Serie_Historica!S1328,"")</f>
        <v>0.22389850099660516</v>
      </c>
      <c r="Q401" s="31">
        <f>IFERROR(Serie_Historica!T1329/Serie_Historica!T1328,"")</f>
        <v>0.21243990897211504</v>
      </c>
      <c r="R401" s="31">
        <f>IFERROR(Serie_Historica!U1329/Serie_Historica!U1328,"")</f>
        <v>0.16594205578183138</v>
      </c>
      <c r="S401" s="31">
        <f>IFERROR(Serie_Historica!V1329/Serie_Historica!V1328,"")</f>
        <v>0.16712335447609933</v>
      </c>
      <c r="T401" s="31">
        <f>IFERROR(Serie_Historica!W1329/Serie_Historica!W1328,"")</f>
        <v>0.19524959521391916</v>
      </c>
      <c r="U401" s="31">
        <f>IFERROR(Serie_Historica!X1329/Serie_Historica!X1328,"")</f>
        <v>0.17595074733208155</v>
      </c>
      <c r="V401" s="31">
        <f>IFERROR(Serie_Historica!Y1329/Serie_Historica!Y1328,"")</f>
        <v>0.17125207608759496</v>
      </c>
      <c r="W401" s="31">
        <f>IFERROR(Serie_Historica!Z1329/Serie_Historica!Z1328,"")</f>
        <v>0.13944151015544715</v>
      </c>
      <c r="X401" s="19">
        <f>IFERROR((W401-D401)*100,"")</f>
        <v>-8.2759324629980586</v>
      </c>
    </row>
    <row r="402" spans="1:24">
      <c r="A402" s="28" t="s">
        <v>121</v>
      </c>
      <c r="B402" s="28" t="s">
        <v>122</v>
      </c>
      <c r="C402" s="28" t="s">
        <v>505</v>
      </c>
      <c r="D402" s="31">
        <f>IFERROR(Serie_Historica!G1330/Serie_Historica!G1328,"")</f>
        <v>0.27170036876443654</v>
      </c>
      <c r="E402" s="31">
        <f>IFERROR(Serie_Historica!H1330/Serie_Historica!H1328,"")</f>
        <v>0.26479855661737411</v>
      </c>
      <c r="F402" s="31">
        <f>IFERROR(Serie_Historica!I1330/Serie_Historica!I1328,"")</f>
        <v>0.28157777538891532</v>
      </c>
      <c r="G402" s="31">
        <f>IFERROR(Serie_Historica!J1330/Serie_Historica!J1328,"")</f>
        <v>0.27880315472802669</v>
      </c>
      <c r="H402" s="31">
        <f>IFERROR(Serie_Historica!K1330/Serie_Historica!K1328,"")</f>
        <v>0.28236263342646323</v>
      </c>
      <c r="I402" s="31">
        <f>IFERROR(Serie_Historica!L1330/Serie_Historica!L1328,"")</f>
        <v>0.28776207636897982</v>
      </c>
      <c r="J402" s="31">
        <f>IFERROR(Serie_Historica!M1330/Serie_Historica!M1328,"")</f>
        <v>0.31228814819219791</v>
      </c>
      <c r="K402" s="31">
        <f>IFERROR(Serie_Historica!N1330/Serie_Historica!N1328,"")</f>
        <v>0.35782664760463095</v>
      </c>
      <c r="L402" s="31">
        <f>IFERROR(Serie_Historica!O1330/Serie_Historica!O1328,"")</f>
        <v>0.33025818311829802</v>
      </c>
      <c r="M402" s="31">
        <f>IFERROR(Serie_Historica!P1330/Serie_Historica!P1328,"")</f>
        <v>0.3113172076701341</v>
      </c>
      <c r="N402" s="31">
        <f>IFERROR(Serie_Historica!Q1330/Serie_Historica!Q1328,"")</f>
        <v>0.32663198173306501</v>
      </c>
      <c r="O402" s="31">
        <f>IFERROR(Serie_Historica!R1330/Serie_Historica!R1328,"")</f>
        <v>0.3522619741919038</v>
      </c>
      <c r="P402" s="31">
        <f>IFERROR(Serie_Historica!S1330/Serie_Historica!S1328,"")</f>
        <v>0.40287786808406068</v>
      </c>
      <c r="Q402" s="31">
        <f>IFERROR(Serie_Historica!T1330/Serie_Historica!T1328,"")</f>
        <v>0.4230596014288785</v>
      </c>
      <c r="R402" s="31">
        <f>IFERROR(Serie_Historica!U1330/Serie_Historica!U1328,"")</f>
        <v>0.43842920560459664</v>
      </c>
      <c r="S402" s="31">
        <f>IFERROR(Serie_Historica!V1330/Serie_Historica!V1328,"")</f>
        <v>0.45591565651793581</v>
      </c>
      <c r="T402" s="31">
        <f>IFERROR(Serie_Historica!W1330/Serie_Historica!W1328,"")</f>
        <v>0.45600867202722356</v>
      </c>
      <c r="U402" s="31">
        <f>IFERROR(Serie_Historica!X1330/Serie_Historica!X1328,"")</f>
        <v>0.45090938196666891</v>
      </c>
      <c r="V402" s="31">
        <f>IFERROR(Serie_Historica!Y1330/Serie_Historica!Y1328,"")</f>
        <v>0.45545581448243716</v>
      </c>
      <c r="W402" s="31">
        <f>IFERROR(Serie_Historica!Z1330/Serie_Historica!Z1328,"")</f>
        <v>0.49587056200643914</v>
      </c>
      <c r="X402" s="19">
        <f>IFERROR((W402-D402)*100,"")</f>
        <v>22.417019324200261</v>
      </c>
    </row>
    <row r="403" spans="1:24">
      <c r="A403" s="28" t="s">
        <v>121</v>
      </c>
      <c r="B403" s="28" t="s">
        <v>122</v>
      </c>
      <c r="C403" s="28" t="s">
        <v>506</v>
      </c>
      <c r="D403" s="31">
        <f>IFERROR(Serie_Historica!G1331/Serie_Historica!G1328,"")</f>
        <v>0.4145256716780808</v>
      </c>
      <c r="E403" s="31">
        <f>IFERROR(Serie_Historica!H1331/Serie_Historica!H1328,"")</f>
        <v>0.39068016816443513</v>
      </c>
      <c r="F403" s="31">
        <f>IFERROR(Serie_Historica!I1331/Serie_Historica!I1328,"")</f>
        <v>0.38509912925964035</v>
      </c>
      <c r="G403" s="31">
        <f>IFERROR(Serie_Historica!J1331/Serie_Historica!J1328,"")</f>
        <v>0.38237630326418032</v>
      </c>
      <c r="H403" s="31">
        <f>IFERROR(Serie_Historica!K1331/Serie_Historica!K1328,"")</f>
        <v>0.34867417846141252</v>
      </c>
      <c r="I403" s="31">
        <f>IFERROR(Serie_Historica!L1331/Serie_Historica!L1328,"")</f>
        <v>0.33326840092655724</v>
      </c>
      <c r="J403" s="31">
        <f>IFERROR(Serie_Historica!M1331/Serie_Historica!M1328,"")</f>
        <v>0.32825136774500474</v>
      </c>
      <c r="K403" s="31">
        <f>IFERROR(Serie_Historica!N1331/Serie_Historica!N1328,"")</f>
        <v>0.33936380455806914</v>
      </c>
      <c r="L403" s="31">
        <f>IFERROR(Serie_Historica!O1331/Serie_Historica!O1328,"")</f>
        <v>0.31456055943898448</v>
      </c>
      <c r="M403" s="31">
        <f>IFERROR(Serie_Historica!P1331/Serie_Historica!P1328,"")</f>
        <v>0.31914776287755359</v>
      </c>
      <c r="N403" s="31">
        <f>IFERROR(Serie_Historica!Q1331/Serie_Historica!Q1328,"")</f>
        <v>0.28723712608564189</v>
      </c>
      <c r="O403" s="31">
        <f>IFERROR(Serie_Historica!R1331/Serie_Historica!R1328,"")</f>
        <v>0.30162681384722934</v>
      </c>
      <c r="P403" s="31">
        <f>IFERROR(Serie_Historica!S1331/Serie_Historica!S1328,"")</f>
        <v>0.31244254730461535</v>
      </c>
      <c r="Q403" s="31">
        <f>IFERROR(Serie_Historica!T1331/Serie_Historica!T1328,"")</f>
        <v>0.31376643227327472</v>
      </c>
      <c r="R403" s="31">
        <f>IFERROR(Serie_Historica!U1331/Serie_Historica!U1328,"")</f>
        <v>0.33815115928937067</v>
      </c>
      <c r="S403" s="31">
        <f>IFERROR(Serie_Historica!V1331/Serie_Historica!V1328,"")</f>
        <v>0.3154955850125119</v>
      </c>
      <c r="T403" s="31">
        <f>IFERROR(Serie_Historica!W1331/Serie_Historica!W1328,"")</f>
        <v>0.29074892285737808</v>
      </c>
      <c r="U403" s="31">
        <f>IFERROR(Serie_Historica!X1331/Serie_Historica!X1328,"")</f>
        <v>0.30135373980955532</v>
      </c>
      <c r="V403" s="31">
        <f>IFERROR(Serie_Historica!Y1331/Serie_Historica!Y1328,"")</f>
        <v>0.30285447203952098</v>
      </c>
      <c r="W403" s="31">
        <f>IFERROR(Serie_Historica!Z1331/Serie_Historica!Z1328,"")</f>
        <v>0.29760860188621485</v>
      </c>
      <c r="X403" s="19">
        <f>IFERROR((W403-D403)*100,"")</f>
        <v>-11.691706979186595</v>
      </c>
    </row>
    <row r="404" spans="1:24">
      <c r="A404" s="28" t="s">
        <v>253</v>
      </c>
      <c r="B404" s="28" t="s">
        <v>254</v>
      </c>
      <c r="C404" s="28" t="s">
        <v>504</v>
      </c>
      <c r="D404" s="31">
        <f>IFERROR(Serie_Historica!G1339/Serie_Historica!G1338,"")</f>
        <v>6.5046647862876977E-2</v>
      </c>
      <c r="E404" s="31">
        <f>IFERROR(Serie_Historica!H1339/Serie_Historica!H1338,"")</f>
        <v>3.312122695382607E-2</v>
      </c>
      <c r="F404" s="31">
        <f>IFERROR(Serie_Historica!I1339/Serie_Historica!I1338,"")</f>
        <v>3.7864415966549228E-2</v>
      </c>
      <c r="G404" s="31">
        <f>IFERROR(Serie_Historica!J1339/Serie_Historica!J1338,"")</f>
        <v>3.2942527958914752E-2</v>
      </c>
      <c r="H404" s="31">
        <f>IFERROR(Serie_Historica!K1339/Serie_Historica!K1338,"")</f>
        <v>3.4698558322411532E-2</v>
      </c>
      <c r="I404" s="31">
        <f>IFERROR(Serie_Historica!L1339/Serie_Historica!L1338,"")</f>
        <v>3.5154804489946963E-2</v>
      </c>
      <c r="J404" s="31">
        <f>IFERROR(Serie_Historica!M1339/Serie_Historica!M1338,"")</f>
        <v>3.3853235609581693E-2</v>
      </c>
      <c r="K404" s="31">
        <f>IFERROR(Serie_Historica!N1339/Serie_Historica!N1338,"")</f>
        <v>3.5682701602122453E-2</v>
      </c>
      <c r="L404" s="31">
        <f>IFERROR(Serie_Historica!O1339/Serie_Historica!O1338,"")</f>
        <v>3.038469984627977E-2</v>
      </c>
      <c r="M404" s="31">
        <f>IFERROR(Serie_Historica!P1339/Serie_Historica!P1338,"")</f>
        <v>3.5225048923679059E-2</v>
      </c>
      <c r="N404" s="31">
        <f>IFERROR(Serie_Historica!Q1339/Serie_Historica!Q1338,"")</f>
        <v>4.6148693904889487E-2</v>
      </c>
      <c r="O404" s="31">
        <f>IFERROR(Serie_Historica!R1339/Serie_Historica!R1338,"")</f>
        <v>3.662344454186086E-2</v>
      </c>
      <c r="P404" s="31">
        <f>IFERROR(Serie_Historica!S1339/Serie_Historica!S1338,"")</f>
        <v>3.3966938846189711E-2</v>
      </c>
      <c r="Q404" s="31">
        <f>IFERROR(Serie_Historica!T1339/Serie_Historica!T1338,"")</f>
        <v>3.2628965926072298E-2</v>
      </c>
      <c r="R404" s="31">
        <f>IFERROR(Serie_Historica!U1339/Serie_Historica!U1338,"")</f>
        <v>4.2252715837621496E-2</v>
      </c>
      <c r="S404" s="31">
        <f>IFERROR(Serie_Historica!V1339/Serie_Historica!V1338,"")</f>
        <v>4.1700141135598744E-2</v>
      </c>
      <c r="T404" s="31">
        <f>IFERROR(Serie_Historica!W1339/Serie_Historica!W1338,"")</f>
        <v>4.3428679039986609E-2</v>
      </c>
      <c r="U404" s="31">
        <f>IFERROR(Serie_Historica!X1339/Serie_Historica!X1338,"")</f>
        <v>3.8773237056383469E-2</v>
      </c>
      <c r="V404" s="31">
        <f>IFERROR(Serie_Historica!Y1339/Serie_Historica!Y1338,"")</f>
        <v>3.9366272824919439E-2</v>
      </c>
      <c r="W404" s="31">
        <f>IFERROR(Serie_Historica!Z1339/Serie_Historica!Z1338,"")</f>
        <v>4.23291935861815E-2</v>
      </c>
      <c r="X404" s="19">
        <f>IFERROR((W404-D404)*100,"")</f>
        <v>-2.2717454276695479</v>
      </c>
    </row>
    <row r="405" spans="1:24">
      <c r="A405" s="28" t="s">
        <v>253</v>
      </c>
      <c r="B405" s="28" t="s">
        <v>254</v>
      </c>
      <c r="C405" s="28" t="s">
        <v>505</v>
      </c>
      <c r="D405" s="31">
        <f>IFERROR(Serie_Historica!G1340/Serie_Historica!G1338,"")</f>
        <v>0.26148839227598175</v>
      </c>
      <c r="E405" s="31">
        <f>IFERROR(Serie_Historica!H1340/Serie_Historica!H1338,"")</f>
        <v>0.23478544623919073</v>
      </c>
      <c r="F405" s="31">
        <f>IFERROR(Serie_Historica!I1340/Serie_Historica!I1338,"")</f>
        <v>0.24704789190444848</v>
      </c>
      <c r="G405" s="31">
        <f>IFERROR(Serie_Historica!J1340/Serie_Historica!J1338,"")</f>
        <v>0.22823259114099401</v>
      </c>
      <c r="H405" s="31">
        <f>IFERROR(Serie_Historica!K1340/Serie_Historica!K1338,"")</f>
        <v>0.24275884665792924</v>
      </c>
      <c r="I405" s="31">
        <f>IFERROR(Serie_Historica!L1340/Serie_Historica!L1338,"")</f>
        <v>0.24048353274947576</v>
      </c>
      <c r="J405" s="31">
        <f>IFERROR(Serie_Historica!M1340/Serie_Historica!M1338,"")</f>
        <v>0.21616910976045764</v>
      </c>
      <c r="K405" s="31">
        <f>IFERROR(Serie_Historica!N1340/Serie_Historica!N1338,"")</f>
        <v>0.23149538284351026</v>
      </c>
      <c r="L405" s="31">
        <f>IFERROR(Serie_Historica!O1340/Serie_Historica!O1338,"")</f>
        <v>0.24118105048811164</v>
      </c>
      <c r="M405" s="31">
        <f>IFERROR(Serie_Historica!P1340/Serie_Historica!P1338,"")</f>
        <v>0.22652552926525529</v>
      </c>
      <c r="N405" s="31">
        <f>IFERROR(Serie_Historica!Q1340/Serie_Historica!Q1338,"")</f>
        <v>0.25033489618218352</v>
      </c>
      <c r="O405" s="31">
        <f>IFERROR(Serie_Historica!R1340/Serie_Historica!R1338,"")</f>
        <v>0.22623167674157477</v>
      </c>
      <c r="P405" s="31">
        <f>IFERROR(Serie_Historica!S1340/Serie_Historica!S1338,"")</f>
        <v>0.2144845683534693</v>
      </c>
      <c r="Q405" s="31">
        <f>IFERROR(Serie_Historica!T1340/Serie_Historica!T1338,"")</f>
        <v>0.22986007335959788</v>
      </c>
      <c r="R405" s="31">
        <f>IFERROR(Serie_Historica!U1340/Serie_Historica!U1338,"")</f>
        <v>0.2517209834190966</v>
      </c>
      <c r="S405" s="31">
        <f>IFERROR(Serie_Historica!V1340/Serie_Historica!V1338,"")</f>
        <v>0.24213440451633916</v>
      </c>
      <c r="T405" s="31">
        <f>IFERROR(Serie_Historica!W1340/Serie_Historica!W1338,"")</f>
        <v>0.25410642171120085</v>
      </c>
      <c r="U405" s="31">
        <f>IFERROR(Serie_Historica!X1340/Serie_Historica!X1338,"")</f>
        <v>0.25429213396835149</v>
      </c>
      <c r="V405" s="31">
        <f>IFERROR(Serie_Historica!Y1340/Serie_Historica!Y1338,"")</f>
        <v>0.25764411027568923</v>
      </c>
      <c r="W405" s="31">
        <f>IFERROR(Serie_Historica!Z1340/Serie_Historica!Z1338,"")</f>
        <v>0.26187527198473537</v>
      </c>
      <c r="X405" s="19">
        <f>IFERROR((W405-D405)*100,"")</f>
        <v>3.8687970875361799E-2</v>
      </c>
    </row>
    <row r="406" spans="1:24">
      <c r="A406" s="28" t="s">
        <v>253</v>
      </c>
      <c r="B406" s="28" t="s">
        <v>254</v>
      </c>
      <c r="C406" s="28" t="s">
        <v>506</v>
      </c>
      <c r="D406" s="31">
        <f>IFERROR(Serie_Historica!G1341/Serie_Historica!G1338,"")</f>
        <v>0.58893469299197221</v>
      </c>
      <c r="E406" s="31">
        <f>IFERROR(Serie_Historica!H1341/Serie_Historica!H1338,"")</f>
        <v>0.59455049763419809</v>
      </c>
      <c r="F406" s="31">
        <f>IFERROR(Serie_Historica!I1341/Serie_Historica!I1338,"")</f>
        <v>0.5775291339192381</v>
      </c>
      <c r="G406" s="31">
        <f>IFERROR(Serie_Historica!J1341/Serie_Historica!J1338,"")</f>
        <v>0.56573301348109606</v>
      </c>
      <c r="H406" s="31">
        <f>IFERROR(Serie_Historica!K1341/Serie_Historica!K1338,"")</f>
        <v>0.60498034076015728</v>
      </c>
      <c r="I406" s="31">
        <f>IFERROR(Serie_Historica!L1341/Serie_Historica!L1338,"")</f>
        <v>0.63535216479585543</v>
      </c>
      <c r="J406" s="31">
        <f>IFERROR(Serie_Historica!M1341/Serie_Historica!M1338,"")</f>
        <v>0.61550321773328565</v>
      </c>
      <c r="K406" s="31">
        <f>IFERROR(Serie_Historica!N1341/Serie_Historica!N1338,"")</f>
        <v>0.66032536042613577</v>
      </c>
      <c r="L406" s="31">
        <f>IFERROR(Serie_Historica!O1341/Serie_Historica!O1338,"")</f>
        <v>0.67784631969814935</v>
      </c>
      <c r="M406" s="31">
        <f>IFERROR(Serie_Historica!P1341/Serie_Historica!P1338,"")</f>
        <v>0.67610745418964602</v>
      </c>
      <c r="N406" s="31">
        <f>IFERROR(Serie_Historica!Q1341/Serie_Historica!Q1338,"")</f>
        <v>0.67171801741460146</v>
      </c>
      <c r="O406" s="31">
        <f>IFERROR(Serie_Historica!R1341/Serie_Historica!R1338,"")</f>
        <v>0.70707396982142035</v>
      </c>
      <c r="P406" s="31">
        <f>IFERROR(Serie_Historica!S1341/Serie_Historica!S1338,"")</f>
        <v>0.72661276357678528</v>
      </c>
      <c r="Q406" s="31">
        <f>IFERROR(Serie_Historica!T1341/Serie_Historica!T1338,"")</f>
        <v>0.71234145558286299</v>
      </c>
      <c r="R406" s="31">
        <f>IFERROR(Serie_Historica!U1341/Serie_Historica!U1338,"")</f>
        <v>0.6802401372212693</v>
      </c>
      <c r="S406" s="31">
        <f>IFERROR(Serie_Historica!V1341/Serie_Historica!V1338,"")</f>
        <v>0.69220497231570943</v>
      </c>
      <c r="T406" s="31">
        <f>IFERROR(Serie_Historica!W1341/Serie_Historica!W1338,"")</f>
        <v>0.68101734636228584</v>
      </c>
      <c r="U406" s="31">
        <f>IFERROR(Serie_Historica!X1341/Serie_Historica!X1338,"")</f>
        <v>0.66426294361653093</v>
      </c>
      <c r="V406" s="31">
        <f>IFERROR(Serie_Historica!Y1341/Serie_Historica!Y1338,"")</f>
        <v>0.64145184389545296</v>
      </c>
      <c r="W406" s="31">
        <f>IFERROR(Serie_Historica!Z1341/Serie_Historica!Z1338,"")</f>
        <v>0.66469721822381411</v>
      </c>
      <c r="X406" s="19">
        <f>IFERROR((W406-D406)*100,"")</f>
        <v>7.5762525231841904</v>
      </c>
    </row>
    <row r="407" spans="1:24">
      <c r="A407" s="28" t="s">
        <v>307</v>
      </c>
      <c r="B407" s="28" t="s">
        <v>308</v>
      </c>
      <c r="C407" s="28" t="s">
        <v>504</v>
      </c>
      <c r="D407" s="31">
        <f>IFERROR(Serie_Historica!G1349/Serie_Historica!G1348,"")</f>
        <v>0.10579784504874294</v>
      </c>
      <c r="E407" s="31">
        <f>IFERROR(Serie_Historica!H1349/Serie_Historica!H1348,"")</f>
        <v>8.412508071211143E-2</v>
      </c>
      <c r="F407" s="31">
        <f>IFERROR(Serie_Historica!I1349/Serie_Historica!I1348,"")</f>
        <v>9.9037363354543967E-2</v>
      </c>
      <c r="G407" s="31">
        <f>IFERROR(Serie_Historica!J1349/Serie_Historica!J1348,"")</f>
        <v>0.15209572554986858</v>
      </c>
      <c r="H407" s="31">
        <f>IFERROR(Serie_Historica!K1349/Serie_Historica!K1348,"")</f>
        <v>9.5596790985363458E-2</v>
      </c>
      <c r="I407" s="31">
        <f>IFERROR(Serie_Historica!L1349/Serie_Historica!L1348,"")</f>
        <v>0.11918869644484958</v>
      </c>
      <c r="J407" s="31">
        <f>IFERROR(Serie_Historica!M1349/Serie_Historica!M1348,"")</f>
        <v>0.15649728286776624</v>
      </c>
      <c r="K407" s="31">
        <f>IFERROR(Serie_Historica!N1349/Serie_Historica!N1348,"")</f>
        <v>0.13888535167027463</v>
      </c>
      <c r="L407" s="31">
        <f>IFERROR(Serie_Historica!O1349/Serie_Historica!O1348,"")</f>
        <v>0.16076008814710452</v>
      </c>
      <c r="M407" s="31">
        <f>IFERROR(Serie_Historica!P1349/Serie_Historica!P1348,"")</f>
        <v>0.2053906110549176</v>
      </c>
      <c r="N407" s="31">
        <f>IFERROR(Serie_Historica!Q1349/Serie_Historica!Q1348,"")</f>
        <v>0.2052177539159217</v>
      </c>
      <c r="O407" s="31">
        <f>IFERROR(Serie_Historica!R1349/Serie_Historica!R1348,"")</f>
        <v>0.22224535109630864</v>
      </c>
      <c r="P407" s="31">
        <f>IFERROR(Serie_Historica!S1349/Serie_Historica!S1348,"")</f>
        <v>0.22327701572432251</v>
      </c>
      <c r="Q407" s="31">
        <f>IFERROR(Serie_Historica!T1349/Serie_Historica!T1348,"")</f>
        <v>0.22207077040510331</v>
      </c>
      <c r="R407" s="31">
        <f>IFERROR(Serie_Historica!U1349/Serie_Historica!U1348,"")</f>
        <v>0.31788714048299921</v>
      </c>
      <c r="S407" s="31">
        <f>IFERROR(Serie_Historica!V1349/Serie_Historica!V1348,"")</f>
        <v>0.40820976886175314</v>
      </c>
      <c r="T407" s="31">
        <f>IFERROR(Serie_Historica!W1349/Serie_Historica!W1348,"")</f>
        <v>0.30463486432891157</v>
      </c>
      <c r="U407" s="31">
        <f>IFERROR(Serie_Historica!X1349/Serie_Historica!X1348,"")</f>
        <v>0.20610954600334946</v>
      </c>
      <c r="V407" s="31">
        <f>IFERROR(Serie_Historica!Y1349/Serie_Historica!Y1348,"")</f>
        <v>0.15524768292179086</v>
      </c>
      <c r="W407" s="31">
        <f>IFERROR(Serie_Historica!Z1349/Serie_Historica!Z1348,"")</f>
        <v>0.13144780441986068</v>
      </c>
      <c r="X407" s="19">
        <f>IFERROR((W407-D407)*100,"")</f>
        <v>2.5649959371117732</v>
      </c>
    </row>
    <row r="408" spans="1:24">
      <c r="A408" s="28" t="s">
        <v>307</v>
      </c>
      <c r="B408" s="28" t="s">
        <v>308</v>
      </c>
      <c r="C408" s="28" t="s">
        <v>505</v>
      </c>
      <c r="D408" s="31">
        <f>IFERROR(Serie_Historica!G1350/Serie_Historica!G1348,"")</f>
        <v>0.22524371472550025</v>
      </c>
      <c r="E408" s="31">
        <f>IFERROR(Serie_Historica!H1350/Serie_Historica!H1348,"")</f>
        <v>0.19675306706023429</v>
      </c>
      <c r="F408" s="31">
        <f>IFERROR(Serie_Historica!I1350/Serie_Historica!I1348,"")</f>
        <v>0.20337738619676946</v>
      </c>
      <c r="G408" s="31">
        <f>IFERROR(Serie_Historica!J1350/Serie_Historica!J1348,"")</f>
        <v>0.19829851985060173</v>
      </c>
      <c r="H408" s="31">
        <f>IFERROR(Serie_Historica!K1350/Serie_Historica!K1348,"")</f>
        <v>0.19339824851491211</v>
      </c>
      <c r="I408" s="31">
        <f>IFERROR(Serie_Historica!L1350/Serie_Historica!L1348,"")</f>
        <v>0.19718550592525069</v>
      </c>
      <c r="J408" s="31">
        <f>IFERROR(Serie_Historica!M1350/Serie_Historica!M1348,"")</f>
        <v>0.1779006578320145</v>
      </c>
      <c r="K408" s="31">
        <f>IFERROR(Serie_Historica!N1350/Serie_Historica!N1348,"")</f>
        <v>0.18655290971603208</v>
      </c>
      <c r="L408" s="31">
        <f>IFERROR(Serie_Historica!O1350/Serie_Historica!O1348,"")</f>
        <v>0.20100429897763808</v>
      </c>
      <c r="M408" s="31">
        <f>IFERROR(Serie_Historica!P1350/Serie_Historica!P1348,"")</f>
        <v>0.21621943237936575</v>
      </c>
      <c r="N408" s="31">
        <f>IFERROR(Serie_Historica!Q1350/Serie_Historica!Q1348,"")</f>
        <v>0.25906330631499386</v>
      </c>
      <c r="O408" s="31">
        <f>IFERROR(Serie_Historica!R1350/Serie_Historica!R1348,"")</f>
        <v>0.23337033953187158</v>
      </c>
      <c r="P408" s="31">
        <f>IFERROR(Serie_Historica!S1350/Serie_Historica!S1348,"")</f>
        <v>0.22120692539310807</v>
      </c>
      <c r="Q408" s="31">
        <f>IFERROR(Serie_Historica!T1350/Serie_Historica!T1348,"")</f>
        <v>0.25960053068716721</v>
      </c>
      <c r="R408" s="31">
        <f>IFERROR(Serie_Historica!U1350/Serie_Historica!U1348,"")</f>
        <v>0.23536105163869384</v>
      </c>
      <c r="S408" s="31">
        <f>IFERROR(Serie_Historica!V1350/Serie_Historica!V1348,"")</f>
        <v>0.23690580026166594</v>
      </c>
      <c r="T408" s="31">
        <f>IFERROR(Serie_Historica!W1350/Serie_Historica!W1348,"")</f>
        <v>0.27227826429688751</v>
      </c>
      <c r="U408" s="31">
        <f>IFERROR(Serie_Historica!X1350/Serie_Historica!X1348,"")</f>
        <v>0.29927168395497683</v>
      </c>
      <c r="V408" s="31">
        <f>IFERROR(Serie_Historica!Y1350/Serie_Historica!Y1348,"")</f>
        <v>0.30546871772272183</v>
      </c>
      <c r="W408" s="31">
        <f>IFERROR(Serie_Historica!Z1350/Serie_Historica!Z1348,"")</f>
        <v>0.29948861116184411</v>
      </c>
      <c r="X408" s="19">
        <f>IFERROR((W408-D408)*100,"")</f>
        <v>7.4244896436343852</v>
      </c>
    </row>
    <row r="409" spans="1:24">
      <c r="A409" s="28" t="s">
        <v>307</v>
      </c>
      <c r="B409" s="28" t="s">
        <v>308</v>
      </c>
      <c r="C409" s="28" t="s">
        <v>506</v>
      </c>
      <c r="D409" s="31">
        <f>IFERROR(Serie_Historica!G1351/Serie_Historica!G1348,"")</f>
        <v>0.48589020010261674</v>
      </c>
      <c r="E409" s="31">
        <f>IFERROR(Serie_Historica!H1351/Serie_Historica!H1348,"")</f>
        <v>0.48261230513790243</v>
      </c>
      <c r="F409" s="31">
        <f>IFERROR(Serie_Historica!I1351/Serie_Historica!I1348,"")</f>
        <v>0.4720182737803883</v>
      </c>
      <c r="G409" s="31">
        <f>IFERROR(Serie_Historica!J1351/Serie_Historica!J1348,"")</f>
        <v>0.47904274450131418</v>
      </c>
      <c r="H409" s="31">
        <f>IFERROR(Serie_Historica!K1351/Serie_Historica!K1348,"")</f>
        <v>0.50211280543817749</v>
      </c>
      <c r="I409" s="31">
        <f>IFERROR(Serie_Historica!L1351/Serie_Historica!L1348,"")</f>
        <v>0.50182315405651778</v>
      </c>
      <c r="J409" s="31">
        <f>IFERROR(Serie_Historica!M1351/Serie_Historica!M1348,"")</f>
        <v>0.46901515873772526</v>
      </c>
      <c r="K409" s="31">
        <f>IFERROR(Serie_Historica!N1351/Serie_Historica!N1348,"")</f>
        <v>0.46164947578420135</v>
      </c>
      <c r="L409" s="31">
        <f>IFERROR(Serie_Historica!O1351/Serie_Historica!O1348,"")</f>
        <v>0.46848018496441601</v>
      </c>
      <c r="M409" s="31">
        <f>IFERROR(Serie_Historica!P1351/Serie_Historica!P1348,"")</f>
        <v>0.43371809365145475</v>
      </c>
      <c r="N409" s="31">
        <f>IFERROR(Serie_Historica!Q1351/Serie_Historica!Q1348,"")</f>
        <v>0.41755062680810029</v>
      </c>
      <c r="O409" s="31">
        <f>IFERROR(Serie_Historica!R1351/Serie_Historica!R1348,"")</f>
        <v>0.42936441854010549</v>
      </c>
      <c r="P409" s="31">
        <f>IFERROR(Serie_Historica!S1351/Serie_Historica!S1348,"")</f>
        <v>0.43233522917363665</v>
      </c>
      <c r="Q409" s="31">
        <f>IFERROR(Serie_Historica!T1351/Serie_Historica!T1348,"")</f>
        <v>0.39372625992766663</v>
      </c>
      <c r="R409" s="31">
        <f>IFERROR(Serie_Historica!U1351/Serie_Historica!U1348,"")</f>
        <v>0.33854860684822807</v>
      </c>
      <c r="S409" s="31">
        <f>IFERROR(Serie_Historica!V1351/Serie_Historica!V1348,"")</f>
        <v>0.27630832969908414</v>
      </c>
      <c r="T409" s="31">
        <f>IFERROR(Serie_Historica!W1351/Serie_Historica!W1348,"")</f>
        <v>0.32873911490472846</v>
      </c>
      <c r="U409" s="31">
        <f>IFERROR(Serie_Historica!X1351/Serie_Historica!X1348,"")</f>
        <v>0.36902644527243694</v>
      </c>
      <c r="V409" s="31">
        <f>IFERROR(Serie_Historica!Y1351/Serie_Historica!Y1348,"")</f>
        <v>0.39506699902221365</v>
      </c>
      <c r="W409" s="31">
        <f>IFERROR(Serie_Historica!Z1351/Serie_Historica!Z1348,"")</f>
        <v>0.4038406345396196</v>
      </c>
      <c r="X409" s="19">
        <f>IFERROR((W409-D409)*100,"")</f>
        <v>-8.2049565562997131</v>
      </c>
    </row>
    <row r="410" spans="1:24">
      <c r="A410" s="28" t="s">
        <v>173</v>
      </c>
      <c r="B410" s="28" t="s">
        <v>174</v>
      </c>
      <c r="C410" s="28" t="s">
        <v>504</v>
      </c>
      <c r="D410" s="31">
        <f>IFERROR(Serie_Historica!G1359/Serie_Historica!G1358,"")</f>
        <v>5.0773531254518292E-2</v>
      </c>
      <c r="E410" s="31">
        <f>IFERROR(Serie_Historica!H1359/Serie_Historica!H1358,"")</f>
        <v>3.4967709041468391E-2</v>
      </c>
      <c r="F410" s="31">
        <f>IFERROR(Serie_Historica!I1359/Serie_Historica!I1358,"")</f>
        <v>3.8973824415103081E-2</v>
      </c>
      <c r="G410" s="31">
        <f>IFERROR(Serie_Historica!J1359/Serie_Historica!J1358,"")</f>
        <v>3.8765936112304826E-2</v>
      </c>
      <c r="H410" s="31">
        <f>IFERROR(Serie_Historica!K1359/Serie_Historica!K1358,"")</f>
        <v>3.5993740219092331E-2</v>
      </c>
      <c r="I410" s="31">
        <f>IFERROR(Serie_Historica!L1359/Serie_Historica!L1358,"")</f>
        <v>3.3686683787771163E-2</v>
      </c>
      <c r="J410" s="31">
        <f>IFERROR(Serie_Historica!M1359/Serie_Historica!M1358,"")</f>
        <v>3.1437732650278258E-2</v>
      </c>
      <c r="K410" s="31">
        <f>IFERROR(Serie_Historica!N1359/Serie_Historica!N1358,"")</f>
        <v>3.3246788279326971E-2</v>
      </c>
      <c r="L410" s="31">
        <f>IFERROR(Serie_Historica!O1359/Serie_Historica!O1358,"")</f>
        <v>2.9156920573578764E-2</v>
      </c>
      <c r="M410" s="31">
        <f>IFERROR(Serie_Historica!P1359/Serie_Historica!P1358,"")</f>
        <v>3.0668867543505365E-2</v>
      </c>
      <c r="N410" s="31">
        <f>IFERROR(Serie_Historica!Q1359/Serie_Historica!Q1358,"")</f>
        <v>3.8534831184398578E-2</v>
      </c>
      <c r="O410" s="31">
        <f>IFERROR(Serie_Historica!R1359/Serie_Historica!R1358,"")</f>
        <v>4.1294184912386907E-2</v>
      </c>
      <c r="P410" s="31">
        <f>IFERROR(Serie_Historica!S1359/Serie_Historica!S1358,"")</f>
        <v>4.0456754362865964E-2</v>
      </c>
      <c r="Q410" s="31">
        <f>IFERROR(Serie_Historica!T1359/Serie_Historica!T1358,"")</f>
        <v>3.3764396053614247E-2</v>
      </c>
      <c r="R410" s="31">
        <f>IFERROR(Serie_Historica!U1359/Serie_Historica!U1358,"")</f>
        <v>3.5658476405880539E-2</v>
      </c>
      <c r="S410" s="31">
        <f>IFERROR(Serie_Historica!V1359/Serie_Historica!V1358,"")</f>
        <v>3.1943544813009241E-2</v>
      </c>
      <c r="T410" s="31">
        <f>IFERROR(Serie_Historica!W1359/Serie_Historica!W1358,"")</f>
        <v>3.4790442087246354E-2</v>
      </c>
      <c r="U410" s="31">
        <f>IFERROR(Serie_Historica!X1359/Serie_Historica!X1358,"")</f>
        <v>2.7983476902926806E-2</v>
      </c>
      <c r="V410" s="31">
        <f>IFERROR(Serie_Historica!Y1359/Serie_Historica!Y1358,"")</f>
        <v>2.7660670417624218E-2</v>
      </c>
      <c r="W410" s="31">
        <f>IFERROR(Serie_Historica!Z1359/Serie_Historica!Z1358,"")</f>
        <v>3.131890210877579E-2</v>
      </c>
      <c r="X410" s="19">
        <f>IFERROR((W410-D410)*100,"")</f>
        <v>-1.9454629145742501</v>
      </c>
    </row>
    <row r="411" spans="1:24">
      <c r="A411" s="28" t="s">
        <v>173</v>
      </c>
      <c r="B411" s="28" t="s">
        <v>174</v>
      </c>
      <c r="C411" s="28" t="s">
        <v>505</v>
      </c>
      <c r="D411" s="31">
        <f>IFERROR(Serie_Historica!G1360/Serie_Historica!G1358,"")</f>
        <v>0.23177020579305027</v>
      </c>
      <c r="E411" s="31">
        <f>IFERROR(Serie_Historica!H1360/Serie_Historica!H1358,"")</f>
        <v>0.22444340584636302</v>
      </c>
      <c r="F411" s="31">
        <f>IFERROR(Serie_Historica!I1360/Serie_Historica!I1358,"")</f>
        <v>0.23650683344915452</v>
      </c>
      <c r="G411" s="31">
        <f>IFERROR(Serie_Historica!J1360/Serie_Historica!J1358,"")</f>
        <v>0.23605142529723536</v>
      </c>
      <c r="H411" s="31">
        <f>IFERROR(Serie_Historica!K1360/Serie_Historica!K1358,"")</f>
        <v>0.23415690551840787</v>
      </c>
      <c r="I411" s="31">
        <f>IFERROR(Serie_Historica!L1360/Serie_Historica!L1358,"")</f>
        <v>0.23745970165564723</v>
      </c>
      <c r="J411" s="31">
        <f>IFERROR(Serie_Historica!M1360/Serie_Historica!M1358,"")</f>
        <v>0.21529748522709125</v>
      </c>
      <c r="K411" s="31">
        <f>IFERROR(Serie_Historica!N1360/Serie_Historica!N1358,"")</f>
        <v>0.23499792067078037</v>
      </c>
      <c r="L411" s="31">
        <f>IFERROR(Serie_Historica!O1360/Serie_Historica!O1358,"")</f>
        <v>0.25081867181938372</v>
      </c>
      <c r="M411" s="31">
        <f>IFERROR(Serie_Historica!P1360/Serie_Historica!P1358,"")</f>
        <v>0.27567738423446364</v>
      </c>
      <c r="N411" s="31">
        <f>IFERROR(Serie_Historica!Q1360/Serie_Historica!Q1358,"")</f>
        <v>0.33854558866468931</v>
      </c>
      <c r="O411" s="31">
        <f>IFERROR(Serie_Historica!R1360/Serie_Historica!R1358,"")</f>
        <v>0.32753506205226518</v>
      </c>
      <c r="P411" s="31">
        <f>IFERROR(Serie_Historica!S1360/Serie_Historica!S1358,"")</f>
        <v>0.34403801498575637</v>
      </c>
      <c r="Q411" s="31">
        <f>IFERROR(Serie_Historica!T1360/Serie_Historica!T1358,"")</f>
        <v>0.36467007698484449</v>
      </c>
      <c r="R411" s="31">
        <f>IFERROR(Serie_Historica!U1360/Serie_Historica!U1358,"")</f>
        <v>0.37645214351804257</v>
      </c>
      <c r="S411" s="31">
        <f>IFERROR(Serie_Historica!V1360/Serie_Historica!V1358,"")</f>
        <v>0.37430782492658193</v>
      </c>
      <c r="T411" s="31">
        <f>IFERROR(Serie_Historica!W1360/Serie_Historica!W1358,"")</f>
        <v>0.40945882034997633</v>
      </c>
      <c r="U411" s="31">
        <f>IFERROR(Serie_Historica!X1360/Serie_Historica!X1358,"")</f>
        <v>0.42919332359410944</v>
      </c>
      <c r="V411" s="31">
        <f>IFERROR(Serie_Historica!Y1360/Serie_Historica!Y1358,"")</f>
        <v>0.44528885014660435</v>
      </c>
      <c r="W411" s="31">
        <f>IFERROR(Serie_Historica!Z1360/Serie_Historica!Z1358,"")</f>
        <v>0.45244160245994725</v>
      </c>
      <c r="X411" s="19">
        <f>IFERROR((W411-D411)*100,"")</f>
        <v>22.067139666689698</v>
      </c>
    </row>
    <row r="412" spans="1:24">
      <c r="A412" s="28" t="s">
        <v>173</v>
      </c>
      <c r="B412" s="28" t="s">
        <v>174</v>
      </c>
      <c r="C412" s="28" t="s">
        <v>506</v>
      </c>
      <c r="D412" s="31">
        <f>IFERROR(Serie_Historica!G1361/Serie_Historica!G1358,"")</f>
        <v>0.59971564894693719</v>
      </c>
      <c r="E412" s="31">
        <f>IFERROR(Serie_Historica!H1361/Serie_Historica!H1358,"")</f>
        <v>0.56162899388171317</v>
      </c>
      <c r="F412" s="31">
        <f>IFERROR(Serie_Historica!I1361/Serie_Historica!I1358,"")</f>
        <v>0.55812292487066639</v>
      </c>
      <c r="G412" s="31">
        <f>IFERROR(Serie_Historica!J1361/Serie_Historica!J1358,"")</f>
        <v>0.59733562526858619</v>
      </c>
      <c r="H412" s="31">
        <f>IFERROR(Serie_Historica!K1361/Serie_Historica!K1358,"")</f>
        <v>0.59442626578776814</v>
      </c>
      <c r="I412" s="31">
        <f>IFERROR(Serie_Historica!L1361/Serie_Historica!L1358,"")</f>
        <v>0.63571662750669367</v>
      </c>
      <c r="J412" s="31">
        <f>IFERROR(Serie_Historica!M1361/Serie_Historica!M1358,"")</f>
        <v>0.63342301502475462</v>
      </c>
      <c r="K412" s="31">
        <f>IFERROR(Serie_Historica!N1361/Serie_Historica!N1358,"")</f>
        <v>0.63081228714974547</v>
      </c>
      <c r="L412" s="31">
        <f>IFERROR(Serie_Historica!O1361/Serie_Historica!O1358,"")</f>
        <v>0.6104749313536052</v>
      </c>
      <c r="M412" s="31">
        <f>IFERROR(Serie_Historica!P1361/Serie_Historica!P1358,"")</f>
        <v>0.59478111226227892</v>
      </c>
      <c r="N412" s="31">
        <f>IFERROR(Serie_Historica!Q1361/Serie_Historica!Q1358,"")</f>
        <v>0.55976548692966144</v>
      </c>
      <c r="O412" s="31">
        <f>IFERROR(Serie_Historica!R1361/Serie_Historica!R1358,"")</f>
        <v>0.57062523122456532</v>
      </c>
      <c r="P412" s="31">
        <f>IFERROR(Serie_Historica!S1361/Serie_Historica!S1358,"")</f>
        <v>0.53812271084193142</v>
      </c>
      <c r="Q412" s="31">
        <f>IFERROR(Serie_Historica!T1361/Serie_Historica!T1358,"")</f>
        <v>0.54575011090085179</v>
      </c>
      <c r="R412" s="31">
        <f>IFERROR(Serie_Historica!U1361/Serie_Historica!U1358,"")</f>
        <v>0.53537575819882799</v>
      </c>
      <c r="S412" s="31">
        <f>IFERROR(Serie_Historica!V1361/Serie_Historica!V1358,"")</f>
        <v>0.53780481271702762</v>
      </c>
      <c r="T412" s="31">
        <f>IFERROR(Serie_Historica!W1361/Serie_Historica!W1358,"")</f>
        <v>0.50230840258541087</v>
      </c>
      <c r="U412" s="31">
        <f>IFERROR(Serie_Historica!X1361/Serie_Historica!X1358,"")</f>
        <v>0.52062028781085756</v>
      </c>
      <c r="V412" s="31">
        <f>IFERROR(Serie_Historica!Y1361/Serie_Historica!Y1358,"")</f>
        <v>0.49650130755210398</v>
      </c>
      <c r="W412" s="31">
        <f>IFERROR(Serie_Historica!Z1361/Serie_Historica!Z1358,"")</f>
        <v>0.48008456068626937</v>
      </c>
      <c r="X412" s="19">
        <f>IFERROR((W412-D412)*100,"")</f>
        <v>-11.963108826066781</v>
      </c>
    </row>
    <row r="413" spans="1:24">
      <c r="A413" s="28" t="s">
        <v>157</v>
      </c>
      <c r="B413" s="28" t="s">
        <v>158</v>
      </c>
      <c r="C413" s="28" t="s">
        <v>504</v>
      </c>
      <c r="D413" s="31">
        <f>IFERROR(Serie_Historica!G1369/Serie_Historica!G1368,"")</f>
        <v>4.9436029648727037E-2</v>
      </c>
      <c r="E413" s="31">
        <f>IFERROR(Serie_Historica!H1369/Serie_Historica!H1368,"")</f>
        <v>3.0623926731539783E-2</v>
      </c>
      <c r="F413" s="31">
        <f>IFERROR(Serie_Historica!I1369/Serie_Historica!I1368,"")</f>
        <v>3.3250322818668139E-2</v>
      </c>
      <c r="G413" s="31">
        <f>IFERROR(Serie_Historica!J1369/Serie_Historica!J1368,"")</f>
        <v>3.4608822812576163E-2</v>
      </c>
      <c r="H413" s="31">
        <f>IFERROR(Serie_Historica!K1369/Serie_Historica!K1368,"")</f>
        <v>3.1128667409433135E-2</v>
      </c>
      <c r="I413" s="31">
        <f>IFERROR(Serie_Historica!L1369/Serie_Historica!L1368,"")</f>
        <v>3.1553973902728349E-2</v>
      </c>
      <c r="J413" s="31">
        <f>IFERROR(Serie_Historica!M1369/Serie_Historica!M1368,"")</f>
        <v>2.8331847559616669E-2</v>
      </c>
      <c r="K413" s="31">
        <f>IFERROR(Serie_Historica!N1369/Serie_Historica!N1368,"")</f>
        <v>3.0044367283950619E-2</v>
      </c>
      <c r="L413" s="31">
        <f>IFERROR(Serie_Historica!O1369/Serie_Historica!O1368,"")</f>
        <v>3.4598581293747356E-2</v>
      </c>
      <c r="M413" s="31">
        <f>IFERROR(Serie_Historica!P1369/Serie_Historica!P1368,"")</f>
        <v>3.3633814102564101E-2</v>
      </c>
      <c r="N413" s="31">
        <f>IFERROR(Serie_Historica!Q1369/Serie_Historica!Q1368,"")</f>
        <v>4.0132651340565456E-2</v>
      </c>
      <c r="O413" s="31">
        <f>IFERROR(Serie_Historica!R1369/Serie_Historica!R1368,"")</f>
        <v>5.4775600402976826E-2</v>
      </c>
      <c r="P413" s="31">
        <f>IFERROR(Serie_Historica!S1369/Serie_Historica!S1368,"")</f>
        <v>6.9648681888669059E-2</v>
      </c>
      <c r="Q413" s="31">
        <f>IFERROR(Serie_Historica!T1369/Serie_Historica!T1368,"")</f>
        <v>0.4144249401573008</v>
      </c>
      <c r="R413" s="31">
        <f>IFERROR(Serie_Historica!U1369/Serie_Historica!U1368,"")</f>
        <v>0.59807939998149851</v>
      </c>
      <c r="S413" s="31">
        <f>IFERROR(Serie_Historica!V1369/Serie_Historica!V1368,"")</f>
        <v>0.66487428192255738</v>
      </c>
      <c r="T413" s="31">
        <f>IFERROR(Serie_Historica!W1369/Serie_Historica!W1368,"")</f>
        <v>0.58957698612909748</v>
      </c>
      <c r="U413" s="31">
        <f>IFERROR(Serie_Historica!X1369/Serie_Historica!X1368,"")</f>
        <v>0.54693753875641238</v>
      </c>
      <c r="V413" s="31">
        <f>IFERROR(Serie_Historica!Y1369/Serie_Historica!Y1368,"")</f>
        <v>0.62046383784818548</v>
      </c>
      <c r="W413" s="31">
        <f>IFERROR(Serie_Historica!Z1369/Serie_Historica!Z1368,"")</f>
        <v>0.66665520627628283</v>
      </c>
      <c r="X413" s="19">
        <f>IFERROR((W413-D413)*100,"")</f>
        <v>61.72191766275558</v>
      </c>
    </row>
    <row r="414" spans="1:24">
      <c r="A414" s="28" t="s">
        <v>157</v>
      </c>
      <c r="B414" s="28" t="s">
        <v>158</v>
      </c>
      <c r="C414" s="28" t="s">
        <v>505</v>
      </c>
      <c r="D414" s="31">
        <f>IFERROR(Serie_Historica!G1370/Serie_Historica!G1368,"")</f>
        <v>0.18543345149854978</v>
      </c>
      <c r="E414" s="31">
        <f>IFERROR(Serie_Historica!H1370/Serie_Historica!H1368,"")</f>
        <v>0.18889524899828278</v>
      </c>
      <c r="F414" s="31">
        <f>IFERROR(Serie_Historica!I1370/Serie_Historica!I1368,"")</f>
        <v>0.19180040582918281</v>
      </c>
      <c r="G414" s="31">
        <f>IFERROR(Serie_Historica!J1370/Serie_Historica!J1368,"")</f>
        <v>0.18701762937687871</v>
      </c>
      <c r="H414" s="31">
        <f>IFERROR(Serie_Historica!K1370/Serie_Historica!K1368,"")</f>
        <v>0.19950032074006549</v>
      </c>
      <c r="I414" s="31">
        <f>IFERROR(Serie_Historica!L1370/Serie_Historica!L1368,"")</f>
        <v>0.19857651245551602</v>
      </c>
      <c r="J414" s="31">
        <f>IFERROR(Serie_Historica!M1370/Serie_Historica!M1368,"")</f>
        <v>0.18570314241141075</v>
      </c>
      <c r="K414" s="31">
        <f>IFERROR(Serie_Historica!N1370/Serie_Historica!N1368,"")</f>
        <v>0.2095871913580247</v>
      </c>
      <c r="L414" s="31">
        <f>IFERROR(Serie_Historica!O1370/Serie_Historica!O1368,"")</f>
        <v>0.22546624700521445</v>
      </c>
      <c r="M414" s="31">
        <f>IFERROR(Serie_Historica!P1370/Serie_Historica!P1368,"")</f>
        <v>0.2287459935897436</v>
      </c>
      <c r="N414" s="31">
        <f>IFERROR(Serie_Historica!Q1370/Serie_Historica!Q1368,"")</f>
        <v>0.23453806231615237</v>
      </c>
      <c r="O414" s="31">
        <f>IFERROR(Serie_Historica!R1370/Serie_Historica!R1368,"")</f>
        <v>0.25179552175749892</v>
      </c>
      <c r="P414" s="31">
        <f>IFERROR(Serie_Historica!S1370/Serie_Historica!S1368,"")</f>
        <v>0.29482380621357146</v>
      </c>
      <c r="Q414" s="31">
        <f>IFERROR(Serie_Historica!T1370/Serie_Historica!T1368,"")</f>
        <v>0.20340818420152743</v>
      </c>
      <c r="R414" s="31">
        <f>IFERROR(Serie_Historica!U1370/Serie_Historica!U1368,"")</f>
        <v>0.20283713681873491</v>
      </c>
      <c r="S414" s="31">
        <f>IFERROR(Serie_Historica!V1370/Serie_Historica!V1368,"")</f>
        <v>0.17271133881623299</v>
      </c>
      <c r="T414" s="31">
        <f>IFERROR(Serie_Historica!W1370/Serie_Historica!W1368,"")</f>
        <v>0.16171241644147347</v>
      </c>
      <c r="U414" s="31">
        <f>IFERROR(Serie_Historica!X1370/Serie_Historica!X1368,"")</f>
        <v>0.17968177462089183</v>
      </c>
      <c r="V414" s="31">
        <f>IFERROR(Serie_Historica!Y1370/Serie_Historica!Y1368,"")</f>
        <v>0.15128016846051207</v>
      </c>
      <c r="W414" s="31">
        <f>IFERROR(Serie_Historica!Z1370/Serie_Historica!Z1368,"")</f>
        <v>0.13947151842293568</v>
      </c>
      <c r="X414" s="19">
        <f>IFERROR((W414-D414)*100,"")</f>
        <v>-4.5961933075614105</v>
      </c>
    </row>
    <row r="415" spans="1:24">
      <c r="A415" s="28" t="s">
        <v>157</v>
      </c>
      <c r="B415" s="28" t="s">
        <v>158</v>
      </c>
      <c r="C415" s="28" t="s">
        <v>506</v>
      </c>
      <c r="D415" s="31">
        <f>IFERROR(Serie_Historica!G1371/Serie_Historica!G1368,"")</f>
        <v>0.64350628424105705</v>
      </c>
      <c r="E415" s="31">
        <f>IFERROR(Serie_Historica!H1371/Serie_Historica!H1368,"")</f>
        <v>0.53634802518603319</v>
      </c>
      <c r="F415" s="31">
        <f>IFERROR(Serie_Historica!I1371/Serie_Historica!I1368,"")</f>
        <v>0.57627743958679212</v>
      </c>
      <c r="G415" s="31">
        <f>IFERROR(Serie_Historica!J1371/Serie_Historica!J1368,"")</f>
        <v>0.57904785116581359</v>
      </c>
      <c r="H415" s="31">
        <f>IFERROR(Serie_Historica!K1371/Serie_Historica!K1368,"")</f>
        <v>0.57517134271920056</v>
      </c>
      <c r="I415" s="31">
        <f>IFERROR(Serie_Historica!L1371/Serie_Historica!L1368,"")</f>
        <v>0.59454329774614467</v>
      </c>
      <c r="J415" s="31">
        <f>IFERROR(Serie_Historica!M1371/Serie_Historica!M1368,"")</f>
        <v>0.61151660352128367</v>
      </c>
      <c r="K415" s="31">
        <f>IFERROR(Serie_Historica!N1371/Serie_Historica!N1368,"")</f>
        <v>0.60122492283950613</v>
      </c>
      <c r="L415" s="31">
        <f>IFERROR(Serie_Historica!O1371/Serie_Historica!O1368,"")</f>
        <v>0.60590971015173578</v>
      </c>
      <c r="M415" s="31">
        <f>IFERROR(Serie_Historica!P1371/Serie_Historica!P1368,"")</f>
        <v>0.58153044871794868</v>
      </c>
      <c r="N415" s="31">
        <f>IFERROR(Serie_Historica!Q1371/Serie_Historica!Q1368,"")</f>
        <v>0.60371348809323067</v>
      </c>
      <c r="O415" s="31">
        <f>IFERROR(Serie_Historica!R1371/Serie_Historica!R1368,"")</f>
        <v>0.60522894933541327</v>
      </c>
      <c r="P415" s="31">
        <f>IFERROR(Serie_Historica!S1371/Serie_Historica!S1368,"")</f>
        <v>0.55820544355916801</v>
      </c>
      <c r="Q415" s="31">
        <f>IFERROR(Serie_Historica!T1371/Serie_Historica!T1368,"")</f>
        <v>0.33677191382651317</v>
      </c>
      <c r="R415" s="31">
        <f>IFERROR(Serie_Historica!U1371/Serie_Historica!U1368,"")</f>
        <v>0.17428075343879199</v>
      </c>
      <c r="S415" s="31">
        <f>IFERROR(Serie_Historica!V1371/Serie_Historica!V1368,"")</f>
        <v>0.1409903586620033</v>
      </c>
      <c r="T415" s="31">
        <f>IFERROR(Serie_Historica!W1371/Serie_Historica!W1368,"")</f>
        <v>0.21050385885065387</v>
      </c>
      <c r="U415" s="31">
        <f>IFERROR(Serie_Historica!X1371/Serie_Historica!X1368,"")</f>
        <v>0.23035754552116805</v>
      </c>
      <c r="V415" s="31">
        <f>IFERROR(Serie_Historica!Y1371/Serie_Historica!Y1368,"")</f>
        <v>0.18640087087456034</v>
      </c>
      <c r="W415" s="31">
        <f>IFERROR(Serie_Historica!Z1371/Serie_Historica!Z1368,"")</f>
        <v>0.16713546826080697</v>
      </c>
      <c r="X415" s="19">
        <f>IFERROR((W415-D415)*100,"")</f>
        <v>-47.637081598025013</v>
      </c>
    </row>
    <row r="416" spans="1:24">
      <c r="A416" s="28" t="s">
        <v>187</v>
      </c>
      <c r="B416" s="28" t="s">
        <v>188</v>
      </c>
      <c r="C416" s="28" t="s">
        <v>504</v>
      </c>
      <c r="D416" s="31">
        <f>IFERROR(Serie_Historica!G1379/Serie_Historica!G1378,"")</f>
        <v>0.12469355542868657</v>
      </c>
      <c r="E416" s="31">
        <f>IFERROR(Serie_Historica!H1379/Serie_Historica!H1378,"")</f>
        <v>7.1955942870975551E-2</v>
      </c>
      <c r="F416" s="31">
        <f>IFERROR(Serie_Historica!I1379/Serie_Historica!I1378,"")</f>
        <v>8.444864325827954E-2</v>
      </c>
      <c r="G416" s="31">
        <f>IFERROR(Serie_Historica!J1379/Serie_Historica!J1378,"")</f>
        <v>7.8906158700479137E-2</v>
      </c>
      <c r="H416" s="31">
        <f>IFERROR(Serie_Historica!K1379/Serie_Historica!K1378,"")</f>
        <v>5.8427157966564315E-2</v>
      </c>
      <c r="I416" s="31">
        <f>IFERROR(Serie_Historica!L1379/Serie_Historica!L1378,"")</f>
        <v>6.4217287984553686E-2</v>
      </c>
      <c r="J416" s="31">
        <f>IFERROR(Serie_Historica!M1379/Serie_Historica!M1378,"")</f>
        <v>5.4899223750510692E-2</v>
      </c>
      <c r="K416" s="31">
        <f>IFERROR(Serie_Historica!N1379/Serie_Historica!N1378,"")</f>
        <v>5.2780129833474458E-2</v>
      </c>
      <c r="L416" s="31">
        <f>IFERROR(Serie_Historica!O1379/Serie_Historica!O1378,"")</f>
        <v>0.22312143620341279</v>
      </c>
      <c r="M416" s="31">
        <f>IFERROR(Serie_Historica!P1379/Serie_Historica!P1378,"")</f>
        <v>0.12828417291389335</v>
      </c>
      <c r="N416" s="31">
        <f>IFERROR(Serie_Historica!Q1379/Serie_Historica!Q1378,"")</f>
        <v>0.14868555090440605</v>
      </c>
      <c r="O416" s="31">
        <f>IFERROR(Serie_Historica!R1379/Serie_Historica!R1378,"")</f>
        <v>5.7113583633931139E-2</v>
      </c>
      <c r="P416" s="31">
        <f>IFERROR(Serie_Historica!S1379/Serie_Historica!S1378,"")</f>
        <v>5.9217042421393681E-2</v>
      </c>
      <c r="Q416" s="31">
        <f>IFERROR(Serie_Historica!T1379/Serie_Historica!T1378,"")</f>
        <v>5.152760163126438E-2</v>
      </c>
      <c r="R416" s="31">
        <f>IFERROR(Serie_Historica!U1379/Serie_Historica!U1378,"")</f>
        <v>5.0662225621305582E-2</v>
      </c>
      <c r="S416" s="31">
        <f>IFERROR(Serie_Historica!V1379/Serie_Historica!V1378,"")</f>
        <v>5.929409326156377E-2</v>
      </c>
      <c r="T416" s="31">
        <f>IFERROR(Serie_Historica!W1379/Serie_Historica!W1378,"")</f>
        <v>5.2831448719254756E-2</v>
      </c>
      <c r="U416" s="31">
        <f>IFERROR(Serie_Historica!X1379/Serie_Historica!X1378,"")</f>
        <v>4.9823379610613651E-2</v>
      </c>
      <c r="V416" s="31">
        <f>IFERROR(Serie_Historica!Y1379/Serie_Historica!Y1378,"")</f>
        <v>8.3587877370669708E-2</v>
      </c>
      <c r="W416" s="31">
        <f>IFERROR(Serie_Historica!Z1379/Serie_Historica!Z1378,"")</f>
        <v>6.2812843364668539E-2</v>
      </c>
      <c r="X416" s="19">
        <f>IFERROR((W416-D416)*100,"")</f>
        <v>-6.1880712064018031</v>
      </c>
    </row>
    <row r="417" spans="1:24">
      <c r="A417" s="28" t="s">
        <v>187</v>
      </c>
      <c r="B417" s="28" t="s">
        <v>188</v>
      </c>
      <c r="C417" s="28" t="s">
        <v>505</v>
      </c>
      <c r="D417" s="31">
        <f>IFERROR(Serie_Historica!G1380/Serie_Historica!G1378,"")</f>
        <v>0.29328004835947208</v>
      </c>
      <c r="E417" s="31">
        <f>IFERROR(Serie_Historica!H1380/Serie_Historica!H1378,"")</f>
        <v>0.28591745340111352</v>
      </c>
      <c r="F417" s="31">
        <f>IFERROR(Serie_Historica!I1380/Serie_Historica!I1378,"")</f>
        <v>0.28221277489109325</v>
      </c>
      <c r="G417" s="31">
        <f>IFERROR(Serie_Historica!J1380/Serie_Historica!J1378,"")</f>
        <v>0.2789996494098399</v>
      </c>
      <c r="H417" s="31">
        <f>IFERROR(Serie_Historica!K1380/Serie_Historica!K1378,"")</f>
        <v>0.29804247697031727</v>
      </c>
      <c r="I417" s="31">
        <f>IFERROR(Serie_Historica!L1380/Serie_Historica!L1378,"")</f>
        <v>0.29359126689440074</v>
      </c>
      <c r="J417" s="31">
        <f>IFERROR(Serie_Historica!M1380/Serie_Historica!M1378,"")</f>
        <v>0.27274274819556038</v>
      </c>
      <c r="K417" s="31">
        <f>IFERROR(Serie_Historica!N1380/Serie_Historica!N1378,"")</f>
        <v>0.2947843783888171</v>
      </c>
      <c r="L417" s="31">
        <f>IFERROR(Serie_Historica!O1380/Serie_Historica!O1378,"")</f>
        <v>0.26546912522348109</v>
      </c>
      <c r="M417" s="31">
        <f>IFERROR(Serie_Historica!P1380/Serie_Historica!P1378,"")</f>
        <v>0.32187647005835196</v>
      </c>
      <c r="N417" s="31">
        <f>IFERROR(Serie_Historica!Q1380/Serie_Historica!Q1378,"")</f>
        <v>0.36623950281209072</v>
      </c>
      <c r="O417" s="31">
        <f>IFERROR(Serie_Historica!R1380/Serie_Historica!R1378,"")</f>
        <v>0.38424867482937897</v>
      </c>
      <c r="P417" s="31">
        <f>IFERROR(Serie_Historica!S1380/Serie_Historica!S1378,"")</f>
        <v>0.34852020346153201</v>
      </c>
      <c r="Q417" s="31">
        <f>IFERROR(Serie_Historica!T1380/Serie_Historica!T1378,"")</f>
        <v>0.35770104118410961</v>
      </c>
      <c r="R417" s="31">
        <f>IFERROR(Serie_Historica!U1380/Serie_Historica!U1378,"")</f>
        <v>0.35958172214399564</v>
      </c>
      <c r="S417" s="31">
        <f>IFERROR(Serie_Historica!V1380/Serie_Historica!V1378,"")</f>
        <v>0.36389369295842161</v>
      </c>
      <c r="T417" s="31">
        <f>IFERROR(Serie_Historica!W1380/Serie_Historica!W1378,"")</f>
        <v>0.43888870023883098</v>
      </c>
      <c r="U417" s="31">
        <f>IFERROR(Serie_Historica!X1380/Serie_Historica!X1378,"")</f>
        <v>0.42445884334182205</v>
      </c>
      <c r="V417" s="31">
        <f>IFERROR(Serie_Historica!Y1380/Serie_Historica!Y1378,"")</f>
        <v>0.39544695009962538</v>
      </c>
      <c r="W417" s="31">
        <f>IFERROR(Serie_Historica!Z1380/Serie_Historica!Z1378,"")</f>
        <v>0.40721523623489198</v>
      </c>
      <c r="X417" s="19">
        <f>IFERROR((W417-D417)*100,"")</f>
        <v>11.393518787541989</v>
      </c>
    </row>
    <row r="418" spans="1:24">
      <c r="A418" s="28" t="s">
        <v>187</v>
      </c>
      <c r="B418" s="28" t="s">
        <v>188</v>
      </c>
      <c r="C418" s="28" t="s">
        <v>506</v>
      </c>
      <c r="D418" s="31">
        <f>IFERROR(Serie_Historica!G1381/Serie_Historica!G1378,"")</f>
        <v>0.50384524968935751</v>
      </c>
      <c r="E418" s="31">
        <f>IFERROR(Serie_Historica!H1381/Serie_Historica!H1378,"")</f>
        <v>0.53143911885741946</v>
      </c>
      <c r="F418" s="31">
        <f>IFERROR(Serie_Historica!I1381/Serie_Historica!I1378,"")</f>
        <v>0.50761035007610356</v>
      </c>
      <c r="G418" s="31">
        <f>IFERROR(Serie_Historica!J1381/Serie_Historica!J1378,"")</f>
        <v>0.54053990884655834</v>
      </c>
      <c r="H418" s="31">
        <f>IFERROR(Serie_Historica!K1381/Serie_Historica!K1378,"")</f>
        <v>0.55913084271579661</v>
      </c>
      <c r="I418" s="31">
        <f>IFERROR(Serie_Historica!L1381/Serie_Historica!L1378,"")</f>
        <v>0.57108643992276842</v>
      </c>
      <c r="J418" s="31">
        <f>IFERROR(Serie_Historica!M1381/Serie_Historica!M1378,"")</f>
        <v>0.58142108130192016</v>
      </c>
      <c r="K418" s="31">
        <f>IFERROR(Serie_Historica!N1381/Serie_Historica!N1378,"")</f>
        <v>0.58041802219350236</v>
      </c>
      <c r="L418" s="31">
        <f>IFERROR(Serie_Historica!O1381/Serie_Historica!O1378,"")</f>
        <v>0.47062743977911076</v>
      </c>
      <c r="M418" s="31">
        <f>IFERROR(Serie_Historica!P1381/Serie_Historica!P1378,"")</f>
        <v>0.49412977550019516</v>
      </c>
      <c r="N418" s="31">
        <f>IFERROR(Serie_Historica!Q1381/Serie_Historica!Q1378,"")</f>
        <v>0.45582406670262032</v>
      </c>
      <c r="O418" s="31">
        <f>IFERROR(Serie_Historica!R1381/Serie_Historica!R1378,"")</f>
        <v>0.52309945977069894</v>
      </c>
      <c r="P418" s="31">
        <f>IFERROR(Serie_Historica!S1381/Serie_Historica!S1378,"")</f>
        <v>0.56254931256190299</v>
      </c>
      <c r="Q418" s="31">
        <f>IFERROR(Serie_Historica!T1381/Serie_Historica!T1378,"")</f>
        <v>0.55969531505122383</v>
      </c>
      <c r="R418" s="31">
        <f>IFERROR(Serie_Historica!U1381/Serie_Historica!U1378,"")</f>
        <v>0.55843524627073704</v>
      </c>
      <c r="S418" s="31">
        <f>IFERROR(Serie_Historica!V1381/Serie_Historica!V1378,"")</f>
        <v>0.54640083428874942</v>
      </c>
      <c r="T418" s="31">
        <f>IFERROR(Serie_Historica!W1381/Serie_Historica!W1378,"")</f>
        <v>0.48115385921423476</v>
      </c>
      <c r="U418" s="31">
        <f>IFERROR(Serie_Historica!X1381/Serie_Historica!X1378,"")</f>
        <v>0.49438306087242256</v>
      </c>
      <c r="V418" s="31">
        <f>IFERROR(Serie_Historica!Y1381/Serie_Historica!Y1378,"")</f>
        <v>0.48163142023393696</v>
      </c>
      <c r="W418" s="31">
        <f>IFERROR(Serie_Historica!Z1381/Serie_Historica!Z1378,"")</f>
        <v>0.49723430031084775</v>
      </c>
      <c r="X418" s="19">
        <f>IFERROR((W418-D418)*100,"")</f>
        <v>-0.66109493785097562</v>
      </c>
    </row>
    <row r="419" spans="1:24">
      <c r="A419" s="28" t="s">
        <v>355</v>
      </c>
      <c r="B419" s="28" t="s">
        <v>356</v>
      </c>
      <c r="C419" s="28" t="s">
        <v>504</v>
      </c>
      <c r="D419" s="31">
        <f>IFERROR(Serie_Historica!G1389/Serie_Historica!G1388,"")</f>
        <v>7.6694818534581141E-2</v>
      </c>
      <c r="E419" s="31">
        <f>IFERROR(Serie_Historica!H1389/Serie_Historica!H1388,"")</f>
        <v>5.2673163023439558E-2</v>
      </c>
      <c r="F419" s="31">
        <f>IFERROR(Serie_Historica!I1389/Serie_Historica!I1388,"")</f>
        <v>6.0476858345021041E-2</v>
      </c>
      <c r="G419" s="31">
        <f>IFERROR(Serie_Historica!J1389/Serie_Historica!J1388,"")</f>
        <v>5.6103366201972121E-2</v>
      </c>
      <c r="H419" s="31">
        <f>IFERROR(Serie_Historica!K1389/Serie_Historica!K1388,"")</f>
        <v>4.125694741342454E-2</v>
      </c>
      <c r="I419" s="31">
        <f>IFERROR(Serie_Historica!L1389/Serie_Historica!L1388,"")</f>
        <v>5.2346738826164037E-2</v>
      </c>
      <c r="J419" s="31">
        <f>IFERROR(Serie_Historica!M1389/Serie_Historica!M1388,"")</f>
        <v>5.4416500224187828E-2</v>
      </c>
      <c r="K419" s="31">
        <f>IFERROR(Serie_Historica!N1389/Serie_Historica!N1388,"")</f>
        <v>6.0240963855421686E-2</v>
      </c>
      <c r="L419" s="31">
        <f>IFERROR(Serie_Historica!O1389/Serie_Historica!O1388,"")</f>
        <v>5.9563294637921503E-2</v>
      </c>
      <c r="M419" s="31">
        <f>IFERROR(Serie_Historica!P1389/Serie_Historica!P1388,"")</f>
        <v>0.13394521321660549</v>
      </c>
      <c r="N419" s="31">
        <f>IFERROR(Serie_Historica!Q1389/Serie_Historica!Q1388,"")</f>
        <v>0.12560337121695825</v>
      </c>
      <c r="O419" s="31">
        <f>IFERROR(Serie_Historica!R1389/Serie_Historica!R1388,"")</f>
        <v>6.9978556111508217E-2</v>
      </c>
      <c r="P419" s="31">
        <f>IFERROR(Serie_Historica!S1389/Serie_Historica!S1388,"")</f>
        <v>5.5792641839989221E-2</v>
      </c>
      <c r="Q419" s="31">
        <f>IFERROR(Serie_Historica!T1389/Serie_Historica!T1388,"")</f>
        <v>6.1445163942851266E-2</v>
      </c>
      <c r="R419" s="31">
        <f>IFERROR(Serie_Historica!U1389/Serie_Historica!U1388,"")</f>
        <v>5.5084244169987764E-2</v>
      </c>
      <c r="S419" s="31">
        <f>IFERROR(Serie_Historica!V1389/Serie_Historica!V1388,"")</f>
        <v>3.3778927698720713E-2</v>
      </c>
      <c r="T419" s="31">
        <f>IFERROR(Serie_Historica!W1389/Serie_Historica!W1388,"")</f>
        <v>4.3545653701483902E-2</v>
      </c>
      <c r="U419" s="31">
        <f>IFERROR(Serie_Historica!X1389/Serie_Historica!X1388,"")</f>
        <v>3.7693459810284574E-2</v>
      </c>
      <c r="V419" s="31">
        <f>IFERROR(Serie_Historica!Y1389/Serie_Historica!Y1388,"")</f>
        <v>3.918617832154165E-2</v>
      </c>
      <c r="W419" s="31">
        <f>IFERROR(Serie_Historica!Z1389/Serie_Historica!Z1388,"")</f>
        <v>4.1184877224892814E-2</v>
      </c>
      <c r="X419" s="19">
        <f>IFERROR((W419-D419)*100,"")</f>
        <v>-3.5509941309688329</v>
      </c>
    </row>
    <row r="420" spans="1:24">
      <c r="A420" s="28" t="s">
        <v>355</v>
      </c>
      <c r="B420" s="28" t="s">
        <v>356</v>
      </c>
      <c r="C420" s="28" t="s">
        <v>505</v>
      </c>
      <c r="D420" s="31">
        <f>IFERROR(Serie_Historica!G1390/Serie_Historica!G1388,"")</f>
        <v>0.18648710340104999</v>
      </c>
      <c r="E420" s="31">
        <f>IFERROR(Serie_Historica!H1390/Serie_Historica!H1388,"")</f>
        <v>0.19126942322886489</v>
      </c>
      <c r="F420" s="31">
        <f>IFERROR(Serie_Historica!I1390/Serie_Historica!I1388,"")</f>
        <v>0.19461430575035063</v>
      </c>
      <c r="G420" s="31">
        <f>IFERROR(Serie_Historica!J1390/Serie_Historica!J1388,"")</f>
        <v>0.19862858438172956</v>
      </c>
      <c r="H420" s="31">
        <f>IFERROR(Serie_Historica!K1390/Serie_Historica!K1388,"")</f>
        <v>0.20820863616930313</v>
      </c>
      <c r="I420" s="31">
        <f>IFERROR(Serie_Historica!L1390/Serie_Historica!L1388,"")</f>
        <v>0.21540543062424186</v>
      </c>
      <c r="J420" s="31">
        <f>IFERROR(Serie_Historica!M1390/Serie_Historica!M1388,"")</f>
        <v>0.18868462886724005</v>
      </c>
      <c r="K420" s="31">
        <f>IFERROR(Serie_Historica!N1390/Serie_Historica!N1388,"")</f>
        <v>0.20031527981083211</v>
      </c>
      <c r="L420" s="31">
        <f>IFERROR(Serie_Historica!O1390/Serie_Historica!O1388,"")</f>
        <v>0.23120508568269763</v>
      </c>
      <c r="M420" s="31">
        <f>IFERROR(Serie_Historica!P1390/Serie_Historica!P1388,"")</f>
        <v>0.21369669584863032</v>
      </c>
      <c r="N420" s="31">
        <f>IFERROR(Serie_Historica!Q1390/Serie_Historica!Q1388,"")</f>
        <v>0.27135742561614096</v>
      </c>
      <c r="O420" s="31">
        <f>IFERROR(Serie_Historica!R1390/Serie_Historica!R1388,"")</f>
        <v>0.29463902787705504</v>
      </c>
      <c r="P420" s="31">
        <f>IFERROR(Serie_Historica!S1390/Serie_Historica!S1388,"")</f>
        <v>0.30663492206100357</v>
      </c>
      <c r="Q420" s="31">
        <f>IFERROR(Serie_Historica!T1390/Serie_Historica!T1388,"")</f>
        <v>0.3165176277109672</v>
      </c>
      <c r="R420" s="31">
        <f>IFERROR(Serie_Historica!U1390/Serie_Historica!U1388,"")</f>
        <v>0.31614252456299569</v>
      </c>
      <c r="S420" s="31">
        <f>IFERROR(Serie_Historica!V1390/Serie_Historica!V1388,"")</f>
        <v>0.32796104642805807</v>
      </c>
      <c r="T420" s="31">
        <f>IFERROR(Serie_Historica!W1390/Serie_Historica!W1388,"")</f>
        <v>0.24170214524862563</v>
      </c>
      <c r="U420" s="31">
        <f>IFERROR(Serie_Historica!X1390/Serie_Historica!X1388,"")</f>
        <v>0.22742808863627637</v>
      </c>
      <c r="V420" s="31">
        <f>IFERROR(Serie_Historica!Y1390/Serie_Historica!Y1388,"")</f>
        <v>0.223761873118868</v>
      </c>
      <c r="W420" s="31">
        <f>IFERROR(Serie_Historica!Z1390/Serie_Historica!Z1388,"")</f>
        <v>0.22145919560496669</v>
      </c>
      <c r="X420" s="19">
        <f>IFERROR((W420-D420)*100,"")</f>
        <v>3.49720922039167</v>
      </c>
    </row>
    <row r="421" spans="1:24">
      <c r="A421" s="28" t="s">
        <v>355</v>
      </c>
      <c r="B421" s="28" t="s">
        <v>356</v>
      </c>
      <c r="C421" s="28" t="s">
        <v>506</v>
      </c>
      <c r="D421" s="31">
        <f>IFERROR(Serie_Historica!G1391/Serie_Historica!G1388,"")</f>
        <v>0.58152628775774173</v>
      </c>
      <c r="E421" s="31">
        <f>IFERROR(Serie_Historica!H1391/Serie_Historica!H1388,"")</f>
        <v>0.55273900447721891</v>
      </c>
      <c r="F421" s="31">
        <f>IFERROR(Serie_Historica!I1391/Serie_Historica!I1388,"")</f>
        <v>0.52241234221598876</v>
      </c>
      <c r="G421" s="31">
        <f>IFERROR(Serie_Historica!J1391/Serie_Historica!J1388,"")</f>
        <v>0.5903320865918622</v>
      </c>
      <c r="H421" s="31">
        <f>IFERROR(Serie_Historica!K1391/Serie_Historica!K1388,"")</f>
        <v>0.62099187687045743</v>
      </c>
      <c r="I421" s="31">
        <f>IFERROR(Serie_Historica!L1391/Serie_Historica!L1388,"")</f>
        <v>0.63539236726695902</v>
      </c>
      <c r="J421" s="31">
        <f>IFERROR(Serie_Historica!M1391/Serie_Historica!M1388,"")</f>
        <v>0.5978070354216769</v>
      </c>
      <c r="K421" s="31">
        <f>IFERROR(Serie_Historica!N1391/Serie_Historica!N1388,"")</f>
        <v>0.62808242315054608</v>
      </c>
      <c r="L421" s="31">
        <f>IFERROR(Serie_Historica!O1391/Serie_Historica!O1388,"")</f>
        <v>0.63208264234383638</v>
      </c>
      <c r="M421" s="31">
        <f>IFERROR(Serie_Historica!P1391/Serie_Historica!P1388,"")</f>
        <v>0.55580344535441961</v>
      </c>
      <c r="N421" s="31">
        <f>IFERROR(Serie_Historica!Q1391/Serie_Historica!Q1388,"")</f>
        <v>0.55364576682416033</v>
      </c>
      <c r="O421" s="31">
        <f>IFERROR(Serie_Historica!R1391/Serie_Historica!R1388,"")</f>
        <v>0.585799380509888</v>
      </c>
      <c r="P421" s="31">
        <f>IFERROR(Serie_Historica!S1391/Serie_Historica!S1388,"")</f>
        <v>0.5916176272404654</v>
      </c>
      <c r="Q421" s="31">
        <f>IFERROR(Serie_Historica!T1391/Serie_Historica!T1388,"")</f>
        <v>0.57422139993832866</v>
      </c>
      <c r="R421" s="31">
        <f>IFERROR(Serie_Historica!U1391/Serie_Historica!U1388,"")</f>
        <v>0.57871996211971743</v>
      </c>
      <c r="S421" s="31">
        <f>IFERROR(Serie_Historica!V1391/Serie_Historica!V1388,"")</f>
        <v>0.58965789851947681</v>
      </c>
      <c r="T421" s="31">
        <f>IFERROR(Serie_Historica!W1391/Serie_Historica!W1388,"")</f>
        <v>0.66550241805480925</v>
      </c>
      <c r="U421" s="31">
        <f>IFERROR(Serie_Historica!X1391/Serie_Historica!X1388,"")</f>
        <v>0.6820538423134529</v>
      </c>
      <c r="V421" s="31">
        <f>IFERROR(Serie_Historica!Y1391/Serie_Historica!Y1388,"")</f>
        <v>0.65637337294296993</v>
      </c>
      <c r="W421" s="31">
        <f>IFERROR(Serie_Historica!Z1391/Serie_Historica!Z1388,"")</f>
        <v>0.67078082369754455</v>
      </c>
      <c r="X421" s="19">
        <f>IFERROR((W421-D421)*100,"")</f>
        <v>8.925453593980281</v>
      </c>
    </row>
    <row r="422" spans="1:24">
      <c r="A422" s="28" t="s">
        <v>293</v>
      </c>
      <c r="B422" s="28" t="s">
        <v>294</v>
      </c>
      <c r="C422" s="28" t="s">
        <v>504</v>
      </c>
      <c r="D422" s="31">
        <f>IFERROR(Serie_Historica!G1399/Serie_Historica!G1398,"")</f>
        <v>6.5987957042646969E-2</v>
      </c>
      <c r="E422" s="31">
        <f>IFERROR(Serie_Historica!H1399/Serie_Historica!H1398,"")</f>
        <v>3.8577997084221154E-2</v>
      </c>
      <c r="F422" s="31">
        <f>IFERROR(Serie_Historica!I1399/Serie_Historica!I1398,"")</f>
        <v>3.8281736962393516E-2</v>
      </c>
      <c r="G422" s="31">
        <f>IFERROR(Serie_Historica!J1399/Serie_Historica!J1398,"")</f>
        <v>4.0569362017804152E-2</v>
      </c>
      <c r="H422" s="31">
        <f>IFERROR(Serie_Historica!K1399/Serie_Historica!K1398,"")</f>
        <v>4.1668411575024079E-2</v>
      </c>
      <c r="I422" s="31">
        <f>IFERROR(Serie_Historica!L1399/Serie_Historica!L1398,"")</f>
        <v>3.6472709874498549E-2</v>
      </c>
      <c r="J422" s="31">
        <f>IFERROR(Serie_Historica!M1399/Serie_Historica!M1398,"")</f>
        <v>3.5101961293674502E-2</v>
      </c>
      <c r="K422" s="31">
        <f>IFERROR(Serie_Historica!N1399/Serie_Historica!N1398,"")</f>
        <v>5.8840058446667419E-2</v>
      </c>
      <c r="L422" s="31">
        <f>IFERROR(Serie_Historica!O1399/Serie_Historica!O1398,"")</f>
        <v>3.135202223241508E-2</v>
      </c>
      <c r="M422" s="31">
        <f>IFERROR(Serie_Historica!P1399/Serie_Historica!P1398,"")</f>
        <v>3.1190903062602846E-2</v>
      </c>
      <c r="N422" s="31">
        <f>IFERROR(Serie_Historica!Q1399/Serie_Historica!Q1398,"")</f>
        <v>3.8047160121506149E-2</v>
      </c>
      <c r="O422" s="31">
        <f>IFERROR(Serie_Historica!R1399/Serie_Historica!R1398,"")</f>
        <v>5.7509479071331179E-2</v>
      </c>
      <c r="P422" s="31">
        <f>IFERROR(Serie_Historica!S1399/Serie_Historica!S1398,"")</f>
        <v>4.2155002418424674E-2</v>
      </c>
      <c r="Q422" s="31">
        <f>IFERROR(Serie_Historica!T1399/Serie_Historica!T1398,"")</f>
        <v>4.2920309850726424E-2</v>
      </c>
      <c r="R422" s="31">
        <f>IFERROR(Serie_Historica!U1399/Serie_Historica!U1398,"")</f>
        <v>3.8943584935146117E-2</v>
      </c>
      <c r="S422" s="31">
        <f>IFERROR(Serie_Historica!V1399/Serie_Historica!V1398,"")</f>
        <v>3.4533388148235158E-2</v>
      </c>
      <c r="T422" s="31">
        <f>IFERROR(Serie_Historica!W1399/Serie_Historica!W1398,"")</f>
        <v>4.4901344864629655E-2</v>
      </c>
      <c r="U422" s="31">
        <f>IFERROR(Serie_Historica!X1399/Serie_Historica!X1398,"")</f>
        <v>3.7261532571939003E-2</v>
      </c>
      <c r="V422" s="31">
        <f>IFERROR(Serie_Historica!Y1399/Serie_Historica!Y1398,"")</f>
        <v>3.9124467064268101E-2</v>
      </c>
      <c r="W422" s="31">
        <f>IFERROR(Serie_Historica!Z1399/Serie_Historica!Z1398,"")</f>
        <v>4.4433663085151703E-2</v>
      </c>
      <c r="X422" s="19">
        <f>IFERROR((W422-D422)*100,"")</f>
        <v>-2.1554293957495267</v>
      </c>
    </row>
    <row r="423" spans="1:24">
      <c r="A423" s="28" t="s">
        <v>293</v>
      </c>
      <c r="B423" s="28" t="s">
        <v>294</v>
      </c>
      <c r="C423" s="28" t="s">
        <v>505</v>
      </c>
      <c r="D423" s="31">
        <f>IFERROR(Serie_Historica!G1400/Serie_Historica!G1398,"")</f>
        <v>0.20572350859767832</v>
      </c>
      <c r="E423" s="31">
        <f>IFERROR(Serie_Historica!H1400/Serie_Historica!H1398,"")</f>
        <v>0.19866547044970281</v>
      </c>
      <c r="F423" s="31">
        <f>IFERROR(Serie_Historica!I1400/Serie_Historica!I1398,"")</f>
        <v>0.20335549553293164</v>
      </c>
      <c r="G423" s="31">
        <f>IFERROR(Serie_Historica!J1400/Serie_Historica!J1398,"")</f>
        <v>0.19774666172106825</v>
      </c>
      <c r="H423" s="31">
        <f>IFERROR(Serie_Historica!K1400/Serie_Historica!K1398,"")</f>
        <v>0.19305666066418192</v>
      </c>
      <c r="I423" s="31">
        <f>IFERROR(Serie_Historica!L1400/Serie_Historica!L1398,"")</f>
        <v>0.19609142100033122</v>
      </c>
      <c r="J423" s="31">
        <f>IFERROR(Serie_Historica!M1400/Serie_Historica!M1398,"")</f>
        <v>0.18830367580205221</v>
      </c>
      <c r="K423" s="31">
        <f>IFERROR(Serie_Historica!N1400/Serie_Historica!N1398,"")</f>
        <v>0.18374171068899628</v>
      </c>
      <c r="L423" s="31">
        <f>IFERROR(Serie_Historica!O1400/Serie_Historica!O1398,"")</f>
        <v>0.19337344521490435</v>
      </c>
      <c r="M423" s="31">
        <f>IFERROR(Serie_Historica!P1400/Serie_Historica!P1398,"")</f>
        <v>0.20325662499693004</v>
      </c>
      <c r="N423" s="31">
        <f>IFERROR(Serie_Historica!Q1400/Serie_Historica!Q1398,"")</f>
        <v>0.22876374046635634</v>
      </c>
      <c r="O423" s="31">
        <f>IFERROR(Serie_Historica!R1400/Serie_Historica!R1398,"")</f>
        <v>0.21042604456564373</v>
      </c>
      <c r="P423" s="31">
        <f>IFERROR(Serie_Historica!S1400/Serie_Historica!S1398,"")</f>
        <v>0.19592960523867992</v>
      </c>
      <c r="Q423" s="31">
        <f>IFERROR(Serie_Historica!T1400/Serie_Historica!T1398,"")</f>
        <v>0.22101798597027827</v>
      </c>
      <c r="R423" s="31">
        <f>IFERROR(Serie_Historica!U1400/Serie_Historica!U1398,"")</f>
        <v>0.22223784966401</v>
      </c>
      <c r="S423" s="31">
        <f>IFERROR(Serie_Historica!V1400/Serie_Historica!V1398,"")</f>
        <v>0.22462853115639866</v>
      </c>
      <c r="T423" s="31">
        <f>IFERROR(Serie_Historica!W1400/Serie_Historica!W1398,"")</f>
        <v>0.24153170426576376</v>
      </c>
      <c r="U423" s="31">
        <f>IFERROR(Serie_Historica!X1400/Serie_Historica!X1398,"")</f>
        <v>0.24661519811140178</v>
      </c>
      <c r="V423" s="31">
        <f>IFERROR(Serie_Historica!Y1400/Serie_Historica!Y1398,"")</f>
        <v>0.24827820763540515</v>
      </c>
      <c r="W423" s="31">
        <f>IFERROR(Serie_Historica!Z1400/Serie_Historica!Z1398,"")</f>
        <v>0.24071093860936243</v>
      </c>
      <c r="X423" s="19">
        <f>IFERROR((W423-D423)*100,"")</f>
        <v>3.4987430011684113</v>
      </c>
    </row>
    <row r="424" spans="1:24">
      <c r="A424" s="28" t="s">
        <v>293</v>
      </c>
      <c r="B424" s="28" t="s">
        <v>294</v>
      </c>
      <c r="C424" s="28" t="s">
        <v>506</v>
      </c>
      <c r="D424" s="31">
        <f>IFERROR(Serie_Historica!G1401/Serie_Historica!G1398,"")</f>
        <v>0.5892979080017382</v>
      </c>
      <c r="E424" s="31">
        <f>IFERROR(Serie_Historica!H1401/Serie_Historica!H1398,"")</f>
        <v>0.55001682180105416</v>
      </c>
      <c r="F424" s="31">
        <f>IFERROR(Serie_Historica!I1401/Serie_Historica!I1398,"")</f>
        <v>0.56913567421566591</v>
      </c>
      <c r="G424" s="31">
        <f>IFERROR(Serie_Historica!J1401/Serie_Historica!J1398,"")</f>
        <v>0.58438427299703266</v>
      </c>
      <c r="H424" s="31">
        <f>IFERROR(Serie_Historica!K1401/Serie_Historica!K1398,"")</f>
        <v>0.59298965618325727</v>
      </c>
      <c r="I424" s="31">
        <f>IFERROR(Serie_Historica!L1401/Serie_Historica!L1398,"")</f>
        <v>0.62253873615251554</v>
      </c>
      <c r="J424" s="31">
        <f>IFERROR(Serie_Historica!M1401/Serie_Historica!M1398,"")</f>
        <v>0.63362124951292376</v>
      </c>
      <c r="K424" s="31">
        <f>IFERROR(Serie_Historica!N1401/Serie_Historica!N1398,"")</f>
        <v>0.59581881533101044</v>
      </c>
      <c r="L424" s="31">
        <f>IFERROR(Serie_Historica!O1401/Serie_Historica!O1398,"")</f>
        <v>0.62302026279578016</v>
      </c>
      <c r="M424" s="31">
        <f>IFERROR(Serie_Historica!P1401/Serie_Historica!P1398,"")</f>
        <v>0.6202814549205492</v>
      </c>
      <c r="N424" s="31">
        <f>IFERROR(Serie_Historica!Q1401/Serie_Historica!Q1398,"")</f>
        <v>0.59052863917480714</v>
      </c>
      <c r="O424" s="31">
        <f>IFERROR(Serie_Historica!R1401/Serie_Historica!R1398,"")</f>
        <v>0.57905452100338073</v>
      </c>
      <c r="P424" s="31">
        <f>IFERROR(Serie_Historica!S1401/Serie_Historica!S1398,"")</f>
        <v>0.61463332961268002</v>
      </c>
      <c r="Q424" s="31">
        <f>IFERROR(Serie_Historica!T1401/Serie_Historica!T1398,"")</f>
        <v>0.5929053492469829</v>
      </c>
      <c r="R424" s="31">
        <f>IFERROR(Serie_Historica!U1401/Serie_Historica!U1398,"")</f>
        <v>0.58712298796686979</v>
      </c>
      <c r="S424" s="31">
        <f>IFERROR(Serie_Historica!V1401/Serie_Historica!V1398,"")</f>
        <v>0.57790567921536384</v>
      </c>
      <c r="T424" s="31">
        <f>IFERROR(Serie_Historica!W1401/Serie_Historica!W1398,"")</f>
        <v>0.5474374141611934</v>
      </c>
      <c r="U424" s="31">
        <f>IFERROR(Serie_Historica!X1401/Serie_Historica!X1398,"")</f>
        <v>0.5476424424168953</v>
      </c>
      <c r="V424" s="31">
        <f>IFERROR(Serie_Historica!Y1401/Serie_Historica!Y1398,"")</f>
        <v>0.5652216162376863</v>
      </c>
      <c r="W424" s="31">
        <f>IFERROR(Serie_Historica!Z1401/Serie_Historica!Z1398,"")</f>
        <v>0.5585743361575235</v>
      </c>
      <c r="X424" s="19">
        <f>IFERROR((W424-D424)*100,"")</f>
        <v>-3.0723571844214703</v>
      </c>
    </row>
    <row r="425" spans="1:24">
      <c r="A425" s="28" t="s">
        <v>271</v>
      </c>
      <c r="B425" s="28" t="s">
        <v>272</v>
      </c>
      <c r="C425" s="28" t="s">
        <v>504</v>
      </c>
      <c r="D425" s="31">
        <f>IFERROR(Serie_Historica!G1409/Serie_Historica!G1408,"")</f>
        <v>4.8705995820607619E-2</v>
      </c>
      <c r="E425" s="31">
        <f>IFERROR(Serie_Historica!H1409/Serie_Historica!H1408,"")</f>
        <v>3.0806748618922013E-2</v>
      </c>
      <c r="F425" s="31">
        <f>IFERROR(Serie_Historica!I1409/Serie_Historica!I1408,"")</f>
        <v>4.2371001375393763E-2</v>
      </c>
      <c r="G425" s="31">
        <f>IFERROR(Serie_Historica!J1409/Serie_Historica!J1408,"")</f>
        <v>4.1521660866434655E-2</v>
      </c>
      <c r="H425" s="31">
        <f>IFERROR(Serie_Historica!K1409/Serie_Historica!K1408,"")</f>
        <v>3.99390022511074E-2</v>
      </c>
      <c r="I425" s="31">
        <f>IFERROR(Serie_Historica!L1409/Serie_Historica!L1408,"")</f>
        <v>3.7735849056603772E-2</v>
      </c>
      <c r="J425" s="31">
        <f>IFERROR(Serie_Historica!M1409/Serie_Historica!M1408,"")</f>
        <v>3.6857973218893447E-2</v>
      </c>
      <c r="K425" s="31">
        <f>IFERROR(Serie_Historica!N1409/Serie_Historica!N1408,"")</f>
        <v>3.5058894899145647E-2</v>
      </c>
      <c r="L425" s="31">
        <f>IFERROR(Serie_Historica!O1409/Serie_Historica!O1408,"")</f>
        <v>3.1568130765186636E-2</v>
      </c>
      <c r="M425" s="31">
        <f>IFERROR(Serie_Historica!P1409/Serie_Historica!P1408,"")</f>
        <v>3.0763247845753936E-2</v>
      </c>
      <c r="N425" s="31">
        <f>IFERROR(Serie_Historica!Q1409/Serie_Historica!Q1408,"")</f>
        <v>3.8275097760077849E-2</v>
      </c>
      <c r="O425" s="31">
        <f>IFERROR(Serie_Historica!R1409/Serie_Historica!R1408,"")</f>
        <v>4.2680615571222803E-2</v>
      </c>
      <c r="P425" s="31">
        <f>IFERROR(Serie_Historica!S1409/Serie_Historica!S1408,"")</f>
        <v>3.9590186502818557E-2</v>
      </c>
      <c r="Q425" s="31">
        <f>IFERROR(Serie_Historica!T1409/Serie_Historica!T1408,"")</f>
        <v>3.9270005908225561E-2</v>
      </c>
      <c r="R425" s="31">
        <f>IFERROR(Serie_Historica!U1409/Serie_Historica!U1408,"")</f>
        <v>4.351010840902432E-2</v>
      </c>
      <c r="S425" s="31">
        <f>IFERROR(Serie_Historica!V1409/Serie_Historica!V1408,"")</f>
        <v>3.8136668897556021E-2</v>
      </c>
      <c r="T425" s="31">
        <f>IFERROR(Serie_Historica!W1409/Serie_Historica!W1408,"")</f>
        <v>3.6358578184853087E-2</v>
      </c>
      <c r="U425" s="31">
        <f>IFERROR(Serie_Historica!X1409/Serie_Historica!X1408,"")</f>
        <v>4.0019839424656686E-2</v>
      </c>
      <c r="V425" s="31">
        <f>IFERROR(Serie_Historica!Y1409/Serie_Historica!Y1408,"")</f>
        <v>3.9209464216653611E-2</v>
      </c>
      <c r="W425" s="31">
        <f>IFERROR(Serie_Historica!Z1409/Serie_Historica!Z1408,"")</f>
        <v>4.516937328562344E-2</v>
      </c>
      <c r="X425" s="19">
        <f>IFERROR((W425-D425)*100,"")</f>
        <v>-0.35366225349841784</v>
      </c>
    </row>
    <row r="426" spans="1:24">
      <c r="A426" s="28" t="s">
        <v>271</v>
      </c>
      <c r="B426" s="28" t="s">
        <v>272</v>
      </c>
      <c r="C426" s="28" t="s">
        <v>505</v>
      </c>
      <c r="D426" s="31">
        <f>IFERROR(Serie_Historica!G1410/Serie_Historica!G1408,"")</f>
        <v>0.18303595349086427</v>
      </c>
      <c r="E426" s="31">
        <f>IFERROR(Serie_Historica!H1410/Serie_Historica!H1408,"")</f>
        <v>0.18369581446274821</v>
      </c>
      <c r="F426" s="31">
        <f>IFERROR(Serie_Historica!I1410/Serie_Historica!I1408,"")</f>
        <v>0.18425839655707885</v>
      </c>
      <c r="G426" s="31">
        <f>IFERROR(Serie_Historica!J1410/Serie_Historica!J1408,"")</f>
        <v>0.17636705468218727</v>
      </c>
      <c r="H426" s="31">
        <f>IFERROR(Serie_Historica!K1410/Serie_Historica!K1408,"")</f>
        <v>0.1841914167453344</v>
      </c>
      <c r="I426" s="31">
        <f>IFERROR(Serie_Historica!L1410/Serie_Historica!L1408,"")</f>
        <v>0.17456640351144573</v>
      </c>
      <c r="J426" s="31">
        <f>IFERROR(Serie_Historica!M1410/Serie_Historica!M1408,"")</f>
        <v>0.15911128011516418</v>
      </c>
      <c r="K426" s="31">
        <f>IFERROR(Serie_Historica!N1410/Serie_Historica!N1408,"")</f>
        <v>0.16164501289115818</v>
      </c>
      <c r="L426" s="31">
        <f>IFERROR(Serie_Historica!O1410/Serie_Historica!O1408,"")</f>
        <v>0.17502270228934666</v>
      </c>
      <c r="M426" s="31">
        <f>IFERROR(Serie_Historica!P1410/Serie_Historica!P1408,"")</f>
        <v>0.18799762572405182</v>
      </c>
      <c r="N426" s="31">
        <f>IFERROR(Serie_Historica!Q1410/Serie_Historica!Q1408,"")</f>
        <v>0.22856936910961742</v>
      </c>
      <c r="O426" s="31">
        <f>IFERROR(Serie_Historica!R1410/Serie_Historica!R1408,"")</f>
        <v>0.22826169357895534</v>
      </c>
      <c r="P426" s="31">
        <f>IFERROR(Serie_Historica!S1410/Serie_Historica!S1408,"")</f>
        <v>0.21973133160404018</v>
      </c>
      <c r="Q426" s="31">
        <f>IFERROR(Serie_Historica!T1410/Serie_Historica!T1408,"")</f>
        <v>0.25980437208691654</v>
      </c>
      <c r="R426" s="31">
        <f>IFERROR(Serie_Historica!U1410/Serie_Historica!U1408,"")</f>
        <v>0.27341537259498</v>
      </c>
      <c r="S426" s="31">
        <f>IFERROR(Serie_Historica!V1410/Serie_Historica!V1408,"")</f>
        <v>0.27193002700145391</v>
      </c>
      <c r="T426" s="31">
        <f>IFERROR(Serie_Historica!W1410/Serie_Historica!W1408,"")</f>
        <v>0.25293714823771107</v>
      </c>
      <c r="U426" s="31">
        <f>IFERROR(Serie_Historica!X1410/Serie_Historica!X1408,"")</f>
        <v>0.25640389762030236</v>
      </c>
      <c r="V426" s="31">
        <f>IFERROR(Serie_Historica!Y1410/Serie_Historica!Y1408,"")</f>
        <v>0.25924456828932102</v>
      </c>
      <c r="W426" s="31">
        <f>IFERROR(Serie_Historica!Z1410/Serie_Historica!Z1408,"")</f>
        <v>0.25905712848451484</v>
      </c>
      <c r="X426" s="19">
        <f>IFERROR((W426-D426)*100,"")</f>
        <v>7.6021174993650575</v>
      </c>
    </row>
    <row r="427" spans="1:24">
      <c r="A427" s="28" t="s">
        <v>271</v>
      </c>
      <c r="B427" s="28" t="s">
        <v>272</v>
      </c>
      <c r="C427" s="28" t="s">
        <v>506</v>
      </c>
      <c r="D427" s="31">
        <f>IFERROR(Serie_Historica!G1411/Serie_Historica!G1408,"")</f>
        <v>0.65750415260140382</v>
      </c>
      <c r="E427" s="31">
        <f>IFERROR(Serie_Historica!H1411/Serie_Historica!H1408,"")</f>
        <v>0.67725078385507387</v>
      </c>
      <c r="F427" s="31">
        <f>IFERROR(Serie_Historica!I1411/Serie_Historica!I1408,"")</f>
        <v>0.6457695549935667</v>
      </c>
      <c r="G427" s="31">
        <f>IFERROR(Serie_Historica!J1411/Serie_Historica!J1408,"")</f>
        <v>0.66806672266890677</v>
      </c>
      <c r="H427" s="31">
        <f>IFERROR(Serie_Historica!K1411/Serie_Historica!K1408,"")</f>
        <v>0.66233389005881926</v>
      </c>
      <c r="I427" s="31">
        <f>IFERROR(Serie_Historica!L1411/Serie_Historica!L1408,"")</f>
        <v>0.70378272929557717</v>
      </c>
      <c r="J427" s="31">
        <f>IFERROR(Serie_Historica!M1411/Serie_Historica!M1408,"")</f>
        <v>0.70195833446505695</v>
      </c>
      <c r="K427" s="31">
        <f>IFERROR(Serie_Historica!N1411/Serie_Historica!N1408,"")</f>
        <v>0.72407866134169152</v>
      </c>
      <c r="L427" s="31">
        <f>IFERROR(Serie_Historica!O1411/Serie_Historica!O1408,"")</f>
        <v>0.72857620800076472</v>
      </c>
      <c r="M427" s="31">
        <f>IFERROR(Serie_Historica!P1411/Serie_Historica!P1408,"")</f>
        <v>0.7053441676730049</v>
      </c>
      <c r="N427" s="31">
        <f>IFERROR(Serie_Historica!Q1411/Serie_Historica!Q1408,"")</f>
        <v>0.69125835690988058</v>
      </c>
      <c r="O427" s="31">
        <f>IFERROR(Serie_Historica!R1411/Serie_Historica!R1408,"")</f>
        <v>0.6874687286786445</v>
      </c>
      <c r="P427" s="31">
        <f>IFERROR(Serie_Historica!S1411/Serie_Historica!S1408,"")</f>
        <v>0.70308809251235382</v>
      </c>
      <c r="Q427" s="31">
        <f>IFERROR(Serie_Historica!T1411/Serie_Historica!T1408,"")</f>
        <v>0.66337556620494975</v>
      </c>
      <c r="R427" s="31">
        <f>IFERROR(Serie_Historica!U1411/Serie_Historica!U1408,"")</f>
        <v>0.6474020900478562</v>
      </c>
      <c r="S427" s="31">
        <f>IFERROR(Serie_Historica!V1411/Serie_Historica!V1408,"")</f>
        <v>0.65637765110429025</v>
      </c>
      <c r="T427" s="31">
        <f>IFERROR(Serie_Historica!W1411/Serie_Historica!W1408,"")</f>
        <v>0.68448928930642639</v>
      </c>
      <c r="U427" s="31">
        <f>IFERROR(Serie_Historica!X1411/Serie_Historica!X1408,"")</f>
        <v>0.67298015024230962</v>
      </c>
      <c r="V427" s="31">
        <f>IFERROR(Serie_Historica!Y1411/Serie_Historica!Y1408,"")</f>
        <v>0.65565284650397149</v>
      </c>
      <c r="W427" s="31">
        <f>IFERROR(Serie_Historica!Z1411/Serie_Historica!Z1408,"")</f>
        <v>0.66434761149972954</v>
      </c>
      <c r="X427" s="19">
        <f>IFERROR((W427-D427)*100,"")</f>
        <v>0.68434588983257161</v>
      </c>
    </row>
    <row r="428" spans="1:24">
      <c r="A428" s="28" t="s">
        <v>323</v>
      </c>
      <c r="B428" s="28" t="s">
        <v>324</v>
      </c>
      <c r="C428" s="28" t="s">
        <v>504</v>
      </c>
      <c r="D428" s="31">
        <f>IFERROR(Serie_Historica!G1419/Serie_Historica!G1418,"")</f>
        <v>9.6879718168092599E-2</v>
      </c>
      <c r="E428" s="31">
        <f>IFERROR(Serie_Historica!H1419/Serie_Historica!H1418,"")</f>
        <v>7.8276025986372996E-2</v>
      </c>
      <c r="F428" s="31">
        <f>IFERROR(Serie_Historica!I1419/Serie_Historica!I1418,"")</f>
        <v>4.1422371126170712E-2</v>
      </c>
      <c r="G428" s="31">
        <f>IFERROR(Serie_Historica!J1419/Serie_Historica!J1418,"")</f>
        <v>5.0809912778623838E-2</v>
      </c>
      <c r="H428" s="31">
        <f>IFERROR(Serie_Historica!K1419/Serie_Historica!K1418,"")</f>
        <v>4.9914650656307021E-2</v>
      </c>
      <c r="I428" s="31">
        <f>IFERROR(Serie_Historica!L1419/Serie_Historica!L1418,"")</f>
        <v>8.3148844153838233E-2</v>
      </c>
      <c r="J428" s="31">
        <f>IFERROR(Serie_Historica!M1419/Serie_Historica!M1418,"")</f>
        <v>0.14753203108590632</v>
      </c>
      <c r="K428" s="31">
        <f>IFERROR(Serie_Historica!N1419/Serie_Historica!N1418,"")</f>
        <v>5.110519522426589E-2</v>
      </c>
      <c r="L428" s="31">
        <f>IFERROR(Serie_Historica!O1419/Serie_Historica!O1418,"")</f>
        <v>6.3697726743734973E-2</v>
      </c>
      <c r="M428" s="31">
        <f>IFERROR(Serie_Historica!P1419/Serie_Historica!P1418,"")</f>
        <v>7.0234861799009424E-2</v>
      </c>
      <c r="N428" s="31">
        <f>IFERROR(Serie_Historica!Q1419/Serie_Historica!Q1418,"")</f>
        <v>9.3756343705594061E-2</v>
      </c>
      <c r="O428" s="31">
        <f>IFERROR(Serie_Historica!R1419/Serie_Historica!R1418,"")</f>
        <v>8.3049814654953535E-2</v>
      </c>
      <c r="P428" s="31">
        <f>IFERROR(Serie_Historica!S1419/Serie_Historica!S1418,"")</f>
        <v>6.6925755816887908E-2</v>
      </c>
      <c r="Q428" s="31">
        <f>IFERROR(Serie_Historica!T1419/Serie_Historica!T1418,"")</f>
        <v>0.10547302077304006</v>
      </c>
      <c r="R428" s="31">
        <f>IFERROR(Serie_Historica!U1419/Serie_Historica!U1418,"")</f>
        <v>0.16513531872296308</v>
      </c>
      <c r="S428" s="31">
        <f>IFERROR(Serie_Historica!V1419/Serie_Historica!V1418,"")</f>
        <v>0.17561236782224601</v>
      </c>
      <c r="T428" s="31">
        <f>IFERROR(Serie_Historica!W1419/Serie_Historica!W1418,"")</f>
        <v>0.14521354011799872</v>
      </c>
      <c r="U428" s="31">
        <f>IFERROR(Serie_Historica!X1419/Serie_Historica!X1418,"")</f>
        <v>0.10107588624618453</v>
      </c>
      <c r="V428" s="31">
        <f>IFERROR(Serie_Historica!Y1419/Serie_Historica!Y1418,"")</f>
        <v>7.3411528940233409E-2</v>
      </c>
      <c r="W428" s="31">
        <f>IFERROR(Serie_Historica!Z1419/Serie_Historica!Z1418,"")</f>
        <v>7.1534629421478424E-2</v>
      </c>
      <c r="X428" s="19">
        <f>IFERROR((W428-D428)*100,"")</f>
        <v>-2.5345088746614177</v>
      </c>
    </row>
    <row r="429" spans="1:24">
      <c r="A429" s="28" t="s">
        <v>323</v>
      </c>
      <c r="B429" s="28" t="s">
        <v>324</v>
      </c>
      <c r="C429" s="28" t="s">
        <v>505</v>
      </c>
      <c r="D429" s="31">
        <f>IFERROR(Serie_Historica!G1420/Serie_Historica!G1418,"")</f>
        <v>0.20063747693340045</v>
      </c>
      <c r="E429" s="31">
        <f>IFERROR(Serie_Historica!H1420/Serie_Historica!H1418,"")</f>
        <v>0.20701948977974965</v>
      </c>
      <c r="F429" s="31">
        <f>IFERROR(Serie_Historica!I1420/Serie_Historica!I1418,"")</f>
        <v>0.20825401659940607</v>
      </c>
      <c r="G429" s="31">
        <f>IFERROR(Serie_Historica!J1420/Serie_Historica!J1418,"")</f>
        <v>0.18621071576907103</v>
      </c>
      <c r="H429" s="31">
        <f>IFERROR(Serie_Historica!K1420/Serie_Historica!K1418,"")</f>
        <v>0.18988757431279063</v>
      </c>
      <c r="I429" s="31">
        <f>IFERROR(Serie_Historica!L1420/Serie_Historica!L1418,"")</f>
        <v>0.20074138907480821</v>
      </c>
      <c r="J429" s="31">
        <f>IFERROR(Serie_Historica!M1420/Serie_Historica!M1418,"")</f>
        <v>0.17042638101239235</v>
      </c>
      <c r="K429" s="31">
        <f>IFERROR(Serie_Historica!N1420/Serie_Historica!N1418,"")</f>
        <v>0.18873023555985802</v>
      </c>
      <c r="L429" s="31">
        <f>IFERROR(Serie_Historica!O1420/Serie_Historica!O1418,"")</f>
        <v>0.18872682132050586</v>
      </c>
      <c r="M429" s="31">
        <f>IFERROR(Serie_Historica!P1420/Serie_Historica!P1418,"")</f>
        <v>0.19846620865953027</v>
      </c>
      <c r="N429" s="31">
        <f>IFERROR(Serie_Historica!Q1420/Serie_Historica!Q1418,"")</f>
        <v>0.21764347649566454</v>
      </c>
      <c r="O429" s="31">
        <f>IFERROR(Serie_Historica!R1420/Serie_Historica!R1418,"")</f>
        <v>0.21045549179911643</v>
      </c>
      <c r="P429" s="31">
        <f>IFERROR(Serie_Historica!S1420/Serie_Historica!S1418,"")</f>
        <v>0.21003886337253319</v>
      </c>
      <c r="Q429" s="31">
        <f>IFERROR(Serie_Historica!T1420/Serie_Historica!T1418,"")</f>
        <v>0.23487040967264775</v>
      </c>
      <c r="R429" s="31">
        <f>IFERROR(Serie_Historica!U1420/Serie_Historica!U1418,"")</f>
        <v>0.23746022666332989</v>
      </c>
      <c r="S429" s="31">
        <f>IFERROR(Serie_Historica!V1420/Serie_Historica!V1418,"")</f>
        <v>0.21613572480256993</v>
      </c>
      <c r="T429" s="31">
        <f>IFERROR(Serie_Historica!W1420/Serie_Historica!W1418,"")</f>
        <v>0.23956556440632873</v>
      </c>
      <c r="U429" s="31">
        <f>IFERROR(Serie_Historica!X1420/Serie_Historica!X1418,"")</f>
        <v>0.24837559309740398</v>
      </c>
      <c r="V429" s="31">
        <f>IFERROR(Serie_Historica!Y1420/Serie_Historica!Y1418,"")</f>
        <v>0.25598255334197806</v>
      </c>
      <c r="W429" s="31">
        <f>IFERROR(Serie_Historica!Z1420/Serie_Historica!Z1418,"")</f>
        <v>0.25989758960909204</v>
      </c>
      <c r="X429" s="19">
        <f>IFERROR((W429-D429)*100,"")</f>
        <v>5.9260112675691587</v>
      </c>
    </row>
    <row r="430" spans="1:24">
      <c r="A430" s="28" t="s">
        <v>323</v>
      </c>
      <c r="B430" s="28" t="s">
        <v>324</v>
      </c>
      <c r="C430" s="28" t="s">
        <v>506</v>
      </c>
      <c r="D430" s="31">
        <f>IFERROR(Serie_Historica!G1421/Serie_Historica!G1418,"")</f>
        <v>0.54755913437342729</v>
      </c>
      <c r="E430" s="31">
        <f>IFERROR(Serie_Historica!H1421/Serie_Historica!H1418,"")</f>
        <v>0.57645381080652824</v>
      </c>
      <c r="F430" s="31">
        <f>IFERROR(Serie_Historica!I1421/Serie_Historica!I1418,"")</f>
        <v>0.60458387268712399</v>
      </c>
      <c r="G430" s="31">
        <f>IFERROR(Serie_Historica!J1421/Serie_Historica!J1418,"")</f>
        <v>0.63650837602104393</v>
      </c>
      <c r="H430" s="31">
        <f>IFERROR(Serie_Historica!K1421/Serie_Historica!K1418,"")</f>
        <v>0.61186650185414093</v>
      </c>
      <c r="I430" s="31">
        <f>IFERROR(Serie_Historica!L1421/Serie_Historica!L1418,"")</f>
        <v>0.63409360037069451</v>
      </c>
      <c r="J430" s="31">
        <f>IFERROR(Serie_Historica!M1421/Serie_Historica!M1418,"")</f>
        <v>0.56857802982566685</v>
      </c>
      <c r="K430" s="31">
        <f>IFERROR(Serie_Historica!N1421/Serie_Historica!N1418,"")</f>
        <v>0.66650532429816067</v>
      </c>
      <c r="L430" s="31">
        <f>IFERROR(Serie_Historica!O1421/Serie_Historica!O1418,"")</f>
        <v>0.6628132516098999</v>
      </c>
      <c r="M430" s="31">
        <f>IFERROR(Serie_Historica!P1421/Serie_Historica!P1418,"")</f>
        <v>0.63968685093465405</v>
      </c>
      <c r="N430" s="31">
        <f>IFERROR(Serie_Historica!Q1421/Serie_Historica!Q1418,"")</f>
        <v>0.61827567207029555</v>
      </c>
      <c r="O430" s="31">
        <f>IFERROR(Serie_Historica!R1421/Serie_Historica!R1418,"")</f>
        <v>0.62222617173614991</v>
      </c>
      <c r="P430" s="31">
        <f>IFERROR(Serie_Historica!S1421/Serie_Historica!S1418,"")</f>
        <v>0.63150456770807051</v>
      </c>
      <c r="Q430" s="31">
        <f>IFERROR(Serie_Historica!T1421/Serie_Historica!T1418,"")</f>
        <v>0.58230968765408275</v>
      </c>
      <c r="R430" s="31">
        <f>IFERROR(Serie_Historica!U1421/Serie_Historica!U1418,"")</f>
        <v>0.53330234886132066</v>
      </c>
      <c r="S430" s="31">
        <f>IFERROR(Serie_Historica!V1421/Serie_Historica!V1418,"")</f>
        <v>0.54432137598715036</v>
      </c>
      <c r="T430" s="31">
        <f>IFERROR(Serie_Historica!W1421/Serie_Historica!W1418,"")</f>
        <v>0.54456251271537892</v>
      </c>
      <c r="U430" s="31">
        <f>IFERROR(Serie_Historica!X1421/Serie_Historica!X1418,"")</f>
        <v>0.57706488561153257</v>
      </c>
      <c r="V430" s="31">
        <f>IFERROR(Serie_Historica!Y1421/Serie_Historica!Y1418,"")</f>
        <v>0.58195803371448784</v>
      </c>
      <c r="W430" s="31">
        <f>IFERROR(Serie_Historica!Z1421/Serie_Historica!Z1418,"")</f>
        <v>0.57594049650999823</v>
      </c>
      <c r="X430" s="19">
        <f>IFERROR((W430-D430)*100,"")</f>
        <v>2.8381362136570942</v>
      </c>
    </row>
    <row r="431" spans="1:24">
      <c r="A431" s="28" t="s">
        <v>345</v>
      </c>
      <c r="B431" s="28" t="s">
        <v>346</v>
      </c>
      <c r="C431" s="28" t="s">
        <v>504</v>
      </c>
      <c r="D431" s="31">
        <f>IFERROR(Serie_Historica!G1429/Serie_Historica!G1428,"")</f>
        <v>5.9053615722190422E-2</v>
      </c>
      <c r="E431" s="31">
        <f>IFERROR(Serie_Historica!H1429/Serie_Historica!H1428,"")</f>
        <v>5.5614277583543377E-2</v>
      </c>
      <c r="F431" s="31">
        <f>IFERROR(Serie_Historica!I1429/Serie_Historica!I1428,"")</f>
        <v>5.1948051948051951E-2</v>
      </c>
      <c r="G431" s="31">
        <f>IFERROR(Serie_Historica!J1429/Serie_Historica!J1428,"")</f>
        <v>3.8305246802916221E-2</v>
      </c>
      <c r="H431" s="31">
        <f>IFERROR(Serie_Historica!K1429/Serie_Historica!K1428,"")</f>
        <v>3.6204361676059789E-2</v>
      </c>
      <c r="I431" s="31">
        <f>IFERROR(Serie_Historica!L1429/Serie_Historica!L1428,"")</f>
        <v>3.6949966780804415E-2</v>
      </c>
      <c r="J431" s="31">
        <f>IFERROR(Serie_Historica!M1429/Serie_Historica!M1428,"")</f>
        <v>3.1369696969696971E-2</v>
      </c>
      <c r="K431" s="31">
        <f>IFERROR(Serie_Historica!N1429/Serie_Historica!N1428,"")</f>
        <v>3.3978377396202415E-2</v>
      </c>
      <c r="L431" s="31">
        <f>IFERROR(Serie_Historica!O1429/Serie_Historica!O1428,"")</f>
        <v>3.308998228865178E-2</v>
      </c>
      <c r="M431" s="31">
        <f>IFERROR(Serie_Historica!P1429/Serie_Historica!P1428,"")</f>
        <v>2.9015505042902304E-2</v>
      </c>
      <c r="N431" s="31">
        <f>IFERROR(Serie_Historica!Q1429/Serie_Historica!Q1428,"")</f>
        <v>3.6024217961654892E-2</v>
      </c>
      <c r="O431" s="31">
        <f>IFERROR(Serie_Historica!R1429/Serie_Historica!R1428,"")</f>
        <v>3.1038924319060034E-2</v>
      </c>
      <c r="P431" s="31">
        <f>IFERROR(Serie_Historica!S1429/Serie_Historica!S1428,"")</f>
        <v>3.9795021961932651E-2</v>
      </c>
      <c r="Q431" s="31">
        <f>IFERROR(Serie_Historica!T1429/Serie_Historica!T1428,"")</f>
        <v>4.0840645650525406E-2</v>
      </c>
      <c r="R431" s="31">
        <f>IFERROR(Serie_Historica!U1429/Serie_Historica!U1428,"")</f>
        <v>4.8525355927149849E-2</v>
      </c>
      <c r="S431" s="31">
        <f>IFERROR(Serie_Historica!V1429/Serie_Historica!V1428,"")</f>
        <v>4.494991160872127E-2</v>
      </c>
      <c r="T431" s="31">
        <f>IFERROR(Serie_Historica!W1429/Serie_Historica!W1428,"")</f>
        <v>4.0278769776854316E-2</v>
      </c>
      <c r="U431" s="31">
        <f>IFERROR(Serie_Historica!X1429/Serie_Historica!X1428,"")</f>
        <v>3.9782790634305842E-2</v>
      </c>
      <c r="V431" s="31">
        <f>IFERROR(Serie_Historica!Y1429/Serie_Historica!Y1428,"")</f>
        <v>4.5886197616301423E-2</v>
      </c>
      <c r="W431" s="31">
        <f>IFERROR(Serie_Historica!Z1429/Serie_Historica!Z1428,"")</f>
        <v>5.1678566524783746E-2</v>
      </c>
      <c r="X431" s="19">
        <f>IFERROR((W431-D431)*100,"")</f>
        <v>-0.73750491974066756</v>
      </c>
    </row>
    <row r="432" spans="1:24">
      <c r="A432" s="28" t="s">
        <v>345</v>
      </c>
      <c r="B432" s="28" t="s">
        <v>346</v>
      </c>
      <c r="C432" s="28" t="s">
        <v>505</v>
      </c>
      <c r="D432" s="31">
        <f>IFERROR(Serie_Historica!G1430/Serie_Historica!G1428,"")</f>
        <v>0.15474146155313873</v>
      </c>
      <c r="E432" s="31">
        <f>IFERROR(Serie_Historica!H1430/Serie_Historica!H1428,"")</f>
        <v>0.15659809740629319</v>
      </c>
      <c r="F432" s="31">
        <f>IFERROR(Serie_Historica!I1430/Serie_Historica!I1428,"")</f>
        <v>0.15758778258778258</v>
      </c>
      <c r="G432" s="31">
        <f>IFERROR(Serie_Historica!J1430/Serie_Historica!J1428,"")</f>
        <v>0.16839966535197801</v>
      </c>
      <c r="H432" s="31">
        <f>IFERROR(Serie_Historica!K1430/Serie_Historica!K1428,"")</f>
        <v>0.17232296005880912</v>
      </c>
      <c r="I432" s="31">
        <f>IFERROR(Serie_Historica!L1430/Serie_Historica!L1428,"")</f>
        <v>0.16308069709204273</v>
      </c>
      <c r="J432" s="31">
        <f>IFERROR(Serie_Historica!M1430/Serie_Historica!M1428,"")</f>
        <v>0.14613333333333334</v>
      </c>
      <c r="K432" s="31">
        <f>IFERROR(Serie_Historica!N1430/Serie_Historica!N1428,"")</f>
        <v>0.14581629871899701</v>
      </c>
      <c r="L432" s="31">
        <f>IFERROR(Serie_Historica!O1430/Serie_Historica!O1428,"")</f>
        <v>0.16354918139012484</v>
      </c>
      <c r="M432" s="31">
        <f>IFERROR(Serie_Historica!P1430/Serie_Historica!P1428,"")</f>
        <v>0.179474634954087</v>
      </c>
      <c r="N432" s="31">
        <f>IFERROR(Serie_Historica!Q1430/Serie_Historica!Q1428,"")</f>
        <v>0.18634376051126808</v>
      </c>
      <c r="O432" s="31">
        <f>IFERROR(Serie_Historica!R1430/Serie_Historica!R1428,"")</f>
        <v>0.17608620527159058</v>
      </c>
      <c r="P432" s="31">
        <f>IFERROR(Serie_Historica!S1430/Serie_Historica!S1428,"")</f>
        <v>0.16562225475841874</v>
      </c>
      <c r="Q432" s="31">
        <f>IFERROR(Serie_Historica!T1430/Serie_Historica!T1428,"")</f>
        <v>0.17972050698732531</v>
      </c>
      <c r="R432" s="31">
        <f>IFERROR(Serie_Historica!U1430/Serie_Historica!U1428,"")</f>
        <v>0.19213854448778792</v>
      </c>
      <c r="S432" s="31">
        <f>IFERROR(Serie_Historica!V1430/Serie_Historica!V1428,"")</f>
        <v>0.18529169121979966</v>
      </c>
      <c r="T432" s="31">
        <f>IFERROR(Serie_Historica!W1430/Serie_Historica!W1428,"")</f>
        <v>0.23489816678570655</v>
      </c>
      <c r="U432" s="31">
        <f>IFERROR(Serie_Historica!X1430/Serie_Historica!X1428,"")</f>
        <v>0.23636115922847856</v>
      </c>
      <c r="V432" s="31">
        <f>IFERROR(Serie_Historica!Y1430/Serie_Historica!Y1428,"")</f>
        <v>0.22641291810841985</v>
      </c>
      <c r="W432" s="31">
        <f>IFERROR(Serie_Historica!Z1430/Serie_Historica!Z1428,"")</f>
        <v>0.2283056432788686</v>
      </c>
      <c r="X432" s="19">
        <f>IFERROR((W432-D432)*100,"")</f>
        <v>7.3564181725729867</v>
      </c>
    </row>
    <row r="433" spans="1:24">
      <c r="A433" s="28" t="s">
        <v>345</v>
      </c>
      <c r="B433" s="28" t="s">
        <v>346</v>
      </c>
      <c r="C433" s="28" t="s">
        <v>506</v>
      </c>
      <c r="D433" s="31">
        <f>IFERROR(Serie_Historica!G1431/Serie_Historica!G1428,"")</f>
        <v>0.61009349360809007</v>
      </c>
      <c r="E433" s="31">
        <f>IFERROR(Serie_Historica!H1431/Serie_Historica!H1428,"")</f>
        <v>0.60061793641759498</v>
      </c>
      <c r="F433" s="31">
        <f>IFERROR(Serie_Historica!I1431/Serie_Historica!I1428,"")</f>
        <v>0.50150312650312645</v>
      </c>
      <c r="G433" s="31">
        <f>IFERROR(Serie_Historica!J1431/Serie_Historica!J1428,"")</f>
        <v>0.60212740528265807</v>
      </c>
      <c r="H433" s="31">
        <f>IFERROR(Serie_Historica!K1431/Serie_Historica!K1428,"")</f>
        <v>0.68751531487380546</v>
      </c>
      <c r="I433" s="31">
        <f>IFERROR(Serie_Historica!L1431/Serie_Historica!L1428,"")</f>
        <v>0.70394030766085758</v>
      </c>
      <c r="J433" s="31">
        <f>IFERROR(Serie_Historica!M1431/Serie_Historica!M1428,"")</f>
        <v>0.70909090909090911</v>
      </c>
      <c r="K433" s="31">
        <f>IFERROR(Serie_Historica!N1431/Serie_Historica!N1428,"")</f>
        <v>0.71004815117652398</v>
      </c>
      <c r="L433" s="31">
        <f>IFERROR(Serie_Historica!O1431/Serie_Historica!O1428,"")</f>
        <v>0.73247224502138319</v>
      </c>
      <c r="M433" s="31">
        <f>IFERROR(Serie_Historica!P1431/Serie_Historica!P1428,"")</f>
        <v>0.70510311606202014</v>
      </c>
      <c r="N433" s="31">
        <f>IFERROR(Serie_Historica!Q1431/Serie_Historica!Q1428,"")</f>
        <v>0.72008072653884969</v>
      </c>
      <c r="O433" s="31">
        <f>IFERROR(Serie_Historica!R1431/Serie_Historica!R1428,"")</f>
        <v>0.74534259055637586</v>
      </c>
      <c r="P433" s="31">
        <f>IFERROR(Serie_Historica!S1431/Serie_Historica!S1428,"")</f>
        <v>0.75651537335285501</v>
      </c>
      <c r="Q433" s="31">
        <f>IFERROR(Serie_Historica!T1431/Serie_Historica!T1428,"")</f>
        <v>0.74474596468421628</v>
      </c>
      <c r="R433" s="31">
        <f>IFERROR(Serie_Historica!U1431/Serie_Historica!U1428,"")</f>
        <v>0.72035182746540116</v>
      </c>
      <c r="S433" s="31">
        <f>IFERROR(Serie_Historica!V1431/Serie_Historica!V1428,"")</f>
        <v>0.73527401296405426</v>
      </c>
      <c r="T433" s="31">
        <f>IFERROR(Serie_Historica!W1431/Serie_Historica!W1428,"")</f>
        <v>0.69328831461160534</v>
      </c>
      <c r="U433" s="31">
        <f>IFERROR(Serie_Historica!X1431/Serie_Historica!X1428,"")</f>
        <v>0.68864711263356626</v>
      </c>
      <c r="V433" s="31">
        <f>IFERROR(Serie_Historica!Y1431/Serie_Historica!Y1428,"")</f>
        <v>0.66541714725105727</v>
      </c>
      <c r="W433" s="31">
        <f>IFERROR(Serie_Historica!Z1431/Serie_Historica!Z1428,"")</f>
        <v>0.68127831937388439</v>
      </c>
      <c r="X433" s="19">
        <f>IFERROR((W433-D433)*100,"")</f>
        <v>7.1184825765794324</v>
      </c>
    </row>
    <row r="434" spans="1:24">
      <c r="A434" s="28" t="s">
        <v>263</v>
      </c>
      <c r="B434" s="28" t="s">
        <v>264</v>
      </c>
      <c r="C434" s="28" t="s">
        <v>504</v>
      </c>
      <c r="D434" s="31">
        <f>IFERROR(Serie_Historica!G1439/Serie_Historica!G1438,"")</f>
        <v>2.8919886073176075E-2</v>
      </c>
      <c r="E434" s="31">
        <f>IFERROR(Serie_Historica!H1439/Serie_Historica!H1438,"")</f>
        <v>2.060334982870194E-2</v>
      </c>
      <c r="F434" s="31">
        <f>IFERROR(Serie_Historica!I1439/Serie_Historica!I1438,"")</f>
        <v>2.8922422131940413E-2</v>
      </c>
      <c r="G434" s="31">
        <f>IFERROR(Serie_Historica!J1439/Serie_Historica!J1438,"")</f>
        <v>3.8370052641840513E-2</v>
      </c>
      <c r="H434" s="31">
        <f>IFERROR(Serie_Historica!K1439/Serie_Historica!K1438,"")</f>
        <v>3.1668103286736873E-2</v>
      </c>
      <c r="I434" s="31">
        <f>IFERROR(Serie_Historica!L1439/Serie_Historica!L1438,"")</f>
        <v>2.9372868378923923E-2</v>
      </c>
      <c r="J434" s="31">
        <f>IFERROR(Serie_Historica!M1439/Serie_Historica!M1438,"")</f>
        <v>2.5965801139962E-2</v>
      </c>
      <c r="K434" s="31">
        <f>IFERROR(Serie_Historica!N1439/Serie_Historica!N1438,"")</f>
        <v>2.2385900302512165E-2</v>
      </c>
      <c r="L434" s="31">
        <f>IFERROR(Serie_Historica!O1439/Serie_Historica!O1438,"")</f>
        <v>2.122002085505735E-2</v>
      </c>
      <c r="M434" s="31">
        <f>IFERROR(Serie_Historica!P1439/Serie_Historica!P1438,"")</f>
        <v>1.9997509650105841E-2</v>
      </c>
      <c r="N434" s="31">
        <f>IFERROR(Serie_Historica!Q1439/Serie_Historica!Q1438,"")</f>
        <v>1.9760596975731449E-2</v>
      </c>
      <c r="O434" s="31">
        <f>IFERROR(Serie_Historica!R1439/Serie_Historica!R1438,"")</f>
        <v>1.6700243876577245E-2</v>
      </c>
      <c r="P434" s="31">
        <f>IFERROR(Serie_Historica!S1439/Serie_Historica!S1438,"")</f>
        <v>1.4691837514325736E-2</v>
      </c>
      <c r="Q434" s="31">
        <f>IFERROR(Serie_Historica!T1439/Serie_Historica!T1438,"")</f>
        <v>1.4924522927940758E-2</v>
      </c>
      <c r="R434" s="31">
        <f>IFERROR(Serie_Historica!U1439/Serie_Historica!U1438,"")</f>
        <v>1.4209648447523737E-2</v>
      </c>
      <c r="S434" s="31">
        <f>IFERROR(Serie_Historica!V1439/Serie_Historica!V1438,"")</f>
        <v>1.6607354685646499E-2</v>
      </c>
      <c r="T434" s="31">
        <f>IFERROR(Serie_Historica!W1439/Serie_Historica!W1438,"")</f>
        <v>1.3652015722963973E-2</v>
      </c>
      <c r="U434" s="31">
        <f>IFERROR(Serie_Historica!X1439/Serie_Historica!X1438,"")</f>
        <v>1.482957252371259E-2</v>
      </c>
      <c r="V434" s="31">
        <f>IFERROR(Serie_Historica!Y1439/Serie_Historica!Y1438,"")</f>
        <v>1.377825998747431E-2</v>
      </c>
      <c r="W434" s="31">
        <f>IFERROR(Serie_Historica!Z1439/Serie_Historica!Z1438,"")</f>
        <v>1.6133631354801916E-2</v>
      </c>
      <c r="X434" s="19">
        <f>IFERROR((W434-D434)*100,"")</f>
        <v>-1.2786254718374159</v>
      </c>
    </row>
    <row r="435" spans="1:24">
      <c r="A435" s="28" t="s">
        <v>263</v>
      </c>
      <c r="B435" s="28" t="s">
        <v>264</v>
      </c>
      <c r="C435" s="28" t="s">
        <v>505</v>
      </c>
      <c r="D435" s="31">
        <f>IFERROR(Serie_Historica!G1440/Serie_Historica!G1438,"")</f>
        <v>0.11553348426203169</v>
      </c>
      <c r="E435" s="31">
        <f>IFERROR(Serie_Historica!H1440/Serie_Historica!H1438,"")</f>
        <v>9.7925390178911303E-2</v>
      </c>
      <c r="F435" s="31">
        <f>IFERROR(Serie_Historica!I1440/Serie_Historica!I1438,"")</f>
        <v>0.1020506867866125</v>
      </c>
      <c r="G435" s="31">
        <f>IFERROR(Serie_Historica!J1440/Serie_Historica!J1438,"")</f>
        <v>0.11253655683369078</v>
      </c>
      <c r="H435" s="31">
        <f>IFERROR(Serie_Historica!K1440/Serie_Historica!K1438,"")</f>
        <v>0.10508563504853277</v>
      </c>
      <c r="I435" s="31">
        <f>IFERROR(Serie_Historica!L1440/Serie_Historica!L1438,"")</f>
        <v>0.1244518688661516</v>
      </c>
      <c r="J435" s="31">
        <f>IFERROR(Serie_Historica!M1440/Serie_Historica!M1438,"")</f>
        <v>0.11481950601646612</v>
      </c>
      <c r="K435" s="31">
        <f>IFERROR(Serie_Historica!N1440/Serie_Historica!N1438,"")</f>
        <v>9.5962120215704327E-2</v>
      </c>
      <c r="L435" s="31">
        <f>IFERROR(Serie_Historica!O1440/Serie_Historica!O1438,"")</f>
        <v>9.7314911366006257E-2</v>
      </c>
      <c r="M435" s="31">
        <f>IFERROR(Serie_Historica!P1440/Serie_Historica!P1438,"")</f>
        <v>0.1020047316647989</v>
      </c>
      <c r="N435" s="31">
        <f>IFERROR(Serie_Historica!Q1440/Serie_Historica!Q1438,"")</f>
        <v>9.858415213252511E-2</v>
      </c>
      <c r="O435" s="31">
        <f>IFERROR(Serie_Historica!R1440/Serie_Historica!R1438,"")</f>
        <v>9.8045452938889471E-2</v>
      </c>
      <c r="P435" s="31">
        <f>IFERROR(Serie_Historica!S1440/Serie_Historica!S1438,"")</f>
        <v>9.0825162358334391E-2</v>
      </c>
      <c r="Q435" s="31">
        <f>IFERROR(Serie_Historica!T1440/Serie_Historica!T1438,"")</f>
        <v>9.4716604955853032E-2</v>
      </c>
      <c r="R435" s="31">
        <f>IFERROR(Serie_Historica!U1440/Serie_Historica!U1438,"")</f>
        <v>8.1515695834402532E-2</v>
      </c>
      <c r="S435" s="31">
        <f>IFERROR(Serie_Historica!V1440/Serie_Historica!V1438,"")</f>
        <v>8.0684399943703883E-2</v>
      </c>
      <c r="T435" s="31">
        <f>IFERROR(Serie_Historica!W1440/Serie_Historica!W1438,"")</f>
        <v>7.3847578208751583E-2</v>
      </c>
      <c r="U435" s="31">
        <f>IFERROR(Serie_Historica!X1440/Serie_Historica!X1438,"")</f>
        <v>8.3875438520507606E-2</v>
      </c>
      <c r="V435" s="31">
        <f>IFERROR(Serie_Historica!Y1440/Serie_Historica!Y1438,"")</f>
        <v>9.017615355438531E-2</v>
      </c>
      <c r="W435" s="31">
        <f>IFERROR(Serie_Historica!Z1440/Serie_Historica!Z1438,"")</f>
        <v>9.4272284923241079E-2</v>
      </c>
      <c r="X435" s="19">
        <f>IFERROR((W435-D435)*100,"")</f>
        <v>-2.1261199338790613</v>
      </c>
    </row>
    <row r="436" spans="1:24">
      <c r="A436" s="28" t="s">
        <v>263</v>
      </c>
      <c r="B436" s="28" t="s">
        <v>264</v>
      </c>
      <c r="C436" s="28" t="s">
        <v>506</v>
      </c>
      <c r="D436" s="31">
        <f>IFERROR(Serie_Historica!G1441/Serie_Historica!G1438,"")</f>
        <v>0.31643905645220183</v>
      </c>
      <c r="E436" s="31">
        <f>IFERROR(Serie_Historica!H1441/Serie_Historica!H1438,"")</f>
        <v>0.25047582794061668</v>
      </c>
      <c r="F436" s="31">
        <f>IFERROR(Serie_Historica!I1441/Serie_Historica!I1438,"")</f>
        <v>0.25067711356161732</v>
      </c>
      <c r="G436" s="31">
        <f>IFERROR(Serie_Historica!J1441/Serie_Historica!J1438,"")</f>
        <v>0.28539676350165727</v>
      </c>
      <c r="H436" s="31">
        <f>IFERROR(Serie_Historica!K1441/Serie_Historica!K1438,"")</f>
        <v>0.31383277742382792</v>
      </c>
      <c r="I436" s="31">
        <f>IFERROR(Serie_Historica!L1441/Serie_Historica!L1438,"")</f>
        <v>0.33517783810120416</v>
      </c>
      <c r="J436" s="31">
        <f>IFERROR(Serie_Historica!M1441/Serie_Historica!M1438,"")</f>
        <v>0.36317289423685878</v>
      </c>
      <c r="K436" s="31">
        <f>IFERROR(Serie_Historica!N1441/Serie_Historica!N1438,"")</f>
        <v>0.32329343680126266</v>
      </c>
      <c r="L436" s="31">
        <f>IFERROR(Serie_Historica!O1441/Serie_Historica!O1438,"")</f>
        <v>0.33448905109489052</v>
      </c>
      <c r="M436" s="31">
        <f>IFERROR(Serie_Historica!P1441/Serie_Historica!P1438,"")</f>
        <v>0.37380151911343545</v>
      </c>
      <c r="N436" s="31">
        <f>IFERROR(Serie_Historica!Q1441/Serie_Historica!Q1438,"")</f>
        <v>0.3513797404643631</v>
      </c>
      <c r="O436" s="31">
        <f>IFERROR(Serie_Historica!R1441/Serie_Historica!R1438,"")</f>
        <v>0.34130350263316017</v>
      </c>
      <c r="P436" s="31">
        <f>IFERROR(Serie_Historica!S1441/Serie_Historica!S1438,"")</f>
        <v>0.3428626002801477</v>
      </c>
      <c r="Q436" s="31">
        <f>IFERROR(Serie_Historica!T1441/Serie_Historica!T1438,"")</f>
        <v>0.32381088009114212</v>
      </c>
      <c r="R436" s="31">
        <f>IFERROR(Serie_Historica!U1441/Serie_Historica!U1438,"")</f>
        <v>0.26477632366777865</v>
      </c>
      <c r="S436" s="31">
        <f>IFERROR(Serie_Historica!V1441/Serie_Historica!V1438,"")</f>
        <v>0.27680599955767338</v>
      </c>
      <c r="T436" s="31">
        <f>IFERROR(Serie_Historica!W1441/Serie_Historica!W1438,"")</f>
        <v>0.22968034304648668</v>
      </c>
      <c r="U436" s="31">
        <f>IFERROR(Serie_Historica!X1441/Serie_Historica!X1438,"")</f>
        <v>0.25509116895491357</v>
      </c>
      <c r="V436" s="31">
        <f>IFERROR(Serie_Historica!Y1441/Serie_Historica!Y1438,"")</f>
        <v>0.2760679915672109</v>
      </c>
      <c r="W436" s="31">
        <f>IFERROR(Serie_Historica!Z1441/Serie_Historica!Z1438,"")</f>
        <v>0.28776548285916648</v>
      </c>
      <c r="X436" s="19">
        <f>IFERROR((W436-D436)*100,"")</f>
        <v>-2.8673573593035351</v>
      </c>
    </row>
    <row r="437" spans="1:24">
      <c r="A437" s="28" t="s">
        <v>351</v>
      </c>
      <c r="B437" s="28" t="s">
        <v>352</v>
      </c>
      <c r="C437" s="28" t="s">
        <v>504</v>
      </c>
      <c r="D437" s="31">
        <f>IFERROR(Serie_Historica!G1449/Serie_Historica!G1448,"")</f>
        <v>3.604531410916581E-2</v>
      </c>
      <c r="E437" s="31">
        <f>IFERROR(Serie_Historica!H1449/Serie_Historica!H1448,"")</f>
        <v>2.7848639455782313E-2</v>
      </c>
      <c r="F437" s="31">
        <f>IFERROR(Serie_Historica!I1449/Serie_Historica!I1448,"")</f>
        <v>3.0681412772029969E-2</v>
      </c>
      <c r="G437" s="31">
        <f>IFERROR(Serie_Historica!J1449/Serie_Historica!J1448,"")</f>
        <v>4.1807731674671285E-2</v>
      </c>
      <c r="H437" s="31">
        <f>IFERROR(Serie_Historica!K1449/Serie_Historica!K1448,"")</f>
        <v>3.1513237063778579E-2</v>
      </c>
      <c r="I437" s="31">
        <f>IFERROR(Serie_Historica!L1449/Serie_Historica!L1448,"")</f>
        <v>4.1315852778445995E-2</v>
      </c>
      <c r="J437" s="31">
        <f>IFERROR(Serie_Historica!M1449/Serie_Historica!M1448,"")</f>
        <v>5.5799477574612351E-2</v>
      </c>
      <c r="K437" s="31">
        <f>IFERROR(Serie_Historica!N1449/Serie_Historica!N1448,"")</f>
        <v>4.288395822303509E-2</v>
      </c>
      <c r="L437" s="31">
        <f>IFERROR(Serie_Historica!O1449/Serie_Historica!O1448,"")</f>
        <v>3.1037870668095748E-2</v>
      </c>
      <c r="M437" s="31">
        <f>IFERROR(Serie_Historica!P1449/Serie_Historica!P1448,"")</f>
        <v>2.6433493170004433E-2</v>
      </c>
      <c r="N437" s="31">
        <f>IFERROR(Serie_Historica!Q1449/Serie_Historica!Q1448,"")</f>
        <v>3.6024041387705416E-2</v>
      </c>
      <c r="O437" s="31">
        <f>IFERROR(Serie_Historica!R1449/Serie_Historica!R1448,"")</f>
        <v>3.4012253684384833E-2</v>
      </c>
      <c r="P437" s="31">
        <f>IFERROR(Serie_Historica!S1449/Serie_Historica!S1448,"")</f>
        <v>2.9072279488920438E-2</v>
      </c>
      <c r="Q437" s="31">
        <f>IFERROR(Serie_Historica!T1449/Serie_Historica!T1448,"")</f>
        <v>3.7450667562347807E-2</v>
      </c>
      <c r="R437" s="31">
        <f>IFERROR(Serie_Historica!U1449/Serie_Historica!U1448,"")</f>
        <v>5.0086848313587222E-2</v>
      </c>
      <c r="S437" s="31">
        <f>IFERROR(Serie_Historica!V1449/Serie_Historica!V1448,"")</f>
        <v>4.8561233359257057E-2</v>
      </c>
      <c r="T437" s="31">
        <f>IFERROR(Serie_Historica!W1449/Serie_Historica!W1448,"")</f>
        <v>4.5200917967871124E-2</v>
      </c>
      <c r="U437" s="31">
        <f>IFERROR(Serie_Historica!X1449/Serie_Historica!X1448,"")</f>
        <v>3.710782619304203E-2</v>
      </c>
      <c r="V437" s="31">
        <f>IFERROR(Serie_Historica!Y1449/Serie_Historica!Y1448,"")</f>
        <v>3.858008940782625E-2</v>
      </c>
      <c r="W437" s="31">
        <f>IFERROR(Serie_Historica!Z1449/Serie_Historica!Z1448,"")</f>
        <v>5.0622909852633124E-2</v>
      </c>
      <c r="X437" s="19">
        <f>IFERROR((W437-D437)*100,"")</f>
        <v>1.4577595743467313</v>
      </c>
    </row>
    <row r="438" spans="1:24">
      <c r="A438" s="28" t="s">
        <v>351</v>
      </c>
      <c r="B438" s="28" t="s">
        <v>352</v>
      </c>
      <c r="C438" s="28" t="s">
        <v>505</v>
      </c>
      <c r="D438" s="31">
        <f>IFERROR(Serie_Historica!G1450/Serie_Historica!G1448,"")</f>
        <v>0.14701338825952626</v>
      </c>
      <c r="E438" s="31">
        <f>IFERROR(Serie_Historica!H1450/Serie_Historica!H1448,"")</f>
        <v>0.15741921768707484</v>
      </c>
      <c r="F438" s="31">
        <f>IFERROR(Serie_Historica!I1450/Serie_Historica!I1448,"")</f>
        <v>0.17097752408134143</v>
      </c>
      <c r="G438" s="31">
        <f>IFERROR(Serie_Historica!J1450/Serie_Historica!J1448,"")</f>
        <v>0.18667821431383355</v>
      </c>
      <c r="H438" s="31">
        <f>IFERROR(Serie_Historica!K1450/Serie_Historica!K1448,"")</f>
        <v>0.19682611311672685</v>
      </c>
      <c r="I438" s="31">
        <f>IFERROR(Serie_Historica!L1450/Serie_Historica!L1448,"")</f>
        <v>0.19292759201347126</v>
      </c>
      <c r="J438" s="31">
        <f>IFERROR(Serie_Historica!M1450/Serie_Historica!M1448,"")</f>
        <v>0.17923636969932752</v>
      </c>
      <c r="K438" s="31">
        <f>IFERROR(Serie_Historica!N1450/Serie_Historica!N1448,"")</f>
        <v>0.20849978341435241</v>
      </c>
      <c r="L438" s="31">
        <f>IFERROR(Serie_Historica!O1450/Serie_Historica!O1448,"")</f>
        <v>0.22700071454090748</v>
      </c>
      <c r="M438" s="31">
        <f>IFERROR(Serie_Historica!P1450/Serie_Historica!P1448,"")</f>
        <v>0.23044687109642584</v>
      </c>
      <c r="N438" s="31">
        <f>IFERROR(Serie_Historica!Q1450/Serie_Historica!Q1448,"")</f>
        <v>0.22257303712720633</v>
      </c>
      <c r="O438" s="31">
        <f>IFERROR(Serie_Historica!R1450/Serie_Historica!R1448,"")</f>
        <v>0.20357675111773471</v>
      </c>
      <c r="P438" s="31">
        <f>IFERROR(Serie_Historica!S1450/Serie_Historica!S1448,"")</f>
        <v>0.21137584099746928</v>
      </c>
      <c r="Q438" s="31">
        <f>IFERROR(Serie_Historica!T1450/Serie_Historica!T1448,"")</f>
        <v>0.22330450359671958</v>
      </c>
      <c r="R438" s="31">
        <f>IFERROR(Serie_Historica!U1450/Serie_Historica!U1448,"")</f>
        <v>0.23425712285795763</v>
      </c>
      <c r="S438" s="31">
        <f>IFERROR(Serie_Historica!V1450/Serie_Historica!V1448,"")</f>
        <v>0.23637860835353858</v>
      </c>
      <c r="T438" s="31">
        <f>IFERROR(Serie_Historica!W1450/Serie_Historica!W1448,"")</f>
        <v>0.27660531881384154</v>
      </c>
      <c r="U438" s="31">
        <f>IFERROR(Serie_Historica!X1450/Serie_Historica!X1448,"")</f>
        <v>0.28877005347593582</v>
      </c>
      <c r="V438" s="31">
        <f>IFERROR(Serie_Historica!Y1450/Serie_Historica!Y1448,"")</f>
        <v>0.28898324113576518</v>
      </c>
      <c r="W438" s="31">
        <f>IFERROR(Serie_Historica!Z1450/Serie_Historica!Z1448,"")</f>
        <v>0.29074638932784536</v>
      </c>
      <c r="X438" s="19">
        <f>IFERROR((W438-D438)*100,"")</f>
        <v>14.373300106831909</v>
      </c>
    </row>
    <row r="439" spans="1:24">
      <c r="A439" s="28" t="s">
        <v>351</v>
      </c>
      <c r="B439" s="28" t="s">
        <v>352</v>
      </c>
      <c r="C439" s="28" t="s">
        <v>506</v>
      </c>
      <c r="D439" s="31">
        <f>IFERROR(Serie_Historica!G1451/Serie_Historica!G1448,"")</f>
        <v>0.73983007209062823</v>
      </c>
      <c r="E439" s="31">
        <f>IFERROR(Serie_Historica!H1451/Serie_Historica!H1448,"")</f>
        <v>0.63520408163265307</v>
      </c>
      <c r="F439" s="31">
        <f>IFERROR(Serie_Historica!I1451/Serie_Historica!I1448,"")</f>
        <v>0.58267927220834825</v>
      </c>
      <c r="G439" s="31">
        <f>IFERROR(Serie_Historica!J1451/Serie_Historica!J1448,"")</f>
        <v>0.67789937800173217</v>
      </c>
      <c r="H439" s="31">
        <f>IFERROR(Serie_Historica!K1451/Serie_Historica!K1448,"")</f>
        <v>0.68780084235860406</v>
      </c>
      <c r="I439" s="31">
        <f>IFERROR(Serie_Historica!L1451/Serie_Historica!L1448,"")</f>
        <v>0.69340870820303102</v>
      </c>
      <c r="J439" s="31">
        <f>IFERROR(Serie_Historica!M1451/Serie_Historica!M1448,"")</f>
        <v>0.67192797198910692</v>
      </c>
      <c r="K439" s="31">
        <f>IFERROR(Serie_Historica!N1451/Serie_Historica!N1448,"")</f>
        <v>0.68421812581219621</v>
      </c>
      <c r="L439" s="31">
        <f>IFERROR(Serie_Historica!O1451/Serie_Historica!O1448,"")</f>
        <v>0.69140764558770995</v>
      </c>
      <c r="M439" s="31">
        <f>IFERROR(Serie_Historica!P1451/Serie_Historica!P1448,"")</f>
        <v>0.69605512350404963</v>
      </c>
      <c r="N439" s="31">
        <f>IFERROR(Serie_Historica!Q1451/Serie_Historica!Q1448,"")</f>
        <v>0.71618228849665244</v>
      </c>
      <c r="O439" s="31">
        <f>IFERROR(Serie_Historica!R1451/Serie_Historica!R1448,"")</f>
        <v>0.73780427223050171</v>
      </c>
      <c r="P439" s="31">
        <f>IFERROR(Serie_Historica!S1451/Serie_Historica!S1448,"")</f>
        <v>0.73800999938275413</v>
      </c>
      <c r="Q439" s="31">
        <f>IFERROR(Serie_Historica!T1451/Serie_Historica!T1448,"")</f>
        <v>0.71438967727489011</v>
      </c>
      <c r="R439" s="31">
        <f>IFERROR(Serie_Historica!U1451/Serie_Historica!U1448,"")</f>
        <v>0.68856453996318667</v>
      </c>
      <c r="S439" s="31">
        <f>IFERROR(Serie_Historica!V1451/Serie_Historica!V1448,"")</f>
        <v>0.69177455510316122</v>
      </c>
      <c r="T439" s="31">
        <f>IFERROR(Serie_Historica!W1451/Serie_Historica!W1448,"")</f>
        <v>0.64795482158124462</v>
      </c>
      <c r="U439" s="31">
        <f>IFERROR(Serie_Historica!X1451/Serie_Historica!X1448,"")</f>
        <v>0.64244321994266074</v>
      </c>
      <c r="V439" s="31">
        <f>IFERROR(Serie_Historica!Y1451/Serie_Historica!Y1448,"")</f>
        <v>0.62452795525526139</v>
      </c>
      <c r="W439" s="31">
        <f>IFERROR(Serie_Historica!Z1451/Serie_Historica!Z1448,"")</f>
        <v>0.62893682701848519</v>
      </c>
      <c r="X439" s="19">
        <f>IFERROR((W439-D439)*100,"")</f>
        <v>-11.089324507214304</v>
      </c>
    </row>
    <row r="440" spans="1:24">
      <c r="A440" s="28" t="s">
        <v>127</v>
      </c>
      <c r="B440" s="28" t="s">
        <v>128</v>
      </c>
      <c r="C440" s="28" t="s">
        <v>504</v>
      </c>
      <c r="D440" s="31">
        <f>IFERROR(Serie_Historica!G1459/Serie_Historica!G1458,"")</f>
        <v>0.41935583964254686</v>
      </c>
      <c r="E440" s="31">
        <f>IFERROR(Serie_Historica!H1459/Serie_Historica!H1458,"")</f>
        <v>0.32882990120223782</v>
      </c>
      <c r="F440" s="31">
        <f>IFERROR(Serie_Historica!I1459/Serie_Historica!I1458,"")</f>
        <v>0.35368150072700405</v>
      </c>
      <c r="G440" s="31">
        <f>IFERROR(Serie_Historica!J1459/Serie_Historica!J1458,"")</f>
        <v>0.33081015160116906</v>
      </c>
      <c r="H440" s="31">
        <f>IFERROR(Serie_Historica!K1459/Serie_Historica!K1458,"")</f>
        <v>0.38749753175804647</v>
      </c>
      <c r="I440" s="31">
        <f>IFERROR(Serie_Historica!L1459/Serie_Historica!L1458,"")</f>
        <v>0.3480478967976734</v>
      </c>
      <c r="J440" s="31">
        <f>IFERROR(Serie_Historica!M1459/Serie_Historica!M1458,"")</f>
        <v>0.39954530961919682</v>
      </c>
      <c r="K440" s="31">
        <f>IFERROR(Serie_Historica!N1459/Serie_Historica!N1458,"")</f>
        <v>0.2654448545654064</v>
      </c>
      <c r="L440" s="31">
        <f>IFERROR(Serie_Historica!O1459/Serie_Historica!O1458,"")</f>
        <v>0.27844539202595797</v>
      </c>
      <c r="M440" s="31">
        <f>IFERROR(Serie_Historica!P1459/Serie_Historica!P1458,"")</f>
        <v>0.33892116027568686</v>
      </c>
      <c r="N440" s="31">
        <f>IFERROR(Serie_Historica!Q1459/Serie_Historica!Q1458,"")</f>
        <v>0.30371936904600222</v>
      </c>
      <c r="O440" s="31">
        <f>IFERROR(Serie_Historica!R1459/Serie_Historica!R1458,"")</f>
        <v>0.27521143889001493</v>
      </c>
      <c r="P440" s="31">
        <f>IFERROR(Serie_Historica!S1459/Serie_Historica!S1458,"")</f>
        <v>0.26263743178978216</v>
      </c>
      <c r="Q440" s="31">
        <f>IFERROR(Serie_Historica!T1459/Serie_Historica!T1458,"")</f>
        <v>0.12838121360365984</v>
      </c>
      <c r="R440" s="31">
        <f>IFERROR(Serie_Historica!U1459/Serie_Historica!U1458,"")</f>
        <v>0.17770294336690087</v>
      </c>
      <c r="S440" s="31">
        <f>IFERROR(Serie_Historica!V1459/Serie_Historica!V1458,"")</f>
        <v>0.42675184091095336</v>
      </c>
      <c r="T440" s="31">
        <f>IFERROR(Serie_Historica!W1459/Serie_Historica!W1458,"")</f>
        <v>0.31895516548160341</v>
      </c>
      <c r="U440" s="31">
        <f>IFERROR(Serie_Historica!X1459/Serie_Historica!X1458,"")</f>
        <v>0.3138685293712607</v>
      </c>
      <c r="V440" s="31">
        <f>IFERROR(Serie_Historica!Y1459/Serie_Historica!Y1458,"")</f>
        <v>0.60757750247610309</v>
      </c>
      <c r="W440" s="31">
        <f>IFERROR(Serie_Historica!Z1459/Serie_Historica!Z1458,"")</f>
        <v>0.73239538800362747</v>
      </c>
      <c r="X440" s="19">
        <f>IFERROR((W440-D440)*100,"")</f>
        <v>31.303954836108062</v>
      </c>
    </row>
    <row r="441" spans="1:24">
      <c r="A441" s="28" t="s">
        <v>127</v>
      </c>
      <c r="B441" s="28" t="s">
        <v>128</v>
      </c>
      <c r="C441" s="28" t="s">
        <v>505</v>
      </c>
      <c r="D441" s="31">
        <f>IFERROR(Serie_Historica!G1460/Serie_Historica!G1458,"")</f>
        <v>0.17131066153655206</v>
      </c>
      <c r="E441" s="31">
        <f>IFERROR(Serie_Historica!H1460/Serie_Historica!H1458,"")</f>
        <v>0.17447327699083442</v>
      </c>
      <c r="F441" s="31">
        <f>IFERROR(Serie_Historica!I1460/Serie_Historica!I1458,"")</f>
        <v>0.19464639000786593</v>
      </c>
      <c r="G441" s="31">
        <f>IFERROR(Serie_Historica!J1460/Serie_Historica!J1458,"")</f>
        <v>0.17370003574507453</v>
      </c>
      <c r="H441" s="31">
        <f>IFERROR(Serie_Historica!K1460/Serie_Historica!K1458,"")</f>
        <v>0.17713749753175806</v>
      </c>
      <c r="I441" s="31">
        <f>IFERROR(Serie_Historica!L1460/Serie_Historica!L1458,"")</f>
        <v>0.16927976084095597</v>
      </c>
      <c r="J441" s="31">
        <f>IFERROR(Serie_Historica!M1460/Serie_Historica!M1458,"")</f>
        <v>0.15986248388483026</v>
      </c>
      <c r="K441" s="31">
        <f>IFERROR(Serie_Historica!N1460/Serie_Historica!N1458,"")</f>
        <v>0.19967507018768971</v>
      </c>
      <c r="L441" s="31">
        <f>IFERROR(Serie_Historica!O1460/Serie_Historica!O1458,"")</f>
        <v>0.1836154541930482</v>
      </c>
      <c r="M441" s="31">
        <f>IFERROR(Serie_Historica!P1460/Serie_Historica!P1458,"")</f>
        <v>0.16326416257307758</v>
      </c>
      <c r="N441" s="31">
        <f>IFERROR(Serie_Historica!Q1460/Serie_Historica!Q1458,"")</f>
        <v>0.1839991463107041</v>
      </c>
      <c r="O441" s="31">
        <f>IFERROR(Serie_Historica!R1460/Serie_Historica!R1458,"")</f>
        <v>0.19527003371966611</v>
      </c>
      <c r="P441" s="31">
        <f>IFERROR(Serie_Historica!S1460/Serie_Historica!S1458,"")</f>
        <v>0.1974612763738684</v>
      </c>
      <c r="Q441" s="31">
        <f>IFERROR(Serie_Historica!T1460/Serie_Historica!T1458,"")</f>
        <v>0.22758394825451084</v>
      </c>
      <c r="R441" s="31">
        <f>IFERROR(Serie_Historica!U1460/Serie_Historica!U1458,"")</f>
        <v>0.24595246575786031</v>
      </c>
      <c r="S441" s="31">
        <f>IFERROR(Serie_Historica!V1460/Serie_Historica!V1458,"")</f>
        <v>0.24754642763766346</v>
      </c>
      <c r="T441" s="31">
        <f>IFERROR(Serie_Historica!W1460/Serie_Historica!W1458,"")</f>
        <v>0.24169893546689694</v>
      </c>
      <c r="U441" s="31">
        <f>IFERROR(Serie_Historica!X1460/Serie_Historica!X1458,"")</f>
        <v>0.2486725934540113</v>
      </c>
      <c r="V441" s="31">
        <f>IFERROR(Serie_Historica!Y1460/Serie_Historica!Y1458,"")</f>
        <v>0.14781932775366849</v>
      </c>
      <c r="W441" s="31">
        <f>IFERROR(Serie_Historica!Z1460/Serie_Historica!Z1458,"")</f>
        <v>0.1038904003109211</v>
      </c>
      <c r="X441" s="19">
        <f>IFERROR((W441-D441)*100,"")</f>
        <v>-6.7420261225630957</v>
      </c>
    </row>
    <row r="442" spans="1:24">
      <c r="A442" s="28" t="s">
        <v>127</v>
      </c>
      <c r="B442" s="28" t="s">
        <v>128</v>
      </c>
      <c r="C442" s="28" t="s">
        <v>506</v>
      </c>
      <c r="D442" s="31">
        <f>IFERROR(Serie_Historica!G1461/Serie_Historica!G1458,"")</f>
        <v>0.30920317736130071</v>
      </c>
      <c r="E442" s="31">
        <f>IFERROR(Serie_Historica!H1461/Serie_Historica!H1458,"")</f>
        <v>0.32466373050827285</v>
      </c>
      <c r="F442" s="31">
        <f>IFERROR(Serie_Historica!I1461/Serie_Historica!I1458,"")</f>
        <v>0.28498557910042188</v>
      </c>
      <c r="G442" s="31">
        <f>IFERROR(Serie_Historica!J1461/Serie_Historica!J1458,"")</f>
        <v>0.29321474379192164</v>
      </c>
      <c r="H442" s="31">
        <f>IFERROR(Serie_Historica!K1461/Serie_Historica!K1458,"")</f>
        <v>0.26424998354505363</v>
      </c>
      <c r="I442" s="31">
        <f>IFERROR(Serie_Historica!L1461/Serie_Historica!L1458,"")</f>
        <v>0.33327917594112011</v>
      </c>
      <c r="J442" s="31">
        <f>IFERROR(Serie_Historica!M1461/Serie_Historica!M1458,"")</f>
        <v>0.32876332533928498</v>
      </c>
      <c r="K442" s="31">
        <f>IFERROR(Serie_Historica!N1461/Serie_Historica!N1458,"")</f>
        <v>0.38745029856489333</v>
      </c>
      <c r="L442" s="31">
        <f>IFERROR(Serie_Historica!O1461/Serie_Historica!O1458,"")</f>
        <v>0.4349399147176638</v>
      </c>
      <c r="M442" s="31">
        <f>IFERROR(Serie_Historica!P1461/Serie_Historica!P1458,"")</f>
        <v>0.32039261099385496</v>
      </c>
      <c r="N442" s="31">
        <f>IFERROR(Serie_Historica!Q1461/Serie_Historica!Q1458,"")</f>
        <v>0.3725189654837896</v>
      </c>
      <c r="O442" s="31">
        <f>IFERROR(Serie_Historica!R1461/Serie_Historica!R1458,"")</f>
        <v>0.42726317923015977</v>
      </c>
      <c r="P442" s="31">
        <f>IFERROR(Serie_Historica!S1461/Serie_Historica!S1458,"")</f>
        <v>0.4412920161457069</v>
      </c>
      <c r="Q442" s="31">
        <f>IFERROR(Serie_Historica!T1461/Serie_Historica!T1458,"")</f>
        <v>0.54338904297454682</v>
      </c>
      <c r="R442" s="31">
        <f>IFERROR(Serie_Historica!U1461/Serie_Historica!U1458,"")</f>
        <v>0.46994301071787065</v>
      </c>
      <c r="S442" s="31">
        <f>IFERROR(Serie_Historica!V1461/Serie_Historica!V1458,"")</f>
        <v>0.24706254219364002</v>
      </c>
      <c r="T442" s="31">
        <f>IFERROR(Serie_Historica!W1461/Serie_Historica!W1458,"")</f>
        <v>0.29348642461693447</v>
      </c>
      <c r="U442" s="31">
        <f>IFERROR(Serie_Historica!X1461/Serie_Historica!X1458,"")</f>
        <v>0.27297140146588528</v>
      </c>
      <c r="V442" s="31">
        <f>IFERROR(Serie_Historica!Y1461/Serie_Historica!Y1458,"")</f>
        <v>0.13562418396058296</v>
      </c>
      <c r="W442" s="31">
        <f>IFERROR(Serie_Historica!Z1461/Serie_Historica!Z1458,"")</f>
        <v>0.10458738178520534</v>
      </c>
      <c r="X442" s="19">
        <f>IFERROR((W442-D442)*100,"")</f>
        <v>-20.461579557609539</v>
      </c>
    </row>
    <row r="443" spans="1:24">
      <c r="A443" s="28" t="s">
        <v>259</v>
      </c>
      <c r="B443" s="28" t="s">
        <v>260</v>
      </c>
      <c r="C443" s="28" t="s">
        <v>504</v>
      </c>
      <c r="D443" s="31">
        <f>IFERROR(Serie_Historica!G1469/Serie_Historica!G1468,"")</f>
        <v>6.6594384843643009E-2</v>
      </c>
      <c r="E443" s="31">
        <f>IFERROR(Serie_Historica!H1469/Serie_Historica!H1468,"")</f>
        <v>5.3433453041680269E-2</v>
      </c>
      <c r="F443" s="31">
        <f>IFERROR(Serie_Historica!I1469/Serie_Historica!I1468,"")</f>
        <v>6.2693765070616608E-2</v>
      </c>
      <c r="G443" s="31">
        <f>IFERROR(Serie_Historica!J1469/Serie_Historica!J1468,"")</f>
        <v>7.3527989944890265E-2</v>
      </c>
      <c r="H443" s="31">
        <f>IFERROR(Serie_Historica!K1469/Serie_Historica!K1468,"")</f>
        <v>6.6111822449850616E-2</v>
      </c>
      <c r="I443" s="31">
        <f>IFERROR(Serie_Historica!L1469/Serie_Historica!L1468,"")</f>
        <v>8.4144363341443637E-2</v>
      </c>
      <c r="J443" s="31">
        <f>IFERROR(Serie_Historica!M1469/Serie_Historica!M1468,"")</f>
        <v>7.5790542500725269E-2</v>
      </c>
      <c r="K443" s="31">
        <f>IFERROR(Serie_Historica!N1469/Serie_Historica!N1468,"")</f>
        <v>5.5729827137422409E-2</v>
      </c>
      <c r="L443" s="31">
        <f>IFERROR(Serie_Historica!O1469/Serie_Historica!O1468,"")</f>
        <v>6.8399894363097513E-2</v>
      </c>
      <c r="M443" s="31">
        <f>IFERROR(Serie_Historica!P1469/Serie_Historica!P1468,"")</f>
        <v>8.9673056881801216E-2</v>
      </c>
      <c r="N443" s="31">
        <f>IFERROR(Serie_Historica!Q1469/Serie_Historica!Q1468,"")</f>
        <v>0.15036669634151512</v>
      </c>
      <c r="O443" s="31">
        <f>IFERROR(Serie_Historica!R1469/Serie_Historica!R1468,"")</f>
        <v>0.11317969629315276</v>
      </c>
      <c r="P443" s="31">
        <f>IFERROR(Serie_Historica!S1469/Serie_Historica!S1468,"")</f>
        <v>0.13081306083455593</v>
      </c>
      <c r="Q443" s="31">
        <f>IFERROR(Serie_Historica!T1469/Serie_Historica!T1468,"")</f>
        <v>0.10713457883269203</v>
      </c>
      <c r="R443" s="31">
        <f>IFERROR(Serie_Historica!U1469/Serie_Historica!U1468,"")</f>
        <v>0.14220791778324171</v>
      </c>
      <c r="S443" s="31">
        <f>IFERROR(Serie_Historica!V1469/Serie_Historica!V1468,"")</f>
        <v>9.9790064966382028E-2</v>
      </c>
      <c r="T443" s="31">
        <f>IFERROR(Serie_Historica!W1469/Serie_Historica!W1468,"")</f>
        <v>9.3202798623544497E-2</v>
      </c>
      <c r="U443" s="31">
        <f>IFERROR(Serie_Historica!X1469/Serie_Historica!X1468,"")</f>
        <v>5.5573462560158271E-2</v>
      </c>
      <c r="V443" s="31">
        <f>IFERROR(Serie_Historica!Y1469/Serie_Historica!Y1468,"")</f>
        <v>4.2028040081703369E-2</v>
      </c>
      <c r="W443" s="31">
        <f>IFERROR(Serie_Historica!Z1469/Serie_Historica!Z1468,"")</f>
        <v>5.9920742141763489E-2</v>
      </c>
      <c r="X443" s="19">
        <f>IFERROR((W443-D443)*100,"")</f>
        <v>-0.66736427018795208</v>
      </c>
    </row>
    <row r="444" spans="1:24">
      <c r="A444" s="28" t="s">
        <v>259</v>
      </c>
      <c r="B444" s="28" t="s">
        <v>260</v>
      </c>
      <c r="C444" s="28" t="s">
        <v>505</v>
      </c>
      <c r="D444" s="31">
        <f>IFERROR(Serie_Historica!G1470/Serie_Historica!G1468,"")</f>
        <v>0.22066879707829262</v>
      </c>
      <c r="E444" s="31">
        <f>IFERROR(Serie_Historica!H1470/Serie_Historica!H1468,"")</f>
        <v>0.2198824681684623</v>
      </c>
      <c r="F444" s="31">
        <f>IFERROR(Serie_Historica!I1470/Serie_Historica!I1468,"")</f>
        <v>0.21485163131735643</v>
      </c>
      <c r="G444" s="31">
        <f>IFERROR(Serie_Historica!J1470/Serie_Historica!J1468,"")</f>
        <v>0.20666151020013535</v>
      </c>
      <c r="H444" s="31">
        <f>IFERROR(Serie_Historica!K1470/Serie_Historica!K1468,"")</f>
        <v>0.20452411438326931</v>
      </c>
      <c r="I444" s="31">
        <f>IFERROR(Serie_Historica!L1470/Serie_Historica!L1468,"")</f>
        <v>0.21893755068937551</v>
      </c>
      <c r="J444" s="31">
        <f>IFERROR(Serie_Historica!M1470/Serie_Historica!M1468,"")</f>
        <v>0.19651145923991878</v>
      </c>
      <c r="K444" s="31">
        <f>IFERROR(Serie_Historica!N1470/Serie_Historica!N1468,"")</f>
        <v>0.18751251418274045</v>
      </c>
      <c r="L444" s="31">
        <f>IFERROR(Serie_Historica!O1470/Serie_Historica!O1468,"")</f>
        <v>0.2050236215851404</v>
      </c>
      <c r="M444" s="31">
        <f>IFERROR(Serie_Historica!P1470/Serie_Historica!P1468,"")</f>
        <v>0.21284021230702116</v>
      </c>
      <c r="N444" s="31">
        <f>IFERROR(Serie_Historica!Q1470/Serie_Historica!Q1468,"")</f>
        <v>0.21781338759591334</v>
      </c>
      <c r="O444" s="31">
        <f>IFERROR(Serie_Historica!R1470/Serie_Historica!R1468,"")</f>
        <v>0.21595291252283336</v>
      </c>
      <c r="P444" s="31">
        <f>IFERROR(Serie_Historica!S1470/Serie_Historica!S1468,"")</f>
        <v>0.19615135282677676</v>
      </c>
      <c r="Q444" s="31">
        <f>IFERROR(Serie_Historica!T1470/Serie_Historica!T1468,"")</f>
        <v>0.2155208381623476</v>
      </c>
      <c r="R444" s="31">
        <f>IFERROR(Serie_Historica!U1470/Serie_Historica!U1468,"")</f>
        <v>0.2228223333425422</v>
      </c>
      <c r="S444" s="31">
        <f>IFERROR(Serie_Historica!V1470/Serie_Historica!V1468,"")</f>
        <v>0.2351981616499759</v>
      </c>
      <c r="T444" s="31">
        <f>IFERROR(Serie_Historica!W1470/Serie_Historica!W1468,"")</f>
        <v>0.30362017954871562</v>
      </c>
      <c r="U444" s="31">
        <f>IFERROR(Serie_Historica!X1470/Serie_Historica!X1468,"")</f>
        <v>0.31068899978882086</v>
      </c>
      <c r="V444" s="31">
        <f>IFERROR(Serie_Historica!Y1470/Serie_Historica!Y1468,"")</f>
        <v>0.32818231400186076</v>
      </c>
      <c r="W444" s="31">
        <f>IFERROR(Serie_Historica!Z1470/Serie_Historica!Z1468,"")</f>
        <v>0.37741151040259391</v>
      </c>
      <c r="X444" s="19">
        <f>IFERROR((W444-D444)*100,"")</f>
        <v>15.674271332430129</v>
      </c>
    </row>
    <row r="445" spans="1:24">
      <c r="A445" s="28" t="s">
        <v>259</v>
      </c>
      <c r="B445" s="28" t="s">
        <v>260</v>
      </c>
      <c r="C445" s="28" t="s">
        <v>506</v>
      </c>
      <c r="D445" s="31">
        <f>IFERROR(Serie_Historica!G1471/Serie_Historica!G1468,"")</f>
        <v>0.54268431864871036</v>
      </c>
      <c r="E445" s="31">
        <f>IFERROR(Serie_Historica!H1471/Serie_Historica!H1468,"")</f>
        <v>0.52873000326477315</v>
      </c>
      <c r="F445" s="31">
        <f>IFERROR(Serie_Historica!I1471/Serie_Historica!I1468,"")</f>
        <v>0.52162787264406274</v>
      </c>
      <c r="G445" s="31">
        <f>IFERROR(Serie_Historica!J1471/Serie_Historica!J1468,"")</f>
        <v>0.53983370395436525</v>
      </c>
      <c r="H445" s="31">
        <f>IFERROR(Serie_Historica!K1471/Serie_Historica!K1468,"")</f>
        <v>0.5286384976525822</v>
      </c>
      <c r="I445" s="31">
        <f>IFERROR(Serie_Historica!L1471/Serie_Historica!L1468,"")</f>
        <v>0.57246553122465527</v>
      </c>
      <c r="J445" s="31">
        <f>IFERROR(Serie_Historica!M1471/Serie_Historica!M1468,"")</f>
        <v>0.58369596750797792</v>
      </c>
      <c r="K445" s="31">
        <f>IFERROR(Serie_Historica!N1471/Serie_Historica!N1468,"")</f>
        <v>0.59680971768003732</v>
      </c>
      <c r="L445" s="31">
        <f>IFERROR(Serie_Historica!O1471/Serie_Historica!O1468,"")</f>
        <v>0.60400833357786321</v>
      </c>
      <c r="M445" s="31">
        <f>IFERROR(Serie_Historica!P1471/Serie_Historica!P1468,"")</f>
        <v>0.57114466445311551</v>
      </c>
      <c r="N445" s="31">
        <f>IFERROR(Serie_Historica!Q1471/Serie_Historica!Q1468,"")</f>
        <v>0.53938276315231681</v>
      </c>
      <c r="O445" s="31">
        <f>IFERROR(Serie_Historica!R1471/Serie_Historica!R1468,"")</f>
        <v>0.57261472037197636</v>
      </c>
      <c r="P445" s="31">
        <f>IFERROR(Serie_Historica!S1471/Serie_Historica!S1468,"")</f>
        <v>0.55460779965198403</v>
      </c>
      <c r="Q445" s="31">
        <f>IFERROR(Serie_Historica!T1471/Serie_Historica!T1468,"")</f>
        <v>0.54757158530743433</v>
      </c>
      <c r="R445" s="31">
        <f>IFERROR(Serie_Historica!U1471/Serie_Historica!U1468,"")</f>
        <v>0.52346879575655436</v>
      </c>
      <c r="S445" s="31">
        <f>IFERROR(Serie_Historica!V1471/Serie_Historica!V1468,"")</f>
        <v>0.55183125762432972</v>
      </c>
      <c r="T445" s="31">
        <f>IFERROR(Serie_Historica!W1471/Serie_Historica!W1468,"")</f>
        <v>0.50106027706881007</v>
      </c>
      <c r="U445" s="31">
        <f>IFERROR(Serie_Historica!X1471/Serie_Historica!X1468,"")</f>
        <v>0.47254115214902581</v>
      </c>
      <c r="V445" s="31">
        <f>IFERROR(Serie_Historica!Y1471/Serie_Historica!Y1468,"")</f>
        <v>0.4702542001304687</v>
      </c>
      <c r="W445" s="31">
        <f>IFERROR(Serie_Historica!Z1471/Serie_Historica!Z1468,"")</f>
        <v>0.41486985499414575</v>
      </c>
      <c r="X445" s="19">
        <f>IFERROR((W445-D445)*100,"")</f>
        <v>-12.781446365456461</v>
      </c>
    </row>
    <row r="446" spans="1:24">
      <c r="A446" s="28" t="s">
        <v>327</v>
      </c>
      <c r="B446" s="28" t="s">
        <v>328</v>
      </c>
      <c r="C446" s="28" t="s">
        <v>504</v>
      </c>
      <c r="D446" s="31">
        <f>IFERROR(Serie_Historica!G1479/Serie_Historica!G1478,"")</f>
        <v>6.0318964156008209E-2</v>
      </c>
      <c r="E446" s="31">
        <f>IFERROR(Serie_Historica!H1479/Serie_Historica!H1478,"")</f>
        <v>5.4032106939846336E-2</v>
      </c>
      <c r="F446" s="31">
        <f>IFERROR(Serie_Historica!I1479/Serie_Historica!I1478,"")</f>
        <v>3.8489348684576451E-2</v>
      </c>
      <c r="G446" s="31">
        <f>IFERROR(Serie_Historica!J1479/Serie_Historica!J1478,"")</f>
        <v>3.6500321479796233E-2</v>
      </c>
      <c r="H446" s="31">
        <f>IFERROR(Serie_Historica!K1479/Serie_Historica!K1478,"")</f>
        <v>3.2924679158637088E-2</v>
      </c>
      <c r="I446" s="31">
        <f>IFERROR(Serie_Historica!L1479/Serie_Historica!L1478,"")</f>
        <v>4.1837792192837675E-2</v>
      </c>
      <c r="J446" s="31">
        <f>IFERROR(Serie_Historica!M1479/Serie_Historica!M1478,"")</f>
        <v>3.4357272824574549E-2</v>
      </c>
      <c r="K446" s="31">
        <f>IFERROR(Serie_Historica!N1479/Serie_Historica!N1478,"")</f>
        <v>3.1222443580783174E-2</v>
      </c>
      <c r="L446" s="31">
        <f>IFERROR(Serie_Historica!O1479/Serie_Historica!O1478,"")</f>
        <v>2.8678638434735997E-2</v>
      </c>
      <c r="M446" s="31">
        <f>IFERROR(Serie_Historica!P1479/Serie_Historica!P1478,"")</f>
        <v>3.3747674864920724E-2</v>
      </c>
      <c r="N446" s="31">
        <f>IFERROR(Serie_Historica!Q1479/Serie_Historica!Q1478,"")</f>
        <v>3.8239180706970598E-2</v>
      </c>
      <c r="O446" s="31">
        <f>IFERROR(Serie_Historica!R1479/Serie_Historica!R1478,"")</f>
        <v>3.5399302190346968E-2</v>
      </c>
      <c r="P446" s="31">
        <f>IFERROR(Serie_Historica!S1479/Serie_Historica!S1478,"")</f>
        <v>3.4943007999274855E-2</v>
      </c>
      <c r="Q446" s="31">
        <f>IFERROR(Serie_Historica!T1479/Serie_Historica!T1478,"")</f>
        <v>3.1980502278266397E-2</v>
      </c>
      <c r="R446" s="31">
        <f>IFERROR(Serie_Historica!U1479/Serie_Historica!U1478,"")</f>
        <v>3.734491572975332E-2</v>
      </c>
      <c r="S446" s="31">
        <f>IFERROR(Serie_Historica!V1479/Serie_Historica!V1478,"")</f>
        <v>2.9932356257046225E-2</v>
      </c>
      <c r="T446" s="31">
        <f>IFERROR(Serie_Historica!W1479/Serie_Historica!W1478,"")</f>
        <v>3.2252896886847869E-2</v>
      </c>
      <c r="U446" s="31">
        <f>IFERROR(Serie_Historica!X1479/Serie_Historica!X1478,"")</f>
        <v>3.1150442477876107E-2</v>
      </c>
      <c r="V446" s="31">
        <f>IFERROR(Serie_Historica!Y1479/Serie_Historica!Y1478,"")</f>
        <v>2.9320939999382394E-2</v>
      </c>
      <c r="W446" s="31">
        <f>IFERROR(Serie_Historica!Z1479/Serie_Historica!Z1478,"")</f>
        <v>3.3904927284566962E-2</v>
      </c>
      <c r="X446" s="19">
        <f>IFERROR((W446-D446)*100,"")</f>
        <v>-2.6414036871441247</v>
      </c>
    </row>
    <row r="447" spans="1:24">
      <c r="A447" s="28" t="s">
        <v>327</v>
      </c>
      <c r="B447" s="28" t="s">
        <v>328</v>
      </c>
      <c r="C447" s="28" t="s">
        <v>505</v>
      </c>
      <c r="D447" s="31">
        <f>IFERROR(Serie_Historica!G1480/Serie_Historica!G1478,"")</f>
        <v>0.14282330648981525</v>
      </c>
      <c r="E447" s="31">
        <f>IFERROR(Serie_Historica!H1480/Serie_Historica!H1478,"")</f>
        <v>0.13960896995440064</v>
      </c>
      <c r="F447" s="31">
        <f>IFERROR(Serie_Historica!I1480/Serie_Historica!I1478,"")</f>
        <v>0.15156571555703877</v>
      </c>
      <c r="G447" s="31">
        <f>IFERROR(Serie_Historica!J1480/Serie_Historica!J1478,"")</f>
        <v>0.14946337603244472</v>
      </c>
      <c r="H447" s="31">
        <f>IFERROR(Serie_Historica!K1480/Serie_Historica!K1478,"")</f>
        <v>0.1532658165566444</v>
      </c>
      <c r="I447" s="31">
        <f>IFERROR(Serie_Historica!L1480/Serie_Historica!L1478,"")</f>
        <v>0.1577169615783211</v>
      </c>
      <c r="J447" s="31">
        <f>IFERROR(Serie_Historica!M1480/Serie_Historica!M1478,"")</f>
        <v>0.14374397944985551</v>
      </c>
      <c r="K447" s="31">
        <f>IFERROR(Serie_Historica!N1480/Serie_Historica!N1478,"")</f>
        <v>0.15098468271334792</v>
      </c>
      <c r="L447" s="31">
        <f>IFERROR(Serie_Historica!O1480/Serie_Historica!O1478,"")</f>
        <v>0.16580675422138838</v>
      </c>
      <c r="M447" s="31">
        <f>IFERROR(Serie_Historica!P1480/Serie_Historica!P1478,"")</f>
        <v>0.16614012814077769</v>
      </c>
      <c r="N447" s="31">
        <f>IFERROR(Serie_Historica!Q1480/Serie_Historica!Q1478,"")</f>
        <v>0.17253055830855632</v>
      </c>
      <c r="O447" s="31">
        <f>IFERROR(Serie_Historica!R1480/Serie_Historica!R1478,"")</f>
        <v>0.17125411901531304</v>
      </c>
      <c r="P447" s="31">
        <f>IFERROR(Serie_Historica!S1480/Serie_Historica!S1478,"")</f>
        <v>0.17355933739717647</v>
      </c>
      <c r="Q447" s="31">
        <f>IFERROR(Serie_Historica!T1480/Serie_Historica!T1478,"")</f>
        <v>0.18825898060824414</v>
      </c>
      <c r="R447" s="31">
        <f>IFERROR(Serie_Historica!U1480/Serie_Historica!U1478,"")</f>
        <v>0.18946777780086868</v>
      </c>
      <c r="S447" s="31">
        <f>IFERROR(Serie_Historica!V1480/Serie_Historica!V1478,"")</f>
        <v>0.19477639984968056</v>
      </c>
      <c r="T447" s="31">
        <f>IFERROR(Serie_Historica!W1480/Serie_Historica!W1478,"")</f>
        <v>0.2046599384133426</v>
      </c>
      <c r="U447" s="31">
        <f>IFERROR(Serie_Historica!X1480/Serie_Historica!X1478,"")</f>
        <v>0.22333065164923571</v>
      </c>
      <c r="V447" s="31">
        <f>IFERROR(Serie_Historica!Y1480/Serie_Historica!Y1478,"")</f>
        <v>0.22272488651452924</v>
      </c>
      <c r="W447" s="31">
        <f>IFERROR(Serie_Historica!Z1480/Serie_Historica!Z1478,"")</f>
        <v>0.21995514072787786</v>
      </c>
      <c r="X447" s="19">
        <f>IFERROR((W447-D447)*100,"")</f>
        <v>7.7131834238062611</v>
      </c>
    </row>
    <row r="448" spans="1:24">
      <c r="A448" s="28" t="s">
        <v>327</v>
      </c>
      <c r="B448" s="28" t="s">
        <v>328</v>
      </c>
      <c r="C448" s="28" t="s">
        <v>506</v>
      </c>
      <c r="D448" s="31">
        <f>IFERROR(Serie_Historica!G1481/Serie_Historica!G1478,"")</f>
        <v>0.65877151429022585</v>
      </c>
      <c r="E448" s="31">
        <f>IFERROR(Serie_Historica!H1481/Serie_Historica!H1478,"")</f>
        <v>0.56293334999063027</v>
      </c>
      <c r="F448" s="31">
        <f>IFERROR(Serie_Historica!I1481/Serie_Historica!I1478,"")</f>
        <v>0.57861950052839428</v>
      </c>
      <c r="G448" s="31">
        <f>IFERROR(Serie_Historica!J1481/Serie_Historica!J1478,"")</f>
        <v>0.60537118551857161</v>
      </c>
      <c r="H448" s="31">
        <f>IFERROR(Serie_Historica!K1481/Serie_Historica!K1478,"")</f>
        <v>0.5718971667555045</v>
      </c>
      <c r="I448" s="31">
        <f>IFERROR(Serie_Historica!L1481/Serie_Historica!L1478,"")</f>
        <v>0.58707250604536909</v>
      </c>
      <c r="J448" s="31">
        <f>IFERROR(Serie_Historica!M1481/Serie_Historica!M1478,"")</f>
        <v>0.58956794748296404</v>
      </c>
      <c r="K448" s="31">
        <f>IFERROR(Serie_Historica!N1481/Serie_Historica!N1478,"")</f>
        <v>0.61220157418596299</v>
      </c>
      <c r="L448" s="31">
        <f>IFERROR(Serie_Historica!O1481/Serie_Historica!O1478,"")</f>
        <v>0.67026266416510316</v>
      </c>
      <c r="M448" s="31">
        <f>IFERROR(Serie_Historica!P1481/Serie_Historica!P1478,"")</f>
        <v>0.67114470459712416</v>
      </c>
      <c r="N448" s="31">
        <f>IFERROR(Serie_Historica!Q1481/Serie_Historica!Q1478,"")</f>
        <v>0.67930294020482329</v>
      </c>
      <c r="O448" s="31">
        <f>IFERROR(Serie_Historica!R1481/Serie_Historica!R1478,"")</f>
        <v>0.66526943206047684</v>
      </c>
      <c r="P448" s="31">
        <f>IFERROR(Serie_Historica!S1481/Serie_Historica!S1478,"")</f>
        <v>0.66611525300822594</v>
      </c>
      <c r="Q448" s="31">
        <f>IFERROR(Serie_Historica!T1481/Serie_Historica!T1478,"")</f>
        <v>0.66993748013139764</v>
      </c>
      <c r="R448" s="31">
        <f>IFERROR(Serie_Historica!U1481/Serie_Historica!U1478,"")</f>
        <v>0.66050832311560925</v>
      </c>
      <c r="S448" s="31">
        <f>IFERROR(Serie_Historica!V1481/Serie_Historica!V1478,"")</f>
        <v>0.66356632844795194</v>
      </c>
      <c r="T448" s="31">
        <f>IFERROR(Serie_Historica!W1481/Serie_Historica!W1478,"")</f>
        <v>0.63840088286075358</v>
      </c>
      <c r="U448" s="31">
        <f>IFERROR(Serie_Historica!X1481/Serie_Historica!X1478,"")</f>
        <v>0.63444891391794045</v>
      </c>
      <c r="V448" s="31">
        <f>IFERROR(Serie_Historica!Y1481/Serie_Historica!Y1478,"")</f>
        <v>0.63439150171386216</v>
      </c>
      <c r="W448" s="31">
        <f>IFERROR(Serie_Historica!Z1481/Serie_Historica!Z1478,"")</f>
        <v>0.63526517618117362</v>
      </c>
      <c r="X448" s="19">
        <f>IFERROR((W448-D448)*100,"")</f>
        <v>-2.3506338109052227</v>
      </c>
    </row>
    <row r="449" spans="1:24">
      <c r="A449" s="28" t="s">
        <v>377</v>
      </c>
      <c r="B449" s="28" t="s">
        <v>378</v>
      </c>
      <c r="C449" s="28" t="s">
        <v>504</v>
      </c>
      <c r="D449" s="31">
        <f>IFERROR(Serie_Historica!G1489/Serie_Historica!G1488,"")</f>
        <v>5.6851311953352766E-2</v>
      </c>
      <c r="E449" s="31">
        <f>IFERROR(Serie_Historica!H1489/Serie_Historica!H1488,"")</f>
        <v>3.104490051046984E-2</v>
      </c>
      <c r="F449" s="31">
        <f>IFERROR(Serie_Historica!I1489/Serie_Historica!I1488,"")</f>
        <v>3.5319111268478358E-2</v>
      </c>
      <c r="G449" s="31">
        <f>IFERROR(Serie_Historica!J1489/Serie_Historica!J1488,"")</f>
        <v>3.4664905909541105E-2</v>
      </c>
      <c r="H449" s="31">
        <f>IFERROR(Serie_Historica!K1489/Serie_Historica!K1488,"")</f>
        <v>3.2562251362899662E-2</v>
      </c>
      <c r="I449" s="31">
        <f>IFERROR(Serie_Historica!L1489/Serie_Historica!L1488,"")</f>
        <v>3.3998297044155211E-2</v>
      </c>
      <c r="J449" s="31">
        <f>IFERROR(Serie_Historica!M1489/Serie_Historica!M1488,"")</f>
        <v>3.0766615672276048E-2</v>
      </c>
      <c r="K449" s="31">
        <f>IFERROR(Serie_Historica!N1489/Serie_Historica!N1488,"")</f>
        <v>3.2070861331704337E-2</v>
      </c>
      <c r="L449" s="31">
        <f>IFERROR(Serie_Historica!O1489/Serie_Historica!O1488,"")</f>
        <v>3.0202790162519776E-2</v>
      </c>
      <c r="M449" s="31">
        <f>IFERROR(Serie_Historica!P1489/Serie_Historica!P1488,"")</f>
        <v>2.9441163107678327E-2</v>
      </c>
      <c r="N449" s="31">
        <f>IFERROR(Serie_Historica!Q1489/Serie_Historica!Q1488,"")</f>
        <v>3.3482898747036909E-2</v>
      </c>
      <c r="O449" s="31">
        <f>IFERROR(Serie_Historica!R1489/Serie_Historica!R1488,"")</f>
        <v>3.335454647549882E-2</v>
      </c>
      <c r="P449" s="31">
        <f>IFERROR(Serie_Historica!S1489/Serie_Historica!S1488,"")</f>
        <v>4.2486178589378455E-2</v>
      </c>
      <c r="Q449" s="31">
        <f>IFERROR(Serie_Historica!T1489/Serie_Historica!T1488,"")</f>
        <v>4.9536464771322619E-2</v>
      </c>
      <c r="R449" s="31">
        <f>IFERROR(Serie_Historica!U1489/Serie_Historica!U1488,"")</f>
        <v>5.3082089995839028E-2</v>
      </c>
      <c r="S449" s="31">
        <f>IFERROR(Serie_Historica!V1489/Serie_Historica!V1488,"")</f>
        <v>3.7792157081497184E-2</v>
      </c>
      <c r="T449" s="31">
        <f>IFERROR(Serie_Historica!W1489/Serie_Historica!W1488,"")</f>
        <v>5.1448954617647827E-2</v>
      </c>
      <c r="U449" s="31">
        <f>IFERROR(Serie_Historica!X1489/Serie_Historica!X1488,"")</f>
        <v>5.8459340397666391E-2</v>
      </c>
      <c r="V449" s="31">
        <f>IFERROR(Serie_Historica!Y1489/Serie_Historica!Y1488,"")</f>
        <v>5.5641318209275793E-2</v>
      </c>
      <c r="W449" s="31">
        <f>IFERROR(Serie_Historica!Z1489/Serie_Historica!Z1488,"")</f>
        <v>6.4463648080458069E-2</v>
      </c>
      <c r="X449" s="19">
        <f>IFERROR((W449-D449)*100,"")</f>
        <v>0.76123361271053025</v>
      </c>
    </row>
    <row r="450" spans="1:24">
      <c r="A450" s="28" t="s">
        <v>377</v>
      </c>
      <c r="B450" s="28" t="s">
        <v>378</v>
      </c>
      <c r="C450" s="28" t="s">
        <v>505</v>
      </c>
      <c r="D450" s="31">
        <f>IFERROR(Serie_Historica!G1490/Serie_Historica!G1488,"")</f>
        <v>0.27012783135232116</v>
      </c>
      <c r="E450" s="31">
        <f>IFERROR(Serie_Historica!H1490/Serie_Historica!H1488,"")</f>
        <v>0.27732055422439839</v>
      </c>
      <c r="F450" s="31">
        <f>IFERROR(Serie_Historica!I1490/Serie_Historica!I1488,"")</f>
        <v>0.2972470567407276</v>
      </c>
      <c r="G450" s="31">
        <f>IFERROR(Serie_Historica!J1490/Serie_Historica!J1488,"")</f>
        <v>0.26972598217233412</v>
      </c>
      <c r="H450" s="31">
        <f>IFERROR(Serie_Historica!K1490/Serie_Historica!K1488,"")</f>
        <v>0.27169588919994109</v>
      </c>
      <c r="I450" s="31">
        <f>IFERROR(Serie_Historica!L1490/Serie_Historica!L1488,"")</f>
        <v>0.26943194258606007</v>
      </c>
      <c r="J450" s="31">
        <f>IFERROR(Serie_Historica!M1490/Serie_Historica!M1488,"")</f>
        <v>0.24630290668026517</v>
      </c>
      <c r="K450" s="31">
        <f>IFERROR(Serie_Historica!N1490/Serie_Historica!N1488,"")</f>
        <v>0.23406638159234372</v>
      </c>
      <c r="L450" s="31">
        <f>IFERROR(Serie_Historica!O1490/Serie_Historica!O1488,"")</f>
        <v>0.25734694855937484</v>
      </c>
      <c r="M450" s="31">
        <f>IFERROR(Serie_Historica!P1490/Serie_Historica!P1488,"")</f>
        <v>0.21830985915492956</v>
      </c>
      <c r="N450" s="31">
        <f>IFERROR(Serie_Historica!Q1490/Serie_Historica!Q1488,"")</f>
        <v>0.23755502878428716</v>
      </c>
      <c r="O450" s="31">
        <f>IFERROR(Serie_Historica!R1490/Serie_Historica!R1488,"")</f>
        <v>0.22408565118107288</v>
      </c>
      <c r="P450" s="31">
        <f>IFERROR(Serie_Historica!S1490/Serie_Historica!S1488,"")</f>
        <v>0.20770648349807339</v>
      </c>
      <c r="Q450" s="31">
        <f>IFERROR(Serie_Historica!T1490/Serie_Historica!T1488,"")</f>
        <v>0.24079110012360938</v>
      </c>
      <c r="R450" s="31">
        <f>IFERROR(Serie_Historica!U1490/Serie_Historica!U1488,"")</f>
        <v>0.22653510075491887</v>
      </c>
      <c r="S450" s="31">
        <f>IFERROR(Serie_Historica!V1490/Serie_Historica!V1488,"")</f>
        <v>0.25087856306130418</v>
      </c>
      <c r="T450" s="31">
        <f>IFERROR(Serie_Historica!W1490/Serie_Historica!W1488,"")</f>
        <v>0.24466894055771082</v>
      </c>
      <c r="U450" s="31">
        <f>IFERROR(Serie_Historica!X1490/Serie_Historica!X1488,"")</f>
        <v>0.25226812715799501</v>
      </c>
      <c r="V450" s="31">
        <f>IFERROR(Serie_Historica!Y1490/Serie_Historica!Y1488,"")</f>
        <v>0.26245609325010627</v>
      </c>
      <c r="W450" s="31">
        <f>IFERROR(Serie_Historica!Z1490/Serie_Historica!Z1488,"")</f>
        <v>0.26484819032728346</v>
      </c>
      <c r="X450" s="19">
        <f>IFERROR((W450-D450)*100,"")</f>
        <v>-0.52796410250376957</v>
      </c>
    </row>
    <row r="451" spans="1:24">
      <c r="A451" s="28" t="s">
        <v>377</v>
      </c>
      <c r="B451" s="28" t="s">
        <v>378</v>
      </c>
      <c r="C451" s="28" t="s">
        <v>506</v>
      </c>
      <c r="D451" s="31">
        <f>IFERROR(Serie_Historica!G1491/Serie_Historica!G1488,"")</f>
        <v>0.57725947521865895</v>
      </c>
      <c r="E451" s="31">
        <f>IFERROR(Serie_Historica!H1491/Serie_Historica!H1488,"")</f>
        <v>0.57839358266486096</v>
      </c>
      <c r="F451" s="31">
        <f>IFERROR(Serie_Historica!I1491/Serie_Historica!I1488,"")</f>
        <v>0.54510046915110211</v>
      </c>
      <c r="G451" s="31">
        <f>IFERROR(Serie_Historica!J1491/Serie_Historica!J1488,"")</f>
        <v>0.60704853086827337</v>
      </c>
      <c r="H451" s="31">
        <f>IFERROR(Serie_Historica!K1491/Serie_Historica!K1488,"")</f>
        <v>0.6013702666863121</v>
      </c>
      <c r="I451" s="31">
        <f>IFERROR(Serie_Historica!L1491/Serie_Historica!L1488,"")</f>
        <v>0.61348984308478283</v>
      </c>
      <c r="J451" s="31">
        <f>IFERROR(Serie_Historica!M1491/Serie_Historica!M1488,"")</f>
        <v>0.61045951611989346</v>
      </c>
      <c r="K451" s="31">
        <f>IFERROR(Serie_Historica!N1491/Serie_Historica!N1488,"")</f>
        <v>0.6316432498472816</v>
      </c>
      <c r="L451" s="31">
        <f>IFERROR(Serie_Historica!O1491/Serie_Historica!O1488,"")</f>
        <v>0.65640730619876309</v>
      </c>
      <c r="M451" s="31">
        <f>IFERROR(Serie_Historica!P1491/Serie_Historica!P1488,"")</f>
        <v>0.67996365288505223</v>
      </c>
      <c r="N451" s="31">
        <f>IFERROR(Serie_Historica!Q1491/Serie_Historica!Q1488,"")</f>
        <v>0.68595496105655263</v>
      </c>
      <c r="O451" s="31">
        <f>IFERROR(Serie_Historica!R1491/Serie_Historica!R1488,"")</f>
        <v>0.69864859806086921</v>
      </c>
      <c r="P451" s="31">
        <f>IFERROR(Serie_Historica!S1491/Serie_Historica!S1488,"")</f>
        <v>0.69941363712514659</v>
      </c>
      <c r="Q451" s="31">
        <f>IFERROR(Serie_Historica!T1491/Serie_Historica!T1488,"")</f>
        <v>0.66953028430160688</v>
      </c>
      <c r="R451" s="31">
        <f>IFERROR(Serie_Historica!U1491/Serie_Historica!U1488,"")</f>
        <v>0.68332045414016529</v>
      </c>
      <c r="S451" s="31">
        <f>IFERROR(Serie_Historica!V1491/Serie_Historica!V1488,"")</f>
        <v>0.67230992357895913</v>
      </c>
      <c r="T451" s="31">
        <f>IFERROR(Serie_Historica!W1491/Serie_Historica!W1488,"")</f>
        <v>0.65857786341031588</v>
      </c>
      <c r="U451" s="31">
        <f>IFERROR(Serie_Historica!X1491/Serie_Historica!X1488,"")</f>
        <v>0.65450648886772234</v>
      </c>
      <c r="V451" s="31">
        <f>IFERROR(Serie_Historica!Y1491/Serie_Historica!Y1488,"")</f>
        <v>0.6405575318254022</v>
      </c>
      <c r="W451" s="31">
        <f>IFERROR(Serie_Historica!Z1491/Serie_Historica!Z1488,"")</f>
        <v>0.62625451625853068</v>
      </c>
      <c r="X451" s="19">
        <f>IFERROR((W451-D451)*100,"")</f>
        <v>4.899504103987173</v>
      </c>
    </row>
    <row r="452" spans="1:24">
      <c r="A452" s="28" t="s">
        <v>339</v>
      </c>
      <c r="B452" s="28" t="s">
        <v>340</v>
      </c>
      <c r="C452" s="28" t="s">
        <v>504</v>
      </c>
      <c r="D452" s="31">
        <f>IFERROR(Serie_Historica!G1499/Serie_Historica!G1498,"")</f>
        <v>0.36135957066189622</v>
      </c>
      <c r="E452" s="31">
        <f>IFERROR(Serie_Historica!H1499/Serie_Historica!H1498,"")</f>
        <v>0.22501411631846416</v>
      </c>
      <c r="F452" s="31">
        <f>IFERROR(Serie_Historica!I1499/Serie_Historica!I1498,"")</f>
        <v>0.31732863549007045</v>
      </c>
      <c r="G452" s="31">
        <f>IFERROR(Serie_Historica!J1499/Serie_Historica!J1498,"")</f>
        <v>0.19408324733402132</v>
      </c>
      <c r="H452" s="31">
        <f>IFERROR(Serie_Historica!K1499/Serie_Historica!K1498,"")</f>
        <v>3.5649994705446331E-2</v>
      </c>
      <c r="I452" s="31">
        <f>IFERROR(Serie_Historica!L1499/Serie_Historica!L1498,"")</f>
        <v>4.9351041352248715E-2</v>
      </c>
      <c r="J452" s="31">
        <f>IFERROR(Serie_Historica!M1499/Serie_Historica!M1498,"")</f>
        <v>4.3983897420605336E-2</v>
      </c>
      <c r="K452" s="31">
        <f>IFERROR(Serie_Historica!N1499/Serie_Historica!N1498,"")</f>
        <v>4.2245349385357366E-2</v>
      </c>
      <c r="L452" s="31">
        <f>IFERROR(Serie_Historica!O1499/Serie_Historica!O1498,"")</f>
        <v>4.1572028357078947E-2</v>
      </c>
      <c r="M452" s="31">
        <f>IFERROR(Serie_Historica!P1499/Serie_Historica!P1498,"")</f>
        <v>3.9771033331345775E-2</v>
      </c>
      <c r="N452" s="31">
        <f>IFERROR(Serie_Historica!Q1499/Serie_Historica!Q1498,"")</f>
        <v>4.825330756652297E-2</v>
      </c>
      <c r="O452" s="31">
        <f>IFERROR(Serie_Historica!R1499/Serie_Historica!R1498,"")</f>
        <v>5.0352141180280093E-2</v>
      </c>
      <c r="P452" s="31">
        <f>IFERROR(Serie_Historica!S1499/Serie_Historica!S1498,"")</f>
        <v>5.2322290212146537E-2</v>
      </c>
      <c r="Q452" s="31">
        <f>IFERROR(Serie_Historica!T1499/Serie_Historica!T1498,"")</f>
        <v>5.9152722592198781E-2</v>
      </c>
      <c r="R452" s="31">
        <f>IFERROR(Serie_Historica!U1499/Serie_Historica!U1498,"")</f>
        <v>5.5631083800097882E-2</v>
      </c>
      <c r="S452" s="31">
        <f>IFERROR(Serie_Historica!V1499/Serie_Historica!V1498,"")</f>
        <v>6.0981743197706585E-2</v>
      </c>
      <c r="T452" s="31">
        <f>IFERROR(Serie_Historica!W1499/Serie_Historica!W1498,"")</f>
        <v>7.1559460602358696E-2</v>
      </c>
      <c r="U452" s="31">
        <f>IFERROR(Serie_Historica!X1499/Serie_Historica!X1498,"")</f>
        <v>8.6759018640911789E-2</v>
      </c>
      <c r="V452" s="31">
        <f>IFERROR(Serie_Historica!Y1499/Serie_Historica!Y1498,"")</f>
        <v>8.4812442817932293E-2</v>
      </c>
      <c r="W452" s="31">
        <f>IFERROR(Serie_Historica!Z1499/Serie_Historica!Z1498,"")</f>
        <v>8.0104086082002951E-2</v>
      </c>
      <c r="X452" s="19">
        <f>IFERROR((W452-D452)*100,"")</f>
        <v>-28.125548457989325</v>
      </c>
    </row>
    <row r="453" spans="1:24">
      <c r="A453" s="28" t="s">
        <v>339</v>
      </c>
      <c r="B453" s="28" t="s">
        <v>340</v>
      </c>
      <c r="C453" s="28" t="s">
        <v>505</v>
      </c>
      <c r="D453" s="31">
        <f>IFERROR(Serie_Historica!G1500/Serie_Historica!G1498,"")</f>
        <v>0.15716841298236647</v>
      </c>
      <c r="E453" s="31">
        <f>IFERROR(Serie_Historica!H1500/Serie_Historica!H1498,"")</f>
        <v>0.17113011212390095</v>
      </c>
      <c r="F453" s="31">
        <f>IFERROR(Serie_Historica!I1500/Serie_Historica!I1498,"")</f>
        <v>0.176040999359385</v>
      </c>
      <c r="G453" s="31">
        <f>IFERROR(Serie_Historica!J1500/Serie_Historica!J1498,"")</f>
        <v>0.19325765393876848</v>
      </c>
      <c r="H453" s="31">
        <f>IFERROR(Serie_Historica!K1500/Serie_Historica!K1498,"")</f>
        <v>0.23589001447178004</v>
      </c>
      <c r="I453" s="31">
        <f>IFERROR(Serie_Historica!L1500/Serie_Historica!L1498,"")</f>
        <v>0.30825535768185935</v>
      </c>
      <c r="J453" s="31">
        <f>IFERROR(Serie_Historica!M1500/Serie_Historica!M1498,"")</f>
        <v>0.26513344267183542</v>
      </c>
      <c r="K453" s="31">
        <f>IFERROR(Serie_Historica!N1500/Serie_Historica!N1498,"")</f>
        <v>0.27051528447619394</v>
      </c>
      <c r="L453" s="31">
        <f>IFERROR(Serie_Historica!O1500/Serie_Historica!O1498,"")</f>
        <v>0.27427902815059535</v>
      </c>
      <c r="M453" s="31">
        <f>IFERROR(Serie_Historica!P1500/Serie_Historica!P1498,"")</f>
        <v>0.23349830063800608</v>
      </c>
      <c r="N453" s="31">
        <f>IFERROR(Serie_Historica!Q1500/Serie_Historica!Q1498,"")</f>
        <v>0.25259402408205739</v>
      </c>
      <c r="O453" s="31">
        <f>IFERROR(Serie_Historica!R1500/Serie_Historica!R1498,"")</f>
        <v>0.28171294422407511</v>
      </c>
      <c r="P453" s="31">
        <f>IFERROR(Serie_Historica!S1500/Serie_Historica!S1498,"")</f>
        <v>0.26794619511011675</v>
      </c>
      <c r="Q453" s="31">
        <f>IFERROR(Serie_Historica!T1500/Serie_Historica!T1498,"")</f>
        <v>0.27684817281325202</v>
      </c>
      <c r="R453" s="31">
        <f>IFERROR(Serie_Historica!U1500/Serie_Historica!U1498,"")</f>
        <v>0.31181684702811463</v>
      </c>
      <c r="S453" s="31">
        <f>IFERROR(Serie_Historica!V1500/Serie_Historica!V1498,"")</f>
        <v>0.29417089976361716</v>
      </c>
      <c r="T453" s="31">
        <f>IFERROR(Serie_Historica!W1500/Serie_Historica!W1498,"")</f>
        <v>0.35674012122351173</v>
      </c>
      <c r="U453" s="31">
        <f>IFERROR(Serie_Historica!X1500/Serie_Historica!X1498,"")</f>
        <v>0.41171655992306277</v>
      </c>
      <c r="V453" s="31">
        <f>IFERROR(Serie_Historica!Y1500/Serie_Historica!Y1498,"")</f>
        <v>0.39831655992680698</v>
      </c>
      <c r="W453" s="31">
        <f>IFERROR(Serie_Historica!Z1500/Serie_Historica!Z1498,"")</f>
        <v>0.40030944510865746</v>
      </c>
      <c r="X453" s="19">
        <f>IFERROR((W453-D453)*100,"")</f>
        <v>24.314103212629099</v>
      </c>
    </row>
    <row r="454" spans="1:24">
      <c r="A454" s="28" t="s">
        <v>339</v>
      </c>
      <c r="B454" s="28" t="s">
        <v>340</v>
      </c>
      <c r="C454" s="28" t="s">
        <v>506</v>
      </c>
      <c r="D454" s="31">
        <f>IFERROR(Serie_Historica!G1501/Serie_Historica!G1498,"")</f>
        <v>0.41250775802270817</v>
      </c>
      <c r="E454" s="31">
        <f>IFERROR(Serie_Historica!H1501/Serie_Historica!H1498,"")</f>
        <v>0.49483746067597001</v>
      </c>
      <c r="F454" s="31">
        <f>IFERROR(Serie_Historica!I1501/Serie_Historica!I1498,"")</f>
        <v>0.42956438180653428</v>
      </c>
      <c r="G454" s="31">
        <f>IFERROR(Serie_Historica!J1501/Serie_Historica!J1498,"")</f>
        <v>0.53594771241830064</v>
      </c>
      <c r="H454" s="31">
        <f>IFERROR(Serie_Historica!K1501/Serie_Historica!K1498,"")</f>
        <v>0.63485228195263144</v>
      </c>
      <c r="I454" s="31">
        <f>IFERROR(Serie_Historica!L1501/Serie_Historica!L1498,"")</f>
        <v>0.55270902505282227</v>
      </c>
      <c r="J454" s="31">
        <f>IFERROR(Serie_Historica!M1501/Serie_Historica!M1498,"")</f>
        <v>0.56556582674817357</v>
      </c>
      <c r="K454" s="31">
        <f>IFERROR(Serie_Historica!N1501/Serie_Historica!N1498,"")</f>
        <v>0.55034992928890014</v>
      </c>
      <c r="L454" s="31">
        <f>IFERROR(Serie_Historica!O1501/Serie_Historica!O1498,"")</f>
        <v>0.61676646706586824</v>
      </c>
      <c r="M454" s="31">
        <f>IFERROR(Serie_Historica!P1501/Serie_Historica!P1498,"")</f>
        <v>0.60082881163913904</v>
      </c>
      <c r="N454" s="31">
        <f>IFERROR(Serie_Historica!Q1501/Serie_Historica!Q1498,"")</f>
        <v>0.63469600118923741</v>
      </c>
      <c r="O454" s="31">
        <f>IFERROR(Serie_Historica!R1501/Serie_Historica!R1498,"")</f>
        <v>0.55794813675490429</v>
      </c>
      <c r="P454" s="31">
        <f>IFERROR(Serie_Historica!S1501/Serie_Historica!S1498,"")</f>
        <v>0.5530905464053697</v>
      </c>
      <c r="Q454" s="31">
        <f>IFERROR(Serie_Historica!T1501/Serie_Historica!T1498,"")</f>
        <v>0.57594157479433661</v>
      </c>
      <c r="R454" s="31">
        <f>IFERROR(Serie_Historica!U1501/Serie_Historica!U1498,"")</f>
        <v>0.5533742998531731</v>
      </c>
      <c r="S454" s="31">
        <f>IFERROR(Serie_Historica!V1501/Serie_Historica!V1498,"")</f>
        <v>0.53822360810742842</v>
      </c>
      <c r="T454" s="31">
        <f>IFERROR(Serie_Historica!W1501/Serie_Historica!W1498,"")</f>
        <v>0.47899732180613636</v>
      </c>
      <c r="U454" s="31">
        <f>IFERROR(Serie_Historica!X1501/Serie_Historica!X1498,"")</f>
        <v>0.42503734320967446</v>
      </c>
      <c r="V454" s="31">
        <f>IFERROR(Serie_Historica!Y1501/Serie_Historica!Y1498,"")</f>
        <v>0.4085269899359561</v>
      </c>
      <c r="W454" s="31">
        <f>IFERROR(Serie_Historica!Z1501/Serie_Historica!Z1498,"")</f>
        <v>0.37377804346297205</v>
      </c>
      <c r="X454" s="19">
        <f>IFERROR((W454-D454)*100,"")</f>
        <v>-3.8729714559736115</v>
      </c>
    </row>
    <row r="455" spans="1:24">
      <c r="A455" s="28" t="s">
        <v>363</v>
      </c>
      <c r="B455" s="28" t="s">
        <v>364</v>
      </c>
      <c r="C455" s="28" t="s">
        <v>504</v>
      </c>
      <c r="D455" s="31">
        <f>IFERROR(Serie_Historica!G1509/Serie_Historica!G1508,"")</f>
        <v>4.5156434791957856E-2</v>
      </c>
      <c r="E455" s="31">
        <f>IFERROR(Serie_Historica!H1509/Serie_Historica!H1508,"")</f>
        <v>2.6387272021730693E-2</v>
      </c>
      <c r="F455" s="31">
        <f>IFERROR(Serie_Historica!I1509/Serie_Historica!I1508,"")</f>
        <v>3.0157230002577542E-2</v>
      </c>
      <c r="G455" s="31">
        <f>IFERROR(Serie_Historica!J1509/Serie_Historica!J1508,"")</f>
        <v>3.0714285714285715E-2</v>
      </c>
      <c r="H455" s="31">
        <f>IFERROR(Serie_Historica!K1509/Serie_Historica!K1508,"")</f>
        <v>3.1033996332345888E-2</v>
      </c>
      <c r="I455" s="31">
        <f>IFERROR(Serie_Historica!L1509/Serie_Historica!L1508,"")</f>
        <v>3.0736795383932536E-2</v>
      </c>
      <c r="J455" s="31">
        <f>IFERROR(Serie_Historica!M1509/Serie_Historica!M1508,"")</f>
        <v>4.4197542949439575E-2</v>
      </c>
      <c r="K455" s="31">
        <f>IFERROR(Serie_Historica!N1509/Serie_Historica!N1508,"")</f>
        <v>3.9733588796131564E-2</v>
      </c>
      <c r="L455" s="31">
        <f>IFERROR(Serie_Historica!O1509/Serie_Historica!O1508,"")</f>
        <v>4.7612636869502782E-2</v>
      </c>
      <c r="M455" s="31">
        <f>IFERROR(Serie_Historica!P1509/Serie_Historica!P1508,"")</f>
        <v>3.8407878539187527E-2</v>
      </c>
      <c r="N455" s="31">
        <f>IFERROR(Serie_Historica!Q1509/Serie_Historica!Q1508,"")</f>
        <v>4.9241992476917816E-2</v>
      </c>
      <c r="O455" s="31">
        <f>IFERROR(Serie_Historica!R1509/Serie_Historica!R1508,"")</f>
        <v>3.7491593813046405E-2</v>
      </c>
      <c r="P455" s="31">
        <f>IFERROR(Serie_Historica!S1509/Serie_Historica!S1508,"")</f>
        <v>3.5332759335437995E-2</v>
      </c>
      <c r="Q455" s="31">
        <f>IFERROR(Serie_Historica!T1509/Serie_Historica!T1508,"")</f>
        <v>3.6947948423908486E-2</v>
      </c>
      <c r="R455" s="31">
        <f>IFERROR(Serie_Historica!U1509/Serie_Historica!U1508,"")</f>
        <v>4.426186750130412E-2</v>
      </c>
      <c r="S455" s="31">
        <f>IFERROR(Serie_Historica!V1509/Serie_Historica!V1508,"")</f>
        <v>3.7354502508157597E-2</v>
      </c>
      <c r="T455" s="31">
        <f>IFERROR(Serie_Historica!W1509/Serie_Historica!W1508,"")</f>
        <v>2.6356515321063784E-2</v>
      </c>
      <c r="U455" s="31">
        <f>IFERROR(Serie_Historica!X1509/Serie_Historica!X1508,"")</f>
        <v>2.8989883738487092E-2</v>
      </c>
      <c r="V455" s="31">
        <f>IFERROR(Serie_Historica!Y1509/Serie_Historica!Y1508,"")</f>
        <v>2.7628205128205127E-2</v>
      </c>
      <c r="W455" s="31">
        <f>IFERROR(Serie_Historica!Z1509/Serie_Historica!Z1508,"")</f>
        <v>3.1071215302525379E-2</v>
      </c>
      <c r="X455" s="19">
        <f>IFERROR((W455-D455)*100,"")</f>
        <v>-1.4085219489432477</v>
      </c>
    </row>
    <row r="456" spans="1:24">
      <c r="A456" s="28" t="s">
        <v>363</v>
      </c>
      <c r="B456" s="28" t="s">
        <v>364</v>
      </c>
      <c r="C456" s="28" t="s">
        <v>505</v>
      </c>
      <c r="D456" s="31">
        <f>IFERROR(Serie_Historica!G1510/Serie_Historica!G1508,"")</f>
        <v>0.17352972798623803</v>
      </c>
      <c r="E456" s="31">
        <f>IFERROR(Serie_Historica!H1510/Serie_Historica!H1508,"")</f>
        <v>0.16889794334497477</v>
      </c>
      <c r="F456" s="31">
        <f>IFERROR(Serie_Historica!I1510/Serie_Historica!I1508,"")</f>
        <v>0.18197439642580979</v>
      </c>
      <c r="G456" s="31">
        <f>IFERROR(Serie_Historica!J1510/Serie_Historica!J1508,"")</f>
        <v>0.18325396825396825</v>
      </c>
      <c r="H456" s="31">
        <f>IFERROR(Serie_Historica!K1510/Serie_Historica!K1508,"")</f>
        <v>0.19325715897869938</v>
      </c>
      <c r="I456" s="31">
        <f>IFERROR(Serie_Historica!L1510/Serie_Historica!L1508,"")</f>
        <v>0.16799822458943631</v>
      </c>
      <c r="J456" s="31">
        <f>IFERROR(Serie_Historica!M1510/Serie_Historica!M1508,"")</f>
        <v>0.15290489941755175</v>
      </c>
      <c r="K456" s="31">
        <f>IFERROR(Serie_Historica!N1510/Serie_Historica!N1508,"")</f>
        <v>0.16322248072624423</v>
      </c>
      <c r="L456" s="31">
        <f>IFERROR(Serie_Historica!O1510/Serie_Historica!O1508,"")</f>
        <v>0.16935918147549811</v>
      </c>
      <c r="M456" s="31">
        <f>IFERROR(Serie_Historica!P1510/Serie_Historica!P1508,"")</f>
        <v>0.16627000410340584</v>
      </c>
      <c r="N456" s="31">
        <f>IFERROR(Serie_Historica!Q1510/Serie_Historica!Q1508,"")</f>
        <v>0.17671644059424751</v>
      </c>
      <c r="O456" s="31">
        <f>IFERROR(Serie_Historica!R1510/Serie_Historica!R1508,"")</f>
        <v>0.17027572293207802</v>
      </c>
      <c r="P456" s="31">
        <f>IFERROR(Serie_Historica!S1510/Serie_Historica!S1508,"")</f>
        <v>0.16588539175356357</v>
      </c>
      <c r="Q456" s="31">
        <f>IFERROR(Serie_Historica!T1510/Serie_Historica!T1508,"")</f>
        <v>0.17858641232903533</v>
      </c>
      <c r="R456" s="31">
        <f>IFERROR(Serie_Historica!U1510/Serie_Historica!U1508,"")</f>
        <v>0.18534167970787688</v>
      </c>
      <c r="S456" s="31">
        <f>IFERROR(Serie_Historica!V1510/Serie_Historica!V1508,"")</f>
        <v>0.17839575317781134</v>
      </c>
      <c r="T456" s="31">
        <f>IFERROR(Serie_Historica!W1510/Serie_Historica!W1508,"")</f>
        <v>0.21320920930454038</v>
      </c>
      <c r="U456" s="31">
        <f>IFERROR(Serie_Historica!X1510/Serie_Historica!X1508,"")</f>
        <v>0.21321800651409589</v>
      </c>
      <c r="V456" s="31">
        <f>IFERROR(Serie_Historica!Y1510/Serie_Historica!Y1508,"")</f>
        <v>0.21952991452991452</v>
      </c>
      <c r="W456" s="31">
        <f>IFERROR(Serie_Historica!Z1510/Serie_Historica!Z1508,"")</f>
        <v>0.21493652842255312</v>
      </c>
      <c r="X456" s="19">
        <f>IFERROR((W456-D456)*100,"")</f>
        <v>4.1406800436315088</v>
      </c>
    </row>
    <row r="457" spans="1:24">
      <c r="A457" s="28" t="s">
        <v>363</v>
      </c>
      <c r="B457" s="28" t="s">
        <v>364</v>
      </c>
      <c r="C457" s="28" t="s">
        <v>506</v>
      </c>
      <c r="D457" s="31">
        <f>IFERROR(Serie_Historica!G1511/Serie_Historica!G1508,"")</f>
        <v>0.64691968605526284</v>
      </c>
      <c r="E457" s="31">
        <f>IFERROR(Serie_Historica!H1511/Serie_Historica!H1508,"")</f>
        <v>0.63038416763678695</v>
      </c>
      <c r="F457" s="31">
        <f>IFERROR(Serie_Historica!I1511/Serie_Historica!I1508,"")</f>
        <v>0.63003694475470406</v>
      </c>
      <c r="G457" s="31">
        <f>IFERROR(Serie_Historica!J1511/Serie_Historica!J1508,"")</f>
        <v>0.62841269841269842</v>
      </c>
      <c r="H457" s="31">
        <f>IFERROR(Serie_Historica!K1511/Serie_Historica!K1508,"")</f>
        <v>0.65122020031034</v>
      </c>
      <c r="I457" s="31">
        <f>IFERROR(Serie_Historica!L1511/Serie_Historica!L1508,"")</f>
        <v>0.70739014647137155</v>
      </c>
      <c r="J457" s="31">
        <f>IFERROR(Serie_Historica!M1511/Serie_Historica!M1508,"")</f>
        <v>0.6851842787920317</v>
      </c>
      <c r="K457" s="31">
        <f>IFERROR(Serie_Historica!N1511/Serie_Historica!N1508,"")</f>
        <v>0.68596323160439765</v>
      </c>
      <c r="L457" s="31">
        <f>IFERROR(Serie_Historica!O1511/Serie_Historica!O1508,"")</f>
        <v>0.70947765212708669</v>
      </c>
      <c r="M457" s="31">
        <f>IFERROR(Serie_Historica!P1511/Serie_Historica!P1508,"")</f>
        <v>0.70791957324579402</v>
      </c>
      <c r="N457" s="31">
        <f>IFERROR(Serie_Historica!Q1511/Serie_Historica!Q1508,"")</f>
        <v>0.72119001481819223</v>
      </c>
      <c r="O457" s="31">
        <f>IFERROR(Serie_Historica!R1511/Serie_Historica!R1508,"")</f>
        <v>0.73920645595158041</v>
      </c>
      <c r="P457" s="31">
        <f>IFERROR(Serie_Historica!S1511/Serie_Historica!S1508,"")</f>
        <v>0.74922669727988778</v>
      </c>
      <c r="Q457" s="31">
        <f>IFERROR(Serie_Historica!T1511/Serie_Historica!T1508,"")</f>
        <v>0.73526697060386537</v>
      </c>
      <c r="R457" s="31">
        <f>IFERROR(Serie_Historica!U1511/Serie_Historica!U1508,"")</f>
        <v>0.72052686489306206</v>
      </c>
      <c r="S457" s="31">
        <f>IFERROR(Serie_Historica!V1511/Serie_Historica!V1508,"")</f>
        <v>0.73413529440412995</v>
      </c>
      <c r="T457" s="31">
        <f>IFERROR(Serie_Historica!W1511/Serie_Historica!W1508,"")</f>
        <v>0.71488774076807693</v>
      </c>
      <c r="U457" s="31">
        <f>IFERROR(Serie_Historica!X1511/Serie_Historica!X1508,"")</f>
        <v>0.70809516619572488</v>
      </c>
      <c r="V457" s="31">
        <f>IFERROR(Serie_Historica!Y1511/Serie_Historica!Y1508,"")</f>
        <v>0.69258547008547011</v>
      </c>
      <c r="W457" s="31">
        <f>IFERROR(Serie_Historica!Z1511/Serie_Historica!Z1508,"")</f>
        <v>0.6938531774314719</v>
      </c>
      <c r="X457" s="19">
        <f>IFERROR((W457-D457)*100,"")</f>
        <v>4.6933491376209062</v>
      </c>
    </row>
    <row r="458" spans="1:24">
      <c r="A458" s="28" t="s">
        <v>427</v>
      </c>
      <c r="B458" s="28" t="s">
        <v>428</v>
      </c>
      <c r="C458" s="28" t="s">
        <v>504</v>
      </c>
      <c r="D458" s="31">
        <f>IFERROR(Serie_Historica!G1519/Serie_Historica!G1518,"")</f>
        <v>5.8909090909090911E-2</v>
      </c>
      <c r="E458" s="31">
        <f>IFERROR(Serie_Historica!H1519/Serie_Historica!H1518,"")</f>
        <v>3.6718881590028632E-2</v>
      </c>
      <c r="F458" s="31">
        <f>IFERROR(Serie_Historica!I1519/Serie_Historica!I1518,"")</f>
        <v>3.7901807132576362E-2</v>
      </c>
      <c r="G458" s="31">
        <f>IFERROR(Serie_Historica!J1519/Serie_Historica!J1518,"")</f>
        <v>3.8575249894410815E-2</v>
      </c>
      <c r="H458" s="31">
        <f>IFERROR(Serie_Historica!K1519/Serie_Historica!K1518,"")</f>
        <v>3.6439288866473331E-2</v>
      </c>
      <c r="I458" s="31">
        <f>IFERROR(Serie_Historica!L1519/Serie_Historica!L1518,"")</f>
        <v>3.3847592332865828E-2</v>
      </c>
      <c r="J458" s="31">
        <f>IFERROR(Serie_Historica!M1519/Serie_Historica!M1518,"")</f>
        <v>3.2529118136439265E-2</v>
      </c>
      <c r="K458" s="31">
        <f>IFERROR(Serie_Historica!N1519/Serie_Historica!N1518,"")</f>
        <v>3.5842586544741997E-2</v>
      </c>
      <c r="L458" s="31">
        <f>IFERROR(Serie_Historica!O1519/Serie_Historica!O1518,"")</f>
        <v>4.5750020571052416E-2</v>
      </c>
      <c r="M458" s="31">
        <f>IFERROR(Serie_Historica!P1519/Serie_Historica!P1518,"")</f>
        <v>5.1927119831815E-2</v>
      </c>
      <c r="N458" s="31">
        <f>IFERROR(Serie_Historica!Q1519/Serie_Historica!Q1518,"")</f>
        <v>4.2633228840125395E-2</v>
      </c>
      <c r="O458" s="31">
        <f>IFERROR(Serie_Historica!R1519/Serie_Historica!R1518,"")</f>
        <v>6.1889428587021775E-2</v>
      </c>
      <c r="P458" s="31">
        <f>IFERROR(Serie_Historica!S1519/Serie_Historica!S1518,"")</f>
        <v>5.2109563698031762E-2</v>
      </c>
      <c r="Q458" s="31">
        <f>IFERROR(Serie_Historica!T1519/Serie_Historica!T1518,"")</f>
        <v>4.13002667720581E-2</v>
      </c>
      <c r="R458" s="31">
        <f>IFERROR(Serie_Historica!U1519/Serie_Historica!U1518,"")</f>
        <v>4.7811566180348042E-2</v>
      </c>
      <c r="S458" s="31">
        <f>IFERROR(Serie_Historica!V1519/Serie_Historica!V1518,"")</f>
        <v>5.0131276665572697E-2</v>
      </c>
      <c r="T458" s="31">
        <f>IFERROR(Serie_Historica!W1519/Serie_Historica!W1518,"")</f>
        <v>5.1709954166176991E-2</v>
      </c>
      <c r="U458" s="31">
        <f>IFERROR(Serie_Historica!X1519/Serie_Historica!X1518,"")</f>
        <v>4.8656552732590022E-2</v>
      </c>
      <c r="V458" s="31">
        <f>IFERROR(Serie_Historica!Y1519/Serie_Historica!Y1518,"")</f>
        <v>4.7795505232458395E-2</v>
      </c>
      <c r="W458" s="31">
        <f>IFERROR(Serie_Historica!Z1519/Serie_Historica!Z1518,"")</f>
        <v>4.7194529652351741E-2</v>
      </c>
      <c r="X458" s="19">
        <f>IFERROR((W458-D458)*100,"")</f>
        <v>-1.1714561256739171</v>
      </c>
    </row>
    <row r="459" spans="1:24">
      <c r="A459" s="28" t="s">
        <v>427</v>
      </c>
      <c r="B459" s="28" t="s">
        <v>428</v>
      </c>
      <c r="C459" s="28" t="s">
        <v>505</v>
      </c>
      <c r="D459" s="31">
        <f>IFERROR(Serie_Historica!G1520/Serie_Historica!G1518,"")</f>
        <v>0.22345454545454546</v>
      </c>
      <c r="E459" s="31">
        <f>IFERROR(Serie_Historica!H1520/Serie_Historica!H1518,"")</f>
        <v>0.23681994273201953</v>
      </c>
      <c r="F459" s="31">
        <f>IFERROR(Serie_Historica!I1520/Serie_Historica!I1518,"")</f>
        <v>0.25699664161202623</v>
      </c>
      <c r="G459" s="31">
        <f>IFERROR(Serie_Historica!J1520/Serie_Historica!J1518,"")</f>
        <v>0.26186118541461356</v>
      </c>
      <c r="H459" s="31">
        <f>IFERROR(Serie_Historica!K1520/Serie_Historica!K1518,"")</f>
        <v>0.25684024713150927</v>
      </c>
      <c r="I459" s="31">
        <f>IFERROR(Serie_Historica!L1520/Serie_Historica!L1518,"")</f>
        <v>0.29303412809724172</v>
      </c>
      <c r="J459" s="31">
        <f>IFERROR(Serie_Historica!M1520/Serie_Historica!M1518,"")</f>
        <v>0.26763727121464226</v>
      </c>
      <c r="K459" s="31">
        <f>IFERROR(Serie_Historica!N1520/Serie_Historica!N1518,"")</f>
        <v>0.23007838014369694</v>
      </c>
      <c r="L459" s="31">
        <f>IFERROR(Serie_Historica!O1520/Serie_Historica!O1518,"")</f>
        <v>0.22990208179050439</v>
      </c>
      <c r="M459" s="31">
        <f>IFERROR(Serie_Historica!P1520/Serie_Historica!P1518,"")</f>
        <v>0.21471618780658724</v>
      </c>
      <c r="N459" s="31">
        <f>IFERROR(Serie_Historica!Q1520/Serie_Historica!Q1518,"")</f>
        <v>0.23103448275862068</v>
      </c>
      <c r="O459" s="31">
        <f>IFERROR(Serie_Historica!R1520/Serie_Historica!R1518,"")</f>
        <v>0.22763739562298752</v>
      </c>
      <c r="P459" s="31">
        <f>IFERROR(Serie_Historica!S1520/Serie_Historica!S1518,"")</f>
        <v>0.21003134796238246</v>
      </c>
      <c r="Q459" s="31">
        <f>IFERROR(Serie_Historica!T1520/Serie_Historica!T1518,"")</f>
        <v>0.23451239996047821</v>
      </c>
      <c r="R459" s="31">
        <f>IFERROR(Serie_Historica!U1520/Serie_Historica!U1518,"")</f>
        <v>0.23642116364914748</v>
      </c>
      <c r="S459" s="31">
        <f>IFERROR(Serie_Historica!V1520/Serie_Historica!V1518,"")</f>
        <v>0.22276009189366591</v>
      </c>
      <c r="T459" s="31">
        <f>IFERROR(Serie_Historica!W1520/Serie_Historica!W1518,"")</f>
        <v>0.24221412621929722</v>
      </c>
      <c r="U459" s="31">
        <f>IFERROR(Serie_Historica!X1520/Serie_Historica!X1518,"")</f>
        <v>0.24935112410893803</v>
      </c>
      <c r="V459" s="31">
        <f>IFERROR(Serie_Historica!Y1520/Serie_Historica!Y1518,"")</f>
        <v>0.24481043060559274</v>
      </c>
      <c r="W459" s="31">
        <f>IFERROR(Serie_Historica!Z1520/Serie_Historica!Z1518,"")</f>
        <v>0.24606978527607362</v>
      </c>
      <c r="X459" s="19">
        <f>IFERROR((W459-D459)*100,"")</f>
        <v>2.2615239821528159</v>
      </c>
    </row>
    <row r="460" spans="1:24">
      <c r="A460" s="28" t="s">
        <v>427</v>
      </c>
      <c r="B460" s="28" t="s">
        <v>428</v>
      </c>
      <c r="C460" s="28" t="s">
        <v>506</v>
      </c>
      <c r="D460" s="31">
        <f>IFERROR(Serie_Historica!G1521/Serie_Historica!G1518,"")</f>
        <v>0.56672727272727275</v>
      </c>
      <c r="E460" s="31">
        <f>IFERROR(Serie_Historica!H1521/Serie_Historica!H1518,"")</f>
        <v>0.55280444669024764</v>
      </c>
      <c r="F460" s="31">
        <f>IFERROR(Serie_Historica!I1521/Serie_Historica!I1518,"")</f>
        <v>0.57460418998880536</v>
      </c>
      <c r="G460" s="31">
        <f>IFERROR(Serie_Historica!J1521/Serie_Historica!J1518,"")</f>
        <v>0.6093200056314233</v>
      </c>
      <c r="H460" s="31">
        <f>IFERROR(Serie_Historica!K1521/Serie_Historica!K1518,"")</f>
        <v>0.60875047282814276</v>
      </c>
      <c r="I460" s="31">
        <f>IFERROR(Serie_Historica!L1521/Serie_Historica!L1518,"")</f>
        <v>0.59354838709677415</v>
      </c>
      <c r="J460" s="31">
        <f>IFERROR(Serie_Historica!M1521/Serie_Historica!M1518,"")</f>
        <v>0.57437603993344422</v>
      </c>
      <c r="K460" s="31">
        <f>IFERROR(Serie_Historica!N1521/Serie_Historica!N1518,"")</f>
        <v>0.61250816459830182</v>
      </c>
      <c r="L460" s="31">
        <f>IFERROR(Serie_Historica!O1521/Serie_Historica!O1518,"")</f>
        <v>0.65884966674895085</v>
      </c>
      <c r="M460" s="31">
        <f>IFERROR(Serie_Historica!P1521/Serie_Historica!P1518,"")</f>
        <v>0.66159775753328665</v>
      </c>
      <c r="N460" s="31">
        <f>IFERROR(Serie_Historica!Q1521/Serie_Historica!Q1518,"")</f>
        <v>0.6814420062695925</v>
      </c>
      <c r="O460" s="31">
        <f>IFERROR(Serie_Historica!R1521/Serie_Historica!R1518,"")</f>
        <v>0.66364678273208533</v>
      </c>
      <c r="P460" s="31">
        <f>IFERROR(Serie_Historica!S1521/Serie_Historica!S1518,"")</f>
        <v>0.68328279973277151</v>
      </c>
      <c r="Q460" s="31">
        <f>IFERROR(Serie_Historica!T1521/Serie_Historica!T1518,"")</f>
        <v>0.68264005533050098</v>
      </c>
      <c r="R460" s="31">
        <f>IFERROR(Serie_Historica!U1521/Serie_Historica!U1518,"")</f>
        <v>0.67977676217261385</v>
      </c>
      <c r="S460" s="31">
        <f>IFERROR(Serie_Historica!V1521/Serie_Historica!V1518,"")</f>
        <v>0.69387922546767311</v>
      </c>
      <c r="T460" s="31">
        <f>IFERROR(Serie_Historica!W1521/Serie_Historica!W1518,"")</f>
        <v>0.66032044501899945</v>
      </c>
      <c r="U460" s="31">
        <f>IFERROR(Serie_Historica!X1521/Serie_Historica!X1518,"")</f>
        <v>0.66053737890696396</v>
      </c>
      <c r="V460" s="31">
        <f>IFERROR(Serie_Historica!Y1521/Serie_Historica!Y1518,"")</f>
        <v>0.65616743866872529</v>
      </c>
      <c r="W460" s="31">
        <f>IFERROR(Serie_Historica!Z1521/Serie_Historica!Z1518,"")</f>
        <v>0.65976482617586907</v>
      </c>
      <c r="X460" s="19">
        <f>IFERROR((W460-D460)*100,"")</f>
        <v>9.3037553448596313</v>
      </c>
    </row>
    <row r="461" spans="1:24">
      <c r="A461" s="28" t="s">
        <v>221</v>
      </c>
      <c r="B461" s="28" t="s">
        <v>222</v>
      </c>
      <c r="C461" s="28" t="s">
        <v>504</v>
      </c>
      <c r="D461" s="31">
        <f>IFERROR(Serie_Historica!G1529/Serie_Historica!G1528,"")</f>
        <v>8.907413839681988E-2</v>
      </c>
      <c r="E461" s="31">
        <f>IFERROR(Serie_Historica!H1529/Serie_Historica!H1528,"")</f>
        <v>8.0793253317214972E-2</v>
      </c>
      <c r="F461" s="31">
        <f>IFERROR(Serie_Historica!I1529/Serie_Historica!I1528,"")</f>
        <v>9.1525950481715523E-2</v>
      </c>
      <c r="G461" s="31">
        <f>IFERROR(Serie_Historica!J1529/Serie_Historica!J1528,"")</f>
        <v>9.472775986558285E-2</v>
      </c>
      <c r="H461" s="31">
        <f>IFERROR(Serie_Historica!K1529/Serie_Historica!K1528,"")</f>
        <v>0.16819692446347095</v>
      </c>
      <c r="I461" s="31">
        <f>IFERROR(Serie_Historica!L1529/Serie_Historica!L1528,"")</f>
        <v>0.20212765957446807</v>
      </c>
      <c r="J461" s="31">
        <f>IFERROR(Serie_Historica!M1529/Serie_Historica!M1528,"")</f>
        <v>0.17982831258513099</v>
      </c>
      <c r="K461" s="31">
        <f>IFERROR(Serie_Historica!N1529/Serie_Historica!N1528,"")</f>
        <v>0.11215111535323367</v>
      </c>
      <c r="L461" s="31">
        <f>IFERROR(Serie_Historica!O1529/Serie_Historica!O1528,"")</f>
        <v>0.12759105611025173</v>
      </c>
      <c r="M461" s="31">
        <f>IFERROR(Serie_Historica!P1529/Serie_Historica!P1528,"")</f>
        <v>0.22614144634870023</v>
      </c>
      <c r="N461" s="31">
        <f>IFERROR(Serie_Historica!Q1529/Serie_Historica!Q1528,"")</f>
        <v>0.26201719583465072</v>
      </c>
      <c r="O461" s="31">
        <f>IFERROR(Serie_Historica!R1529/Serie_Historica!R1528,"")</f>
        <v>0.12522695281421489</v>
      </c>
      <c r="P461" s="31">
        <f>IFERROR(Serie_Historica!S1529/Serie_Historica!S1528,"")</f>
        <v>9.1944251806447289E-2</v>
      </c>
      <c r="Q461" s="31">
        <f>IFERROR(Serie_Historica!T1529/Serie_Historica!T1528,"")</f>
        <v>7.1756894790602654E-2</v>
      </c>
      <c r="R461" s="31">
        <f>IFERROR(Serie_Historica!U1529/Serie_Historica!U1528,"")</f>
        <v>8.0942044069107016E-2</v>
      </c>
      <c r="S461" s="31">
        <f>IFERROR(Serie_Historica!V1529/Serie_Historica!V1528,"")</f>
        <v>8.8132128907095778E-2</v>
      </c>
      <c r="T461" s="31">
        <f>IFERROR(Serie_Historica!W1529/Serie_Historica!W1528,"")</f>
        <v>7.8715226939970712E-2</v>
      </c>
      <c r="U461" s="31">
        <f>IFERROR(Serie_Historica!X1529/Serie_Historica!X1528,"")</f>
        <v>6.9315362989912352E-2</v>
      </c>
      <c r="V461" s="31">
        <f>IFERROR(Serie_Historica!Y1529/Serie_Historica!Y1528,"")</f>
        <v>8.0097143340224566E-2</v>
      </c>
      <c r="W461" s="31">
        <f>IFERROR(Serie_Historica!Z1529/Serie_Historica!Z1528,"")</f>
        <v>6.1937154030459088E-2</v>
      </c>
      <c r="X461" s="19">
        <f>IFERROR((W461-D461)*100,"")</f>
        <v>-2.7136984366360792</v>
      </c>
    </row>
    <row r="462" spans="1:24">
      <c r="A462" s="28" t="s">
        <v>221</v>
      </c>
      <c r="B462" s="28" t="s">
        <v>222</v>
      </c>
      <c r="C462" s="28" t="s">
        <v>505</v>
      </c>
      <c r="D462" s="31">
        <f>IFERROR(Serie_Historica!G1530/Serie_Historica!G1528,"")</f>
        <v>0.15074678707884681</v>
      </c>
      <c r="E462" s="31">
        <f>IFERROR(Serie_Historica!H1530/Serie_Historica!H1528,"")</f>
        <v>0.14782833952163027</v>
      </c>
      <c r="F462" s="31">
        <f>IFERROR(Serie_Historica!I1530/Serie_Historica!I1528,"")</f>
        <v>0.15632445871749714</v>
      </c>
      <c r="G462" s="31">
        <f>IFERROR(Serie_Historica!J1530/Serie_Historica!J1528,"")</f>
        <v>0.14106988783433994</v>
      </c>
      <c r="H462" s="31">
        <f>IFERROR(Serie_Historica!K1530/Serie_Historica!K1528,"")</f>
        <v>0.15715653692333689</v>
      </c>
      <c r="I462" s="31">
        <f>IFERROR(Serie_Historica!L1530/Serie_Historica!L1528,"")</f>
        <v>0.16064330805972143</v>
      </c>
      <c r="J462" s="31">
        <f>IFERROR(Serie_Historica!M1530/Serie_Historica!M1528,"")</f>
        <v>0.13595615952358325</v>
      </c>
      <c r="K462" s="31">
        <f>IFERROR(Serie_Historica!N1530/Serie_Historica!N1528,"")</f>
        <v>0.14209400064658159</v>
      </c>
      <c r="L462" s="31">
        <f>IFERROR(Serie_Historica!O1530/Serie_Historica!O1528,"")</f>
        <v>0.15336802137533398</v>
      </c>
      <c r="M462" s="31">
        <f>IFERROR(Serie_Historica!P1530/Serie_Historica!P1528,"")</f>
        <v>0.14509986271644304</v>
      </c>
      <c r="N462" s="31">
        <f>IFERROR(Serie_Historica!Q1530/Serie_Historica!Q1528,"")</f>
        <v>0.15058084388099585</v>
      </c>
      <c r="O462" s="31">
        <f>IFERROR(Serie_Historica!R1530/Serie_Historica!R1528,"")</f>
        <v>0.1557661315000306</v>
      </c>
      <c r="P462" s="31">
        <f>IFERROR(Serie_Historica!S1530/Serie_Historica!S1528,"")</f>
        <v>0.14780429968009665</v>
      </c>
      <c r="Q462" s="31">
        <f>IFERROR(Serie_Historica!T1530/Serie_Historica!T1528,"")</f>
        <v>0.16509748190256252</v>
      </c>
      <c r="R462" s="31">
        <f>IFERROR(Serie_Historica!U1530/Serie_Historica!U1528,"")</f>
        <v>0.17147898143467444</v>
      </c>
      <c r="S462" s="31">
        <f>IFERROR(Serie_Historica!V1530/Serie_Historica!V1528,"")</f>
        <v>0.16322977923663859</v>
      </c>
      <c r="T462" s="31">
        <f>IFERROR(Serie_Historica!W1530/Serie_Historica!W1528,"")</f>
        <v>0.2003019765739385</v>
      </c>
      <c r="U462" s="31">
        <f>IFERROR(Serie_Historica!X1530/Serie_Historica!X1528,"")</f>
        <v>0.19460062841078221</v>
      </c>
      <c r="V462" s="31">
        <f>IFERROR(Serie_Historica!Y1530/Serie_Historica!Y1528,"")</f>
        <v>0.18643989640093148</v>
      </c>
      <c r="W462" s="31">
        <f>IFERROR(Serie_Historica!Z1530/Serie_Historica!Z1528,"")</f>
        <v>0.18142573875685053</v>
      </c>
      <c r="X462" s="19">
        <f>IFERROR((W462-D462)*100,"")</f>
        <v>3.0678951678003719</v>
      </c>
    </row>
    <row r="463" spans="1:24">
      <c r="A463" s="28" t="s">
        <v>221</v>
      </c>
      <c r="B463" s="28" t="s">
        <v>222</v>
      </c>
      <c r="C463" s="28" t="s">
        <v>506</v>
      </c>
      <c r="D463" s="31">
        <f>IFERROR(Serie_Historica!G1531/Serie_Historica!G1528,"")</f>
        <v>0.468604067770445</v>
      </c>
      <c r="E463" s="31">
        <f>IFERROR(Serie_Historica!H1531/Serie_Historica!H1528,"")</f>
        <v>0.39130184497596637</v>
      </c>
      <c r="F463" s="31">
        <f>IFERROR(Serie_Historica!I1531/Serie_Historica!I1528,"")</f>
        <v>0.387496115197348</v>
      </c>
      <c r="G463" s="31">
        <f>IFERROR(Serie_Historica!J1531/Serie_Historica!J1528,"")</f>
        <v>0.42357295309023207</v>
      </c>
      <c r="H463" s="31">
        <f>IFERROR(Serie_Historica!K1531/Serie_Historica!K1528,"")</f>
        <v>0.39950055389699396</v>
      </c>
      <c r="I463" s="31">
        <f>IFERROR(Serie_Historica!L1531/Serie_Historica!L1528,"")</f>
        <v>0.42564881926584053</v>
      </c>
      <c r="J463" s="31">
        <f>IFERROR(Serie_Historica!M1531/Serie_Historica!M1528,"")</f>
        <v>0.44706832652285472</v>
      </c>
      <c r="K463" s="31">
        <f>IFERROR(Serie_Historica!N1531/Serie_Historica!N1528,"")</f>
        <v>0.48293486460273721</v>
      </c>
      <c r="L463" s="31">
        <f>IFERROR(Serie_Historica!O1531/Serie_Historica!O1528,"")</f>
        <v>0.46509632963015046</v>
      </c>
      <c r="M463" s="31">
        <f>IFERROR(Serie_Historica!P1531/Serie_Historica!P1528,"")</f>
        <v>0.42275585669368054</v>
      </c>
      <c r="N463" s="31">
        <f>IFERROR(Serie_Historica!Q1531/Serie_Historica!Q1528,"")</f>
        <v>0.41650432955623323</v>
      </c>
      <c r="O463" s="31">
        <f>IFERROR(Serie_Historica!R1531/Serie_Historica!R1528,"")</f>
        <v>0.51929863930312736</v>
      </c>
      <c r="P463" s="31">
        <f>IFERROR(Serie_Historica!S1531/Serie_Historica!S1528,"")</f>
        <v>0.55948412787185964</v>
      </c>
      <c r="Q463" s="31">
        <f>IFERROR(Serie_Historica!T1531/Serie_Historica!T1528,"")</f>
        <v>0.58667895367944223</v>
      </c>
      <c r="R463" s="31">
        <f>IFERROR(Serie_Historica!U1531/Serie_Historica!U1528,"")</f>
        <v>0.56415593684022713</v>
      </c>
      <c r="S463" s="31">
        <f>IFERROR(Serie_Historica!V1531/Serie_Historica!V1528,"")</f>
        <v>0.54313503026943699</v>
      </c>
      <c r="T463" s="31">
        <f>IFERROR(Serie_Historica!W1531/Serie_Historica!W1528,"")</f>
        <v>0.56455893118594436</v>
      </c>
      <c r="U463" s="31">
        <f>IFERROR(Serie_Historica!X1531/Serie_Historica!X1528,"")</f>
        <v>0.54978501736398211</v>
      </c>
      <c r="V463" s="31">
        <f>IFERROR(Serie_Historica!Y1531/Serie_Historica!Y1528,"")</f>
        <v>0.52429736314240261</v>
      </c>
      <c r="W463" s="31">
        <f>IFERROR(Serie_Historica!Z1531/Serie_Historica!Z1528,"")</f>
        <v>0.49482939054281072</v>
      </c>
      <c r="X463" s="19">
        <f>IFERROR((W463-D463)*100,"")</f>
        <v>2.622532277236572</v>
      </c>
    </row>
    <row r="464" spans="1:24">
      <c r="A464" s="28" t="s">
        <v>197</v>
      </c>
      <c r="B464" s="28" t="s">
        <v>198</v>
      </c>
      <c r="C464" s="28" t="s">
        <v>504</v>
      </c>
      <c r="D464" s="31">
        <f>IFERROR(Serie_Historica!G1539/Serie_Historica!G1538,"")</f>
        <v>0.1040765391014975</v>
      </c>
      <c r="E464" s="31">
        <f>IFERROR(Serie_Historica!H1539/Serie_Historica!H1538,"")</f>
        <v>8.2820799552697791E-2</v>
      </c>
      <c r="F464" s="31">
        <f>IFERROR(Serie_Historica!I1539/Serie_Historica!I1538,"")</f>
        <v>7.7736579074641307E-2</v>
      </c>
      <c r="G464" s="31">
        <f>IFERROR(Serie_Historica!J1539/Serie_Historica!J1538,"")</f>
        <v>0.11212024644147014</v>
      </c>
      <c r="H464" s="31">
        <f>IFERROR(Serie_Historica!K1539/Serie_Historica!K1538,"")</f>
        <v>0.1207769082985802</v>
      </c>
      <c r="I464" s="31">
        <f>IFERROR(Serie_Historica!L1539/Serie_Historica!L1538,"")</f>
        <v>7.5146735558728223E-2</v>
      </c>
      <c r="J464" s="31">
        <f>IFERROR(Serie_Historica!M1539/Serie_Historica!M1538,"")</f>
        <v>9.6776062894782591E-2</v>
      </c>
      <c r="K464" s="31">
        <f>IFERROR(Serie_Historica!N1539/Serie_Historica!N1538,"")</f>
        <v>6.6504934060522047E-2</v>
      </c>
      <c r="L464" s="31">
        <f>IFERROR(Serie_Historica!O1539/Serie_Historica!O1538,"")</f>
        <v>0.10357159092631037</v>
      </c>
      <c r="M464" s="31">
        <f>IFERROR(Serie_Historica!P1539/Serie_Historica!P1538,"")</f>
        <v>0.10312026815411096</v>
      </c>
      <c r="N464" s="31">
        <f>IFERROR(Serie_Historica!Q1539/Serie_Historica!Q1538,"")</f>
        <v>0.12739256049115205</v>
      </c>
      <c r="O464" s="31">
        <f>IFERROR(Serie_Historica!R1539/Serie_Historica!R1538,"")</f>
        <v>8.7743548567421156E-2</v>
      </c>
      <c r="P464" s="31">
        <f>IFERROR(Serie_Historica!S1539/Serie_Historica!S1538,"")</f>
        <v>8.4884846138958775E-2</v>
      </c>
      <c r="Q464" s="31">
        <f>IFERROR(Serie_Historica!T1539/Serie_Historica!T1538,"")</f>
        <v>8.5503588752259746E-2</v>
      </c>
      <c r="R464" s="31">
        <f>IFERROR(Serie_Historica!U1539/Serie_Historica!U1538,"")</f>
        <v>8.3996128095506981E-2</v>
      </c>
      <c r="S464" s="31">
        <f>IFERROR(Serie_Historica!V1539/Serie_Historica!V1538,"")</f>
        <v>8.0643282573751529E-2</v>
      </c>
      <c r="T464" s="31">
        <f>IFERROR(Serie_Historica!W1539/Serie_Historica!W1538,"")</f>
        <v>9.8329737899319231E-2</v>
      </c>
      <c r="U464" s="31">
        <f>IFERROR(Serie_Historica!X1539/Serie_Historica!X1538,"")</f>
        <v>9.1639804574569758E-2</v>
      </c>
      <c r="V464" s="31">
        <f>IFERROR(Serie_Historica!Y1539/Serie_Historica!Y1538,"")</f>
        <v>0.11721605436106869</v>
      </c>
      <c r="W464" s="31">
        <f>IFERROR(Serie_Historica!Z1539/Serie_Historica!Z1538,"")</f>
        <v>0.10242388007306197</v>
      </c>
      <c r="X464" s="19">
        <f>IFERROR((W464-D464)*100,"")</f>
        <v>-0.16526590284355325</v>
      </c>
    </row>
    <row r="465" spans="1:24">
      <c r="A465" s="28" t="s">
        <v>197</v>
      </c>
      <c r="B465" s="28" t="s">
        <v>198</v>
      </c>
      <c r="C465" s="28" t="s">
        <v>505</v>
      </c>
      <c r="D465" s="31">
        <f>IFERROR(Serie_Historica!G1540/Serie_Historica!G1538,"")</f>
        <v>0.19130615640599002</v>
      </c>
      <c r="E465" s="31">
        <f>IFERROR(Serie_Historica!H1540/Serie_Historica!H1538,"")</f>
        <v>0.18957925636007827</v>
      </c>
      <c r="F465" s="31">
        <f>IFERROR(Serie_Historica!I1540/Serie_Historica!I1538,"")</f>
        <v>0.19742060293406416</v>
      </c>
      <c r="G465" s="31">
        <f>IFERROR(Serie_Historica!J1540/Serie_Historica!J1538,"")</f>
        <v>0.19359464627151052</v>
      </c>
      <c r="H465" s="31">
        <f>IFERROR(Serie_Historica!K1540/Serie_Historica!K1538,"")</f>
        <v>0.19828030551520548</v>
      </c>
      <c r="I465" s="31">
        <f>IFERROR(Serie_Historica!L1540/Serie_Historica!L1538,"")</f>
        <v>0.19949237428331859</v>
      </c>
      <c r="J465" s="31">
        <f>IFERROR(Serie_Historica!M1540/Serie_Historica!M1538,"")</f>
        <v>0.18464718267689156</v>
      </c>
      <c r="K465" s="31">
        <f>IFERROR(Serie_Historica!N1540/Serie_Historica!N1538,"")</f>
        <v>0.19829268737573646</v>
      </c>
      <c r="L465" s="31">
        <f>IFERROR(Serie_Historica!O1540/Serie_Historica!O1538,"")</f>
        <v>0.20799175670146833</v>
      </c>
      <c r="M465" s="31">
        <f>IFERROR(Serie_Historica!P1540/Serie_Historica!P1538,"")</f>
        <v>0.25807244820044262</v>
      </c>
      <c r="N465" s="31">
        <f>IFERROR(Serie_Historica!Q1540/Serie_Historica!Q1538,"")</f>
        <v>0.26280922715781868</v>
      </c>
      <c r="O465" s="31">
        <f>IFERROR(Serie_Historica!R1540/Serie_Historica!R1538,"")</f>
        <v>0.27228653609651488</v>
      </c>
      <c r="P465" s="31">
        <f>IFERROR(Serie_Historica!S1540/Serie_Historica!S1538,"")</f>
        <v>0.28771047029223923</v>
      </c>
      <c r="Q465" s="31">
        <f>IFERROR(Serie_Historica!T1540/Serie_Historica!T1538,"")</f>
        <v>0.29402709910683922</v>
      </c>
      <c r="R465" s="31">
        <f>IFERROR(Serie_Historica!U1540/Serie_Historica!U1538,"")</f>
        <v>0.31193030571912561</v>
      </c>
      <c r="S465" s="31">
        <f>IFERROR(Serie_Historica!V1540/Serie_Historica!V1538,"")</f>
        <v>0.29760749202109071</v>
      </c>
      <c r="T465" s="31">
        <f>IFERROR(Serie_Historica!W1540/Serie_Historica!W1538,"")</f>
        <v>0.38620774288556187</v>
      </c>
      <c r="U465" s="31">
        <f>IFERROR(Serie_Historica!X1540/Serie_Historica!X1538,"")</f>
        <v>0.39089241509501166</v>
      </c>
      <c r="V465" s="31">
        <f>IFERROR(Serie_Historica!Y1540/Serie_Historica!Y1538,"")</f>
        <v>0.35963873683728859</v>
      </c>
      <c r="W465" s="31">
        <f>IFERROR(Serie_Historica!Z1540/Serie_Historica!Z1538,"")</f>
        <v>0.35256786480245295</v>
      </c>
      <c r="X465" s="19">
        <f>IFERROR((W465-D465)*100,"")</f>
        <v>16.126170839646292</v>
      </c>
    </row>
    <row r="466" spans="1:24">
      <c r="A466" s="28" t="s">
        <v>197</v>
      </c>
      <c r="B466" s="28" t="s">
        <v>198</v>
      </c>
      <c r="C466" s="28" t="s">
        <v>506</v>
      </c>
      <c r="D466" s="31">
        <f>IFERROR(Serie_Historica!G1541/Serie_Historica!G1538,"")</f>
        <v>0.58985024958402665</v>
      </c>
      <c r="E466" s="31">
        <f>IFERROR(Serie_Historica!H1541/Serie_Historica!H1538,"")</f>
        <v>0.56699049482806818</v>
      </c>
      <c r="F466" s="31">
        <f>IFERROR(Serie_Historica!I1541/Serie_Historica!I1538,"")</f>
        <v>0.57788167015960024</v>
      </c>
      <c r="G466" s="31">
        <f>IFERROR(Serie_Historica!J1541/Serie_Historica!J1538,"")</f>
        <v>0.55868918631824938</v>
      </c>
      <c r="H466" s="31">
        <f>IFERROR(Serie_Historica!K1541/Serie_Historica!K1538,"")</f>
        <v>0.55824469331334048</v>
      </c>
      <c r="I466" s="31">
        <f>IFERROR(Serie_Historica!L1541/Serie_Historica!L1538,"")</f>
        <v>0.6195073311124708</v>
      </c>
      <c r="J466" s="31">
        <f>IFERROR(Serie_Historica!M1541/Serie_Historica!M1538,"")</f>
        <v>0.5771214433348143</v>
      </c>
      <c r="K466" s="31">
        <f>IFERROR(Serie_Historica!N1541/Serie_Historica!N1538,"")</f>
        <v>0.61441365850099405</v>
      </c>
      <c r="L466" s="31">
        <f>IFERROR(Serie_Historica!O1541/Serie_Historica!O1538,"")</f>
        <v>0.59538132832270085</v>
      </c>
      <c r="M466" s="31">
        <f>IFERROR(Serie_Historica!P1541/Serie_Historica!P1538,"")</f>
        <v>0.56820976070610463</v>
      </c>
      <c r="N466" s="31">
        <f>IFERROR(Serie_Historica!Q1541/Serie_Historica!Q1538,"")</f>
        <v>0.5457520765619357</v>
      </c>
      <c r="O466" s="31">
        <f>IFERROR(Serie_Historica!R1541/Serie_Historica!R1538,"")</f>
        <v>0.56994176178231304</v>
      </c>
      <c r="P466" s="31">
        <f>IFERROR(Serie_Historica!S1541/Serie_Historica!S1538,"")</f>
        <v>0.57645635765434489</v>
      </c>
      <c r="Q466" s="31">
        <f>IFERROR(Serie_Historica!T1541/Serie_Historica!T1538,"")</f>
        <v>0.58598686212389695</v>
      </c>
      <c r="R466" s="31">
        <f>IFERROR(Serie_Historica!U1541/Serie_Historica!U1538,"")</f>
        <v>0.57043639590223438</v>
      </c>
      <c r="S466" s="31">
        <f>IFERROR(Serie_Historica!V1541/Serie_Historica!V1538,"")</f>
        <v>0.58773694060274739</v>
      </c>
      <c r="T466" s="31">
        <f>IFERROR(Serie_Historica!W1541/Serie_Historica!W1538,"")</f>
        <v>0.48885846046529652</v>
      </c>
      <c r="U466" s="31">
        <f>IFERROR(Serie_Historica!X1541/Serie_Historica!X1538,"")</f>
        <v>0.49019607843137253</v>
      </c>
      <c r="V466" s="31">
        <f>IFERROR(Serie_Historica!Y1541/Serie_Historica!Y1538,"")</f>
        <v>0.49073104884145258</v>
      </c>
      <c r="W466" s="31">
        <f>IFERROR(Serie_Historica!Z1541/Serie_Historica!Z1538,"")</f>
        <v>0.51617839845099855</v>
      </c>
      <c r="X466" s="19">
        <f>IFERROR((W466-D466)*100,"")</f>
        <v>-7.3671851133028099</v>
      </c>
    </row>
    <row r="467" spans="1:24">
      <c r="A467" s="28" t="s">
        <v>267</v>
      </c>
      <c r="B467" s="28" t="s">
        <v>268</v>
      </c>
      <c r="C467" s="28" t="s">
        <v>504</v>
      </c>
      <c r="D467" s="31">
        <f>IFERROR(Serie_Historica!G1549/Serie_Historica!G1548,"")</f>
        <v>4.690506203144696E-2</v>
      </c>
      <c r="E467" s="31">
        <f>IFERROR(Serie_Historica!H1549/Serie_Historica!H1548,"")</f>
        <v>3.6465813300031222E-2</v>
      </c>
      <c r="F467" s="31">
        <f>IFERROR(Serie_Historica!I1549/Serie_Historica!I1548,"")</f>
        <v>3.8925029327076893E-2</v>
      </c>
      <c r="G467" s="31">
        <f>IFERROR(Serie_Historica!J1549/Serie_Historica!J1548,"")</f>
        <v>4.1942712392829304E-2</v>
      </c>
      <c r="H467" s="31">
        <f>IFERROR(Serie_Historica!K1549/Serie_Historica!K1548,"")</f>
        <v>4.455574912891986E-2</v>
      </c>
      <c r="I467" s="31">
        <f>IFERROR(Serie_Historica!L1549/Serie_Historica!L1548,"")</f>
        <v>4.76844998942694E-2</v>
      </c>
      <c r="J467" s="31">
        <f>IFERROR(Serie_Historica!M1549/Serie_Historica!M1548,"")</f>
        <v>4.7648192918566576E-2</v>
      </c>
      <c r="K467" s="31">
        <f>IFERROR(Serie_Historica!N1549/Serie_Historica!N1548,"")</f>
        <v>4.4363199825384697E-2</v>
      </c>
      <c r="L467" s="31">
        <f>IFERROR(Serie_Historica!O1549/Serie_Historica!O1548,"")</f>
        <v>4.4509959013446468E-2</v>
      </c>
      <c r="M467" s="31">
        <f>IFERROR(Serie_Historica!P1549/Serie_Historica!P1548,"")</f>
        <v>5.3364407792518227E-2</v>
      </c>
      <c r="N467" s="31">
        <f>IFERROR(Serie_Historica!Q1549/Serie_Historica!Q1548,"")</f>
        <v>5.506012820286426E-2</v>
      </c>
      <c r="O467" s="31">
        <f>IFERROR(Serie_Historica!R1549/Serie_Historica!R1548,"")</f>
        <v>5.9599949836970152E-2</v>
      </c>
      <c r="P467" s="31">
        <f>IFERROR(Serie_Historica!S1549/Serie_Historica!S1548,"")</f>
        <v>4.2084405406204714E-2</v>
      </c>
      <c r="Q467" s="31">
        <f>IFERROR(Serie_Historica!T1549/Serie_Historica!T1548,"")</f>
        <v>3.6989077806553319E-2</v>
      </c>
      <c r="R467" s="31">
        <f>IFERROR(Serie_Historica!U1549/Serie_Historica!U1548,"")</f>
        <v>3.248650926341258E-2</v>
      </c>
      <c r="S467" s="31">
        <f>IFERROR(Serie_Historica!V1549/Serie_Historica!V1548,"")</f>
        <v>4.353393085787452E-2</v>
      </c>
      <c r="T467" s="31">
        <f>IFERROR(Serie_Historica!W1549/Serie_Historica!W1548,"")</f>
        <v>3.9140888703934895E-2</v>
      </c>
      <c r="U467" s="31">
        <f>IFERROR(Serie_Historica!X1549/Serie_Historica!X1548,"")</f>
        <v>4.2289287051182178E-2</v>
      </c>
      <c r="V467" s="31">
        <f>IFERROR(Serie_Historica!Y1549/Serie_Historica!Y1548,"")</f>
        <v>4.0484912944142443E-2</v>
      </c>
      <c r="W467" s="31">
        <f>IFERROR(Serie_Historica!Z1549/Serie_Historica!Z1548,"")</f>
        <v>4.214733906576807E-2</v>
      </c>
      <c r="X467" s="19">
        <f>IFERROR((W467-D467)*100,"")</f>
        <v>-0.475772296567889</v>
      </c>
    </row>
    <row r="468" spans="1:24">
      <c r="A468" s="28" t="s">
        <v>267</v>
      </c>
      <c r="B468" s="28" t="s">
        <v>268</v>
      </c>
      <c r="C468" s="28" t="s">
        <v>505</v>
      </c>
      <c r="D468" s="31">
        <f>IFERROR(Serie_Historica!G1550/Serie_Historica!G1548,"")</f>
        <v>0.18357327671996285</v>
      </c>
      <c r="E468" s="31">
        <f>IFERROR(Serie_Historica!H1550/Serie_Historica!H1548,"")</f>
        <v>0.19288167343115828</v>
      </c>
      <c r="F468" s="31">
        <f>IFERROR(Serie_Historica!I1550/Serie_Historica!I1548,"")</f>
        <v>0.20395648928228644</v>
      </c>
      <c r="G468" s="31">
        <f>IFERROR(Serie_Historica!J1550/Serie_Historica!J1548,"")</f>
        <v>0.20206547155105223</v>
      </c>
      <c r="H468" s="31">
        <f>IFERROR(Serie_Historica!K1550/Serie_Historica!K1548,"")</f>
        <v>0.2045731707317073</v>
      </c>
      <c r="I468" s="31">
        <f>IFERROR(Serie_Historica!L1550/Serie_Historica!L1548,"")</f>
        <v>0.20011277930499755</v>
      </c>
      <c r="J468" s="31">
        <f>IFERROR(Serie_Historica!M1550/Serie_Historica!M1548,"")</f>
        <v>0.17587293815221716</v>
      </c>
      <c r="K468" s="31">
        <f>IFERROR(Serie_Historica!N1550/Serie_Historica!N1548,"")</f>
        <v>0.18730219360471462</v>
      </c>
      <c r="L468" s="31">
        <f>IFERROR(Serie_Historica!O1550/Serie_Historica!O1548,"")</f>
        <v>0.19829342537331321</v>
      </c>
      <c r="M468" s="31">
        <f>IFERROR(Serie_Historica!P1550/Serie_Historica!P1548,"")</f>
        <v>0.23491095972272022</v>
      </c>
      <c r="N468" s="31">
        <f>IFERROR(Serie_Historica!Q1550/Serie_Historica!Q1548,"")</f>
        <v>0.28593123664553499</v>
      </c>
      <c r="O468" s="31">
        <f>IFERROR(Serie_Historica!R1550/Serie_Historica!R1548,"")</f>
        <v>0.26312076749435664</v>
      </c>
      <c r="P468" s="31">
        <f>IFERROR(Serie_Historica!S1550/Serie_Historica!S1548,"")</f>
        <v>0.26908289711057876</v>
      </c>
      <c r="Q468" s="31">
        <f>IFERROR(Serie_Historica!T1550/Serie_Historica!T1548,"")</f>
        <v>0.28111980632811623</v>
      </c>
      <c r="R468" s="31">
        <f>IFERROR(Serie_Historica!U1550/Serie_Historica!U1548,"")</f>
        <v>0.27511587761149398</v>
      </c>
      <c r="S468" s="31">
        <f>IFERROR(Serie_Historica!V1550/Serie_Historica!V1548,"")</f>
        <v>0.28076121613818383</v>
      </c>
      <c r="T468" s="31">
        <f>IFERROR(Serie_Historica!W1550/Serie_Historica!W1548,"")</f>
        <v>0.31923059139039162</v>
      </c>
      <c r="U468" s="31">
        <f>IFERROR(Serie_Historica!X1550/Serie_Historica!X1548,"")</f>
        <v>0.32711471727891706</v>
      </c>
      <c r="V468" s="31">
        <f>IFERROR(Serie_Historica!Y1550/Serie_Historica!Y1548,"")</f>
        <v>0.31968407783817854</v>
      </c>
      <c r="W468" s="31">
        <f>IFERROR(Serie_Historica!Z1550/Serie_Historica!Z1548,"")</f>
        <v>0.30227283290727397</v>
      </c>
      <c r="X468" s="19">
        <f>IFERROR((W468-D468)*100,"")</f>
        <v>11.869955618731112</v>
      </c>
    </row>
    <row r="469" spans="1:24">
      <c r="A469" s="28" t="s">
        <v>267</v>
      </c>
      <c r="B469" s="28" t="s">
        <v>268</v>
      </c>
      <c r="C469" s="28" t="s">
        <v>506</v>
      </c>
      <c r="D469" s="31">
        <f>IFERROR(Serie_Historica!G1551/Serie_Historica!G1548,"")</f>
        <v>0.63729848072712802</v>
      </c>
      <c r="E469" s="31">
        <f>IFERROR(Serie_Historica!H1551/Serie_Historica!H1548,"")</f>
        <v>0.61348735560412115</v>
      </c>
      <c r="F469" s="31">
        <f>IFERROR(Serie_Historica!I1551/Serie_Historica!I1548,"")</f>
        <v>0.60557747680494822</v>
      </c>
      <c r="G469" s="31">
        <f>IFERROR(Serie_Historica!J1551/Serie_Historica!J1548,"")</f>
        <v>0.63030982073265784</v>
      </c>
      <c r="H469" s="31">
        <f>IFERROR(Serie_Historica!K1551/Serie_Historica!K1548,"")</f>
        <v>0.63222996515679442</v>
      </c>
      <c r="I469" s="31">
        <f>IFERROR(Serie_Historica!L1551/Serie_Historica!L1548,"")</f>
        <v>0.65091280749982383</v>
      </c>
      <c r="J469" s="31">
        <f>IFERROR(Serie_Historica!M1551/Serie_Historica!M1548,"")</f>
        <v>0.63634972610704776</v>
      </c>
      <c r="K469" s="31">
        <f>IFERROR(Serie_Historica!N1551/Serie_Historica!N1548,"")</f>
        <v>0.65707191967696166</v>
      </c>
      <c r="L469" s="31">
        <f>IFERROR(Serie_Historica!O1551/Serie_Historica!O1548,"")</f>
        <v>0.65178207617267081</v>
      </c>
      <c r="M469" s="31">
        <f>IFERROR(Serie_Historica!P1551/Serie_Historica!P1548,"")</f>
        <v>0.61362097127604476</v>
      </c>
      <c r="N469" s="31">
        <f>IFERROR(Serie_Historica!Q1551/Serie_Historica!Q1548,"")</f>
        <v>0.58796729590845676</v>
      </c>
      <c r="O469" s="31">
        <f>IFERROR(Serie_Historica!R1551/Serie_Historica!R1548,"")</f>
        <v>0.60791321795836473</v>
      </c>
      <c r="P469" s="31">
        <f>IFERROR(Serie_Historica!S1551/Serie_Historica!S1548,"")</f>
        <v>0.61673025167834861</v>
      </c>
      <c r="Q469" s="31">
        <f>IFERROR(Serie_Historica!T1551/Serie_Historica!T1548,"")</f>
        <v>0.62104492737304362</v>
      </c>
      <c r="R469" s="31">
        <f>IFERROR(Serie_Historica!U1551/Serie_Historica!U1548,"")</f>
        <v>0.63343255990974456</v>
      </c>
      <c r="S469" s="31">
        <f>IFERROR(Serie_Historica!V1551/Serie_Historica!V1548,"")</f>
        <v>0.62502824433230397</v>
      </c>
      <c r="T469" s="31">
        <f>IFERROR(Serie_Historica!W1551/Serie_Historica!W1548,"")</f>
        <v>0.59002635594395891</v>
      </c>
      <c r="U469" s="31">
        <f>IFERROR(Serie_Historica!X1551/Serie_Historica!X1548,"")</f>
        <v>0.58590896674524251</v>
      </c>
      <c r="V469" s="31">
        <f>IFERROR(Serie_Historica!Y1551/Serie_Historica!Y1548,"")</f>
        <v>0.59538722130308042</v>
      </c>
      <c r="W469" s="31">
        <f>IFERROR(Serie_Historica!Z1551/Serie_Historica!Z1548,"")</f>
        <v>0.60588426679061125</v>
      </c>
      <c r="X469" s="19">
        <f>IFERROR((W469-D469)*100,"")</f>
        <v>-3.1414213936516777</v>
      </c>
    </row>
    <row r="470" spans="1:24">
      <c r="A470" s="28" t="s">
        <v>279</v>
      </c>
      <c r="B470" s="28" t="s">
        <v>280</v>
      </c>
      <c r="C470" s="28" t="s">
        <v>504</v>
      </c>
      <c r="D470" s="31">
        <f>IFERROR(Serie_Historica!G1559/Serie_Historica!G1558,"")</f>
        <v>5.2912142152023695E-2</v>
      </c>
      <c r="E470" s="31">
        <f>IFERROR(Serie_Historica!H1559/Serie_Historica!H1558,"")</f>
        <v>3.0846605196982398E-2</v>
      </c>
      <c r="F470" s="31">
        <f>IFERROR(Serie_Historica!I1559/Serie_Historica!I1558,"")</f>
        <v>3.3534768916503532E-2</v>
      </c>
      <c r="G470" s="31">
        <f>IFERROR(Serie_Historica!J1559/Serie_Historica!J1558,"")</f>
        <v>3.4283136606270206E-2</v>
      </c>
      <c r="H470" s="31">
        <f>IFERROR(Serie_Historica!K1559/Serie_Historica!K1558,"")</f>
        <v>3.7433813569757418E-2</v>
      </c>
      <c r="I470" s="31">
        <f>IFERROR(Serie_Historica!L1559/Serie_Historica!L1558,"")</f>
        <v>4.7456844293054676E-2</v>
      </c>
      <c r="J470" s="31">
        <f>IFERROR(Serie_Historica!M1559/Serie_Historica!M1558,"")</f>
        <v>4.4289765403454501E-2</v>
      </c>
      <c r="K470" s="31">
        <f>IFERROR(Serie_Historica!N1559/Serie_Historica!N1558,"")</f>
        <v>4.5316169435504913E-2</v>
      </c>
      <c r="L470" s="31">
        <f>IFERROR(Serie_Historica!O1559/Serie_Historica!O1558,"")</f>
        <v>5.725222258808034E-2</v>
      </c>
      <c r="M470" s="31">
        <f>IFERROR(Serie_Historica!P1559/Serie_Historica!P1558,"")</f>
        <v>5.126341866226259E-2</v>
      </c>
      <c r="N470" s="31">
        <f>IFERROR(Serie_Historica!Q1559/Serie_Historica!Q1558,"")</f>
        <v>4.4563976200492815E-2</v>
      </c>
      <c r="O470" s="31">
        <f>IFERROR(Serie_Historica!R1559/Serie_Historica!R1558,"")</f>
        <v>4.866006528238747E-2</v>
      </c>
      <c r="P470" s="31">
        <f>IFERROR(Serie_Historica!S1559/Serie_Historica!S1558,"")</f>
        <v>5.547247147446549E-2</v>
      </c>
      <c r="Q470" s="31">
        <f>IFERROR(Serie_Historica!T1559/Serie_Historica!T1558,"")</f>
        <v>8.6304239401496258E-2</v>
      </c>
      <c r="R470" s="31">
        <f>IFERROR(Serie_Historica!U1559/Serie_Historica!U1558,"")</f>
        <v>4.7340660961935677E-2</v>
      </c>
      <c r="S470" s="31">
        <f>IFERROR(Serie_Historica!V1559/Serie_Historica!V1558,"")</f>
        <v>0.26247235192922092</v>
      </c>
      <c r="T470" s="31">
        <f>IFERROR(Serie_Historica!W1559/Serie_Historica!W1558,"")</f>
        <v>0.24811518971696947</v>
      </c>
      <c r="U470" s="31">
        <f>IFERROR(Serie_Historica!X1559/Serie_Historica!X1558,"")</f>
        <v>0.23787565590713944</v>
      </c>
      <c r="V470" s="31">
        <f>IFERROR(Serie_Historica!Y1559/Serie_Historica!Y1558,"")</f>
        <v>0.21797577819217606</v>
      </c>
      <c r="W470" s="31">
        <f>IFERROR(Serie_Historica!Z1559/Serie_Historica!Z1558,"")</f>
        <v>0.2124204300536314</v>
      </c>
      <c r="X470" s="19">
        <f>IFERROR((W470-D470)*100,"")</f>
        <v>15.95082879016077</v>
      </c>
    </row>
    <row r="471" spans="1:24">
      <c r="A471" s="28" t="s">
        <v>279</v>
      </c>
      <c r="B471" s="28" t="s">
        <v>280</v>
      </c>
      <c r="C471" s="28" t="s">
        <v>505</v>
      </c>
      <c r="D471" s="31">
        <f>IFERROR(Serie_Historica!G1560/Serie_Historica!G1558,"")</f>
        <v>0.16327739387956564</v>
      </c>
      <c r="E471" s="31">
        <f>IFERROR(Serie_Historica!H1560/Serie_Historica!H1558,"")</f>
        <v>0.16689019279128248</v>
      </c>
      <c r="F471" s="31">
        <f>IFERROR(Serie_Historica!I1560/Serie_Historica!I1558,"")</f>
        <v>0.17831304791897182</v>
      </c>
      <c r="G471" s="31">
        <f>IFERROR(Serie_Historica!J1560/Serie_Historica!J1558,"")</f>
        <v>0.17735508608375311</v>
      </c>
      <c r="H471" s="31">
        <f>IFERROR(Serie_Historica!K1560/Serie_Historica!K1558,"")</f>
        <v>0.17288511267085335</v>
      </c>
      <c r="I471" s="31">
        <f>IFERROR(Serie_Historica!L1560/Serie_Historica!L1558,"")</f>
        <v>0.17152589342416719</v>
      </c>
      <c r="J471" s="31">
        <f>IFERROR(Serie_Historica!M1560/Serie_Historica!M1558,"")</f>
        <v>0.1633926269657128</v>
      </c>
      <c r="K471" s="31">
        <f>IFERROR(Serie_Historica!N1560/Serie_Historica!N1558,"")</f>
        <v>0.18078629207619379</v>
      </c>
      <c r="L471" s="31">
        <f>IFERROR(Serie_Historica!O1560/Serie_Historica!O1558,"")</f>
        <v>0.18636812644056636</v>
      </c>
      <c r="M471" s="31">
        <f>IFERROR(Serie_Historica!P1560/Serie_Historica!P1558,"")</f>
        <v>0.21261767134599505</v>
      </c>
      <c r="N471" s="31">
        <f>IFERROR(Serie_Historica!Q1560/Serie_Historica!Q1558,"")</f>
        <v>0.24881302962918445</v>
      </c>
      <c r="O471" s="31">
        <f>IFERROR(Serie_Historica!R1560/Serie_Historica!R1558,"")</f>
        <v>0.24091395342458238</v>
      </c>
      <c r="P471" s="31">
        <f>IFERROR(Serie_Historica!S1560/Serie_Historica!S1558,"")</f>
        <v>0.24675972083748754</v>
      </c>
      <c r="Q471" s="31">
        <f>IFERROR(Serie_Historica!T1560/Serie_Historica!T1558,"")</f>
        <v>0.23702743142144639</v>
      </c>
      <c r="R471" s="31">
        <f>IFERROR(Serie_Historica!U1560/Serie_Historica!U1558,"")</f>
        <v>0.23644511655355563</v>
      </c>
      <c r="S471" s="31">
        <f>IFERROR(Serie_Historica!V1560/Serie_Historica!V1558,"")</f>
        <v>0.25101522545612004</v>
      </c>
      <c r="T471" s="31">
        <f>IFERROR(Serie_Historica!W1560/Serie_Historica!W1558,"")</f>
        <v>0.22988505747126436</v>
      </c>
      <c r="U471" s="31">
        <f>IFERROR(Serie_Historica!X1560/Serie_Historica!X1558,"")</f>
        <v>0.23559275833087251</v>
      </c>
      <c r="V471" s="31">
        <f>IFERROR(Serie_Historica!Y1560/Serie_Historica!Y1558,"")</f>
        <v>0.23617287239492613</v>
      </c>
      <c r="W471" s="31">
        <f>IFERROR(Serie_Historica!Z1560/Serie_Historica!Z1558,"")</f>
        <v>0.26188160994436371</v>
      </c>
      <c r="X471" s="19">
        <f>IFERROR((W471-D471)*100,"")</f>
        <v>9.8604216064798074</v>
      </c>
    </row>
    <row r="472" spans="1:24">
      <c r="A472" s="28" t="s">
        <v>279</v>
      </c>
      <c r="B472" s="28" t="s">
        <v>280</v>
      </c>
      <c r="C472" s="28" t="s">
        <v>506</v>
      </c>
      <c r="D472" s="31">
        <f>IFERROR(Serie_Historica!G1561/Serie_Historica!G1558,"")</f>
        <v>0.5959526159921027</v>
      </c>
      <c r="E472" s="31">
        <f>IFERROR(Serie_Historica!H1561/Serie_Historica!H1558,"")</f>
        <v>0.5676445934618608</v>
      </c>
      <c r="F472" s="31">
        <f>IFERROR(Serie_Historica!I1561/Serie_Historica!I1558,"")</f>
        <v>0.62030811132862373</v>
      </c>
      <c r="G472" s="31">
        <f>IFERROR(Serie_Historica!J1561/Serie_Historica!J1558,"")</f>
        <v>0.66543868882038948</v>
      </c>
      <c r="H472" s="31">
        <f>IFERROR(Serie_Historica!K1561/Serie_Historica!K1558,"")</f>
        <v>0.61710380495012929</v>
      </c>
      <c r="I472" s="31">
        <f>IFERROR(Serie_Historica!L1561/Serie_Historica!L1558,"")</f>
        <v>0.67340222850874665</v>
      </c>
      <c r="J472" s="31">
        <f>IFERROR(Serie_Historica!M1561/Serie_Historica!M1558,"")</f>
        <v>0.68966228409383867</v>
      </c>
      <c r="K472" s="31">
        <f>IFERROR(Serie_Historica!N1561/Serie_Historica!N1558,"")</f>
        <v>0.6679133687048795</v>
      </c>
      <c r="L472" s="31">
        <f>IFERROR(Serie_Historica!O1561/Serie_Historica!O1558,"")</f>
        <v>0.67953572604543955</v>
      </c>
      <c r="M472" s="31">
        <f>IFERROR(Serie_Historica!P1561/Serie_Historica!P1558,"")</f>
        <v>0.6566804293971924</v>
      </c>
      <c r="N472" s="31">
        <f>IFERROR(Serie_Historica!Q1561/Serie_Historica!Q1558,"")</f>
        <v>0.65136125969108716</v>
      </c>
      <c r="O472" s="31">
        <f>IFERROR(Serie_Historica!R1561/Serie_Historica!R1558,"")</f>
        <v>0.65976355706722989</v>
      </c>
      <c r="P472" s="31">
        <f>IFERROR(Serie_Historica!S1561/Serie_Historica!S1558,"")</f>
        <v>0.61897640412097044</v>
      </c>
      <c r="Q472" s="31">
        <f>IFERROR(Serie_Historica!T1561/Serie_Historica!T1558,"")</f>
        <v>0.62543640897755615</v>
      </c>
      <c r="R472" s="31">
        <f>IFERROR(Serie_Historica!U1561/Serie_Historica!U1558,"")</f>
        <v>0.65555842431395694</v>
      </c>
      <c r="S472" s="31">
        <f>IFERROR(Serie_Historica!V1561/Serie_Historica!V1558,"")</f>
        <v>0.44325855188474994</v>
      </c>
      <c r="T472" s="31">
        <f>IFERROR(Serie_Historica!W1561/Serie_Historica!W1558,"")</f>
        <v>0.4650475837350142</v>
      </c>
      <c r="U472" s="31">
        <f>IFERROR(Serie_Historica!X1561/Serie_Historica!X1558,"")</f>
        <v>0.45891920132657926</v>
      </c>
      <c r="V472" s="31">
        <f>IFERROR(Serie_Historica!Y1561/Serie_Historica!Y1558,"")</f>
        <v>0.42145330846943585</v>
      </c>
      <c r="W472" s="31">
        <f>IFERROR(Serie_Historica!Z1561/Serie_Historica!Z1558,"")</f>
        <v>0.43576763069520325</v>
      </c>
      <c r="X472" s="19">
        <f>IFERROR((W472-D472)*100,"")</f>
        <v>-16.018498529689946</v>
      </c>
    </row>
    <row r="473" spans="1:24">
      <c r="A473" s="28" t="s">
        <v>161</v>
      </c>
      <c r="B473" s="28" t="s">
        <v>162</v>
      </c>
      <c r="C473" s="28" t="s">
        <v>504</v>
      </c>
      <c r="D473" s="31">
        <f>IFERROR(Serie_Historica!G1569/Serie_Historica!G1568,"")</f>
        <v>6.7105858037847965E-2</v>
      </c>
      <c r="E473" s="31">
        <f>IFERROR(Serie_Historica!H1569/Serie_Historica!H1568,"")</f>
        <v>6.1814804747666936E-2</v>
      </c>
      <c r="F473" s="31">
        <f>IFERROR(Serie_Historica!I1569/Serie_Historica!I1568,"")</f>
        <v>8.4576824434600142E-2</v>
      </c>
      <c r="G473" s="31">
        <f>IFERROR(Serie_Historica!J1569/Serie_Historica!J1568,"")</f>
        <v>9.0448489397635584E-2</v>
      </c>
      <c r="H473" s="31">
        <f>IFERROR(Serie_Historica!K1569/Serie_Historica!K1568,"")</f>
        <v>0.11059084387635321</v>
      </c>
      <c r="I473" s="31">
        <f>IFERROR(Serie_Historica!L1569/Serie_Historica!L1568,"")</f>
        <v>0.16747411733474915</v>
      </c>
      <c r="J473" s="31">
        <f>IFERROR(Serie_Historica!M1569/Serie_Historica!M1568,"")</f>
        <v>0.1448701872674574</v>
      </c>
      <c r="K473" s="31">
        <f>IFERROR(Serie_Historica!N1569/Serie_Historica!N1568,"")</f>
        <v>0.19417924358361854</v>
      </c>
      <c r="L473" s="31">
        <f>IFERROR(Serie_Historica!O1569/Serie_Historica!O1568,"")</f>
        <v>0.12580353170402417</v>
      </c>
      <c r="M473" s="31">
        <f>IFERROR(Serie_Historica!P1569/Serie_Historica!P1568,"")</f>
        <v>0.11667065786322739</v>
      </c>
      <c r="N473" s="31">
        <f>IFERROR(Serie_Historica!Q1569/Serie_Historica!Q1568,"")</f>
        <v>0.11412495030733005</v>
      </c>
      <c r="O473" s="31">
        <f>IFERROR(Serie_Historica!R1569/Serie_Historica!R1568,"")</f>
        <v>0.10747837434180009</v>
      </c>
      <c r="P473" s="31">
        <f>IFERROR(Serie_Historica!S1569/Serie_Historica!S1568,"")</f>
        <v>9.251531221510291E-2</v>
      </c>
      <c r="Q473" s="31">
        <f>IFERROR(Serie_Historica!T1569/Serie_Historica!T1568,"")</f>
        <v>0.10772225281770371</v>
      </c>
      <c r="R473" s="31">
        <f>IFERROR(Serie_Historica!U1569/Serie_Historica!U1568,"")</f>
        <v>8.5246288351246549E-2</v>
      </c>
      <c r="S473" s="31">
        <f>IFERROR(Serie_Historica!V1569/Serie_Historica!V1568,"")</f>
        <v>7.8182541191929328E-2</v>
      </c>
      <c r="T473" s="31">
        <f>IFERROR(Serie_Historica!W1569/Serie_Historica!W1568,"")</f>
        <v>9.6457046426973087E-2</v>
      </c>
      <c r="U473" s="31">
        <f>IFERROR(Serie_Historica!X1569/Serie_Historica!X1568,"")</f>
        <v>9.4570537932291893E-2</v>
      </c>
      <c r="V473" s="31">
        <f>IFERROR(Serie_Historica!Y1569/Serie_Historica!Y1568,"")</f>
        <v>0.11621238456054914</v>
      </c>
      <c r="W473" s="31">
        <f>IFERROR(Serie_Historica!Z1569/Serie_Historica!Z1568,"")</f>
        <v>9.1304734920892625E-2</v>
      </c>
      <c r="X473" s="19">
        <f>IFERROR((W473-D473)*100,"")</f>
        <v>2.419887688304466</v>
      </c>
    </row>
    <row r="474" spans="1:24">
      <c r="A474" s="28" t="s">
        <v>161</v>
      </c>
      <c r="B474" s="28" t="s">
        <v>162</v>
      </c>
      <c r="C474" s="28" t="s">
        <v>505</v>
      </c>
      <c r="D474" s="31">
        <f>IFERROR(Serie_Historica!G1570/Serie_Historica!G1568,"")</f>
        <v>0.39310857069043464</v>
      </c>
      <c r="E474" s="31">
        <f>IFERROR(Serie_Historica!H1570/Serie_Historica!H1568,"")</f>
        <v>0.3906858747848147</v>
      </c>
      <c r="F474" s="31">
        <f>IFERROR(Serie_Historica!I1570/Serie_Historica!I1568,"")</f>
        <v>0.42375845185357891</v>
      </c>
      <c r="G474" s="31">
        <f>IFERROR(Serie_Historica!J1570/Serie_Historica!J1568,"")</f>
        <v>0.41653730019277024</v>
      </c>
      <c r="H474" s="31">
        <f>IFERROR(Serie_Historica!K1570/Serie_Historica!K1568,"")</f>
        <v>0.46355810616929699</v>
      </c>
      <c r="I474" s="31">
        <f>IFERROR(Serie_Historica!L1570/Serie_Historica!L1568,"")</f>
        <v>0.41442129015131407</v>
      </c>
      <c r="J474" s="31">
        <f>IFERROR(Serie_Historica!M1570/Serie_Historica!M1568,"")</f>
        <v>0.42229736674409524</v>
      </c>
      <c r="K474" s="31">
        <f>IFERROR(Serie_Historica!N1570/Serie_Historica!N1568,"")</f>
        <v>0.38907120088345171</v>
      </c>
      <c r="L474" s="31">
        <f>IFERROR(Serie_Historica!O1570/Serie_Historica!O1568,"")</f>
        <v>0.44190791795155032</v>
      </c>
      <c r="M474" s="31">
        <f>IFERROR(Serie_Historica!P1570/Serie_Historica!P1568,"")</f>
        <v>0.46212582532243168</v>
      </c>
      <c r="N474" s="31">
        <f>IFERROR(Serie_Historica!Q1570/Serie_Historica!Q1568,"")</f>
        <v>0.45370477967034645</v>
      </c>
      <c r="O474" s="31">
        <f>IFERROR(Serie_Historica!R1570/Serie_Historica!R1568,"")</f>
        <v>0.45549217806187209</v>
      </c>
      <c r="P474" s="31">
        <f>IFERROR(Serie_Historica!S1570/Serie_Historica!S1568,"")</f>
        <v>0.51237175618587805</v>
      </c>
      <c r="Q474" s="31">
        <f>IFERROR(Serie_Historica!T1570/Serie_Historica!T1568,"")</f>
        <v>0.48679746585334066</v>
      </c>
      <c r="R474" s="31">
        <f>IFERROR(Serie_Historica!U1570/Serie_Historica!U1568,"")</f>
        <v>0.49135668686511269</v>
      </c>
      <c r="S474" s="31">
        <f>IFERROR(Serie_Historica!V1570/Serie_Historica!V1568,"")</f>
        <v>0.46764985563374195</v>
      </c>
      <c r="T474" s="31">
        <f>IFERROR(Serie_Historica!W1570/Serie_Historica!W1568,"")</f>
        <v>0.48987910800464068</v>
      </c>
      <c r="U474" s="31">
        <f>IFERROR(Serie_Historica!X1570/Serie_Historica!X1568,"")</f>
        <v>0.52230305823484868</v>
      </c>
      <c r="V474" s="31">
        <f>IFERROR(Serie_Historica!Y1570/Serie_Historica!Y1568,"")</f>
        <v>0.47887448037228975</v>
      </c>
      <c r="W474" s="31">
        <f>IFERROR(Serie_Historica!Z1570/Serie_Historica!Z1568,"")</f>
        <v>0.59719916414846319</v>
      </c>
      <c r="X474" s="19">
        <f>IFERROR((W474-D474)*100,"")</f>
        <v>20.409059345802856</v>
      </c>
    </row>
    <row r="475" spans="1:24">
      <c r="A475" s="28" t="s">
        <v>161</v>
      </c>
      <c r="B475" s="28" t="s">
        <v>162</v>
      </c>
      <c r="C475" s="28" t="s">
        <v>506</v>
      </c>
      <c r="D475" s="31">
        <f>IFERROR(Serie_Historica!G1571/Serie_Historica!G1568,"")</f>
        <v>0.29425821869146807</v>
      </c>
      <c r="E475" s="31">
        <f>IFERROR(Serie_Historica!H1571/Serie_Historica!H1568,"")</f>
        <v>0.23890096946634048</v>
      </c>
      <c r="F475" s="31">
        <f>IFERROR(Serie_Historica!I1571/Serie_Historica!I1568,"")</f>
        <v>0.23478666355793892</v>
      </c>
      <c r="G475" s="31">
        <f>IFERROR(Serie_Historica!J1571/Serie_Historica!J1568,"")</f>
        <v>0.25701564339207422</v>
      </c>
      <c r="H475" s="31">
        <f>IFERROR(Serie_Historica!K1571/Serie_Historica!K1568,"")</f>
        <v>0.22251206469283943</v>
      </c>
      <c r="I475" s="31">
        <f>IFERROR(Serie_Historica!L1571/Serie_Historica!L1568,"")</f>
        <v>0.25514335014600475</v>
      </c>
      <c r="J475" s="31">
        <f>IFERROR(Serie_Historica!M1571/Serie_Historica!M1568,"")</f>
        <v>0.27091084753427758</v>
      </c>
      <c r="K475" s="31">
        <f>IFERROR(Serie_Historica!N1571/Serie_Historica!N1568,"")</f>
        <v>0.24469576522740266</v>
      </c>
      <c r="L475" s="31">
        <f>IFERROR(Serie_Historica!O1571/Serie_Historica!O1568,"")</f>
        <v>0.259354719933723</v>
      </c>
      <c r="M475" s="31">
        <f>IFERROR(Serie_Historica!P1571/Serie_Historica!P1568,"")</f>
        <v>0.26558790325339537</v>
      </c>
      <c r="N475" s="31">
        <f>IFERROR(Serie_Historica!Q1571/Serie_Historica!Q1568,"")</f>
        <v>0.26868291489556895</v>
      </c>
      <c r="O475" s="31">
        <f>IFERROR(Serie_Historica!R1571/Serie_Historica!R1568,"")</f>
        <v>0.26622625255506449</v>
      </c>
      <c r="P475" s="31">
        <f>IFERROR(Serie_Historica!S1571/Serie_Historica!S1568,"")</f>
        <v>0.25439891797960085</v>
      </c>
      <c r="Q475" s="31">
        <f>IFERROR(Serie_Historica!T1571/Serie_Historica!T1568,"")</f>
        <v>0.26748111371289479</v>
      </c>
      <c r="R475" s="31">
        <f>IFERROR(Serie_Historica!U1571/Serie_Historica!U1568,"")</f>
        <v>0.25488006251197903</v>
      </c>
      <c r="S475" s="31">
        <f>IFERROR(Serie_Historica!V1571/Serie_Historica!V1568,"")</f>
        <v>0.26309583499023148</v>
      </c>
      <c r="T475" s="31">
        <f>IFERROR(Serie_Historica!W1571/Serie_Historica!W1568,"")</f>
        <v>0.2209008320767141</v>
      </c>
      <c r="U475" s="31">
        <f>IFERROR(Serie_Historica!X1571/Serie_Historica!X1568,"")</f>
        <v>0.21796602186370762</v>
      </c>
      <c r="V475" s="31">
        <f>IFERROR(Serie_Historica!Y1571/Serie_Historica!Y1568,"")</f>
        <v>0.24736815406344198</v>
      </c>
      <c r="W475" s="31">
        <f>IFERROR(Serie_Historica!Z1571/Serie_Historica!Z1568,"")</f>
        <v>0.2612219353419607</v>
      </c>
      <c r="X475" s="19">
        <f>IFERROR((W475-D475)*100,"")</f>
        <v>-3.3036283349507367</v>
      </c>
    </row>
    <row r="476" spans="1:24">
      <c r="A476" s="28" t="s">
        <v>399</v>
      </c>
      <c r="B476" s="28" t="s">
        <v>400</v>
      </c>
      <c r="C476" s="28" t="s">
        <v>504</v>
      </c>
      <c r="D476" s="31">
        <f>IFERROR(Serie_Historica!G1579/Serie_Historica!G1578,"")</f>
        <v>4.9785240140570092E-2</v>
      </c>
      <c r="E476" s="31">
        <f>IFERROR(Serie_Historica!H1579/Serie_Historica!H1578,"")</f>
        <v>3.469573115349682E-2</v>
      </c>
      <c r="F476" s="31">
        <f>IFERROR(Serie_Historica!I1579/Serie_Historica!I1578,"")</f>
        <v>3.9156169373197755E-2</v>
      </c>
      <c r="G476" s="31">
        <f>IFERROR(Serie_Historica!J1579/Serie_Historica!J1578,"")</f>
        <v>3.8080333854981739E-2</v>
      </c>
      <c r="H476" s="31">
        <f>IFERROR(Serie_Historica!K1579/Serie_Historica!K1578,"")</f>
        <v>3.8198538080641359E-2</v>
      </c>
      <c r="I476" s="31">
        <f>IFERROR(Serie_Historica!L1579/Serie_Historica!L1578,"")</f>
        <v>4.8064516129032259E-2</v>
      </c>
      <c r="J476" s="31">
        <f>IFERROR(Serie_Historica!M1579/Serie_Historica!M1578,"")</f>
        <v>3.7097236829524809E-2</v>
      </c>
      <c r="K476" s="31">
        <f>IFERROR(Serie_Historica!N1579/Serie_Historica!N1578,"")</f>
        <v>3.7168008426754946E-2</v>
      </c>
      <c r="L476" s="31">
        <f>IFERROR(Serie_Historica!O1579/Serie_Historica!O1578,"")</f>
        <v>4.1447217769635905E-2</v>
      </c>
      <c r="M476" s="31">
        <f>IFERROR(Serie_Historica!P1579/Serie_Historica!P1578,"")</f>
        <v>4.5193470374848853E-2</v>
      </c>
      <c r="N476" s="31">
        <f>IFERROR(Serie_Historica!Q1579/Serie_Historica!Q1578,"")</f>
        <v>5.1762990455991517E-2</v>
      </c>
      <c r="O476" s="31">
        <f>IFERROR(Serie_Historica!R1579/Serie_Historica!R1578,"")</f>
        <v>4.3809622563251764E-2</v>
      </c>
      <c r="P476" s="31">
        <f>IFERROR(Serie_Historica!S1579/Serie_Historica!S1578,"")</f>
        <v>5.3172683289914403E-2</v>
      </c>
      <c r="Q476" s="31">
        <f>IFERROR(Serie_Historica!T1579/Serie_Historica!T1578,"")</f>
        <v>5.4210110912640719E-2</v>
      </c>
      <c r="R476" s="31">
        <f>IFERROR(Serie_Historica!U1579/Serie_Historica!U1578,"")</f>
        <v>4.8167423319676668E-2</v>
      </c>
      <c r="S476" s="31">
        <f>IFERROR(Serie_Historica!V1579/Serie_Historica!V1578,"")</f>
        <v>4.4203879115922419E-2</v>
      </c>
      <c r="T476" s="31">
        <f>IFERROR(Serie_Historica!W1579/Serie_Historica!W1578,"")</f>
        <v>3.8546943307195894E-2</v>
      </c>
      <c r="U476" s="31">
        <f>IFERROR(Serie_Historica!X1579/Serie_Historica!X1578,"")</f>
        <v>3.6815068493150686E-2</v>
      </c>
      <c r="V476" s="31">
        <f>IFERROR(Serie_Historica!Y1579/Serie_Historica!Y1578,"")</f>
        <v>3.427340969584592E-2</v>
      </c>
      <c r="W476" s="31">
        <f>IFERROR(Serie_Historica!Z1579/Serie_Historica!Z1578,"")</f>
        <v>3.1131525226013416E-2</v>
      </c>
      <c r="X476" s="19">
        <f>IFERROR((W476-D476)*100,"")</f>
        <v>-1.8653714914556676</v>
      </c>
    </row>
    <row r="477" spans="1:24">
      <c r="A477" s="28" t="s">
        <v>399</v>
      </c>
      <c r="B477" s="28" t="s">
        <v>400</v>
      </c>
      <c r="C477" s="28" t="s">
        <v>505</v>
      </c>
      <c r="D477" s="31">
        <f>IFERROR(Serie_Historica!G1580/Serie_Historica!G1578,"")</f>
        <v>0.21358844201483795</v>
      </c>
      <c r="E477" s="31">
        <f>IFERROR(Serie_Historica!H1580/Serie_Historica!H1578,"")</f>
        <v>0.2103542234332425</v>
      </c>
      <c r="F477" s="31">
        <f>IFERROR(Serie_Historica!I1580/Serie_Historica!I1578,"")</f>
        <v>0.22218849597814538</v>
      </c>
      <c r="G477" s="31">
        <f>IFERROR(Serie_Historica!J1580/Serie_Historica!J1578,"")</f>
        <v>0.21061554512258737</v>
      </c>
      <c r="H477" s="31">
        <f>IFERROR(Serie_Historica!K1580/Serie_Historica!K1578,"")</f>
        <v>0.20667295449186512</v>
      </c>
      <c r="I477" s="31">
        <f>IFERROR(Serie_Historica!L1580/Serie_Historica!L1578,"")</f>
        <v>0.20989247311827958</v>
      </c>
      <c r="J477" s="31">
        <f>IFERROR(Serie_Historica!M1580/Serie_Historica!M1578,"")</f>
        <v>0.18892819581221915</v>
      </c>
      <c r="K477" s="31">
        <f>IFERROR(Serie_Historica!N1580/Serie_Historica!N1578,"")</f>
        <v>0.24475208787901587</v>
      </c>
      <c r="L477" s="31">
        <f>IFERROR(Serie_Historica!O1580/Serie_Historica!O1578,"")</f>
        <v>0.24906495687352109</v>
      </c>
      <c r="M477" s="31">
        <f>IFERROR(Serie_Historica!P1580/Serie_Historica!P1578,"")</f>
        <v>0.20956771463119711</v>
      </c>
      <c r="N477" s="31">
        <f>IFERROR(Serie_Historica!Q1580/Serie_Historica!Q1578,"")</f>
        <v>0.23243637327677624</v>
      </c>
      <c r="O477" s="31">
        <f>IFERROR(Serie_Historica!R1580/Serie_Historica!R1578,"")</f>
        <v>0.22775819162173372</v>
      </c>
      <c r="P477" s="31">
        <f>IFERROR(Serie_Historica!S1580/Serie_Historica!S1578,"")</f>
        <v>0.21445850390770377</v>
      </c>
      <c r="Q477" s="31">
        <f>IFERROR(Serie_Historica!T1580/Serie_Historica!T1578,"")</f>
        <v>0.2459186640634736</v>
      </c>
      <c r="R477" s="31">
        <f>IFERROR(Serie_Historica!U1580/Serie_Historica!U1578,"")</f>
        <v>0.21898645406562581</v>
      </c>
      <c r="S477" s="31">
        <f>IFERROR(Serie_Historica!V1580/Serie_Historica!V1578,"")</f>
        <v>0.24152527670795601</v>
      </c>
      <c r="T477" s="31">
        <f>IFERROR(Serie_Historica!W1580/Serie_Historica!W1578,"")</f>
        <v>0.20727222260773021</v>
      </c>
      <c r="U477" s="31">
        <f>IFERROR(Serie_Historica!X1580/Serie_Historica!X1578,"")</f>
        <v>0.22189946183953033</v>
      </c>
      <c r="V477" s="31">
        <f>IFERROR(Serie_Historica!Y1580/Serie_Historica!Y1578,"")</f>
        <v>0.22421269850764122</v>
      </c>
      <c r="W477" s="31">
        <f>IFERROR(Serie_Historica!Z1580/Serie_Historica!Z1578,"")</f>
        <v>0.21104306406143677</v>
      </c>
      <c r="X477" s="19">
        <f>IFERROR((W477-D477)*100,"")</f>
        <v>-0.25453779534011789</v>
      </c>
    </row>
    <row r="478" spans="1:24">
      <c r="A478" s="28" t="s">
        <v>399</v>
      </c>
      <c r="B478" s="28" t="s">
        <v>400</v>
      </c>
      <c r="C478" s="28" t="s">
        <v>506</v>
      </c>
      <c r="D478" s="31">
        <f>IFERROR(Serie_Historica!G1581/Serie_Historica!G1578,"")</f>
        <v>0.57243264349863332</v>
      </c>
      <c r="E478" s="31">
        <f>IFERROR(Serie_Historica!H1581/Serie_Historica!H1578,"")</f>
        <v>0.58274296094459577</v>
      </c>
      <c r="F478" s="31">
        <f>IFERROR(Serie_Historica!I1581/Serie_Historica!I1578,"")</f>
        <v>0.57413871604188804</v>
      </c>
      <c r="G478" s="31">
        <f>IFERROR(Serie_Historica!J1581/Serie_Historica!J1578,"")</f>
        <v>0.60250391236306733</v>
      </c>
      <c r="H478" s="31">
        <f>IFERROR(Serie_Historica!K1581/Serie_Historica!K1578,"")</f>
        <v>0.607403914171186</v>
      </c>
      <c r="I478" s="31">
        <f>IFERROR(Serie_Historica!L1581/Serie_Historica!L1578,"")</f>
        <v>0.64720430107526883</v>
      </c>
      <c r="J478" s="31">
        <f>IFERROR(Serie_Historica!M1581/Serie_Historica!M1578,"")</f>
        <v>0.65159193039487517</v>
      </c>
      <c r="K478" s="31">
        <f>IFERROR(Serie_Historica!N1581/Serie_Historica!N1578,"")</f>
        <v>0.58611090211421257</v>
      </c>
      <c r="L478" s="31">
        <f>IFERROR(Serie_Historica!O1581/Serie_Historica!O1578,"")</f>
        <v>0.59476375849171814</v>
      </c>
      <c r="M478" s="31">
        <f>IFERROR(Serie_Historica!P1581/Serie_Historica!P1578,"")</f>
        <v>0.61268137847642079</v>
      </c>
      <c r="N478" s="31">
        <f>IFERROR(Serie_Historica!Q1581/Serie_Historica!Q1578,"")</f>
        <v>0.61810710498409327</v>
      </c>
      <c r="O478" s="31">
        <f>IFERROR(Serie_Historica!R1581/Serie_Historica!R1578,"")</f>
        <v>0.61069058481957694</v>
      </c>
      <c r="P478" s="31">
        <f>IFERROR(Serie_Historica!S1581/Serie_Historica!S1578,"")</f>
        <v>0.61881280238183844</v>
      </c>
      <c r="Q478" s="31">
        <f>IFERROR(Serie_Historica!T1581/Serie_Historica!T1578,"")</f>
        <v>0.57263324055996345</v>
      </c>
      <c r="R478" s="31">
        <f>IFERROR(Serie_Historica!U1581/Serie_Historica!U1578,"")</f>
        <v>0.57132838740634118</v>
      </c>
      <c r="S478" s="31">
        <f>IFERROR(Serie_Historica!V1581/Serie_Historica!V1578,"")</f>
        <v>0.56379029180111728</v>
      </c>
      <c r="T478" s="31">
        <f>IFERROR(Serie_Historica!W1581/Serie_Historica!W1578,"")</f>
        <v>0.57258344320310872</v>
      </c>
      <c r="U478" s="31">
        <f>IFERROR(Serie_Historica!X1581/Serie_Historica!X1578,"")</f>
        <v>0.56983855185909982</v>
      </c>
      <c r="V478" s="31">
        <f>IFERROR(Serie_Historica!Y1581/Serie_Historica!Y1578,"")</f>
        <v>0.56619912073451562</v>
      </c>
      <c r="W478" s="31">
        <f>IFERROR(Serie_Historica!Z1581/Serie_Historica!Z1578,"")</f>
        <v>0.49363274035190047</v>
      </c>
      <c r="X478" s="19">
        <f>IFERROR((W478-D478)*100,"")</f>
        <v>-7.879990314673285</v>
      </c>
    </row>
    <row r="479" spans="1:24">
      <c r="A479" s="28" t="s">
        <v>129</v>
      </c>
      <c r="B479" s="28" t="s">
        <v>130</v>
      </c>
      <c r="C479" s="28" t="s">
        <v>504</v>
      </c>
      <c r="D479" s="31">
        <f>IFERROR(Serie_Historica!G1589/Serie_Historica!G1588,"")</f>
        <v>5.6329857877784051E-2</v>
      </c>
      <c r="E479" s="31">
        <f>IFERROR(Serie_Historica!H1589/Serie_Historica!H1588,"")</f>
        <v>6.5712523415726226E-2</v>
      </c>
      <c r="F479" s="31">
        <f>IFERROR(Serie_Historica!I1589/Serie_Historica!I1588,"")</f>
        <v>8.0845563709139423E-2</v>
      </c>
      <c r="G479" s="31">
        <f>IFERROR(Serie_Historica!J1589/Serie_Historica!J1588,"")</f>
        <v>4.4074970887783962E-2</v>
      </c>
      <c r="H479" s="31">
        <f>IFERROR(Serie_Historica!K1589/Serie_Historica!K1588,"")</f>
        <v>4.0107641238841085E-2</v>
      </c>
      <c r="I479" s="31">
        <f>IFERROR(Serie_Historica!L1589/Serie_Historica!L1588,"")</f>
        <v>4.0359382785374764E-2</v>
      </c>
      <c r="J479" s="31">
        <f>IFERROR(Serie_Historica!M1589/Serie_Historica!M1588,"")</f>
        <v>3.8826891571221815E-2</v>
      </c>
      <c r="K479" s="31">
        <f>IFERROR(Serie_Historica!N1589/Serie_Historica!N1588,"")</f>
        <v>3.6579212916246218E-2</v>
      </c>
      <c r="L479" s="31">
        <f>IFERROR(Serie_Historica!O1589/Serie_Historica!O1588,"")</f>
        <v>3.7795982235313066E-2</v>
      </c>
      <c r="M479" s="31">
        <f>IFERROR(Serie_Historica!P1589/Serie_Historica!P1588,"")</f>
        <v>3.3475814073374001E-2</v>
      </c>
      <c r="N479" s="31">
        <f>IFERROR(Serie_Historica!Q1589/Serie_Historica!Q1588,"")</f>
        <v>3.5165820543360614E-2</v>
      </c>
      <c r="O479" s="31">
        <f>IFERROR(Serie_Historica!R1589/Serie_Historica!R1588,"")</f>
        <v>3.0238063673036497E-2</v>
      </c>
      <c r="P479" s="31">
        <f>IFERROR(Serie_Historica!S1589/Serie_Historica!S1588,"")</f>
        <v>3.2206357669951488E-2</v>
      </c>
      <c r="Q479" s="31">
        <f>IFERROR(Serie_Historica!T1589/Serie_Historica!T1588,"")</f>
        <v>3.1902406428970576E-2</v>
      </c>
      <c r="R479" s="31">
        <f>IFERROR(Serie_Historica!U1589/Serie_Historica!U1588,"")</f>
        <v>6.7330511064516221E-2</v>
      </c>
      <c r="S479" s="31">
        <f>IFERROR(Serie_Historica!V1589/Serie_Historica!V1588,"")</f>
        <v>0.31359581938538678</v>
      </c>
      <c r="T479" s="31">
        <f>IFERROR(Serie_Historica!W1589/Serie_Historica!W1588,"")</f>
        <v>0.22129362974276071</v>
      </c>
      <c r="U479" s="31">
        <f>IFERROR(Serie_Historica!X1589/Serie_Historica!X1588,"")</f>
        <v>0.20045602193963438</v>
      </c>
      <c r="V479" s="31">
        <f>IFERROR(Serie_Historica!Y1589/Serie_Historica!Y1588,"")</f>
        <v>0.21265798077392281</v>
      </c>
      <c r="W479" s="31">
        <f>IFERROR(Serie_Historica!Z1589/Serie_Historica!Z1588,"")</f>
        <v>0.37390096815203572</v>
      </c>
      <c r="X479" s="19">
        <f>IFERROR((W479-D479)*100,"")</f>
        <v>31.757111027425168</v>
      </c>
    </row>
    <row r="480" spans="1:24">
      <c r="A480" s="28" t="s">
        <v>129</v>
      </c>
      <c r="B480" s="28" t="s">
        <v>130</v>
      </c>
      <c r="C480" s="28" t="s">
        <v>505</v>
      </c>
      <c r="D480" s="31">
        <f>IFERROR(Serie_Historica!G1590/Serie_Historica!G1588,"")</f>
        <v>0.19426931472972353</v>
      </c>
      <c r="E480" s="31">
        <f>IFERROR(Serie_Historica!H1590/Serie_Historica!H1588,"")</f>
        <v>0.18124914332708914</v>
      </c>
      <c r="F480" s="31">
        <f>IFERROR(Serie_Historica!I1590/Serie_Historica!I1588,"")</f>
        <v>0.19298282188125418</v>
      </c>
      <c r="G480" s="31">
        <f>IFERROR(Serie_Historica!J1590/Serie_Historica!J1588,"")</f>
        <v>0.19567105968466386</v>
      </c>
      <c r="H480" s="31">
        <f>IFERROR(Serie_Historica!K1590/Serie_Historica!K1588,"")</f>
        <v>0.18969351252054531</v>
      </c>
      <c r="I480" s="31">
        <f>IFERROR(Serie_Historica!L1590/Serie_Historica!L1588,"")</f>
        <v>0.1988943284904183</v>
      </c>
      <c r="J480" s="31">
        <f>IFERROR(Serie_Historica!M1590/Serie_Historica!M1588,"")</f>
        <v>0.17915469779674839</v>
      </c>
      <c r="K480" s="31">
        <f>IFERROR(Serie_Historica!N1590/Serie_Historica!N1588,"")</f>
        <v>0.17772452068617559</v>
      </c>
      <c r="L480" s="31">
        <f>IFERROR(Serie_Historica!O1590/Serie_Historica!O1588,"")</f>
        <v>0.1842223347216789</v>
      </c>
      <c r="M480" s="31">
        <f>IFERROR(Serie_Historica!P1590/Serie_Historica!P1588,"")</f>
        <v>0.18542722742503651</v>
      </c>
      <c r="N480" s="31">
        <f>IFERROR(Serie_Historica!Q1590/Serie_Historica!Q1588,"")</f>
        <v>0.22913713537821939</v>
      </c>
      <c r="O480" s="31">
        <f>IFERROR(Serie_Historica!R1590/Serie_Historica!R1588,"")</f>
        <v>0.22632147118425788</v>
      </c>
      <c r="P480" s="31">
        <f>IFERROR(Serie_Historica!S1590/Serie_Historica!S1588,"")</f>
        <v>0.23569063464791884</v>
      </c>
      <c r="Q480" s="31">
        <f>IFERROR(Serie_Historica!T1590/Serie_Historica!T1588,"")</f>
        <v>0.27644514353126232</v>
      </c>
      <c r="R480" s="31">
        <f>IFERROR(Serie_Historica!U1590/Serie_Historica!U1588,"")</f>
        <v>0.25015878583975787</v>
      </c>
      <c r="S480" s="31">
        <f>IFERROR(Serie_Historica!V1590/Serie_Historica!V1588,"")</f>
        <v>0.23316101236829315</v>
      </c>
      <c r="T480" s="31">
        <f>IFERROR(Serie_Historica!W1590/Serie_Historica!W1588,"")</f>
        <v>0.23600172224004939</v>
      </c>
      <c r="U480" s="31">
        <f>IFERROR(Serie_Historica!X1590/Serie_Historica!X1588,"")</f>
        <v>0.25004544412743324</v>
      </c>
      <c r="V480" s="31">
        <f>IFERROR(Serie_Historica!Y1590/Serie_Historica!Y1588,"")</f>
        <v>0.26050707210127499</v>
      </c>
      <c r="W480" s="31">
        <f>IFERROR(Serie_Historica!Z1590/Serie_Historica!Z1588,"")</f>
        <v>0.22626332431463311</v>
      </c>
      <c r="X480" s="19">
        <f>IFERROR((W480-D480)*100,"")</f>
        <v>3.1994009584909584</v>
      </c>
    </row>
    <row r="481" spans="1:24">
      <c r="A481" s="28" t="s">
        <v>129</v>
      </c>
      <c r="B481" s="28" t="s">
        <v>130</v>
      </c>
      <c r="C481" s="28" t="s">
        <v>506</v>
      </c>
      <c r="D481" s="31">
        <f>IFERROR(Serie_Historica!G1591/Serie_Historica!G1588,"")</f>
        <v>0.50449570274932454</v>
      </c>
      <c r="E481" s="31">
        <f>IFERROR(Serie_Historica!H1591/Serie_Historica!H1588,"")</f>
        <v>0.42002101704207978</v>
      </c>
      <c r="F481" s="31">
        <f>IFERROR(Serie_Historica!I1591/Serie_Historica!I1588,"")</f>
        <v>0.42907771847898601</v>
      </c>
      <c r="G481" s="31">
        <f>IFERROR(Serie_Historica!J1591/Serie_Historica!J1588,"")</f>
        <v>0.47460305724478291</v>
      </c>
      <c r="H481" s="31">
        <f>IFERROR(Serie_Historica!K1591/Serie_Historica!K1588,"")</f>
        <v>0.47839923942118662</v>
      </c>
      <c r="I481" s="31">
        <f>IFERROR(Serie_Historica!L1591/Serie_Historica!L1588,"")</f>
        <v>0.51797309374480971</v>
      </c>
      <c r="J481" s="31">
        <f>IFERROR(Serie_Historica!M1591/Serie_Historica!M1588,"")</f>
        <v>0.53721430827890715</v>
      </c>
      <c r="K481" s="31">
        <f>IFERROR(Serie_Historica!N1591/Serie_Historica!N1588,"")</f>
        <v>0.50758072653884967</v>
      </c>
      <c r="L481" s="31">
        <f>IFERROR(Serie_Historica!O1591/Serie_Historica!O1588,"")</f>
        <v>0.51745978783625191</v>
      </c>
      <c r="M481" s="31">
        <f>IFERROR(Serie_Historica!P1591/Serie_Historica!P1588,"")</f>
        <v>0.52140433026892341</v>
      </c>
      <c r="N481" s="31">
        <f>IFERROR(Serie_Historica!Q1591/Serie_Historica!Q1588,"")</f>
        <v>0.46686985702705031</v>
      </c>
      <c r="O481" s="31">
        <f>IFERROR(Serie_Historica!R1591/Serie_Historica!R1588,"")</f>
        <v>0.45944205602166627</v>
      </c>
      <c r="P481" s="31">
        <f>IFERROR(Serie_Historica!S1591/Serie_Historica!S1588,"")</f>
        <v>0.4447900415374792</v>
      </c>
      <c r="Q481" s="31">
        <f>IFERROR(Serie_Historica!T1591/Serie_Historica!T1588,"")</f>
        <v>0.42436705211711939</v>
      </c>
      <c r="R481" s="31">
        <f>IFERROR(Serie_Historica!U1591/Serie_Historica!U1588,"")</f>
        <v>0.40214141639626566</v>
      </c>
      <c r="S481" s="31">
        <f>IFERROR(Serie_Historica!V1591/Serie_Historica!V1588,"")</f>
        <v>0.27095239546458494</v>
      </c>
      <c r="T481" s="31">
        <f>IFERROR(Serie_Historica!W1591/Serie_Historica!W1588,"")</f>
        <v>0.35810610460983544</v>
      </c>
      <c r="U481" s="31">
        <f>IFERROR(Serie_Historica!X1591/Serie_Historica!X1588,"")</f>
        <v>0.37069367496779393</v>
      </c>
      <c r="V481" s="31">
        <f>IFERROR(Serie_Historica!Y1591/Serie_Historica!Y1588,"")</f>
        <v>0.34377418073070248</v>
      </c>
      <c r="W481" s="31">
        <f>IFERROR(Serie_Historica!Z1591/Serie_Historica!Z1588,"")</f>
        <v>0.27007595266812268</v>
      </c>
      <c r="X481" s="19">
        <f>IFERROR((W481-D481)*100,"")</f>
        <v>-23.441975008120185</v>
      </c>
    </row>
    <row r="482" spans="1:24">
      <c r="A482" s="28" t="s">
        <v>389</v>
      </c>
      <c r="B482" s="28" t="s">
        <v>390</v>
      </c>
      <c r="C482" s="28" t="s">
        <v>504</v>
      </c>
      <c r="D482" s="31">
        <f>IFERROR(Serie_Historica!G1599/Serie_Historica!G1598,"")</f>
        <v>8.1506947428735141E-2</v>
      </c>
      <c r="E482" s="31">
        <f>IFERROR(Serie_Historica!H1599/Serie_Historica!H1598,"")</f>
        <v>5.5548444899526428E-2</v>
      </c>
      <c r="F482" s="31">
        <f>IFERROR(Serie_Historica!I1599/Serie_Historica!I1598,"")</f>
        <v>5.4799384542549415E-2</v>
      </c>
      <c r="G482" s="31">
        <f>IFERROR(Serie_Historica!J1599/Serie_Historica!J1598,"")</f>
        <v>5.8721405228758169E-2</v>
      </c>
      <c r="H482" s="31">
        <f>IFERROR(Serie_Historica!K1599/Serie_Historica!K1598,"")</f>
        <v>5.6082012405237767E-2</v>
      </c>
      <c r="I482" s="31">
        <f>IFERROR(Serie_Historica!L1599/Serie_Historica!L1598,"")</f>
        <v>6.0972807353504403E-2</v>
      </c>
      <c r="J482" s="31">
        <f>IFERROR(Serie_Historica!M1599/Serie_Historica!M1598,"")</f>
        <v>5.4879857609018097E-2</v>
      </c>
      <c r="K482" s="31">
        <f>IFERROR(Serie_Historica!N1599/Serie_Historica!N1598,"")</f>
        <v>6.174668372500168E-2</v>
      </c>
      <c r="L482" s="31">
        <f>IFERROR(Serie_Historica!O1599/Serie_Historica!O1598,"")</f>
        <v>5.0683927699071811E-2</v>
      </c>
      <c r="M482" s="31">
        <f>IFERROR(Serie_Historica!P1599/Serie_Historica!P1598,"")</f>
        <v>5.3241734650064404E-2</v>
      </c>
      <c r="N482" s="31">
        <f>IFERROR(Serie_Historica!Q1599/Serie_Historica!Q1598,"")</f>
        <v>6.6999541448005295E-2</v>
      </c>
      <c r="O482" s="31">
        <f>IFERROR(Serie_Historica!R1599/Serie_Historica!R1598,"")</f>
        <v>0.13838637731440506</v>
      </c>
      <c r="P482" s="31">
        <f>IFERROR(Serie_Historica!S1599/Serie_Historica!S1598,"")</f>
        <v>0.11119777536625068</v>
      </c>
      <c r="Q482" s="31">
        <f>IFERROR(Serie_Historica!T1599/Serie_Historica!T1598,"")</f>
        <v>0.16599494868074588</v>
      </c>
      <c r="R482" s="31">
        <f>IFERROR(Serie_Historica!U1599/Serie_Historica!U1598,"")</f>
        <v>0.12580766745638597</v>
      </c>
      <c r="S482" s="31">
        <f>IFERROR(Serie_Historica!V1599/Serie_Historica!V1598,"")</f>
        <v>3.7936536075163979E-2</v>
      </c>
      <c r="T482" s="31">
        <f>IFERROR(Serie_Historica!W1599/Serie_Historica!W1598,"")</f>
        <v>3.7480974124809739E-2</v>
      </c>
      <c r="U482" s="31">
        <f>IFERROR(Serie_Historica!X1599/Serie_Historica!X1598,"")</f>
        <v>3.3862208497497603E-2</v>
      </c>
      <c r="V482" s="31">
        <f>IFERROR(Serie_Historica!Y1599/Serie_Historica!Y1598,"")</f>
        <v>3.7467769660507091E-2</v>
      </c>
      <c r="W482" s="31">
        <f>IFERROR(Serie_Historica!Z1599/Serie_Historica!Z1598,"")</f>
        <v>4.061570595046201E-2</v>
      </c>
      <c r="X482" s="19">
        <f>IFERROR((W482-D482)*100,"")</f>
        <v>-4.089124147827313</v>
      </c>
    </row>
    <row r="483" spans="1:24">
      <c r="A483" s="28" t="s">
        <v>389</v>
      </c>
      <c r="B483" s="28" t="s">
        <v>390</v>
      </c>
      <c r="C483" s="28" t="s">
        <v>505</v>
      </c>
      <c r="D483" s="31">
        <f>IFERROR(Serie_Historica!G1600/Serie_Historica!G1598,"")</f>
        <v>0.15341641598624839</v>
      </c>
      <c r="E483" s="31">
        <f>IFERROR(Serie_Historica!H1600/Serie_Historica!H1598,"")</f>
        <v>0.14347881735568924</v>
      </c>
      <c r="F483" s="31">
        <f>IFERROR(Serie_Historica!I1600/Serie_Historica!I1598,"")</f>
        <v>0.16297786720321933</v>
      </c>
      <c r="G483" s="31">
        <f>IFERROR(Serie_Historica!J1600/Serie_Historica!J1598,"")</f>
        <v>0.15788398692810457</v>
      </c>
      <c r="H483" s="31">
        <f>IFERROR(Serie_Historica!K1600/Serie_Historica!K1598,"")</f>
        <v>0.16971054445210199</v>
      </c>
      <c r="I483" s="31">
        <f>IFERROR(Serie_Historica!L1600/Serie_Historica!L1598,"")</f>
        <v>0.1781692837993106</v>
      </c>
      <c r="J483" s="31">
        <f>IFERROR(Serie_Historica!M1600/Serie_Historica!M1598,"")</f>
        <v>0.16441708691782853</v>
      </c>
      <c r="K483" s="31">
        <f>IFERROR(Serie_Historica!N1600/Serie_Historica!N1598,"")</f>
        <v>0.16739613494040806</v>
      </c>
      <c r="L483" s="31">
        <f>IFERROR(Serie_Historica!O1600/Serie_Historica!O1598,"")</f>
        <v>0.17739374694675134</v>
      </c>
      <c r="M483" s="31">
        <f>IFERROR(Serie_Historica!P1600/Serie_Historica!P1598,"")</f>
        <v>0.20040790038643194</v>
      </c>
      <c r="N483" s="31">
        <f>IFERROR(Serie_Historica!Q1600/Serie_Historica!Q1598,"")</f>
        <v>0.21460233352015082</v>
      </c>
      <c r="O483" s="31">
        <f>IFERROR(Serie_Historica!R1600/Serie_Historica!R1598,"")</f>
        <v>0.17789499769887068</v>
      </c>
      <c r="P483" s="31">
        <f>IFERROR(Serie_Historica!S1600/Serie_Historica!S1598,"")</f>
        <v>0.18248100922409116</v>
      </c>
      <c r="Q483" s="31">
        <f>IFERROR(Serie_Historica!T1600/Serie_Historica!T1598,"")</f>
        <v>0.20576065344725669</v>
      </c>
      <c r="R483" s="31">
        <f>IFERROR(Serie_Historica!U1600/Serie_Historica!U1598,"")</f>
        <v>0.19007107473616197</v>
      </c>
      <c r="S483" s="31">
        <f>IFERROR(Serie_Historica!V1600/Serie_Historica!V1598,"")</f>
        <v>0.22566920758730721</v>
      </c>
      <c r="T483" s="31">
        <f>IFERROR(Serie_Historica!W1600/Serie_Historica!W1598,"")</f>
        <v>0.20028810611002393</v>
      </c>
      <c r="U483" s="31">
        <f>IFERROR(Serie_Historica!X1600/Serie_Historica!X1598,"")</f>
        <v>0.23301565328506016</v>
      </c>
      <c r="V483" s="31">
        <f>IFERROR(Serie_Historica!Y1600/Serie_Historica!Y1598,"")</f>
        <v>0.23839707778255265</v>
      </c>
      <c r="W483" s="31">
        <f>IFERROR(Serie_Historica!Z1600/Serie_Historica!Z1598,"")</f>
        <v>0.22800644765818331</v>
      </c>
      <c r="X483" s="19">
        <f>IFERROR((W483-D483)*100,"")</f>
        <v>7.4590031671934929</v>
      </c>
    </row>
    <row r="484" spans="1:24">
      <c r="A484" s="28" t="s">
        <v>389</v>
      </c>
      <c r="B484" s="28" t="s">
        <v>390</v>
      </c>
      <c r="C484" s="28" t="s">
        <v>506</v>
      </c>
      <c r="D484" s="31">
        <f>IFERROR(Serie_Historica!G1601/Serie_Historica!G1598,"")</f>
        <v>0.65721243374874661</v>
      </c>
      <c r="E484" s="31">
        <f>IFERROR(Serie_Historica!H1601/Serie_Historica!H1598,"")</f>
        <v>0.61512863176756682</v>
      </c>
      <c r="F484" s="31">
        <f>IFERROR(Serie_Historica!I1601/Serie_Historica!I1598,"")</f>
        <v>0.64918925316605514</v>
      </c>
      <c r="G484" s="31">
        <f>IFERROR(Serie_Historica!J1601/Serie_Historica!J1598,"")</f>
        <v>0.67095588235294112</v>
      </c>
      <c r="H484" s="31">
        <f>IFERROR(Serie_Historica!K1601/Serie_Historica!K1598,"")</f>
        <v>0.68961061337008955</v>
      </c>
      <c r="I484" s="31">
        <f>IFERROR(Serie_Historica!L1601/Serie_Historica!L1598,"")</f>
        <v>0.69168900804289546</v>
      </c>
      <c r="J484" s="31">
        <f>IFERROR(Serie_Historica!M1601/Serie_Historica!M1598,"")</f>
        <v>0.71121328982497778</v>
      </c>
      <c r="K484" s="31">
        <f>IFERROR(Serie_Historica!N1601/Serie_Historica!N1598,"")</f>
        <v>0.68419635041411353</v>
      </c>
      <c r="L484" s="31">
        <f>IFERROR(Serie_Historica!O1601/Serie_Historica!O1598,"")</f>
        <v>0.68295065950170986</v>
      </c>
      <c r="M484" s="31">
        <f>IFERROR(Serie_Historica!P1601/Serie_Historica!P1598,"")</f>
        <v>0.64582438814942034</v>
      </c>
      <c r="N484" s="31">
        <f>IFERROR(Serie_Historica!Q1601/Serie_Historica!Q1598,"")</f>
        <v>0.64874917205889848</v>
      </c>
      <c r="O484" s="31">
        <f>IFERROR(Serie_Historica!R1601/Serie_Historica!R1598,"")</f>
        <v>0.51867454950968239</v>
      </c>
      <c r="P484" s="31">
        <f>IFERROR(Serie_Historica!S1601/Serie_Historica!S1598,"")</f>
        <v>0.5260784047748237</v>
      </c>
      <c r="Q484" s="31">
        <f>IFERROR(Serie_Historica!T1601/Serie_Historica!T1598,"")</f>
        <v>0.47966037938631845</v>
      </c>
      <c r="R484" s="31">
        <f>IFERROR(Serie_Historica!U1601/Serie_Historica!U1598,"")</f>
        <v>0.52899526168425592</v>
      </c>
      <c r="S484" s="31">
        <f>IFERROR(Serie_Historica!V1601/Serie_Historica!V1598,"")</f>
        <v>0.56372983513561425</v>
      </c>
      <c r="T484" s="31">
        <f>IFERROR(Serie_Historica!W1601/Serie_Historica!W1598,"")</f>
        <v>0.57623939986953687</v>
      </c>
      <c r="U484" s="31">
        <f>IFERROR(Serie_Historica!X1601/Serie_Historica!X1598,"")</f>
        <v>0.64423384091151104</v>
      </c>
      <c r="V484" s="31">
        <f>IFERROR(Serie_Historica!Y1601/Serie_Historica!Y1598,"")</f>
        <v>0.63587773957885685</v>
      </c>
      <c r="W484" s="31">
        <f>IFERROR(Serie_Historica!Z1601/Serie_Historica!Z1598,"")</f>
        <v>0.62708016436987768</v>
      </c>
      <c r="X484" s="19">
        <f>IFERROR((W484-D484)*100,"")</f>
        <v>-3.0132269378868926</v>
      </c>
    </row>
    <row r="485" spans="1:24">
      <c r="A485" s="28" t="s">
        <v>225</v>
      </c>
      <c r="B485" s="28" t="s">
        <v>226</v>
      </c>
      <c r="C485" s="28" t="s">
        <v>504</v>
      </c>
      <c r="D485" s="31">
        <f>IFERROR(Serie_Historica!G1609/Serie_Historica!G1608,"")</f>
        <v>0.15771565556973283</v>
      </c>
      <c r="E485" s="31">
        <f>IFERROR(Serie_Historica!H1609/Serie_Historica!H1608,"")</f>
        <v>0.16771444537580329</v>
      </c>
      <c r="F485" s="31">
        <f>IFERROR(Serie_Historica!I1609/Serie_Historica!I1608,"")</f>
        <v>0.12512661219528665</v>
      </c>
      <c r="G485" s="31">
        <f>IFERROR(Serie_Historica!J1609/Serie_Historica!J1608,"")</f>
        <v>9.7448481802323864E-2</v>
      </c>
      <c r="H485" s="31">
        <f>IFERROR(Serie_Historica!K1609/Serie_Historica!K1608,"")</f>
        <v>0.11499162026274531</v>
      </c>
      <c r="I485" s="31">
        <f>IFERROR(Serie_Historica!L1609/Serie_Historica!L1608,"")</f>
        <v>0.11267384711910489</v>
      </c>
      <c r="J485" s="31">
        <f>IFERROR(Serie_Historica!M1609/Serie_Historica!M1608,"")</f>
        <v>6.5449655069359694E-2</v>
      </c>
      <c r="K485" s="31">
        <f>IFERROR(Serie_Historica!N1609/Serie_Historica!N1608,"")</f>
        <v>6.8576613948664766E-2</v>
      </c>
      <c r="L485" s="31">
        <f>IFERROR(Serie_Historica!O1609/Serie_Historica!O1608,"")</f>
        <v>6.1420461408382657E-2</v>
      </c>
      <c r="M485" s="31">
        <f>IFERROR(Serie_Historica!P1609/Serie_Historica!P1608,"")</f>
        <v>7.8818756787836203E-2</v>
      </c>
      <c r="N485" s="31">
        <f>IFERROR(Serie_Historica!Q1609/Serie_Historica!Q1608,"")</f>
        <v>5.6641185525320256E-2</v>
      </c>
      <c r="O485" s="31">
        <f>IFERROR(Serie_Historica!R1609/Serie_Historica!R1608,"")</f>
        <v>5.6032289794118645E-2</v>
      </c>
      <c r="P485" s="31">
        <f>IFERROR(Serie_Historica!S1609/Serie_Historica!S1608,"")</f>
        <v>6.9028290803636635E-2</v>
      </c>
      <c r="Q485" s="31">
        <f>IFERROR(Serie_Historica!T1609/Serie_Historica!T1608,"")</f>
        <v>6.548340319024254E-2</v>
      </c>
      <c r="R485" s="31">
        <f>IFERROR(Serie_Historica!U1609/Serie_Historica!U1608,"")</f>
        <v>7.225495798476772E-2</v>
      </c>
      <c r="S485" s="31">
        <f>IFERROR(Serie_Historica!V1609/Serie_Historica!V1608,"")</f>
        <v>5.947924465518676E-2</v>
      </c>
      <c r="T485" s="31">
        <f>IFERROR(Serie_Historica!W1609/Serie_Historica!W1608,"")</f>
        <v>7.5024755010755631E-2</v>
      </c>
      <c r="U485" s="31">
        <f>IFERROR(Serie_Historica!X1609/Serie_Historica!X1608,"")</f>
        <v>5.309945044923594E-2</v>
      </c>
      <c r="V485" s="31">
        <f>IFERROR(Serie_Historica!Y1609/Serie_Historica!Y1608,"")</f>
        <v>3.7698397433431556E-2</v>
      </c>
      <c r="W485" s="31">
        <f>IFERROR(Serie_Historica!Z1609/Serie_Historica!Z1608,"")</f>
        <v>4.1657331589179503E-2</v>
      </c>
      <c r="X485" s="19">
        <f>IFERROR((W485-D485)*100,"")</f>
        <v>-11.605832398055332</v>
      </c>
    </row>
    <row r="486" spans="1:24">
      <c r="A486" s="28" t="s">
        <v>225</v>
      </c>
      <c r="B486" s="28" t="s">
        <v>226</v>
      </c>
      <c r="C486" s="28" t="s">
        <v>505</v>
      </c>
      <c r="D486" s="31">
        <f>IFERROR(Serie_Historica!G1610/Serie_Historica!G1608,"")</f>
        <v>0.30274910103236286</v>
      </c>
      <c r="E486" s="31">
        <f>IFERROR(Serie_Historica!H1610/Serie_Historica!H1608,"")</f>
        <v>0.30829142218496786</v>
      </c>
      <c r="F486" s="31">
        <f>IFERROR(Serie_Historica!I1610/Serie_Historica!I1608,"")</f>
        <v>0.33108244986157065</v>
      </c>
      <c r="G486" s="31">
        <f>IFERROR(Serie_Historica!J1610/Serie_Historica!J1608,"")</f>
        <v>0.32516335038287558</v>
      </c>
      <c r="H486" s="31">
        <f>IFERROR(Serie_Historica!K1610/Serie_Historica!K1608,"")</f>
        <v>0.3126182624209331</v>
      </c>
      <c r="I486" s="31">
        <f>IFERROR(Serie_Historica!L1610/Serie_Historica!L1608,"")</f>
        <v>0.33106765659311932</v>
      </c>
      <c r="J486" s="31">
        <f>IFERROR(Serie_Historica!M1610/Serie_Historica!M1608,"")</f>
        <v>0.32413518292531068</v>
      </c>
      <c r="K486" s="31">
        <f>IFERROR(Serie_Historica!N1610/Serie_Historica!N1608,"")</f>
        <v>0.32302739607639791</v>
      </c>
      <c r="L486" s="31">
        <f>IFERROR(Serie_Historica!O1610/Serie_Historica!O1608,"")</f>
        <v>0.34221121713572494</v>
      </c>
      <c r="M486" s="31">
        <f>IFERROR(Serie_Historica!P1610/Serie_Historica!P1608,"")</f>
        <v>0.38047019740624799</v>
      </c>
      <c r="N486" s="31">
        <f>IFERROR(Serie_Historica!Q1610/Serie_Historica!Q1608,"")</f>
        <v>0.47696261316496646</v>
      </c>
      <c r="O486" s="31">
        <f>IFERROR(Serie_Historica!R1610/Serie_Historica!R1608,"")</f>
        <v>0.45045167271535008</v>
      </c>
      <c r="P486" s="31">
        <f>IFERROR(Serie_Historica!S1610/Serie_Historica!S1608,"")</f>
        <v>0.44827111755553911</v>
      </c>
      <c r="Q486" s="31">
        <f>IFERROR(Serie_Historica!T1610/Serie_Historica!T1608,"")</f>
        <v>0.45400369480145408</v>
      </c>
      <c r="R486" s="31">
        <f>IFERROR(Serie_Historica!U1610/Serie_Historica!U1608,"")</f>
        <v>0.44167985985554631</v>
      </c>
      <c r="S486" s="31">
        <f>IFERROR(Serie_Historica!V1610/Serie_Historica!V1608,"")</f>
        <v>0.46871308543382412</v>
      </c>
      <c r="T486" s="31">
        <f>IFERROR(Serie_Historica!W1610/Serie_Historica!W1608,"")</f>
        <v>0.46501860893911973</v>
      </c>
      <c r="U486" s="31">
        <f>IFERROR(Serie_Historica!X1610/Serie_Historica!X1608,"")</f>
        <v>0.47010776904593865</v>
      </c>
      <c r="V486" s="31">
        <f>IFERROR(Serie_Historica!Y1610/Serie_Historica!Y1608,"")</f>
        <v>0.45439647943129274</v>
      </c>
      <c r="W486" s="31">
        <f>IFERROR(Serie_Historica!Z1610/Serie_Historica!Z1608,"")</f>
        <v>0.44404373875273728</v>
      </c>
      <c r="X486" s="19">
        <f>IFERROR((W486-D486)*100,"")</f>
        <v>14.129463772037443</v>
      </c>
    </row>
    <row r="487" spans="1:24">
      <c r="A487" s="28" t="s">
        <v>225</v>
      </c>
      <c r="B487" s="28" t="s">
        <v>226</v>
      </c>
      <c r="C487" s="28" t="s">
        <v>506</v>
      </c>
      <c r="D487" s="31">
        <f>IFERROR(Serie_Historica!G1611/Serie_Historica!G1608,"")</f>
        <v>0.49479952055059351</v>
      </c>
      <c r="E487" s="31">
        <f>IFERROR(Serie_Historica!H1611/Serie_Historica!H1608,"")</f>
        <v>0.4750977926795194</v>
      </c>
      <c r="F487" s="31">
        <f>IFERROR(Serie_Historica!I1611/Serie_Historica!I1608,"")</f>
        <v>0.50060773853737595</v>
      </c>
      <c r="G487" s="31">
        <f>IFERROR(Serie_Historica!J1611/Serie_Historica!J1608,"")</f>
        <v>0.53599621559293975</v>
      </c>
      <c r="H487" s="31">
        <f>IFERROR(Serie_Historica!K1611/Serie_Historica!K1608,"")</f>
        <v>0.51624587770989894</v>
      </c>
      <c r="I487" s="31">
        <f>IFERROR(Serie_Historica!L1611/Serie_Historica!L1608,"")</f>
        <v>0.51905782704172332</v>
      </c>
      <c r="J487" s="31">
        <f>IFERROR(Serie_Historica!M1611/Serie_Historica!M1608,"")</f>
        <v>0.57776504868876544</v>
      </c>
      <c r="K487" s="31">
        <f>IFERROR(Serie_Historica!N1611/Serie_Historica!N1608,"")</f>
        <v>0.57393483709273185</v>
      </c>
      <c r="L487" s="31">
        <f>IFERROR(Serie_Historica!O1611/Serie_Historica!O1608,"")</f>
        <v>0.57241212706848654</v>
      </c>
      <c r="M487" s="31">
        <f>IFERROR(Serie_Historica!P1611/Serie_Historica!P1608,"")</f>
        <v>0.51047722481313484</v>
      </c>
      <c r="N487" s="31">
        <f>IFERROR(Serie_Historica!Q1611/Serie_Historica!Q1608,"")</f>
        <v>0.44968561663492396</v>
      </c>
      <c r="O487" s="31">
        <f>IFERROR(Serie_Historica!R1611/Serie_Historica!R1608,"")</f>
        <v>0.46880123008739499</v>
      </c>
      <c r="P487" s="31">
        <f>IFERROR(Serie_Historica!S1611/Serie_Historica!S1608,"")</f>
        <v>0.45112877448853234</v>
      </c>
      <c r="Q487" s="31">
        <f>IFERROR(Serie_Historica!T1611/Serie_Historica!T1608,"")</f>
        <v>0.44797481178363563</v>
      </c>
      <c r="R487" s="31">
        <f>IFERROR(Serie_Historica!U1611/Serie_Historica!U1608,"")</f>
        <v>0.45454204802008485</v>
      </c>
      <c r="S487" s="31">
        <f>IFERROR(Serie_Historica!V1611/Serie_Historica!V1608,"")</f>
        <v>0.43887363780051575</v>
      </c>
      <c r="T487" s="31">
        <f>IFERROR(Serie_Historica!W1611/Serie_Historica!W1608,"")</f>
        <v>0.4198705910472223</v>
      </c>
      <c r="U487" s="31">
        <f>IFERROR(Serie_Historica!X1611/Serie_Historica!X1608,"")</f>
        <v>0.43808632625710731</v>
      </c>
      <c r="V487" s="31">
        <f>IFERROR(Serie_Historica!Y1611/Serie_Historica!Y1608,"")</f>
        <v>0.46245162680125251</v>
      </c>
      <c r="W487" s="31">
        <f>IFERROR(Serie_Historica!Z1611/Serie_Historica!Z1608,"")</f>
        <v>0.45197192972312761</v>
      </c>
      <c r="X487" s="19">
        <f>IFERROR((W487-D487)*100,"")</f>
        <v>-4.2827590827465905</v>
      </c>
    </row>
    <row r="488" spans="1:24">
      <c r="A488" s="28" t="s">
        <v>189</v>
      </c>
      <c r="B488" s="28" t="s">
        <v>190</v>
      </c>
      <c r="C488" s="28" t="s">
        <v>504</v>
      </c>
      <c r="D488" s="31">
        <f>IFERROR(Serie_Historica!G1619/Serie_Historica!G1618,"")</f>
        <v>0.55576909877136382</v>
      </c>
      <c r="E488" s="31">
        <f>IFERROR(Serie_Historica!H1619/Serie_Historica!H1618,"")</f>
        <v>0.4903474236773035</v>
      </c>
      <c r="F488" s="31">
        <f>IFERROR(Serie_Historica!I1619/Serie_Historica!I1618,"")</f>
        <v>0.40506785156719105</v>
      </c>
      <c r="G488" s="31">
        <f>IFERROR(Serie_Historica!J1619/Serie_Historica!J1618,"")</f>
        <v>0.4341008938039691</v>
      </c>
      <c r="H488" s="31">
        <f>IFERROR(Serie_Historica!K1619/Serie_Historica!K1618,"")</f>
        <v>0.44016976244281542</v>
      </c>
      <c r="I488" s="31">
        <f>IFERROR(Serie_Historica!L1619/Serie_Historica!L1618,"")</f>
        <v>0.45016214964095436</v>
      </c>
      <c r="J488" s="31">
        <f>IFERROR(Serie_Historica!M1619/Serie_Historica!M1618,"")</f>
        <v>0.43453420267432863</v>
      </c>
      <c r="K488" s="31">
        <f>IFERROR(Serie_Historica!N1619/Serie_Historica!N1618,"")</f>
        <v>0.29343573395160122</v>
      </c>
      <c r="L488" s="31">
        <f>IFERROR(Serie_Historica!O1619/Serie_Historica!O1618,"")</f>
        <v>0.31918347567993216</v>
      </c>
      <c r="M488" s="31">
        <f>IFERROR(Serie_Historica!P1619/Serie_Historica!P1618,"")</f>
        <v>0.3869027761498165</v>
      </c>
      <c r="N488" s="31">
        <f>IFERROR(Serie_Historica!Q1619/Serie_Historica!Q1618,"")</f>
        <v>0.3988878705493642</v>
      </c>
      <c r="O488" s="31">
        <f>IFERROR(Serie_Historica!R1619/Serie_Historica!R1618,"")</f>
        <v>0.36889161707011131</v>
      </c>
      <c r="P488" s="31">
        <f>IFERROR(Serie_Historica!S1619/Serie_Historica!S1618,"")</f>
        <v>0.37121041994161241</v>
      </c>
      <c r="Q488" s="31">
        <f>IFERROR(Serie_Historica!T1619/Serie_Historica!T1618,"")</f>
        <v>0.24936709823091602</v>
      </c>
      <c r="R488" s="31">
        <f>IFERROR(Serie_Historica!U1619/Serie_Historica!U1618,"")</f>
        <v>0.12681548509761809</v>
      </c>
      <c r="S488" s="31">
        <f>IFERROR(Serie_Historica!V1619/Serie_Historica!V1618,"")</f>
        <v>0.132895578327409</v>
      </c>
      <c r="T488" s="31">
        <f>IFERROR(Serie_Historica!W1619/Serie_Historica!W1618,"")</f>
        <v>0.25322570609164907</v>
      </c>
      <c r="U488" s="31">
        <f>IFERROR(Serie_Historica!X1619/Serie_Historica!X1618,"")</f>
        <v>0.17936999184300179</v>
      </c>
      <c r="V488" s="31">
        <f>IFERROR(Serie_Historica!Y1619/Serie_Historica!Y1618,"")</f>
        <v>0.14277540185813301</v>
      </c>
      <c r="W488" s="31">
        <f>IFERROR(Serie_Historica!Z1619/Serie_Historica!Z1618,"")</f>
        <v>0.20331917258903404</v>
      </c>
      <c r="X488" s="19">
        <f>IFERROR((W488-D488)*100,"")</f>
        <v>-35.244992618232978</v>
      </c>
    </row>
    <row r="489" spans="1:24">
      <c r="A489" s="28" t="s">
        <v>189</v>
      </c>
      <c r="B489" s="28" t="s">
        <v>190</v>
      </c>
      <c r="C489" s="28" t="s">
        <v>505</v>
      </c>
      <c r="D489" s="31">
        <f>IFERROR(Serie_Historica!G1620/Serie_Historica!G1618,"")</f>
        <v>0.15786944882970691</v>
      </c>
      <c r="E489" s="31">
        <f>IFERROR(Serie_Historica!H1620/Serie_Historica!H1618,"")</f>
        <v>0.16146912556983009</v>
      </c>
      <c r="F489" s="31">
        <f>IFERROR(Serie_Historica!I1620/Serie_Historica!I1618,"")</f>
        <v>0.19096227418552386</v>
      </c>
      <c r="G489" s="31">
        <f>IFERROR(Serie_Historica!J1620/Serie_Historica!J1618,"")</f>
        <v>0.16609604605362824</v>
      </c>
      <c r="H489" s="31">
        <f>IFERROR(Serie_Historica!K1620/Serie_Historica!K1618,"")</f>
        <v>0.17283525326572233</v>
      </c>
      <c r="I489" s="31">
        <f>IFERROR(Serie_Historica!L1620/Serie_Historica!L1618,"")</f>
        <v>0.17110261755848968</v>
      </c>
      <c r="J489" s="31">
        <f>IFERROR(Serie_Historica!M1620/Serie_Historica!M1618,"")</f>
        <v>0.15012708586584153</v>
      </c>
      <c r="K489" s="31">
        <f>IFERROR(Serie_Historica!N1620/Serie_Historica!N1618,"")</f>
        <v>0.17532373437314749</v>
      </c>
      <c r="L489" s="31">
        <f>IFERROR(Serie_Historica!O1620/Serie_Historica!O1618,"")</f>
        <v>0.17959900660245925</v>
      </c>
      <c r="M489" s="31">
        <f>IFERROR(Serie_Historica!P1620/Serie_Historica!P1618,"")</f>
        <v>0.19248212498534834</v>
      </c>
      <c r="N489" s="31">
        <f>IFERROR(Serie_Historica!Q1620/Serie_Historica!Q1618,"")</f>
        <v>0.21564066820187769</v>
      </c>
      <c r="O489" s="31">
        <f>IFERROR(Serie_Historica!R1620/Serie_Historica!R1618,"")</f>
        <v>0.24315434092182872</v>
      </c>
      <c r="P489" s="31">
        <f>IFERROR(Serie_Historica!S1620/Serie_Historica!S1618,"")</f>
        <v>0.21929357415546502</v>
      </c>
      <c r="Q489" s="31">
        <f>IFERROR(Serie_Historica!T1620/Serie_Historica!T1618,"")</f>
        <v>0.24561910337015441</v>
      </c>
      <c r="R489" s="31">
        <f>IFERROR(Serie_Historica!U1620/Serie_Historica!U1618,"")</f>
        <v>0.23269017481471049</v>
      </c>
      <c r="S489" s="31">
        <f>IFERROR(Serie_Historica!V1620/Serie_Historica!V1618,"")</f>
        <v>0.25013757306245071</v>
      </c>
      <c r="T489" s="31">
        <f>IFERROR(Serie_Historica!W1620/Serie_Historica!W1618,"")</f>
        <v>0.25918216118065651</v>
      </c>
      <c r="U489" s="31">
        <f>IFERROR(Serie_Historica!X1620/Serie_Historica!X1618,"")</f>
        <v>0.26697375365865361</v>
      </c>
      <c r="V489" s="31">
        <f>IFERROR(Serie_Historica!Y1620/Serie_Historica!Y1618,"")</f>
        <v>0.27965196873617459</v>
      </c>
      <c r="W489" s="31">
        <f>IFERROR(Serie_Historica!Z1620/Serie_Historica!Z1618,"")</f>
        <v>0.27654643268352724</v>
      </c>
      <c r="X489" s="19">
        <f>IFERROR((W489-D489)*100,"")</f>
        <v>11.867698385382033</v>
      </c>
    </row>
    <row r="490" spans="1:24">
      <c r="A490" s="28" t="s">
        <v>189</v>
      </c>
      <c r="B490" s="28" t="s">
        <v>190</v>
      </c>
      <c r="C490" s="28" t="s">
        <v>506</v>
      </c>
      <c r="D490" s="31">
        <f>IFERROR(Serie_Historica!G1621/Serie_Historica!G1618,"")</f>
        <v>0.22970004804722355</v>
      </c>
      <c r="E490" s="31">
        <f>IFERROR(Serie_Historica!H1621/Serie_Historica!H1618,"")</f>
        <v>0.26441842795966292</v>
      </c>
      <c r="F490" s="31">
        <f>IFERROR(Serie_Historica!I1621/Serie_Historica!I1618,"")</f>
        <v>0.29684846197395737</v>
      </c>
      <c r="G490" s="31">
        <f>IFERROR(Serie_Historica!J1621/Serie_Historica!J1618,"")</f>
        <v>0.30075746099075895</v>
      </c>
      <c r="H490" s="31">
        <f>IFERROR(Serie_Historica!K1621/Serie_Historica!K1618,"")</f>
        <v>0.31943449264179025</v>
      </c>
      <c r="I490" s="31">
        <f>IFERROR(Serie_Historica!L1621/Serie_Historica!L1618,"")</f>
        <v>0.3230484132499421</v>
      </c>
      <c r="J490" s="31">
        <f>IFERROR(Serie_Historica!M1621/Serie_Historica!M1618,"")</f>
        <v>0.34222566029395513</v>
      </c>
      <c r="K490" s="31">
        <f>IFERROR(Serie_Historica!N1621/Serie_Historica!N1618,"")</f>
        <v>0.4576543583933817</v>
      </c>
      <c r="L490" s="31">
        <f>IFERROR(Serie_Historica!O1621/Serie_Historica!O1618,"")</f>
        <v>0.44893088618329396</v>
      </c>
      <c r="M490" s="31">
        <f>IFERROR(Serie_Historica!P1621/Serie_Historica!P1618,"")</f>
        <v>0.37006915579438998</v>
      </c>
      <c r="N490" s="31">
        <f>IFERROR(Serie_Historica!Q1621/Serie_Historica!Q1618,"")</f>
        <v>0.33803652159179304</v>
      </c>
      <c r="O490" s="31">
        <f>IFERROR(Serie_Historica!R1621/Serie_Historica!R1618,"")</f>
        <v>0.34539219087779233</v>
      </c>
      <c r="P490" s="31">
        <f>IFERROR(Serie_Historica!S1621/Serie_Historica!S1618,"")</f>
        <v>0.36759167174617435</v>
      </c>
      <c r="Q490" s="31">
        <f>IFERROR(Serie_Historica!T1621/Serie_Historica!T1618,"")</f>
        <v>0.4548378022913705</v>
      </c>
      <c r="R490" s="31">
        <f>IFERROR(Serie_Historica!U1621/Serie_Historica!U1618,"")</f>
        <v>0.56286639790151927</v>
      </c>
      <c r="S490" s="31">
        <f>IFERROR(Serie_Historica!V1621/Serie_Historica!V1618,"")</f>
        <v>0.53893689486443475</v>
      </c>
      <c r="T490" s="31">
        <f>IFERROR(Serie_Historica!W1621/Serie_Historica!W1618,"")</f>
        <v>0.42741666336695272</v>
      </c>
      <c r="U490" s="31">
        <f>IFERROR(Serie_Historica!X1621/Serie_Historica!X1618,"")</f>
        <v>0.48760856004990166</v>
      </c>
      <c r="V490" s="31">
        <f>IFERROR(Serie_Historica!Y1621/Serie_Historica!Y1618,"")</f>
        <v>0.50360713759032594</v>
      </c>
      <c r="W490" s="31">
        <f>IFERROR(Serie_Historica!Z1621/Serie_Historica!Z1618,"")</f>
        <v>0.45298665978480962</v>
      </c>
      <c r="X490" s="19">
        <f>IFERROR((W490-D490)*100,"")</f>
        <v>22.328661173758608</v>
      </c>
    </row>
    <row r="491" spans="1:24">
      <c r="A491" s="28" t="s">
        <v>353</v>
      </c>
      <c r="B491" s="28" t="s">
        <v>354</v>
      </c>
      <c r="C491" s="28" t="s">
        <v>504</v>
      </c>
      <c r="D491" s="31">
        <f>IFERROR(Serie_Historica!G1629/Serie_Historica!G1628,"")</f>
        <v>7.4167047010497492E-2</v>
      </c>
      <c r="E491" s="31">
        <f>IFERROR(Serie_Historica!H1629/Serie_Historica!H1628,"")</f>
        <v>5.9584393553859201E-2</v>
      </c>
      <c r="F491" s="31">
        <f>IFERROR(Serie_Historica!I1629/Serie_Historica!I1628,"")</f>
        <v>5.7800115986854826E-2</v>
      </c>
      <c r="G491" s="31">
        <f>IFERROR(Serie_Historica!J1629/Serie_Historica!J1628,"")</f>
        <v>5.4153997863423453E-2</v>
      </c>
      <c r="H491" s="31">
        <f>IFERROR(Serie_Historica!K1629/Serie_Historica!K1628,"")</f>
        <v>5.206423700227323E-2</v>
      </c>
      <c r="I491" s="31">
        <f>IFERROR(Serie_Historica!L1629/Serie_Historica!L1628,"")</f>
        <v>4.2442615851017759E-2</v>
      </c>
      <c r="J491" s="31">
        <f>IFERROR(Serie_Historica!M1629/Serie_Historica!M1628,"")</f>
        <v>4.0698998178506376E-2</v>
      </c>
      <c r="K491" s="31">
        <f>IFERROR(Serie_Historica!N1629/Serie_Historica!N1628,"")</f>
        <v>4.0768289238301475E-2</v>
      </c>
      <c r="L491" s="31">
        <f>IFERROR(Serie_Historica!O1629/Serie_Historica!O1628,"")</f>
        <v>3.5530909837749022E-2</v>
      </c>
      <c r="M491" s="31">
        <f>IFERROR(Serie_Historica!P1629/Serie_Historica!P1628,"")</f>
        <v>3.7949709864603484E-2</v>
      </c>
      <c r="N491" s="31">
        <f>IFERROR(Serie_Historica!Q1629/Serie_Historica!Q1628,"")</f>
        <v>3.5748054403956654E-2</v>
      </c>
      <c r="O491" s="31">
        <f>IFERROR(Serie_Historica!R1629/Serie_Historica!R1628,"")</f>
        <v>3.2042351629980495E-2</v>
      </c>
      <c r="P491" s="31">
        <f>IFERROR(Serie_Historica!S1629/Serie_Historica!S1628,"")</f>
        <v>2.9547946874619226E-2</v>
      </c>
      <c r="Q491" s="31">
        <f>IFERROR(Serie_Historica!T1629/Serie_Historica!T1628,"")</f>
        <v>3.3200948598531385E-2</v>
      </c>
      <c r="R491" s="31">
        <f>IFERROR(Serie_Historica!U1629/Serie_Historica!U1628,"")</f>
        <v>3.8070328392909039E-2</v>
      </c>
      <c r="S491" s="31">
        <f>IFERROR(Serie_Historica!V1629/Serie_Historica!V1628,"")</f>
        <v>3.5290100724337241E-2</v>
      </c>
      <c r="T491" s="31">
        <f>IFERROR(Serie_Historica!W1629/Serie_Historica!W1628,"")</f>
        <v>3.4190607259590576E-2</v>
      </c>
      <c r="U491" s="31">
        <f>IFERROR(Serie_Historica!X1629/Serie_Historica!X1628,"")</f>
        <v>3.4165806400381166E-2</v>
      </c>
      <c r="V491" s="31">
        <f>IFERROR(Serie_Historica!Y1629/Serie_Historica!Y1628,"")</f>
        <v>3.4446181330951314E-2</v>
      </c>
      <c r="W491" s="31">
        <f>IFERROR(Serie_Historica!Z1629/Serie_Historica!Z1628,"")</f>
        <v>4.0190123139601033E-2</v>
      </c>
      <c r="X491" s="19">
        <f>IFERROR((W491-D491)*100,"")</f>
        <v>-3.3976923870896458</v>
      </c>
    </row>
    <row r="492" spans="1:24">
      <c r="A492" s="28" t="s">
        <v>353</v>
      </c>
      <c r="B492" s="28" t="s">
        <v>354</v>
      </c>
      <c r="C492" s="28" t="s">
        <v>505</v>
      </c>
      <c r="D492" s="31">
        <f>IFERROR(Serie_Historica!G1630/Serie_Historica!G1628,"")</f>
        <v>0.20584208124144227</v>
      </c>
      <c r="E492" s="31">
        <f>IFERROR(Serie_Historica!H1630/Serie_Historica!H1628,"")</f>
        <v>0.21501272264631044</v>
      </c>
      <c r="F492" s="31">
        <f>IFERROR(Serie_Historica!I1630/Serie_Historica!I1628,"")</f>
        <v>0.22114826986274888</v>
      </c>
      <c r="G492" s="31">
        <f>IFERROR(Serie_Historica!J1630/Serie_Historica!J1628,"")</f>
        <v>0.21332895061221135</v>
      </c>
      <c r="H492" s="31">
        <f>IFERROR(Serie_Historica!K1630/Serie_Historica!K1628,"")</f>
        <v>0.2140500109994867</v>
      </c>
      <c r="I492" s="31">
        <f>IFERROR(Serie_Historica!L1630/Serie_Historica!L1628,"")</f>
        <v>0.20188083895316464</v>
      </c>
      <c r="J492" s="31">
        <f>IFERROR(Serie_Historica!M1630/Serie_Historica!M1628,"")</f>
        <v>0.18471083788706741</v>
      </c>
      <c r="K492" s="31">
        <f>IFERROR(Serie_Historica!N1630/Serie_Historica!N1628,"")</f>
        <v>0.19273138122587327</v>
      </c>
      <c r="L492" s="31">
        <f>IFERROR(Serie_Historica!O1630/Serie_Historica!O1628,"")</f>
        <v>0.20727048675292667</v>
      </c>
      <c r="M492" s="31">
        <f>IFERROR(Serie_Historica!P1630/Serie_Historica!P1628,"")</f>
        <v>0.20131528046421662</v>
      </c>
      <c r="N492" s="31">
        <f>IFERROR(Serie_Historica!Q1630/Serie_Historica!Q1628,"")</f>
        <v>0.21634300676412829</v>
      </c>
      <c r="O492" s="31">
        <f>IFERROR(Serie_Historica!R1630/Serie_Historica!R1628,"")</f>
        <v>0.21494690566855515</v>
      </c>
      <c r="P492" s="31">
        <f>IFERROR(Serie_Historica!S1630/Serie_Historica!S1628,"")</f>
        <v>0.19437675155355186</v>
      </c>
      <c r="Q492" s="31">
        <f>IFERROR(Serie_Historica!T1630/Serie_Historica!T1628,"")</f>
        <v>0.21312037486785337</v>
      </c>
      <c r="R492" s="31">
        <f>IFERROR(Serie_Historica!U1630/Serie_Historica!U1628,"")</f>
        <v>0.22718025943832396</v>
      </c>
      <c r="S492" s="31">
        <f>IFERROR(Serie_Historica!V1630/Serie_Historica!V1628,"")</f>
        <v>0.22515425700558495</v>
      </c>
      <c r="T492" s="31">
        <f>IFERROR(Serie_Historica!W1630/Serie_Historica!W1628,"")</f>
        <v>0.27006279029760882</v>
      </c>
      <c r="U492" s="31">
        <f>IFERROR(Serie_Historica!X1630/Serie_Historica!X1628,"")</f>
        <v>0.27634400063527359</v>
      </c>
      <c r="V492" s="31">
        <f>IFERROR(Serie_Historica!Y1630/Serie_Historica!Y1628,"")</f>
        <v>0.27428539526574364</v>
      </c>
      <c r="W492" s="31">
        <f>IFERROR(Serie_Historica!Z1630/Serie_Historica!Z1628,"")</f>
        <v>0.26686975830871151</v>
      </c>
      <c r="X492" s="19">
        <f>IFERROR((W492-D492)*100,"")</f>
        <v>6.102767706726925</v>
      </c>
    </row>
    <row r="493" spans="1:24">
      <c r="A493" s="28" t="s">
        <v>353</v>
      </c>
      <c r="B493" s="28" t="s">
        <v>354</v>
      </c>
      <c r="C493" s="28" t="s">
        <v>506</v>
      </c>
      <c r="D493" s="31">
        <f>IFERROR(Serie_Historica!G1631/Serie_Historica!G1628,"")</f>
        <v>0.65015974440894564</v>
      </c>
      <c r="E493" s="31">
        <f>IFERROR(Serie_Historica!H1631/Serie_Historica!H1628,"")</f>
        <v>0.63284563189143339</v>
      </c>
      <c r="F493" s="31">
        <f>IFERROR(Serie_Historica!I1631/Serie_Historica!I1628,"")</f>
        <v>0.62613570462014301</v>
      </c>
      <c r="G493" s="31">
        <f>IFERROR(Serie_Historica!J1631/Serie_Historica!J1628,"")</f>
        <v>0.63957597173144876</v>
      </c>
      <c r="H493" s="31">
        <f>IFERROR(Serie_Historica!K1631/Serie_Historica!K1628,"")</f>
        <v>0.62719073109921541</v>
      </c>
      <c r="I493" s="31">
        <f>IFERROR(Serie_Historica!L1631/Serie_Historica!L1628,"")</f>
        <v>0.69009466064468228</v>
      </c>
      <c r="J493" s="31">
        <f>IFERROR(Serie_Historica!M1631/Serie_Historica!M1628,"")</f>
        <v>0.6946152094717668</v>
      </c>
      <c r="K493" s="31">
        <f>IFERROR(Serie_Historica!N1631/Serie_Historica!N1628,"")</f>
        <v>0.69155446756425953</v>
      </c>
      <c r="L493" s="31">
        <f>IFERROR(Serie_Historica!O1631/Serie_Historica!O1628,"")</f>
        <v>0.67956459231875133</v>
      </c>
      <c r="M493" s="31">
        <f>IFERROR(Serie_Historica!P1631/Serie_Historica!P1628,"")</f>
        <v>0.68247582205029012</v>
      </c>
      <c r="N493" s="31">
        <f>IFERROR(Serie_Historica!Q1631/Serie_Historica!Q1628,"")</f>
        <v>0.69059567968579538</v>
      </c>
      <c r="O493" s="31">
        <f>IFERROR(Serie_Historica!R1631/Serie_Historica!R1628,"")</f>
        <v>0.67004117519581441</v>
      </c>
      <c r="P493" s="31">
        <f>IFERROR(Serie_Historica!S1631/Serie_Historica!S1628,"")</f>
        <v>0.68965517241379315</v>
      </c>
      <c r="Q493" s="31">
        <f>IFERROR(Serie_Historica!T1631/Serie_Historica!T1628,"")</f>
        <v>0.68181948055658737</v>
      </c>
      <c r="R493" s="31">
        <f>IFERROR(Serie_Historica!U1631/Serie_Historica!U1628,"")</f>
        <v>0.67900451771419512</v>
      </c>
      <c r="S493" s="31">
        <f>IFERROR(Serie_Historica!V1631/Serie_Historica!V1628,"")</f>
        <v>0.6867546277101676</v>
      </c>
      <c r="T493" s="31">
        <f>IFERROR(Serie_Historica!W1631/Serie_Historica!W1628,"")</f>
        <v>0.63751505246860485</v>
      </c>
      <c r="U493" s="31">
        <f>IFERROR(Serie_Historica!X1631/Serie_Historica!X1628,"")</f>
        <v>0.6415071865322004</v>
      </c>
      <c r="V493" s="31">
        <f>IFERROR(Serie_Historica!Y1631/Serie_Historica!Y1628,"")</f>
        <v>0.63063867798124162</v>
      </c>
      <c r="W493" s="31">
        <f>IFERROR(Serie_Historica!Z1631/Serie_Historica!Z1628,"")</f>
        <v>0.6526031821768733</v>
      </c>
      <c r="X493" s="19">
        <f>IFERROR((W493-D493)*100,"")</f>
        <v>0.24434377679276587</v>
      </c>
    </row>
    <row r="494" spans="1:24">
      <c r="A494" s="28" t="s">
        <v>405</v>
      </c>
      <c r="B494" s="28" t="s">
        <v>406</v>
      </c>
      <c r="C494" s="28" t="s">
        <v>504</v>
      </c>
      <c r="D494" s="31">
        <f>IFERROR(Serie_Historica!G1639/Serie_Historica!G1638,"")</f>
        <v>4.9088541666666666E-2</v>
      </c>
      <c r="E494" s="31">
        <f>IFERROR(Serie_Historica!H1639/Serie_Historica!H1638,"")</f>
        <v>2.746179478340802E-2</v>
      </c>
      <c r="F494" s="31">
        <f>IFERROR(Serie_Historica!I1639/Serie_Historica!I1638,"")</f>
        <v>3.2920678587803759E-2</v>
      </c>
      <c r="G494" s="31">
        <f>IFERROR(Serie_Historica!J1639/Serie_Historica!J1638,"")</f>
        <v>3.2449115782449113E-2</v>
      </c>
      <c r="H494" s="31">
        <f>IFERROR(Serie_Historica!K1639/Serie_Historica!K1638,"")</f>
        <v>3.0059475968493812E-2</v>
      </c>
      <c r="I494" s="31">
        <f>IFERROR(Serie_Historica!L1639/Serie_Historica!L1638,"")</f>
        <v>3.3542976939203356E-2</v>
      </c>
      <c r="J494" s="31">
        <f>IFERROR(Serie_Historica!M1639/Serie_Historica!M1638,"")</f>
        <v>2.9004249030112693E-2</v>
      </c>
      <c r="K494" s="31">
        <f>IFERROR(Serie_Historica!N1639/Serie_Historica!N1638,"")</f>
        <v>3.3504376697856927E-2</v>
      </c>
      <c r="L494" s="31">
        <f>IFERROR(Serie_Historica!O1639/Serie_Historica!O1638,"")</f>
        <v>2.2472629489724054E-2</v>
      </c>
      <c r="M494" s="31">
        <f>IFERROR(Serie_Historica!P1639/Serie_Historica!P1638,"")</f>
        <v>2.4362878666452956E-2</v>
      </c>
      <c r="N494" s="31">
        <f>IFERROR(Serie_Historica!Q1639/Serie_Historica!Q1638,"")</f>
        <v>2.8289984472049688E-2</v>
      </c>
      <c r="O494" s="31">
        <f>IFERROR(Serie_Historica!R1639/Serie_Historica!R1638,"")</f>
        <v>2.4041164007437194E-2</v>
      </c>
      <c r="P494" s="31">
        <f>IFERROR(Serie_Historica!S1639/Serie_Historica!S1638,"")</f>
        <v>2.0064950127580607E-2</v>
      </c>
      <c r="Q494" s="31">
        <f>IFERROR(Serie_Historica!T1639/Serie_Historica!T1638,"")</f>
        <v>2.2897341287630608E-2</v>
      </c>
      <c r="R494" s="31">
        <f>IFERROR(Serie_Historica!U1639/Serie_Historica!U1638,"")</f>
        <v>2.4776483784764606E-2</v>
      </c>
      <c r="S494" s="31">
        <f>IFERROR(Serie_Historica!V1639/Serie_Historica!V1638,"")</f>
        <v>1.9696926129338356E-2</v>
      </c>
      <c r="T494" s="31">
        <f>IFERROR(Serie_Historica!W1639/Serie_Historica!W1638,"")</f>
        <v>2.8325014029595062E-2</v>
      </c>
      <c r="U494" s="31">
        <f>IFERROR(Serie_Historica!X1639/Serie_Historica!X1638,"")</f>
        <v>2.0447095491428879E-2</v>
      </c>
      <c r="V494" s="31">
        <f>IFERROR(Serie_Historica!Y1639/Serie_Historica!Y1638,"")</f>
        <v>2.2558660060860599E-2</v>
      </c>
      <c r="W494" s="31">
        <f>IFERROR(Serie_Historica!Z1639/Serie_Historica!Z1638,"")</f>
        <v>2.4647130472164505E-2</v>
      </c>
      <c r="X494" s="19">
        <f>IFERROR((W494-D494)*100,"")</f>
        <v>-2.4441411194502161</v>
      </c>
    </row>
    <row r="495" spans="1:24">
      <c r="A495" s="28" t="s">
        <v>405</v>
      </c>
      <c r="B495" s="28" t="s">
        <v>406</v>
      </c>
      <c r="C495" s="28" t="s">
        <v>505</v>
      </c>
      <c r="D495" s="31">
        <f>IFERROR(Serie_Historica!G1640/Serie_Historica!G1638,"")</f>
        <v>0.20169270833333333</v>
      </c>
      <c r="E495" s="31">
        <f>IFERROR(Serie_Historica!H1640/Serie_Historica!H1638,"")</f>
        <v>0.25428013328737215</v>
      </c>
      <c r="F495" s="31">
        <f>IFERROR(Serie_Historica!I1640/Serie_Historica!I1638,"")</f>
        <v>0.24713434204493351</v>
      </c>
      <c r="G495" s="31">
        <f>IFERROR(Serie_Historica!J1640/Serie_Historica!J1638,"")</f>
        <v>0.27177177177177175</v>
      </c>
      <c r="H495" s="31">
        <f>IFERROR(Serie_Historica!K1640/Serie_Historica!K1638,"")</f>
        <v>0.18871564057225526</v>
      </c>
      <c r="I495" s="31">
        <f>IFERROR(Serie_Historica!L1640/Serie_Historica!L1638,"")</f>
        <v>0.26320416582132955</v>
      </c>
      <c r="J495" s="31">
        <f>IFERROR(Serie_Historica!M1640/Serie_Historica!M1638,"")</f>
        <v>0.207401933616602</v>
      </c>
      <c r="K495" s="31">
        <f>IFERROR(Serie_Historica!N1640/Serie_Historica!N1638,"")</f>
        <v>0.21442801086628432</v>
      </c>
      <c r="L495" s="31">
        <f>IFERROR(Serie_Historica!O1640/Serie_Historica!O1638,"")</f>
        <v>0.16044561111466804</v>
      </c>
      <c r="M495" s="31">
        <f>IFERROR(Serie_Historica!P1640/Serie_Historica!P1638,"")</f>
        <v>0.17673772506277716</v>
      </c>
      <c r="N495" s="31">
        <f>IFERROR(Serie_Historica!Q1640/Serie_Historica!Q1638,"")</f>
        <v>0.19904891304347827</v>
      </c>
      <c r="O495" s="31">
        <f>IFERROR(Serie_Historica!R1640/Serie_Historica!R1638,"")</f>
        <v>0.19189691702339257</v>
      </c>
      <c r="P495" s="31">
        <f>IFERROR(Serie_Historica!S1640/Serie_Historica!S1638,"")</f>
        <v>0.20509549215185957</v>
      </c>
      <c r="Q495" s="31">
        <f>IFERROR(Serie_Historica!T1640/Serie_Historica!T1638,"")</f>
        <v>0.20324838787544397</v>
      </c>
      <c r="R495" s="31">
        <f>IFERROR(Serie_Historica!U1640/Serie_Historica!U1638,"")</f>
        <v>0.19266932796674474</v>
      </c>
      <c r="S495" s="31">
        <f>IFERROR(Serie_Historica!V1640/Serie_Historica!V1638,"")</f>
        <v>0.19737182620697588</v>
      </c>
      <c r="T495" s="31">
        <f>IFERROR(Serie_Historica!W1640/Serie_Historica!W1638,"")</f>
        <v>0.18914847741973595</v>
      </c>
      <c r="U495" s="31">
        <f>IFERROR(Serie_Historica!X1640/Serie_Historica!X1638,"")</f>
        <v>0.20342307485625236</v>
      </c>
      <c r="V495" s="31">
        <f>IFERROR(Serie_Historica!Y1640/Serie_Historica!Y1638,"")</f>
        <v>0.20257525840605589</v>
      </c>
      <c r="W495" s="31">
        <f>IFERROR(Serie_Historica!Z1640/Serie_Historica!Z1638,"")</f>
        <v>0.20138043036946812</v>
      </c>
      <c r="X495" s="19">
        <f>IFERROR((W495-D495)*100,"")</f>
        <v>-3.1227796386520956E-2</v>
      </c>
    </row>
    <row r="496" spans="1:24">
      <c r="A496" s="28" t="s">
        <v>405</v>
      </c>
      <c r="B496" s="28" t="s">
        <v>406</v>
      </c>
      <c r="C496" s="28" t="s">
        <v>506</v>
      </c>
      <c r="D496" s="31">
        <f>IFERROR(Serie_Historica!G1641/Serie_Historica!G1638,"")</f>
        <v>0.64869791666666665</v>
      </c>
      <c r="E496" s="31">
        <f>IFERROR(Serie_Historica!H1641/Serie_Historica!H1638,"")</f>
        <v>0.59715040790532004</v>
      </c>
      <c r="F496" s="31">
        <f>IFERROR(Serie_Historica!I1641/Serie_Historica!I1638,"")</f>
        <v>0.5459880788629069</v>
      </c>
      <c r="G496" s="31">
        <f>IFERROR(Serie_Historica!J1641/Serie_Historica!J1638,"")</f>
        <v>0.61561561561561562</v>
      </c>
      <c r="H496" s="31">
        <f>IFERROR(Serie_Historica!K1641/Serie_Historica!K1638,"")</f>
        <v>0.69096608262337245</v>
      </c>
      <c r="I496" s="31">
        <f>IFERROR(Serie_Historica!L1641/Serie_Historica!L1638,"")</f>
        <v>0.6332589436667343</v>
      </c>
      <c r="J496" s="31">
        <f>IFERROR(Serie_Historica!M1641/Serie_Historica!M1638,"")</f>
        <v>0.63070386107518939</v>
      </c>
      <c r="K496" s="31">
        <f>IFERROR(Serie_Historica!N1641/Serie_Historica!N1638,"")</f>
        <v>0.6403863567763356</v>
      </c>
      <c r="L496" s="31">
        <f>IFERROR(Serie_Historica!O1641/Serie_Historica!O1638,"")</f>
        <v>0.74409373199308537</v>
      </c>
      <c r="M496" s="31">
        <f>IFERROR(Serie_Historica!P1641/Serie_Historica!P1638,"")</f>
        <v>0.71336218411070151</v>
      </c>
      <c r="N496" s="31">
        <f>IFERROR(Serie_Historica!Q1641/Serie_Historica!Q1638,"")</f>
        <v>0.71380046583850931</v>
      </c>
      <c r="O496" s="31">
        <f>IFERROR(Serie_Historica!R1641/Serie_Historica!R1638,"")</f>
        <v>0.72767760626108013</v>
      </c>
      <c r="P496" s="31">
        <f>IFERROR(Serie_Historica!S1641/Serie_Historica!S1638,"")</f>
        <v>0.69256939611845669</v>
      </c>
      <c r="Q496" s="31">
        <f>IFERROR(Serie_Historica!T1641/Serie_Historica!T1638,"")</f>
        <v>0.72888720300700027</v>
      </c>
      <c r="R496" s="31">
        <f>IFERROR(Serie_Historica!U1641/Serie_Historica!U1638,"")</f>
        <v>0.7379829104945399</v>
      </c>
      <c r="S496" s="31">
        <f>IFERROR(Serie_Historica!V1641/Serie_Historica!V1638,"")</f>
        <v>0.73470972194266326</v>
      </c>
      <c r="T496" s="31">
        <f>IFERROR(Serie_Historica!W1641/Serie_Historica!W1638,"")</f>
        <v>0.72947987122308533</v>
      </c>
      <c r="U496" s="31">
        <f>IFERROR(Serie_Historica!X1641/Serie_Historica!X1638,"")</f>
        <v>0.74606373260250414</v>
      </c>
      <c r="V496" s="31">
        <f>IFERROR(Serie_Historica!Y1641/Serie_Historica!Y1638,"")</f>
        <v>0.72280763523878988</v>
      </c>
      <c r="W496" s="31">
        <f>IFERROR(Serie_Historica!Z1641/Serie_Historica!Z1638,"")</f>
        <v>0.72391392610637439</v>
      </c>
      <c r="X496" s="19">
        <f>IFERROR((W496-D496)*100,"")</f>
        <v>7.5216009439707747</v>
      </c>
    </row>
    <row r="497" spans="1:24">
      <c r="A497" s="28" t="s">
        <v>245</v>
      </c>
      <c r="B497" s="28" t="s">
        <v>246</v>
      </c>
      <c r="C497" s="28" t="s">
        <v>504</v>
      </c>
      <c r="D497" s="31">
        <f>IFERROR(Serie_Historica!G1649/Serie_Historica!G1648,"")</f>
        <v>7.9231129864041253E-2</v>
      </c>
      <c r="E497" s="31">
        <f>IFERROR(Serie_Historica!H1649/Serie_Historica!H1648,"")</f>
        <v>6.0972505091649691E-2</v>
      </c>
      <c r="F497" s="31">
        <f>IFERROR(Serie_Historica!I1649/Serie_Historica!I1648,"")</f>
        <v>6.3844495953804231E-2</v>
      </c>
      <c r="G497" s="31">
        <f>IFERROR(Serie_Historica!J1649/Serie_Historica!J1648,"")</f>
        <v>7.8963806724232963E-2</v>
      </c>
      <c r="H497" s="31">
        <f>IFERROR(Serie_Historica!K1649/Serie_Historica!K1648,"")</f>
        <v>8.2993555175588582E-2</v>
      </c>
      <c r="I497" s="31">
        <f>IFERROR(Serie_Historica!L1649/Serie_Historica!L1648,"")</f>
        <v>9.8390549433124558E-2</v>
      </c>
      <c r="J497" s="31">
        <f>IFERROR(Serie_Historica!M1649/Serie_Historica!M1648,"")</f>
        <v>7.8072590738423028E-2</v>
      </c>
      <c r="K497" s="31">
        <f>IFERROR(Serie_Historica!N1649/Serie_Historica!N1648,"")</f>
        <v>5.7337110481586399E-2</v>
      </c>
      <c r="L497" s="31">
        <f>IFERROR(Serie_Historica!O1649/Serie_Historica!O1648,"")</f>
        <v>5.5872583255259345E-2</v>
      </c>
      <c r="M497" s="31">
        <f>IFERROR(Serie_Historica!P1649/Serie_Historica!P1648,"")</f>
        <v>7.1158199428507818E-2</v>
      </c>
      <c r="N497" s="31">
        <f>IFERROR(Serie_Historica!Q1649/Serie_Historica!Q1648,"")</f>
        <v>7.6542927974947814E-2</v>
      </c>
      <c r="O497" s="31">
        <f>IFERROR(Serie_Historica!R1649/Serie_Historica!R1648,"")</f>
        <v>7.5873733242759908E-2</v>
      </c>
      <c r="P497" s="31">
        <f>IFERROR(Serie_Historica!S1649/Serie_Historica!S1648,"")</f>
        <v>7.9266738055173119E-2</v>
      </c>
      <c r="Q497" s="31">
        <f>IFERROR(Serie_Historica!T1649/Serie_Historica!T1648,"")</f>
        <v>7.6061515978398622E-2</v>
      </c>
      <c r="R497" s="31">
        <f>IFERROR(Serie_Historica!U1649/Serie_Historica!U1648,"")</f>
        <v>9.8184925579785393E-2</v>
      </c>
      <c r="S497" s="31">
        <f>IFERROR(Serie_Historica!V1649/Serie_Historica!V1648,"")</f>
        <v>7.2373265781024473E-2</v>
      </c>
      <c r="T497" s="31">
        <f>IFERROR(Serie_Historica!W1649/Serie_Historica!W1648,"")</f>
        <v>7.0213220029877968E-2</v>
      </c>
      <c r="U497" s="31">
        <f>IFERROR(Serie_Historica!X1649/Serie_Historica!X1648,"")</f>
        <v>6.0042836531137136E-2</v>
      </c>
      <c r="V497" s="31">
        <f>IFERROR(Serie_Historica!Y1649/Serie_Historica!Y1648,"")</f>
        <v>5.4230924887844111E-2</v>
      </c>
      <c r="W497" s="31">
        <f>IFERROR(Serie_Historica!Z1649/Serie_Historica!Z1648,"")</f>
        <v>5.0685227755128195E-2</v>
      </c>
      <c r="X497" s="19">
        <f>IFERROR((W497-D497)*100,"")</f>
        <v>-2.8545902108913057</v>
      </c>
    </row>
    <row r="498" spans="1:24">
      <c r="A498" s="28" t="s">
        <v>245</v>
      </c>
      <c r="B498" s="28" t="s">
        <v>246</v>
      </c>
      <c r="C498" s="28" t="s">
        <v>505</v>
      </c>
      <c r="D498" s="31">
        <f>IFERROR(Serie_Historica!G1650/Serie_Historica!G1648,"")</f>
        <v>0.19967182372245662</v>
      </c>
      <c r="E498" s="31">
        <f>IFERROR(Serie_Historica!H1650/Serie_Historica!H1648,"")</f>
        <v>0.2103275627970129</v>
      </c>
      <c r="F498" s="31">
        <f>IFERROR(Serie_Historica!I1650/Serie_Historica!I1648,"")</f>
        <v>0.20686429994713512</v>
      </c>
      <c r="G498" s="31">
        <f>IFERROR(Serie_Historica!J1650/Serie_Historica!J1648,"")</f>
        <v>0.20889215506154693</v>
      </c>
      <c r="H498" s="31">
        <f>IFERROR(Serie_Historica!K1650/Serie_Historica!K1648,"")</f>
        <v>0.21195580691832172</v>
      </c>
      <c r="I498" s="31">
        <f>IFERROR(Serie_Historica!L1650/Serie_Historica!L1648,"")</f>
        <v>0.19168054124051903</v>
      </c>
      <c r="J498" s="31">
        <f>IFERROR(Serie_Historica!M1650/Serie_Historica!M1648,"")</f>
        <v>0.17584480600750937</v>
      </c>
      <c r="K498" s="31">
        <f>IFERROR(Serie_Historica!N1650/Serie_Historica!N1648,"")</f>
        <v>0.18366005665722379</v>
      </c>
      <c r="L498" s="31">
        <f>IFERROR(Serie_Historica!O1650/Serie_Historica!O1648,"")</f>
        <v>0.20008943020185674</v>
      </c>
      <c r="M498" s="31">
        <f>IFERROR(Serie_Historica!P1650/Serie_Historica!P1648,"")</f>
        <v>0.19662671169332394</v>
      </c>
      <c r="N498" s="31">
        <f>IFERROR(Serie_Historica!Q1650/Serie_Historica!Q1648,"")</f>
        <v>0.22449112734864302</v>
      </c>
      <c r="O498" s="31">
        <f>IFERROR(Serie_Historica!R1650/Serie_Historica!R1648,"")</f>
        <v>0.24503347982199547</v>
      </c>
      <c r="P498" s="31">
        <f>IFERROR(Serie_Historica!S1650/Serie_Historica!S1648,"")</f>
        <v>0.23225485696802814</v>
      </c>
      <c r="Q498" s="31">
        <f>IFERROR(Serie_Historica!T1650/Serie_Historica!T1648,"")</f>
        <v>0.261157477707879</v>
      </c>
      <c r="R498" s="31">
        <f>IFERROR(Serie_Historica!U1650/Serie_Historica!U1648,"")</f>
        <v>0.25769080996884736</v>
      </c>
      <c r="S498" s="31">
        <f>IFERROR(Serie_Historica!V1650/Serie_Historica!V1648,"")</f>
        <v>0.26115644054316767</v>
      </c>
      <c r="T498" s="31">
        <f>IFERROR(Serie_Historica!W1650/Serie_Historica!W1648,"")</f>
        <v>0.27749645926701977</v>
      </c>
      <c r="U498" s="31">
        <f>IFERROR(Serie_Historica!X1650/Serie_Historica!X1648,"")</f>
        <v>0.2820310609658831</v>
      </c>
      <c r="V498" s="31">
        <f>IFERROR(Serie_Historica!Y1650/Serie_Historica!Y1648,"")</f>
        <v>0.28016153892519785</v>
      </c>
      <c r="W498" s="31">
        <f>IFERROR(Serie_Historica!Z1650/Serie_Historica!Z1648,"")</f>
        <v>0.27937748800551065</v>
      </c>
      <c r="X498" s="19">
        <f>IFERROR((W498-D498)*100,"")</f>
        <v>7.9705664283054034</v>
      </c>
    </row>
    <row r="499" spans="1:24">
      <c r="A499" s="28" t="s">
        <v>245</v>
      </c>
      <c r="B499" s="28" t="s">
        <v>246</v>
      </c>
      <c r="C499" s="28" t="s">
        <v>506</v>
      </c>
      <c r="D499" s="31">
        <f>IFERROR(Serie_Historica!G1651/Serie_Historica!G1648,"")</f>
        <v>0.480168776371308</v>
      </c>
      <c r="E499" s="31">
        <f>IFERROR(Serie_Historica!H1651/Serie_Historica!H1648,"")</f>
        <v>0.48340970807875083</v>
      </c>
      <c r="F499" s="31">
        <f>IFERROR(Serie_Historica!I1651/Serie_Historica!I1648,"")</f>
        <v>0.45366190882843316</v>
      </c>
      <c r="G499" s="31">
        <f>IFERROR(Serie_Historica!J1651/Serie_Historica!J1648,"")</f>
        <v>0.53323534815359175</v>
      </c>
      <c r="H499" s="31">
        <f>IFERROR(Serie_Historica!K1651/Serie_Historica!K1648,"")</f>
        <v>0.57112324082598975</v>
      </c>
      <c r="I499" s="31">
        <f>IFERROR(Serie_Historica!L1651/Serie_Historica!L1648,"")</f>
        <v>0.60886915616163217</v>
      </c>
      <c r="J499" s="31">
        <f>IFERROR(Serie_Historica!M1651/Serie_Historica!M1648,"")</f>
        <v>0.63166458072590737</v>
      </c>
      <c r="K499" s="31">
        <f>IFERROR(Serie_Historica!N1651/Serie_Historica!N1648,"")</f>
        <v>0.65164872521246464</v>
      </c>
      <c r="L499" s="31">
        <f>IFERROR(Serie_Historica!O1651/Serie_Historica!O1648,"")</f>
        <v>0.65820628566561623</v>
      </c>
      <c r="M499" s="31">
        <f>IFERROR(Serie_Historica!P1651/Serie_Historica!P1648,"")</f>
        <v>0.62901250603035586</v>
      </c>
      <c r="N499" s="31">
        <f>IFERROR(Serie_Historica!Q1651/Serie_Historica!Q1648,"")</f>
        <v>0.61793776096033404</v>
      </c>
      <c r="O499" s="31">
        <f>IFERROR(Serie_Historica!R1651/Serie_Historica!R1648,"")</f>
        <v>0.62217015790276298</v>
      </c>
      <c r="P499" s="31">
        <f>IFERROR(Serie_Historica!S1651/Serie_Historica!S1648,"")</f>
        <v>0.63284636173576059</v>
      </c>
      <c r="Q499" s="31">
        <f>IFERROR(Serie_Historica!T1651/Serie_Historica!T1648,"")</f>
        <v>0.60207565049607814</v>
      </c>
      <c r="R499" s="31">
        <f>IFERROR(Serie_Historica!U1651/Serie_Historica!U1648,"")</f>
        <v>0.5997750086535133</v>
      </c>
      <c r="S499" s="31">
        <f>IFERROR(Serie_Historica!V1651/Serie_Historica!V1648,"")</f>
        <v>0.59149508576590371</v>
      </c>
      <c r="T499" s="31">
        <f>IFERROR(Serie_Historica!W1651/Serie_Historica!W1648,"")</f>
        <v>0.59167103195390258</v>
      </c>
      <c r="U499" s="31">
        <f>IFERROR(Serie_Historica!X1651/Serie_Historica!X1648,"")</f>
        <v>0.60521386899907692</v>
      </c>
      <c r="V499" s="31">
        <f>IFERROR(Serie_Historica!Y1651/Serie_Historica!Y1648,"")</f>
        <v>0.59468023731411401</v>
      </c>
      <c r="W499" s="31">
        <f>IFERROR(Serie_Historica!Z1651/Serie_Historica!Z1648,"")</f>
        <v>0.60479459186697526</v>
      </c>
      <c r="X499" s="19">
        <f>IFERROR((W499-D499)*100,"")</f>
        <v>12.462581549566726</v>
      </c>
    </row>
    <row r="500" spans="1:24">
      <c r="A500" s="28" t="s">
        <v>433</v>
      </c>
      <c r="B500" s="28" t="s">
        <v>434</v>
      </c>
      <c r="C500" s="28" t="s">
        <v>504</v>
      </c>
      <c r="D500" s="31">
        <f>IFERROR(Serie_Historica!G1659/Serie_Historica!G1658,"")</f>
        <v>6.8115234375E-2</v>
      </c>
      <c r="E500" s="31">
        <f>IFERROR(Serie_Historica!H1659/Serie_Historica!H1658,"")</f>
        <v>0.05</v>
      </c>
      <c r="F500" s="31">
        <f>IFERROR(Serie_Historica!I1659/Serie_Historica!I1658,"")</f>
        <v>5.2528034625221327E-2</v>
      </c>
      <c r="G500" s="31">
        <f>IFERROR(Serie_Historica!J1659/Serie_Historica!J1658,"")</f>
        <v>5.1755338400289543E-2</v>
      </c>
      <c r="H500" s="31">
        <f>IFERROR(Serie_Historica!K1659/Serie_Historica!K1658,"")</f>
        <v>4.6838769516153962E-2</v>
      </c>
      <c r="I500" s="31">
        <f>IFERROR(Serie_Historica!L1659/Serie_Historica!L1658,"")</f>
        <v>4.5889602727153533E-2</v>
      </c>
      <c r="J500" s="31">
        <f>IFERROR(Serie_Historica!M1659/Serie_Historica!M1658,"")</f>
        <v>4.1121495327102804E-2</v>
      </c>
      <c r="K500" s="31">
        <f>IFERROR(Serie_Historica!N1659/Serie_Historica!N1658,"")</f>
        <v>4.1838670088140129E-2</v>
      </c>
      <c r="L500" s="31">
        <f>IFERROR(Serie_Historica!O1659/Serie_Historica!O1658,"")</f>
        <v>3.8305281485780614E-2</v>
      </c>
      <c r="M500" s="31">
        <f>IFERROR(Serie_Historica!P1659/Serie_Historica!P1658,"")</f>
        <v>3.7589557365786633E-2</v>
      </c>
      <c r="N500" s="31">
        <f>IFERROR(Serie_Historica!Q1659/Serie_Historica!Q1658,"")</f>
        <v>4.1328280093845877E-2</v>
      </c>
      <c r="O500" s="31">
        <f>IFERROR(Serie_Historica!R1659/Serie_Historica!R1658,"")</f>
        <v>3.6363636363636362E-2</v>
      </c>
      <c r="P500" s="31">
        <f>IFERROR(Serie_Historica!S1659/Serie_Historica!S1658,"")</f>
        <v>3.5744549726523384E-2</v>
      </c>
      <c r="Q500" s="31">
        <f>IFERROR(Serie_Historica!T1659/Serie_Historica!T1658,"")</f>
        <v>3.7471054662830676E-2</v>
      </c>
      <c r="R500" s="31">
        <f>IFERROR(Serie_Historica!U1659/Serie_Historica!U1658,"")</f>
        <v>4.1467413581090316E-2</v>
      </c>
      <c r="S500" s="31">
        <f>IFERROR(Serie_Historica!V1659/Serie_Historica!V1658,"")</f>
        <v>3.9153507636551906E-2</v>
      </c>
      <c r="T500" s="31">
        <f>IFERROR(Serie_Historica!W1659/Serie_Historica!W1658,"")</f>
        <v>3.69641927459941E-2</v>
      </c>
      <c r="U500" s="31">
        <f>IFERROR(Serie_Historica!X1659/Serie_Historica!X1658,"")</f>
        <v>4.4894277983765905E-2</v>
      </c>
      <c r="V500" s="31">
        <f>IFERROR(Serie_Historica!Y1659/Serie_Historica!Y1658,"")</f>
        <v>3.5980693286529176E-2</v>
      </c>
      <c r="W500" s="31">
        <f>IFERROR(Serie_Historica!Z1659/Serie_Historica!Z1658,"")</f>
        <v>3.9374664038702739E-2</v>
      </c>
      <c r="X500" s="19">
        <f>IFERROR((W500-D500)*100,"")</f>
        <v>-2.8740570336297262</v>
      </c>
    </row>
    <row r="501" spans="1:24">
      <c r="A501" s="28" t="s">
        <v>433</v>
      </c>
      <c r="B501" s="28" t="s">
        <v>434</v>
      </c>
      <c r="C501" s="28" t="s">
        <v>505</v>
      </c>
      <c r="D501" s="31">
        <f>IFERROR(Serie_Historica!G1660/Serie_Historica!G1658,"")</f>
        <v>0.213134765625</v>
      </c>
      <c r="E501" s="31">
        <f>IFERROR(Serie_Historica!H1660/Serie_Historica!H1658,"")</f>
        <v>0.22324561403508772</v>
      </c>
      <c r="F501" s="31">
        <f>IFERROR(Serie_Historica!I1660/Serie_Historica!I1658,"")</f>
        <v>0.24021247294904585</v>
      </c>
      <c r="G501" s="31">
        <f>IFERROR(Serie_Historica!J1660/Serie_Historica!J1658,"")</f>
        <v>0.23905175533840028</v>
      </c>
      <c r="H501" s="31">
        <f>IFERROR(Serie_Historica!K1660/Serie_Historica!K1658,"")</f>
        <v>0.21564383985159993</v>
      </c>
      <c r="I501" s="31">
        <f>IFERROR(Serie_Historica!L1660/Serie_Historica!L1658,"")</f>
        <v>0.20479874131375378</v>
      </c>
      <c r="J501" s="31">
        <f>IFERROR(Serie_Historica!M1660/Serie_Historica!M1658,"")</f>
        <v>0.17981308411214952</v>
      </c>
      <c r="K501" s="31">
        <f>IFERROR(Serie_Historica!N1660/Serie_Historica!N1658,"")</f>
        <v>0.18475956710922681</v>
      </c>
      <c r="L501" s="31">
        <f>IFERROR(Serie_Historica!O1660/Serie_Historica!O1658,"")</f>
        <v>0.19976784677887405</v>
      </c>
      <c r="M501" s="31">
        <f>IFERROR(Serie_Historica!P1660/Serie_Historica!P1658,"")</f>
        <v>0.19736971243497889</v>
      </c>
      <c r="N501" s="31">
        <f>IFERROR(Serie_Historica!Q1660/Serie_Historica!Q1658,"")</f>
        <v>0.2065511640498105</v>
      </c>
      <c r="O501" s="31">
        <f>IFERROR(Serie_Historica!R1660/Serie_Historica!R1658,"")</f>
        <v>0.21475128644939967</v>
      </c>
      <c r="P501" s="31">
        <f>IFERROR(Serie_Historica!S1660/Serie_Historica!S1658,"")</f>
        <v>0.19690316616593484</v>
      </c>
      <c r="Q501" s="31">
        <f>IFERROR(Serie_Historica!T1660/Serie_Historica!T1658,"")</f>
        <v>0.21331836362360537</v>
      </c>
      <c r="R501" s="31">
        <f>IFERROR(Serie_Historica!U1660/Serie_Historica!U1658,"")</f>
        <v>0.2201803525071731</v>
      </c>
      <c r="S501" s="31">
        <f>IFERROR(Serie_Historica!V1660/Serie_Historica!V1658,"")</f>
        <v>0.20599275174734663</v>
      </c>
      <c r="T501" s="31">
        <f>IFERROR(Serie_Historica!W1660/Serie_Historica!W1658,"")</f>
        <v>0.22317348296407705</v>
      </c>
      <c r="U501" s="31">
        <f>IFERROR(Serie_Historica!X1660/Serie_Historica!X1658,"")</f>
        <v>0.26365367271269669</v>
      </c>
      <c r="V501" s="31">
        <f>IFERROR(Serie_Historica!Y1660/Serie_Historica!Y1658,"")</f>
        <v>0.26078689483691675</v>
      </c>
      <c r="W501" s="31">
        <f>IFERROR(Serie_Historica!Z1660/Serie_Historica!Z1658,"")</f>
        <v>0.24534133667801469</v>
      </c>
      <c r="X501" s="19">
        <f>IFERROR((W501-D501)*100,"")</f>
        <v>3.2206571053014694</v>
      </c>
    </row>
    <row r="502" spans="1:24">
      <c r="A502" s="28" t="s">
        <v>433</v>
      </c>
      <c r="B502" s="28" t="s">
        <v>434</v>
      </c>
      <c r="C502" s="28" t="s">
        <v>506</v>
      </c>
      <c r="D502" s="31">
        <f>IFERROR(Serie_Historica!G1661/Serie_Historica!G1658,"")</f>
        <v>0.64306640625</v>
      </c>
      <c r="E502" s="31">
        <f>IFERROR(Serie_Historica!H1661/Serie_Historica!H1658,"")</f>
        <v>0.64210526315789473</v>
      </c>
      <c r="F502" s="31">
        <f>IFERROR(Serie_Historica!I1661/Serie_Historica!I1658,"")</f>
        <v>0.63387763132008657</v>
      </c>
      <c r="G502" s="31">
        <f>IFERROR(Serie_Historica!J1661/Serie_Historica!J1658,"")</f>
        <v>0.64730365544697788</v>
      </c>
      <c r="H502" s="31">
        <f>IFERROR(Serie_Historica!K1661/Serie_Historica!K1658,"")</f>
        <v>0.67537486473952701</v>
      </c>
      <c r="I502" s="31">
        <f>IFERROR(Serie_Historica!L1661/Serie_Historica!L1658,"")</f>
        <v>0.70158646912285305</v>
      </c>
      <c r="J502" s="31">
        <f>IFERROR(Serie_Historica!M1661/Serie_Historica!M1658,"")</f>
        <v>0.71277258566978197</v>
      </c>
      <c r="K502" s="31">
        <f>IFERROR(Serie_Historica!N1661/Serie_Historica!N1658,"")</f>
        <v>0.71036483320316857</v>
      </c>
      <c r="L502" s="31">
        <f>IFERROR(Serie_Historica!O1661/Serie_Historica!O1658,"")</f>
        <v>0.71607661056297156</v>
      </c>
      <c r="M502" s="31">
        <f>IFERROR(Serie_Historica!P1661/Serie_Historica!P1658,"")</f>
        <v>0.71272941407400137</v>
      </c>
      <c r="N502" s="31">
        <f>IFERROR(Serie_Historica!Q1661/Serie_Historica!Q1658,"")</f>
        <v>0.72532033928893702</v>
      </c>
      <c r="O502" s="31">
        <f>IFERROR(Serie_Historica!R1661/Serie_Historica!R1658,"")</f>
        <v>0.72298456260720412</v>
      </c>
      <c r="P502" s="31">
        <f>IFERROR(Serie_Historica!S1661/Serie_Historica!S1658,"")</f>
        <v>0.72459748863723905</v>
      </c>
      <c r="Q502" s="31">
        <f>IFERROR(Serie_Historica!T1661/Serie_Historica!T1658,"")</f>
        <v>0.71987930671531819</v>
      </c>
      <c r="R502" s="31">
        <f>IFERROR(Serie_Historica!U1661/Serie_Historica!U1658,"")</f>
        <v>0.70808853668533955</v>
      </c>
      <c r="S502" s="31">
        <f>IFERROR(Serie_Historica!V1661/Serie_Historica!V1658,"")</f>
        <v>0.71311157131762881</v>
      </c>
      <c r="T502" s="31">
        <f>IFERROR(Serie_Historica!W1661/Serie_Historica!W1658,"")</f>
        <v>0.686469601434604</v>
      </c>
      <c r="U502" s="31">
        <f>IFERROR(Serie_Historica!X1661/Serie_Historica!X1658,"")</f>
        <v>0.65963523399138191</v>
      </c>
      <c r="V502" s="31">
        <f>IFERROR(Serie_Historica!Y1661/Serie_Historica!Y1658,"")</f>
        <v>0.66578908878162935</v>
      </c>
      <c r="W502" s="31">
        <f>IFERROR(Serie_Historica!Z1661/Serie_Historica!Z1658,"")</f>
        <v>0.66708475183658844</v>
      </c>
      <c r="X502" s="19">
        <f>IFERROR((W502-D502)*100,"")</f>
        <v>2.4018345586588441</v>
      </c>
    </row>
    <row r="503" spans="1:24">
      <c r="A503" s="28" t="s">
        <v>395</v>
      </c>
      <c r="B503" s="28" t="s">
        <v>396</v>
      </c>
      <c r="C503" s="28" t="s">
        <v>504</v>
      </c>
      <c r="D503" s="31">
        <f>IFERROR(Serie_Historica!G1669/Serie_Historica!G1668,"")</f>
        <v>0.10148704583780468</v>
      </c>
      <c r="E503" s="31">
        <f>IFERROR(Serie_Historica!H1669/Serie_Historica!H1668,"")</f>
        <v>0.10891463107529589</v>
      </c>
      <c r="F503" s="31">
        <f>IFERROR(Serie_Historica!I1669/Serie_Historica!I1668,"")</f>
        <v>8.4800741427247445E-2</v>
      </c>
      <c r="G503" s="31">
        <f>IFERROR(Serie_Historica!J1669/Serie_Historica!J1668,"")</f>
        <v>9.579073408860643E-2</v>
      </c>
      <c r="H503" s="31">
        <f>IFERROR(Serie_Historica!K1669/Serie_Historica!K1668,"")</f>
        <v>7.2945597124652831E-2</v>
      </c>
      <c r="I503" s="31">
        <f>IFERROR(Serie_Historica!L1669/Serie_Historica!L1668,"")</f>
        <v>8.2064555420219246E-2</v>
      </c>
      <c r="J503" s="31">
        <f>IFERROR(Serie_Historica!M1669/Serie_Historica!M1668,"")</f>
        <v>5.3575255375383955E-2</v>
      </c>
      <c r="K503" s="31">
        <f>IFERROR(Serie_Historica!N1669/Serie_Historica!N1668,"")</f>
        <v>4.7544156786837648E-2</v>
      </c>
      <c r="L503" s="31">
        <f>IFERROR(Serie_Historica!O1669/Serie_Historica!O1668,"")</f>
        <v>5.5713539550809585E-2</v>
      </c>
      <c r="M503" s="31">
        <f>IFERROR(Serie_Historica!P1669/Serie_Historica!P1668,"")</f>
        <v>3.7023285418766247E-2</v>
      </c>
      <c r="N503" s="31">
        <f>IFERROR(Serie_Historica!Q1669/Serie_Historica!Q1668,"")</f>
        <v>5.0645918966529653E-2</v>
      </c>
      <c r="O503" s="31">
        <f>IFERROR(Serie_Historica!R1669/Serie_Historica!R1668,"")</f>
        <v>3.7117903930131008E-2</v>
      </c>
      <c r="P503" s="31">
        <f>IFERROR(Serie_Historica!S1669/Serie_Historica!S1668,"")</f>
        <v>5.2286002014098693E-2</v>
      </c>
      <c r="Q503" s="31">
        <f>IFERROR(Serie_Historica!T1669/Serie_Historica!T1668,"")</f>
        <v>5.0965416324636852E-2</v>
      </c>
      <c r="R503" s="31">
        <f>IFERROR(Serie_Historica!U1669/Serie_Historica!U1668,"")</f>
        <v>4.0067063573530418E-2</v>
      </c>
      <c r="S503" s="31">
        <f>IFERROR(Serie_Historica!V1669/Serie_Historica!V1668,"")</f>
        <v>6.5964755494735669E-2</v>
      </c>
      <c r="T503" s="31">
        <f>IFERROR(Serie_Historica!W1669/Serie_Historica!W1668,"")</f>
        <v>5.0838656073116266E-2</v>
      </c>
      <c r="U503" s="31">
        <f>IFERROR(Serie_Historica!X1669/Serie_Historica!X1668,"")</f>
        <v>3.9239287433798752E-2</v>
      </c>
      <c r="V503" s="31">
        <f>IFERROR(Serie_Historica!Y1669/Serie_Historica!Y1668,"")</f>
        <v>3.9690493392686509E-2</v>
      </c>
      <c r="W503" s="31">
        <f>IFERROR(Serie_Historica!Z1669/Serie_Historica!Z1668,"")</f>
        <v>4.6660999338811751E-2</v>
      </c>
      <c r="X503" s="19">
        <f>IFERROR((W503-D503)*100,"")</f>
        <v>-5.4826046498992937</v>
      </c>
    </row>
    <row r="504" spans="1:24">
      <c r="A504" s="28" t="s">
        <v>395</v>
      </c>
      <c r="B504" s="28" t="s">
        <v>396</v>
      </c>
      <c r="C504" s="28" t="s">
        <v>505</v>
      </c>
      <c r="D504" s="31">
        <f>IFERROR(Serie_Historica!G1670/Serie_Historica!G1668,"")</f>
        <v>0.18473095201594358</v>
      </c>
      <c r="E504" s="31">
        <f>IFERROR(Serie_Historica!H1670/Serie_Historica!H1668,"")</f>
        <v>0.17564845127171996</v>
      </c>
      <c r="F504" s="31">
        <f>IFERROR(Serie_Historica!I1670/Serie_Historica!I1668,"")</f>
        <v>0.18292400370713624</v>
      </c>
      <c r="G504" s="31">
        <f>IFERROR(Serie_Historica!J1670/Serie_Historica!J1668,"")</f>
        <v>0.16938380768168002</v>
      </c>
      <c r="H504" s="31">
        <f>IFERROR(Serie_Historica!K1670/Serie_Historica!K1668,"")</f>
        <v>0.17423623590916518</v>
      </c>
      <c r="I504" s="31">
        <f>IFERROR(Serie_Historica!L1670/Serie_Historica!L1668,"")</f>
        <v>0.17783191230207065</v>
      </c>
      <c r="J504" s="31">
        <f>IFERROR(Serie_Historica!M1670/Serie_Historica!M1668,"")</f>
        <v>0.17179798557039788</v>
      </c>
      <c r="K504" s="31">
        <f>IFERROR(Serie_Historica!N1670/Serie_Historica!N1668,"")</f>
        <v>0.17632470360512945</v>
      </c>
      <c r="L504" s="31">
        <f>IFERROR(Serie_Historica!O1670/Serie_Historica!O1668,"")</f>
        <v>0.18762695142475772</v>
      </c>
      <c r="M504" s="31">
        <f>IFERROR(Serie_Historica!P1670/Serie_Historica!P1668,"")</f>
        <v>0.18516946905001858</v>
      </c>
      <c r="N504" s="31">
        <f>IFERROR(Serie_Historica!Q1670/Serie_Historica!Q1668,"")</f>
        <v>0.17850851438637699</v>
      </c>
      <c r="O504" s="31">
        <f>IFERROR(Serie_Historica!R1670/Serie_Historica!R1668,"")</f>
        <v>0.1839099764863957</v>
      </c>
      <c r="P504" s="31">
        <f>IFERROR(Serie_Historica!S1670/Serie_Historica!S1668,"")</f>
        <v>0.16918429003021149</v>
      </c>
      <c r="Q504" s="31">
        <f>IFERROR(Serie_Historica!T1670/Serie_Historica!T1668,"")</f>
        <v>0.18169813340947213</v>
      </c>
      <c r="R504" s="31">
        <f>IFERROR(Serie_Historica!U1670/Serie_Historica!U1668,"")</f>
        <v>0.17936084308492439</v>
      </c>
      <c r="S504" s="31">
        <f>IFERROR(Serie_Historica!V1670/Serie_Historica!V1668,"")</f>
        <v>0.17566397631747982</v>
      </c>
      <c r="T504" s="31">
        <f>IFERROR(Serie_Historica!W1670/Serie_Historica!W1668,"")</f>
        <v>0.20426338474321026</v>
      </c>
      <c r="U504" s="31">
        <f>IFERROR(Serie_Historica!X1670/Serie_Historica!X1668,"")</f>
        <v>0.21723639865190178</v>
      </c>
      <c r="V504" s="31">
        <f>IFERROR(Serie_Historica!Y1670/Serie_Historica!Y1668,"")</f>
        <v>0.214114247092549</v>
      </c>
      <c r="W504" s="31">
        <f>IFERROR(Serie_Historica!Z1670/Serie_Historica!Z1668,"")</f>
        <v>0.2270709360536507</v>
      </c>
      <c r="X504" s="19">
        <f>IFERROR((W504-D504)*100,"")</f>
        <v>4.2339984037707108</v>
      </c>
    </row>
    <row r="505" spans="1:24">
      <c r="A505" s="28" t="s">
        <v>395</v>
      </c>
      <c r="B505" s="28" t="s">
        <v>396</v>
      </c>
      <c r="C505" s="28" t="s">
        <v>506</v>
      </c>
      <c r="D505" s="31">
        <f>IFERROR(Serie_Historica!G1671/Serie_Historica!G1668,"")</f>
        <v>0.49333128928407177</v>
      </c>
      <c r="E505" s="31">
        <f>IFERROR(Serie_Historica!H1671/Serie_Historica!H1668,"")</f>
        <v>0.44661294384286077</v>
      </c>
      <c r="F505" s="31">
        <f>IFERROR(Serie_Historica!I1671/Serie_Historica!I1668,"")</f>
        <v>0.47764133456904539</v>
      </c>
      <c r="G505" s="31">
        <f>IFERROR(Serie_Historica!J1671/Serie_Historica!J1668,"")</f>
        <v>0.47490098553928339</v>
      </c>
      <c r="H505" s="31">
        <f>IFERROR(Serie_Historica!K1671/Serie_Historica!K1668,"")</f>
        <v>0.47810815226270215</v>
      </c>
      <c r="I505" s="31">
        <f>IFERROR(Serie_Historica!L1671/Serie_Historica!L1668,"")</f>
        <v>0.55222289890377585</v>
      </c>
      <c r="J505" s="31">
        <f>IFERROR(Serie_Historica!M1671/Serie_Historica!M1668,"")</f>
        <v>0.5781841560111437</v>
      </c>
      <c r="K505" s="31">
        <f>IFERROR(Serie_Historica!N1671/Serie_Historica!N1668,"")</f>
        <v>0.56587224776191625</v>
      </c>
      <c r="L505" s="31">
        <f>IFERROR(Serie_Historica!O1671/Serie_Historica!O1668,"")</f>
        <v>0.61041146770355759</v>
      </c>
      <c r="M505" s="31">
        <f>IFERROR(Serie_Historica!P1671/Serie_Historica!P1668,"")</f>
        <v>0.62759242560865647</v>
      </c>
      <c r="N505" s="31">
        <f>IFERROR(Serie_Historica!Q1671/Serie_Historica!Q1668,"")</f>
        <v>0.62184380504991188</v>
      </c>
      <c r="O505" s="31">
        <f>IFERROR(Serie_Historica!R1671/Serie_Historica!R1668,"")</f>
        <v>0.61651830702049037</v>
      </c>
      <c r="P505" s="31">
        <f>IFERROR(Serie_Historica!S1671/Serie_Historica!S1668,"")</f>
        <v>0.59681772406847933</v>
      </c>
      <c r="Q505" s="31">
        <f>IFERROR(Serie_Historica!T1671/Serie_Historica!T1668,"")</f>
        <v>0.58620935793568651</v>
      </c>
      <c r="R505" s="31">
        <f>IFERROR(Serie_Historica!U1671/Serie_Historica!U1668,"")</f>
        <v>0.56069937726681718</v>
      </c>
      <c r="S505" s="31">
        <f>IFERROR(Serie_Historica!V1671/Serie_Historica!V1668,"")</f>
        <v>0.55810316418577377</v>
      </c>
      <c r="T505" s="31">
        <f>IFERROR(Serie_Historica!W1671/Serie_Historica!W1668,"")</f>
        <v>0.52290076335877866</v>
      </c>
      <c r="U505" s="31">
        <f>IFERROR(Serie_Historica!X1671/Serie_Historica!X1668,"")</f>
        <v>0.52948964853153591</v>
      </c>
      <c r="V505" s="31">
        <f>IFERROR(Serie_Historica!Y1671/Serie_Historica!Y1668,"")</f>
        <v>0.54748642412659942</v>
      </c>
      <c r="W505" s="31">
        <f>IFERROR(Serie_Historica!Z1671/Serie_Historica!Z1668,"")</f>
        <v>0.58916595825068485</v>
      </c>
      <c r="X505" s="19">
        <f>IFERROR((W505-D505)*100,"")</f>
        <v>9.5834668966613084</v>
      </c>
    </row>
  </sheetData>
  <autoFilter ref="A1:X505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6"/>
  <sheetViews>
    <sheetView zoomScaleNormal="100" workbookViewId="0"/>
  </sheetViews>
  <sheetFormatPr defaultColWidth="8.7109375" defaultRowHeight="15"/>
  <cols>
    <col min="2" max="2" width="24" customWidth="1"/>
    <col min="4" max="23" width="11" customWidth="1"/>
  </cols>
  <sheetData>
    <row r="1" spans="1:23">
      <c r="A1" s="47" t="s">
        <v>507</v>
      </c>
    </row>
    <row r="2" spans="1:23">
      <c r="A2" s="23" t="s">
        <v>508</v>
      </c>
    </row>
    <row r="4" spans="1:23" ht="39.75" customHeight="1">
      <c r="A4" s="48" t="s">
        <v>39</v>
      </c>
      <c r="B4" s="48" t="s">
        <v>40</v>
      </c>
      <c r="C4" s="48" t="s">
        <v>509</v>
      </c>
      <c r="D4" s="48" t="s">
        <v>510</v>
      </c>
      <c r="E4" s="48" t="s">
        <v>511</v>
      </c>
      <c r="F4" s="48" t="s">
        <v>512</v>
      </c>
      <c r="G4" s="48" t="s">
        <v>513</v>
      </c>
      <c r="H4" s="48" t="s">
        <v>514</v>
      </c>
      <c r="I4" s="48" t="s">
        <v>515</v>
      </c>
      <c r="J4" s="48" t="s">
        <v>516</v>
      </c>
      <c r="K4" s="48" t="s">
        <v>517</v>
      </c>
      <c r="L4" s="48" t="s">
        <v>518</v>
      </c>
      <c r="M4" s="48" t="s">
        <v>519</v>
      </c>
      <c r="N4" s="48" t="s">
        <v>520</v>
      </c>
      <c r="O4" s="48" t="s">
        <v>521</v>
      </c>
      <c r="P4" s="48" t="s">
        <v>522</v>
      </c>
      <c r="Q4" s="48" t="s">
        <v>523</v>
      </c>
      <c r="R4" s="48" t="s">
        <v>524</v>
      </c>
      <c r="S4" s="48" t="s">
        <v>525</v>
      </c>
      <c r="T4" s="48" t="s">
        <v>526</v>
      </c>
      <c r="U4" s="48" t="s">
        <v>527</v>
      </c>
      <c r="V4" s="48" t="s">
        <v>528</v>
      </c>
      <c r="W4" s="48" t="s">
        <v>529</v>
      </c>
    </row>
    <row r="5" spans="1:23">
      <c r="A5" s="49" t="s">
        <v>113</v>
      </c>
      <c r="B5" s="49" t="s">
        <v>114</v>
      </c>
      <c r="C5" s="49" t="s">
        <v>484</v>
      </c>
      <c r="D5" s="14">
        <v>9145</v>
      </c>
      <c r="E5" s="14">
        <v>395</v>
      </c>
      <c r="F5" s="14">
        <v>15</v>
      </c>
      <c r="G5" s="14">
        <v>898</v>
      </c>
      <c r="H5" s="14">
        <v>16</v>
      </c>
      <c r="I5" s="14">
        <v>231</v>
      </c>
      <c r="J5" s="14">
        <v>590</v>
      </c>
      <c r="K5" s="14">
        <v>2584</v>
      </c>
      <c r="L5" s="14">
        <v>96</v>
      </c>
      <c r="M5" s="14">
        <v>281</v>
      </c>
      <c r="N5" s="14">
        <v>105</v>
      </c>
      <c r="O5" s="14">
        <v>119</v>
      </c>
      <c r="P5" s="14">
        <v>27</v>
      </c>
      <c r="Q5" s="14">
        <v>469</v>
      </c>
      <c r="R5" s="14">
        <v>514</v>
      </c>
      <c r="S5" s="14">
        <v>1622</v>
      </c>
      <c r="T5" s="14">
        <v>536</v>
      </c>
      <c r="U5" s="14">
        <v>296</v>
      </c>
      <c r="V5" s="14">
        <v>75</v>
      </c>
      <c r="W5" s="14">
        <v>276</v>
      </c>
    </row>
    <row r="6" spans="1:23">
      <c r="A6" s="49" t="s">
        <v>113</v>
      </c>
      <c r="B6" s="49" t="s">
        <v>114</v>
      </c>
      <c r="C6" s="49" t="s">
        <v>530</v>
      </c>
      <c r="D6" s="14">
        <v>9666</v>
      </c>
      <c r="E6" s="14">
        <v>399</v>
      </c>
      <c r="F6" s="14">
        <v>16</v>
      </c>
      <c r="G6" s="14">
        <v>984</v>
      </c>
      <c r="H6" s="14">
        <v>30</v>
      </c>
      <c r="I6" s="14">
        <v>248</v>
      </c>
      <c r="J6" s="14">
        <v>419</v>
      </c>
      <c r="K6" s="14">
        <v>3035</v>
      </c>
      <c r="L6" s="14">
        <v>125</v>
      </c>
      <c r="M6" s="14">
        <v>303</v>
      </c>
      <c r="N6" s="14">
        <v>116</v>
      </c>
      <c r="O6" s="14">
        <v>119</v>
      </c>
      <c r="P6" s="14">
        <v>33</v>
      </c>
      <c r="Q6" s="14">
        <v>430</v>
      </c>
      <c r="R6" s="14">
        <v>607</v>
      </c>
      <c r="S6" s="14">
        <v>1472</v>
      </c>
      <c r="T6" s="14">
        <v>622</v>
      </c>
      <c r="U6" s="14">
        <v>357</v>
      </c>
      <c r="V6" s="14">
        <v>111</v>
      </c>
      <c r="W6" s="14">
        <v>240</v>
      </c>
    </row>
    <row r="7" spans="1:23">
      <c r="A7" s="49" t="s">
        <v>115</v>
      </c>
      <c r="B7" s="49" t="s">
        <v>116</v>
      </c>
      <c r="C7" s="49" t="s">
        <v>484</v>
      </c>
      <c r="D7" s="14">
        <v>13738</v>
      </c>
      <c r="E7" s="14">
        <v>31</v>
      </c>
      <c r="F7" s="49" t="s">
        <v>531</v>
      </c>
      <c r="G7" s="14">
        <v>1962</v>
      </c>
      <c r="H7" s="49" t="s">
        <v>531</v>
      </c>
      <c r="I7" s="14">
        <v>106</v>
      </c>
      <c r="J7" s="14">
        <v>240</v>
      </c>
      <c r="K7" s="14">
        <v>4693</v>
      </c>
      <c r="L7" s="14">
        <v>195</v>
      </c>
      <c r="M7" s="14">
        <v>524</v>
      </c>
      <c r="N7" s="14">
        <v>225</v>
      </c>
      <c r="O7" s="14">
        <v>193</v>
      </c>
      <c r="P7" s="14">
        <v>65</v>
      </c>
      <c r="Q7" s="14">
        <v>465</v>
      </c>
      <c r="R7" s="14">
        <v>422</v>
      </c>
      <c r="S7" s="14">
        <v>2580</v>
      </c>
      <c r="T7" s="14">
        <v>734</v>
      </c>
      <c r="U7" s="14">
        <v>773</v>
      </c>
      <c r="V7" s="14">
        <v>101</v>
      </c>
      <c r="W7" s="14">
        <v>406</v>
      </c>
    </row>
    <row r="8" spans="1:23">
      <c r="A8" s="49" t="s">
        <v>115</v>
      </c>
      <c r="B8" s="49" t="s">
        <v>116</v>
      </c>
      <c r="C8" s="49" t="s">
        <v>530</v>
      </c>
      <c r="D8" s="14">
        <v>14370</v>
      </c>
      <c r="E8" s="14">
        <v>37</v>
      </c>
      <c r="F8" s="14">
        <v>7</v>
      </c>
      <c r="G8" s="14">
        <v>2181</v>
      </c>
      <c r="H8" s="14">
        <v>3</v>
      </c>
      <c r="I8" s="14">
        <v>139</v>
      </c>
      <c r="J8" s="14">
        <v>251</v>
      </c>
      <c r="K8" s="14">
        <v>4589</v>
      </c>
      <c r="L8" s="14">
        <v>210</v>
      </c>
      <c r="M8" s="14">
        <v>510</v>
      </c>
      <c r="N8" s="14">
        <v>306</v>
      </c>
      <c r="O8" s="14">
        <v>203</v>
      </c>
      <c r="P8" s="14">
        <v>90</v>
      </c>
      <c r="Q8" s="14">
        <v>608</v>
      </c>
      <c r="R8" s="14">
        <v>381</v>
      </c>
      <c r="S8" s="14">
        <v>2545</v>
      </c>
      <c r="T8" s="14">
        <v>824</v>
      </c>
      <c r="U8" s="14">
        <v>775</v>
      </c>
      <c r="V8" s="14">
        <v>121</v>
      </c>
      <c r="W8" s="14">
        <v>590</v>
      </c>
    </row>
    <row r="9" spans="1:23">
      <c r="A9" s="49" t="s">
        <v>123</v>
      </c>
      <c r="B9" s="49" t="s">
        <v>124</v>
      </c>
      <c r="C9" s="49" t="s">
        <v>484</v>
      </c>
      <c r="D9" s="14">
        <v>8778</v>
      </c>
      <c r="E9" s="14">
        <v>504</v>
      </c>
      <c r="F9" s="14">
        <v>96</v>
      </c>
      <c r="G9" s="14">
        <v>924</v>
      </c>
      <c r="H9" s="14">
        <v>20</v>
      </c>
      <c r="I9" s="14">
        <v>136</v>
      </c>
      <c r="J9" s="14">
        <v>213</v>
      </c>
      <c r="K9" s="14">
        <v>2215</v>
      </c>
      <c r="L9" s="14">
        <v>128</v>
      </c>
      <c r="M9" s="14">
        <v>277</v>
      </c>
      <c r="N9" s="14">
        <v>84</v>
      </c>
      <c r="O9" s="14">
        <v>67</v>
      </c>
      <c r="P9" s="14">
        <v>42</v>
      </c>
      <c r="Q9" s="14">
        <v>110</v>
      </c>
      <c r="R9" s="14">
        <v>284</v>
      </c>
      <c r="S9" s="14">
        <v>2927</v>
      </c>
      <c r="T9" s="14">
        <v>351</v>
      </c>
      <c r="U9" s="14">
        <v>174</v>
      </c>
      <c r="V9" s="14">
        <v>84</v>
      </c>
      <c r="W9" s="14">
        <v>142</v>
      </c>
    </row>
    <row r="10" spans="1:23">
      <c r="A10" s="49" t="s">
        <v>123</v>
      </c>
      <c r="B10" s="49" t="s">
        <v>124</v>
      </c>
      <c r="C10" s="49" t="s">
        <v>530</v>
      </c>
      <c r="D10" s="14">
        <v>8956</v>
      </c>
      <c r="E10" s="14">
        <v>471</v>
      </c>
      <c r="F10" s="14">
        <v>113</v>
      </c>
      <c r="G10" s="14">
        <v>1172</v>
      </c>
      <c r="H10" s="14">
        <v>24</v>
      </c>
      <c r="I10" s="14">
        <v>199</v>
      </c>
      <c r="J10" s="14">
        <v>217</v>
      </c>
      <c r="K10" s="14">
        <v>2332</v>
      </c>
      <c r="L10" s="14">
        <v>131</v>
      </c>
      <c r="M10" s="14">
        <v>347</v>
      </c>
      <c r="N10" s="14">
        <v>79</v>
      </c>
      <c r="O10" s="14">
        <v>77</v>
      </c>
      <c r="P10" s="14">
        <v>28</v>
      </c>
      <c r="Q10" s="14">
        <v>130</v>
      </c>
      <c r="R10" s="14">
        <v>448</v>
      </c>
      <c r="S10" s="14">
        <v>2456</v>
      </c>
      <c r="T10" s="14">
        <v>307</v>
      </c>
      <c r="U10" s="14">
        <v>192</v>
      </c>
      <c r="V10" s="14">
        <v>78</v>
      </c>
      <c r="W10" s="14">
        <v>155</v>
      </c>
    </row>
    <row r="11" spans="1:23">
      <c r="A11" s="49" t="s">
        <v>105</v>
      </c>
      <c r="B11" s="49" t="s">
        <v>106</v>
      </c>
      <c r="C11" s="49" t="s">
        <v>484</v>
      </c>
      <c r="D11" s="14">
        <v>56066</v>
      </c>
      <c r="E11" s="14">
        <v>182</v>
      </c>
      <c r="F11" s="14">
        <v>37</v>
      </c>
      <c r="G11" s="14">
        <v>5770</v>
      </c>
      <c r="H11" s="14">
        <v>24</v>
      </c>
      <c r="I11" s="14">
        <v>1727</v>
      </c>
      <c r="J11" s="14">
        <v>2946</v>
      </c>
      <c r="K11" s="14">
        <v>17566</v>
      </c>
      <c r="L11" s="14">
        <v>2904</v>
      </c>
      <c r="M11" s="14">
        <v>2845</v>
      </c>
      <c r="N11" s="14">
        <v>312</v>
      </c>
      <c r="O11" s="14">
        <v>352</v>
      </c>
      <c r="P11" s="14">
        <v>557</v>
      </c>
      <c r="Q11" s="14">
        <v>1314</v>
      </c>
      <c r="R11" s="14">
        <v>7106</v>
      </c>
      <c r="S11" s="14">
        <v>6108</v>
      </c>
      <c r="T11" s="14">
        <v>3163</v>
      </c>
      <c r="U11" s="14">
        <v>1200</v>
      </c>
      <c r="V11" s="14">
        <v>502</v>
      </c>
      <c r="W11" s="14">
        <v>1451</v>
      </c>
    </row>
    <row r="12" spans="1:23">
      <c r="A12" s="49" t="s">
        <v>105</v>
      </c>
      <c r="B12" s="49" t="s">
        <v>106</v>
      </c>
      <c r="C12" s="49" t="s">
        <v>530</v>
      </c>
      <c r="D12" s="14">
        <v>63485</v>
      </c>
      <c r="E12" s="14">
        <v>146</v>
      </c>
      <c r="F12" s="14">
        <v>30</v>
      </c>
      <c r="G12" s="14">
        <v>5630</v>
      </c>
      <c r="H12" s="14">
        <v>40</v>
      </c>
      <c r="I12" s="14">
        <v>940</v>
      </c>
      <c r="J12" s="14">
        <v>2642</v>
      </c>
      <c r="K12" s="14">
        <v>18899</v>
      </c>
      <c r="L12" s="14">
        <v>3123</v>
      </c>
      <c r="M12" s="14">
        <v>2797</v>
      </c>
      <c r="N12" s="14">
        <v>333</v>
      </c>
      <c r="O12" s="14">
        <v>465</v>
      </c>
      <c r="P12" s="14">
        <v>782</v>
      </c>
      <c r="Q12" s="14">
        <v>1703</v>
      </c>
      <c r="R12" s="14">
        <v>12451</v>
      </c>
      <c r="S12" s="14">
        <v>6164</v>
      </c>
      <c r="T12" s="14">
        <v>3424</v>
      </c>
      <c r="U12" s="14">
        <v>1782</v>
      </c>
      <c r="V12" s="14">
        <v>618</v>
      </c>
      <c r="W12" s="14">
        <v>1516</v>
      </c>
    </row>
    <row r="13" spans="1:23">
      <c r="A13" s="49" t="s">
        <v>149</v>
      </c>
      <c r="B13" s="49" t="s">
        <v>150</v>
      </c>
      <c r="C13" s="49" t="s">
        <v>484</v>
      </c>
      <c r="D13" s="49" t="s">
        <v>532</v>
      </c>
      <c r="E13" s="49" t="s">
        <v>532</v>
      </c>
      <c r="F13" s="49" t="s">
        <v>532</v>
      </c>
      <c r="G13" s="49" t="s">
        <v>532</v>
      </c>
      <c r="H13" s="49" t="s">
        <v>532</v>
      </c>
      <c r="I13" s="49" t="s">
        <v>532</v>
      </c>
      <c r="J13" s="49" t="s">
        <v>532</v>
      </c>
      <c r="K13" s="49" t="s">
        <v>532</v>
      </c>
      <c r="L13" s="49" t="s">
        <v>532</v>
      </c>
      <c r="M13" s="49" t="s">
        <v>532</v>
      </c>
      <c r="N13" s="49" t="s">
        <v>532</v>
      </c>
      <c r="O13" s="49" t="s">
        <v>532</v>
      </c>
      <c r="P13" s="49" t="s">
        <v>532</v>
      </c>
      <c r="Q13" s="49" t="s">
        <v>532</v>
      </c>
      <c r="R13" s="49" t="s">
        <v>532</v>
      </c>
      <c r="S13" s="49" t="s">
        <v>532</v>
      </c>
      <c r="T13" s="49" t="s">
        <v>532</v>
      </c>
      <c r="U13" s="49" t="s">
        <v>532</v>
      </c>
      <c r="V13" s="49" t="s">
        <v>532</v>
      </c>
      <c r="W13" s="49" t="s">
        <v>532</v>
      </c>
    </row>
    <row r="14" spans="1:23">
      <c r="A14" s="49" t="s">
        <v>149</v>
      </c>
      <c r="B14" s="49" t="s">
        <v>150</v>
      </c>
      <c r="C14" s="49" t="s">
        <v>530</v>
      </c>
      <c r="D14" s="14">
        <v>5690</v>
      </c>
      <c r="E14" s="14">
        <v>120</v>
      </c>
      <c r="F14" s="49" t="s">
        <v>531</v>
      </c>
      <c r="G14" s="14">
        <v>211</v>
      </c>
      <c r="H14" s="49" t="s">
        <v>531</v>
      </c>
      <c r="I14" s="14">
        <v>148</v>
      </c>
      <c r="J14" s="14">
        <v>1159</v>
      </c>
      <c r="K14" s="14">
        <v>1349</v>
      </c>
      <c r="L14" s="14">
        <v>37</v>
      </c>
      <c r="M14" s="14">
        <v>298</v>
      </c>
      <c r="N14" s="14">
        <v>43</v>
      </c>
      <c r="O14" s="14">
        <v>38</v>
      </c>
      <c r="P14" s="14">
        <v>128</v>
      </c>
      <c r="Q14" s="14">
        <v>150</v>
      </c>
      <c r="R14" s="14">
        <v>289</v>
      </c>
      <c r="S14" s="14">
        <v>1129</v>
      </c>
      <c r="T14" s="14">
        <v>344</v>
      </c>
      <c r="U14" s="14">
        <v>68</v>
      </c>
      <c r="V14" s="14">
        <v>92</v>
      </c>
      <c r="W14" s="14">
        <v>80</v>
      </c>
    </row>
    <row r="15" spans="1:23">
      <c r="A15" s="49" t="s">
        <v>111</v>
      </c>
      <c r="B15" s="49" t="s">
        <v>112</v>
      </c>
      <c r="C15" s="49" t="s">
        <v>484</v>
      </c>
      <c r="D15" s="14">
        <v>14078</v>
      </c>
      <c r="E15" s="14">
        <v>252</v>
      </c>
      <c r="F15" s="14">
        <v>91</v>
      </c>
      <c r="G15" s="14">
        <v>5050</v>
      </c>
      <c r="H15" s="14">
        <v>27</v>
      </c>
      <c r="I15" s="14">
        <v>167</v>
      </c>
      <c r="J15" s="14">
        <v>557</v>
      </c>
      <c r="K15" s="14">
        <v>3156</v>
      </c>
      <c r="L15" s="14">
        <v>418</v>
      </c>
      <c r="M15" s="14">
        <v>253</v>
      </c>
      <c r="N15" s="14">
        <v>63</v>
      </c>
      <c r="O15" s="14">
        <v>76</v>
      </c>
      <c r="P15" s="14">
        <v>22</v>
      </c>
      <c r="Q15" s="14">
        <v>358</v>
      </c>
      <c r="R15" s="14">
        <v>647</v>
      </c>
      <c r="S15" s="14">
        <v>2078</v>
      </c>
      <c r="T15" s="14">
        <v>347</v>
      </c>
      <c r="U15" s="14">
        <v>269</v>
      </c>
      <c r="V15" s="14">
        <v>62</v>
      </c>
      <c r="W15" s="14">
        <v>185</v>
      </c>
    </row>
    <row r="16" spans="1:23">
      <c r="A16" s="49" t="s">
        <v>111</v>
      </c>
      <c r="B16" s="49" t="s">
        <v>112</v>
      </c>
      <c r="C16" s="49" t="s">
        <v>530</v>
      </c>
      <c r="D16" s="14">
        <v>14258</v>
      </c>
      <c r="E16" s="14">
        <v>245</v>
      </c>
      <c r="F16" s="14">
        <v>19</v>
      </c>
      <c r="G16" s="14">
        <v>5318</v>
      </c>
      <c r="H16" s="14">
        <v>31</v>
      </c>
      <c r="I16" s="14">
        <v>168</v>
      </c>
      <c r="J16" s="14">
        <v>631</v>
      </c>
      <c r="K16" s="14">
        <v>3005</v>
      </c>
      <c r="L16" s="14">
        <v>514</v>
      </c>
      <c r="M16" s="14">
        <v>297</v>
      </c>
      <c r="N16" s="14">
        <v>112</v>
      </c>
      <c r="O16" s="14">
        <v>93</v>
      </c>
      <c r="P16" s="14">
        <v>25</v>
      </c>
      <c r="Q16" s="14">
        <v>296</v>
      </c>
      <c r="R16" s="14">
        <v>1250</v>
      </c>
      <c r="S16" s="14">
        <v>1356</v>
      </c>
      <c r="T16" s="14">
        <v>342</v>
      </c>
      <c r="U16" s="14">
        <v>308</v>
      </c>
      <c r="V16" s="14">
        <v>79</v>
      </c>
      <c r="W16" s="14">
        <v>169</v>
      </c>
    </row>
    <row r="17" spans="1:23">
      <c r="A17" s="49" t="s">
        <v>103</v>
      </c>
      <c r="B17" s="49" t="s">
        <v>104</v>
      </c>
      <c r="C17" s="49" t="s">
        <v>484</v>
      </c>
      <c r="D17" s="14">
        <v>82014</v>
      </c>
      <c r="E17" s="14">
        <v>3547</v>
      </c>
      <c r="F17" s="14">
        <v>3510</v>
      </c>
      <c r="G17" s="14">
        <v>6329</v>
      </c>
      <c r="H17" s="14">
        <v>14</v>
      </c>
      <c r="I17" s="14">
        <v>485</v>
      </c>
      <c r="J17" s="14">
        <v>5461</v>
      </c>
      <c r="K17" s="14">
        <v>19992</v>
      </c>
      <c r="L17" s="14">
        <v>2432</v>
      </c>
      <c r="M17" s="14">
        <v>2953</v>
      </c>
      <c r="N17" s="14">
        <v>982</v>
      </c>
      <c r="O17" s="14">
        <v>1038</v>
      </c>
      <c r="P17" s="14">
        <v>642</v>
      </c>
      <c r="Q17" s="14">
        <v>2480</v>
      </c>
      <c r="R17" s="14">
        <v>12987</v>
      </c>
      <c r="S17" s="14">
        <v>5601</v>
      </c>
      <c r="T17" s="14">
        <v>6971</v>
      </c>
      <c r="U17" s="14">
        <v>4510</v>
      </c>
      <c r="V17" s="14">
        <v>565</v>
      </c>
      <c r="W17" s="14">
        <v>1515</v>
      </c>
    </row>
    <row r="18" spans="1:23">
      <c r="A18" s="49" t="s">
        <v>103</v>
      </c>
      <c r="B18" s="49" t="s">
        <v>104</v>
      </c>
      <c r="C18" s="49" t="s">
        <v>530</v>
      </c>
      <c r="D18" s="14">
        <v>97192</v>
      </c>
      <c r="E18" s="14">
        <v>4307</v>
      </c>
      <c r="F18" s="14">
        <v>3897</v>
      </c>
      <c r="G18" s="14">
        <v>6502</v>
      </c>
      <c r="H18" s="14">
        <v>16</v>
      </c>
      <c r="I18" s="14">
        <v>431</v>
      </c>
      <c r="J18" s="14">
        <v>9696</v>
      </c>
      <c r="K18" s="14">
        <v>21029</v>
      </c>
      <c r="L18" s="14">
        <v>2279</v>
      </c>
      <c r="M18" s="14">
        <v>3071</v>
      </c>
      <c r="N18" s="14">
        <v>1154</v>
      </c>
      <c r="O18" s="14">
        <v>1186</v>
      </c>
      <c r="P18" s="14">
        <v>523</v>
      </c>
      <c r="Q18" s="14">
        <v>3157</v>
      </c>
      <c r="R18" s="14">
        <v>19381</v>
      </c>
      <c r="S18" s="14">
        <v>6019</v>
      </c>
      <c r="T18" s="14">
        <v>6956</v>
      </c>
      <c r="U18" s="14">
        <v>5224</v>
      </c>
      <c r="V18" s="14">
        <v>556</v>
      </c>
      <c r="W18" s="14">
        <v>1808</v>
      </c>
    </row>
    <row r="19" spans="1:23">
      <c r="A19" s="49" t="s">
        <v>101</v>
      </c>
      <c r="B19" s="49" t="s">
        <v>102</v>
      </c>
      <c r="C19" s="49" t="s">
        <v>484</v>
      </c>
      <c r="D19" s="14">
        <v>350057</v>
      </c>
      <c r="E19" s="14">
        <v>728</v>
      </c>
      <c r="F19" s="14">
        <v>395</v>
      </c>
      <c r="G19" s="14">
        <v>19268</v>
      </c>
      <c r="H19" s="14">
        <v>1311</v>
      </c>
      <c r="I19" s="14">
        <v>4282</v>
      </c>
      <c r="J19" s="14">
        <v>18658</v>
      </c>
      <c r="K19" s="14">
        <v>62267</v>
      </c>
      <c r="L19" s="14">
        <v>5713</v>
      </c>
      <c r="M19" s="14">
        <v>17759</v>
      </c>
      <c r="N19" s="14">
        <v>6585</v>
      </c>
      <c r="O19" s="14">
        <v>5728</v>
      </c>
      <c r="P19" s="14">
        <v>4312</v>
      </c>
      <c r="Q19" s="14">
        <v>14281</v>
      </c>
      <c r="R19" s="14">
        <v>49711</v>
      </c>
      <c r="S19" s="14">
        <v>80614</v>
      </c>
      <c r="T19" s="14">
        <v>23200</v>
      </c>
      <c r="U19" s="14">
        <v>24734</v>
      </c>
      <c r="V19" s="14">
        <v>2736</v>
      </c>
      <c r="W19" s="14">
        <v>7775</v>
      </c>
    </row>
    <row r="20" spans="1:23">
      <c r="A20" s="49" t="s">
        <v>101</v>
      </c>
      <c r="B20" s="49" t="s">
        <v>102</v>
      </c>
      <c r="C20" s="49" t="s">
        <v>530</v>
      </c>
      <c r="D20" s="14">
        <v>367921</v>
      </c>
      <c r="E20" s="14">
        <v>786</v>
      </c>
      <c r="F20" s="14">
        <v>693</v>
      </c>
      <c r="G20" s="14">
        <v>21082</v>
      </c>
      <c r="H20" s="14">
        <v>1359</v>
      </c>
      <c r="I20" s="14">
        <v>3107</v>
      </c>
      <c r="J20" s="14">
        <v>21650</v>
      </c>
      <c r="K20" s="14">
        <v>61486</v>
      </c>
      <c r="L20" s="14">
        <v>5381</v>
      </c>
      <c r="M20" s="14">
        <v>18628</v>
      </c>
      <c r="N20" s="14">
        <v>7487</v>
      </c>
      <c r="O20" s="14">
        <v>6123</v>
      </c>
      <c r="P20" s="14">
        <v>4456</v>
      </c>
      <c r="Q20" s="14">
        <v>15715</v>
      </c>
      <c r="R20" s="14">
        <v>53662</v>
      </c>
      <c r="S20" s="14">
        <v>84621</v>
      </c>
      <c r="T20" s="14">
        <v>23780</v>
      </c>
      <c r="U20" s="14">
        <v>26463</v>
      </c>
      <c r="V20" s="14">
        <v>3112</v>
      </c>
      <c r="W20" s="14">
        <v>8330</v>
      </c>
    </row>
    <row r="21" spans="1:23">
      <c r="A21" s="49" t="s">
        <v>109</v>
      </c>
      <c r="B21" s="49" t="s">
        <v>110</v>
      </c>
      <c r="C21" s="49" t="s">
        <v>484</v>
      </c>
      <c r="D21" s="14">
        <v>15929</v>
      </c>
      <c r="E21" s="14">
        <v>160</v>
      </c>
      <c r="F21" s="14">
        <v>87</v>
      </c>
      <c r="G21" s="14">
        <v>1541</v>
      </c>
      <c r="H21" s="14">
        <v>3</v>
      </c>
      <c r="I21" s="14">
        <v>429</v>
      </c>
      <c r="J21" s="14">
        <v>644</v>
      </c>
      <c r="K21" s="14">
        <v>3758</v>
      </c>
      <c r="L21" s="14">
        <v>1743</v>
      </c>
      <c r="M21" s="14">
        <v>411</v>
      </c>
      <c r="N21" s="14">
        <v>112</v>
      </c>
      <c r="O21" s="14">
        <v>110</v>
      </c>
      <c r="P21" s="14">
        <v>81</v>
      </c>
      <c r="Q21" s="14">
        <v>138</v>
      </c>
      <c r="R21" s="14">
        <v>1939</v>
      </c>
      <c r="S21" s="14">
        <v>3240</v>
      </c>
      <c r="T21" s="14">
        <v>665</v>
      </c>
      <c r="U21" s="14">
        <v>602</v>
      </c>
      <c r="V21" s="14">
        <v>94</v>
      </c>
      <c r="W21" s="14">
        <v>172</v>
      </c>
    </row>
    <row r="22" spans="1:23">
      <c r="A22" s="49" t="s">
        <v>109</v>
      </c>
      <c r="B22" s="49" t="s">
        <v>110</v>
      </c>
      <c r="C22" s="49" t="s">
        <v>530</v>
      </c>
      <c r="D22" s="14">
        <v>17939</v>
      </c>
      <c r="E22" s="14">
        <v>175</v>
      </c>
      <c r="F22" s="14">
        <v>88</v>
      </c>
      <c r="G22" s="14">
        <v>1167</v>
      </c>
      <c r="H22" s="14">
        <v>5</v>
      </c>
      <c r="I22" s="14">
        <v>356</v>
      </c>
      <c r="J22" s="14">
        <v>723</v>
      </c>
      <c r="K22" s="14">
        <v>4109</v>
      </c>
      <c r="L22" s="14">
        <v>1461</v>
      </c>
      <c r="M22" s="14">
        <v>510</v>
      </c>
      <c r="N22" s="14">
        <v>131</v>
      </c>
      <c r="O22" s="14">
        <v>129</v>
      </c>
      <c r="P22" s="14">
        <v>72</v>
      </c>
      <c r="Q22" s="14">
        <v>259</v>
      </c>
      <c r="R22" s="14">
        <v>3926</v>
      </c>
      <c r="S22" s="14">
        <v>3108</v>
      </c>
      <c r="T22" s="14">
        <v>744</v>
      </c>
      <c r="U22" s="14">
        <v>656</v>
      </c>
      <c r="V22" s="14">
        <v>173</v>
      </c>
      <c r="W22" s="14">
        <v>147</v>
      </c>
    </row>
    <row r="23" spans="1:23">
      <c r="A23" s="49" t="s">
        <v>121</v>
      </c>
      <c r="B23" s="49" t="s">
        <v>122</v>
      </c>
      <c r="C23" s="49" t="s">
        <v>484</v>
      </c>
      <c r="D23" s="49" t="s">
        <v>532</v>
      </c>
      <c r="E23" s="49" t="s">
        <v>532</v>
      </c>
      <c r="F23" s="49" t="s">
        <v>532</v>
      </c>
      <c r="G23" s="49" t="s">
        <v>532</v>
      </c>
      <c r="H23" s="49" t="s">
        <v>532</v>
      </c>
      <c r="I23" s="49" t="s">
        <v>532</v>
      </c>
      <c r="J23" s="49" t="s">
        <v>532</v>
      </c>
      <c r="K23" s="49" t="s">
        <v>532</v>
      </c>
      <c r="L23" s="49" t="s">
        <v>532</v>
      </c>
      <c r="M23" s="49" t="s">
        <v>532</v>
      </c>
      <c r="N23" s="49" t="s">
        <v>532</v>
      </c>
      <c r="O23" s="49" t="s">
        <v>532</v>
      </c>
      <c r="P23" s="49" t="s">
        <v>532</v>
      </c>
      <c r="Q23" s="49" t="s">
        <v>532</v>
      </c>
      <c r="R23" s="49" t="s">
        <v>532</v>
      </c>
      <c r="S23" s="49" t="s">
        <v>532</v>
      </c>
      <c r="T23" s="49" t="s">
        <v>532</v>
      </c>
      <c r="U23" s="49" t="s">
        <v>532</v>
      </c>
      <c r="V23" s="49" t="s">
        <v>532</v>
      </c>
      <c r="W23" s="49" t="s">
        <v>532</v>
      </c>
    </row>
    <row r="24" spans="1:23">
      <c r="A24" s="49" t="s">
        <v>121</v>
      </c>
      <c r="B24" s="49" t="s">
        <v>122</v>
      </c>
      <c r="C24" s="49" t="s">
        <v>530</v>
      </c>
      <c r="D24" s="14">
        <v>9918</v>
      </c>
      <c r="E24" s="14">
        <v>198</v>
      </c>
      <c r="F24" s="49" t="s">
        <v>531</v>
      </c>
      <c r="G24" s="14">
        <v>2375</v>
      </c>
      <c r="H24" s="49" t="s">
        <v>531</v>
      </c>
      <c r="I24" s="14">
        <v>268</v>
      </c>
      <c r="J24" s="14">
        <v>291</v>
      </c>
      <c r="K24" s="14">
        <v>2651</v>
      </c>
      <c r="L24" s="14">
        <v>530</v>
      </c>
      <c r="M24" s="14">
        <v>199</v>
      </c>
      <c r="N24" s="14">
        <v>72</v>
      </c>
      <c r="O24" s="14">
        <v>44</v>
      </c>
      <c r="P24" s="14">
        <v>128</v>
      </c>
      <c r="Q24" s="14">
        <v>71</v>
      </c>
      <c r="R24" s="14">
        <v>270</v>
      </c>
      <c r="S24" s="14">
        <v>2345</v>
      </c>
      <c r="T24" s="14">
        <v>229</v>
      </c>
      <c r="U24" s="14">
        <v>128</v>
      </c>
      <c r="V24" s="14">
        <v>28</v>
      </c>
      <c r="W24" s="14">
        <v>83</v>
      </c>
    </row>
    <row r="25" spans="1:23">
      <c r="A25" s="49" t="s">
        <v>488</v>
      </c>
      <c r="B25" s="49" t="s">
        <v>489</v>
      </c>
      <c r="C25" s="49" t="s">
        <v>484</v>
      </c>
      <c r="D25" s="14">
        <v>765362</v>
      </c>
      <c r="E25" s="14">
        <v>16835</v>
      </c>
      <c r="F25" s="14">
        <v>9194</v>
      </c>
      <c r="G25" s="14">
        <v>65732</v>
      </c>
      <c r="H25" s="14">
        <v>2728</v>
      </c>
      <c r="I25" s="14">
        <v>9476</v>
      </c>
      <c r="J25" s="14">
        <v>36681</v>
      </c>
      <c r="K25" s="14">
        <v>157909</v>
      </c>
      <c r="L25" s="14">
        <v>17092</v>
      </c>
      <c r="M25" s="14">
        <v>33646</v>
      </c>
      <c r="N25" s="14">
        <v>10643</v>
      </c>
      <c r="O25" s="14">
        <v>8811</v>
      </c>
      <c r="P25" s="14">
        <v>6698</v>
      </c>
      <c r="Q25" s="14">
        <v>22381</v>
      </c>
      <c r="R25" s="14">
        <v>81332</v>
      </c>
      <c r="S25" s="14">
        <v>186840</v>
      </c>
      <c r="T25" s="14">
        <v>41227</v>
      </c>
      <c r="U25" s="14">
        <v>36011</v>
      </c>
      <c r="V25" s="14">
        <v>5377</v>
      </c>
      <c r="W25" s="14">
        <v>16749</v>
      </c>
    </row>
    <row r="26" spans="1:23">
      <c r="A26" s="49" t="s">
        <v>488</v>
      </c>
      <c r="B26" s="49" t="s">
        <v>489</v>
      </c>
      <c r="C26" s="49" t="s">
        <v>530</v>
      </c>
      <c r="D26" s="14">
        <v>811511</v>
      </c>
      <c r="E26" s="14">
        <v>19276</v>
      </c>
      <c r="F26" s="14">
        <v>10530</v>
      </c>
      <c r="G26" s="14">
        <v>69149</v>
      </c>
      <c r="H26" s="14">
        <v>2600</v>
      </c>
      <c r="I26" s="14">
        <v>7999</v>
      </c>
      <c r="J26" s="14">
        <v>45108</v>
      </c>
      <c r="K26" s="14">
        <v>163025</v>
      </c>
      <c r="L26" s="14">
        <v>17056</v>
      </c>
      <c r="M26" s="14">
        <v>35445</v>
      </c>
      <c r="N26" s="14">
        <v>12425</v>
      </c>
      <c r="O26" s="14">
        <v>9705</v>
      </c>
      <c r="P26" s="14">
        <v>7120</v>
      </c>
      <c r="Q26" s="14">
        <v>25945</v>
      </c>
      <c r="R26" s="14">
        <v>102587</v>
      </c>
      <c r="S26" s="14">
        <v>176372</v>
      </c>
      <c r="T26" s="14">
        <v>42484</v>
      </c>
      <c r="U26" s="14">
        <v>40714</v>
      </c>
      <c r="V26" s="14">
        <v>6313</v>
      </c>
      <c r="W26" s="14">
        <v>17658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2026-10-10T02:07:42Z</dcterms:created>
  <dcterms:modified xsi:type="dcterms:W3CDTF">2026-10-12T14:40:33Z</dcterms:modified>
  <cp:category/>
  <cp:contentStatus/>
</cp:coreProperties>
</file>